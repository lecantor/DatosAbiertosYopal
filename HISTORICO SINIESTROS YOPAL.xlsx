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mat\Desktop\"/>
    </mc:Choice>
  </mc:AlternateContent>
  <xr:revisionPtr revIDLastSave="0" documentId="13_ncr:1_{43EFAC3A-E38C-4C0D-BEBC-0349309FD138}" xr6:coauthVersionLast="47" xr6:coauthVersionMax="47" xr10:uidLastSave="{00000000-0000-0000-0000-000000000000}"/>
  <bookViews>
    <workbookView xWindow="-108" yWindow="-108" windowWidth="23256" windowHeight="12456" tabRatio="601" xr2:uid="{8997D966-EA50-44E0-8CFE-DFC52E8BA440}"/>
  </bookViews>
  <sheets>
    <sheet name="Siniestralidad Yopal  (2)" sheetId="1" r:id="rId1"/>
    <sheet name="listas" sheetId="7" r:id="rId2"/>
    <sheet name="TIPO_VEHIC_ACC" sheetId="16" r:id="rId3"/>
    <sheet name="MANEJO IMPRUDENTE" sheetId="19" r:id="rId4"/>
    <sheet name="MANEJO_IMPRUDENTE" sheetId="21" r:id="rId5"/>
    <sheet name="DIAS_MAS_ACCIDENTES" sheetId="22" r:id="rId6"/>
    <sheet name="CAUSAS" sheetId="23" r:id="rId7"/>
    <sheet name="GENERO" sheetId="24" r:id="rId8"/>
    <sheet name="Hoja11" sheetId="18" r:id="rId9"/>
  </sheets>
  <definedNames>
    <definedName name="_xlnm._FilterDatabase" localSheetId="8" hidden="1">Hoja11!$A$1:$E$30</definedName>
    <definedName name="_xlnm._FilterDatabase" localSheetId="0" hidden="1">'Siniestralidad Yopal  (2)'!$A$1:$BD$976</definedName>
  </definedNames>
  <calcPr calcId="191029"/>
  <pivotCaches>
    <pivotCache cacheId="0" r:id="rId10"/>
    <pivotCache cacheId="1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1040" i="1" l="1"/>
  <c r="AR1059" i="1"/>
  <c r="AR1102" i="1"/>
  <c r="AR626" i="1"/>
  <c r="AR969" i="1"/>
  <c r="AR548" i="1"/>
  <c r="AR822" i="1"/>
  <c r="AR706" i="1"/>
  <c r="AR827" i="1"/>
  <c r="AR1104" i="1"/>
  <c r="AR1057" i="1"/>
  <c r="AR1039" i="1"/>
  <c r="AR1058" i="1"/>
  <c r="AR944" i="1"/>
  <c r="AR770" i="1"/>
  <c r="AR907" i="1"/>
  <c r="AR636" i="1"/>
  <c r="AR741" i="1"/>
  <c r="AR831" i="1"/>
  <c r="AR970" i="1"/>
  <c r="AR858" i="1"/>
  <c r="AR676" i="1"/>
  <c r="AR709" i="1"/>
  <c r="AR1011" i="1"/>
  <c r="AR737" i="1"/>
  <c r="AR740" i="1"/>
  <c r="AR540" i="1"/>
  <c r="AR637" i="1"/>
  <c r="AR1114" i="1"/>
  <c r="AR1113" i="1"/>
  <c r="AR653" i="1"/>
  <c r="AR877" i="1"/>
  <c r="AR993" i="1"/>
  <c r="AR1053" i="1"/>
  <c r="AR90" i="1"/>
  <c r="AR1043" i="1"/>
  <c r="AR1054" i="1"/>
  <c r="AR695" i="1"/>
  <c r="AR385" i="1"/>
  <c r="AR378" i="1"/>
  <c r="AR868" i="1"/>
  <c r="AR1005" i="1"/>
  <c r="AR340" i="1"/>
  <c r="AR667" i="1"/>
  <c r="AR823" i="1"/>
  <c r="AR818" i="1"/>
  <c r="AR542" i="1"/>
  <c r="AR1091" i="1"/>
  <c r="AR793" i="1"/>
  <c r="AR1099" i="1"/>
  <c r="AR59" i="1"/>
  <c r="AR58" i="1"/>
  <c r="AR994" i="1"/>
  <c r="AR1052" i="1"/>
  <c r="AR936" i="1"/>
  <c r="AR425" i="1"/>
  <c r="AR724" i="1"/>
  <c r="AR953" i="1"/>
  <c r="AR739" i="1"/>
  <c r="AR299" i="1"/>
  <c r="AR694" i="1"/>
  <c r="AR957" i="1"/>
  <c r="AR412" i="1"/>
  <c r="AR660" i="1"/>
  <c r="AR504" i="1"/>
  <c r="AR600" i="1"/>
  <c r="AR221" i="1"/>
  <c r="AR40" i="1"/>
  <c r="AR1050" i="1"/>
  <c r="AR686" i="1"/>
  <c r="AR356" i="1"/>
  <c r="AR415" i="1"/>
  <c r="AR255" i="1"/>
  <c r="AR558" i="1"/>
  <c r="AR974" i="1"/>
  <c r="AR500" i="1"/>
  <c r="AR69" i="1"/>
  <c r="AR360" i="1"/>
  <c r="AR832" i="1"/>
  <c r="AR174" i="1"/>
  <c r="AR73" i="1"/>
  <c r="AR1025" i="1"/>
  <c r="AR565" i="1"/>
  <c r="AR455" i="1"/>
  <c r="AR23" i="1"/>
  <c r="AR22" i="1"/>
  <c r="AR555" i="1"/>
  <c r="AR379" i="1"/>
  <c r="AR449" i="1"/>
  <c r="AR130" i="1"/>
  <c r="AR853" i="1"/>
  <c r="AR403" i="1"/>
  <c r="AR115" i="1"/>
  <c r="AR502" i="1"/>
  <c r="AR817" i="1"/>
  <c r="AR239" i="1"/>
  <c r="AR101" i="1"/>
  <c r="AR874" i="1"/>
  <c r="AR592" i="1"/>
  <c r="AR50" i="1"/>
  <c r="AR394" i="1"/>
  <c r="AR700" i="1"/>
  <c r="AR322" i="1"/>
  <c r="AR286" i="1"/>
  <c r="AR191" i="1"/>
  <c r="AR913" i="1"/>
  <c r="AR337" i="1"/>
  <c r="AR628" i="1"/>
  <c r="AR104" i="1"/>
  <c r="AR947" i="1"/>
  <c r="AR585" i="1"/>
  <c r="AR781" i="1"/>
  <c r="AR870" i="1"/>
  <c r="AR761" i="1"/>
  <c r="AR754" i="1"/>
  <c r="AR28" i="1"/>
  <c r="AR788" i="1"/>
  <c r="AR654" i="1"/>
  <c r="AR867" i="1"/>
  <c r="AR1024" i="1"/>
  <c r="AR702" i="1"/>
  <c r="AR605" i="1"/>
  <c r="AR1108" i="1"/>
  <c r="AR952" i="1"/>
  <c r="AR253" i="1"/>
  <c r="AR732" i="1"/>
  <c r="AR361" i="1"/>
  <c r="AR790" i="1"/>
  <c r="AR849" i="1"/>
  <c r="AR1105" i="1"/>
  <c r="AR743" i="1"/>
  <c r="AR806" i="1"/>
  <c r="AR513" i="1"/>
  <c r="AR992" i="1"/>
  <c r="AR564" i="1"/>
  <c r="AR25" i="1"/>
  <c r="AR1074" i="1"/>
  <c r="AR886" i="1"/>
  <c r="AR1030" i="1"/>
  <c r="AR830" i="1"/>
  <c r="AR1111" i="1"/>
  <c r="AR178" i="1"/>
  <c r="AR544" i="1"/>
  <c r="AR431" i="1"/>
  <c r="AR1027" i="1"/>
  <c r="AR862" i="1"/>
  <c r="AR584" i="1"/>
  <c r="AR683" i="1"/>
  <c r="AR291" i="1"/>
  <c r="AR838" i="1"/>
  <c r="AR39" i="1"/>
  <c r="AR434" i="1"/>
  <c r="AR485" i="1"/>
  <c r="AR1062" i="1"/>
  <c r="AR488" i="1"/>
  <c r="AR884" i="1"/>
  <c r="AR317" i="1"/>
  <c r="AR775" i="1"/>
  <c r="AR1031" i="1"/>
  <c r="AR472" i="1"/>
  <c r="AR597" i="1"/>
  <c r="AR704" i="1"/>
  <c r="AR987" i="1"/>
  <c r="AR797" i="1"/>
  <c r="AR2" i="1"/>
  <c r="AR864" i="1"/>
  <c r="AR352" i="1"/>
  <c r="AR183" i="1"/>
  <c r="AR786" i="1"/>
  <c r="AR765" i="1"/>
  <c r="AR940" i="1"/>
  <c r="AR811" i="1"/>
  <c r="AR524" i="1"/>
  <c r="AR1100" i="1"/>
  <c r="AR789" i="1"/>
  <c r="AR1021" i="1"/>
  <c r="AR376" i="1"/>
  <c r="AR16" i="1"/>
  <c r="AR245" i="1"/>
  <c r="AR167" i="1"/>
  <c r="AR568" i="1"/>
  <c r="AR62" i="1"/>
  <c r="AR735" i="1"/>
  <c r="AR207" i="1"/>
  <c r="AR256" i="1"/>
  <c r="AR810" i="1"/>
  <c r="AR646" i="1"/>
  <c r="AR246" i="1"/>
  <c r="AR241" i="1"/>
  <c r="AR126" i="1"/>
  <c r="AR679" i="1"/>
  <c r="AR639" i="1"/>
  <c r="AR725" i="1"/>
  <c r="AR784" i="1"/>
  <c r="AR579" i="1"/>
  <c r="AR595" i="1"/>
  <c r="AR208" i="1"/>
  <c r="AR1012" i="1"/>
  <c r="AR820" i="1"/>
  <c r="AR224" i="1"/>
  <c r="AR927" i="1"/>
  <c r="AR578" i="1"/>
  <c r="AR984" i="1"/>
  <c r="AR716" i="1"/>
  <c r="AR959" i="1"/>
  <c r="AR721" i="1"/>
  <c r="AR604" i="1"/>
  <c r="AR1061" i="1"/>
  <c r="AR563" i="1"/>
  <c r="AR1036" i="1"/>
  <c r="AR319" i="1"/>
  <c r="AR1002" i="1"/>
  <c r="AR995" i="1"/>
  <c r="AR587" i="1"/>
  <c r="AR1118" i="1"/>
  <c r="AR269" i="1"/>
  <c r="AR569" i="1"/>
  <c r="AR990" i="1"/>
  <c r="AR1056" i="1"/>
  <c r="AR901" i="1"/>
  <c r="AR663" i="1"/>
  <c r="AR577" i="1"/>
  <c r="AR680" i="1"/>
  <c r="AR1106" i="1"/>
  <c r="AR1103" i="1"/>
  <c r="AR890" i="1"/>
  <c r="AR840" i="1"/>
  <c r="AR674" i="1"/>
  <c r="AR889" i="1"/>
  <c r="AR533" i="1"/>
  <c r="AR854" i="1"/>
  <c r="AR562" i="1"/>
  <c r="AR882" i="1"/>
  <c r="AR829" i="1"/>
  <c r="AR368" i="1"/>
  <c r="AR672" i="1"/>
  <c r="AR1015" i="1"/>
  <c r="AR1064" i="1"/>
  <c r="AR603" i="1"/>
  <c r="AR955" i="1"/>
  <c r="AR909" i="1"/>
  <c r="AR345" i="1"/>
  <c r="AR586" i="1"/>
  <c r="AR856" i="1"/>
  <c r="AR755" i="1"/>
  <c r="AR859" i="1"/>
  <c r="AR129" i="1"/>
  <c r="AR610" i="1"/>
  <c r="AR850" i="1"/>
  <c r="AR102" i="1"/>
  <c r="AR1068" i="1"/>
  <c r="AR475" i="1"/>
  <c r="AR918" i="1"/>
  <c r="AR972" i="1"/>
  <c r="AR763" i="1"/>
  <c r="AR618" i="1"/>
  <c r="AR124" i="1"/>
  <c r="AR809" i="1"/>
  <c r="AR998" i="1"/>
  <c r="AR498" i="1"/>
  <c r="AR766" i="1"/>
  <c r="AR656" i="1"/>
  <c r="AR705" i="1"/>
  <c r="AR315" i="1"/>
  <c r="AR1096" i="1"/>
  <c r="AR470" i="1"/>
  <c r="AR510" i="1"/>
  <c r="AR981" i="1"/>
  <c r="AR452" i="1"/>
  <c r="AR825" i="1"/>
  <c r="AR921" i="1"/>
  <c r="AR383" i="1"/>
  <c r="AR1089" i="1"/>
  <c r="AR511" i="1"/>
  <c r="AR338" i="1"/>
  <c r="AR678" i="1"/>
  <c r="AR946" i="1"/>
  <c r="AR759" i="1"/>
  <c r="AR538" i="1"/>
  <c r="AR671" i="1"/>
  <c r="AR662" i="1"/>
  <c r="AR537" i="1"/>
  <c r="AR404" i="1"/>
  <c r="AR432" i="1"/>
  <c r="AR151" i="1"/>
  <c r="AR427" i="1"/>
  <c r="AR983" i="1"/>
  <c r="AR56" i="1"/>
  <c r="AR442" i="1"/>
  <c r="AR494" i="1"/>
  <c r="AR375" i="1"/>
  <c r="AR465" i="1"/>
  <c r="AR419" i="1"/>
  <c r="AR989" i="1"/>
  <c r="AR203" i="1"/>
  <c r="AR428" i="1"/>
  <c r="AR917" i="1"/>
  <c r="AR855" i="1"/>
  <c r="AR447" i="1"/>
  <c r="AR453" i="1"/>
  <c r="AR192" i="1"/>
  <c r="AR281" i="1"/>
  <c r="AR627" i="1"/>
  <c r="AR571" i="1"/>
  <c r="AR892" i="1"/>
  <c r="AR528" i="1"/>
  <c r="AR422" i="1"/>
  <c r="AR325" i="1"/>
  <c r="AR1026" i="1"/>
  <c r="AR457" i="1"/>
  <c r="AR398" i="1"/>
  <c r="AR693" i="1"/>
  <c r="AR689" i="1"/>
  <c r="AR395" i="1"/>
  <c r="AR749" i="1"/>
  <c r="AR1112" i="1"/>
  <c r="AR140" i="1"/>
  <c r="AR445" i="1"/>
  <c r="AR312" i="1"/>
  <c r="AR84" i="1"/>
  <c r="AR1095" i="1"/>
  <c r="AR72" i="1"/>
  <c r="AR134" i="1"/>
  <c r="AR323" i="1"/>
  <c r="AR75" i="1"/>
  <c r="AR526" i="1"/>
  <c r="AR466" i="1"/>
  <c r="AR985" i="1"/>
  <c r="AR118" i="1"/>
  <c r="AR142" i="1"/>
  <c r="AR881" i="1"/>
  <c r="AR1094" i="1"/>
  <c r="AR924" i="1"/>
  <c r="AR437" i="1"/>
  <c r="AR847" i="1"/>
  <c r="AR962" i="1"/>
  <c r="AR477" i="1"/>
  <c r="AR399" i="1"/>
  <c r="AR410" i="1"/>
  <c r="AR1022" i="1"/>
  <c r="AR1085" i="1"/>
  <c r="AR652" i="1"/>
  <c r="AR217" i="1"/>
  <c r="AR698" i="1"/>
  <c r="AR444" i="1"/>
  <c r="AR580" i="1"/>
  <c r="AR320" i="1"/>
  <c r="AR976" i="1"/>
  <c r="AR1065" i="1"/>
  <c r="AR499" i="1"/>
  <c r="AR153" i="1"/>
  <c r="AR280" i="1"/>
  <c r="AR1066" i="1"/>
  <c r="AR956" i="1"/>
  <c r="AR451" i="1"/>
  <c r="AR756" i="1"/>
  <c r="AR560" i="1"/>
  <c r="AR601" i="1"/>
  <c r="AR846" i="1"/>
  <c r="AR931" i="1"/>
  <c r="AR545" i="1"/>
  <c r="AR922" i="1"/>
  <c r="AR346" i="1"/>
  <c r="AR726" i="1"/>
  <c r="AR609" i="1"/>
  <c r="AR651" i="1"/>
  <c r="AR826" i="1"/>
  <c r="AR515" i="1"/>
  <c r="AR899" i="1"/>
  <c r="AR608" i="1"/>
  <c r="AR9" i="1"/>
  <c r="AR925" i="1"/>
  <c r="AR306" i="1"/>
  <c r="AR400" i="1"/>
  <c r="AR624" i="1"/>
  <c r="AR505" i="1"/>
  <c r="AR162" i="1"/>
  <c r="AR1038" i="1"/>
  <c r="AR1019" i="1"/>
  <c r="AR196" i="1"/>
  <c r="AR501" i="1"/>
  <c r="AR632" i="1"/>
  <c r="AR1088" i="1"/>
  <c r="AR92" i="1"/>
  <c r="AR506" i="1"/>
  <c r="AR668" i="1"/>
  <c r="AR835" i="1"/>
  <c r="AR249" i="1"/>
  <c r="AR483" i="1"/>
  <c r="AR839" i="1"/>
  <c r="AR199" i="1"/>
  <c r="AR127" i="1"/>
  <c r="AR517" i="1"/>
  <c r="AR1082" i="1"/>
  <c r="AR617" i="1"/>
  <c r="AR222" i="1"/>
  <c r="AR175" i="1"/>
  <c r="AR878" i="1"/>
  <c r="AR408" i="1"/>
  <c r="AR757" i="1"/>
  <c r="AR869" i="1"/>
  <c r="AR282" i="1"/>
  <c r="AR701" i="1"/>
  <c r="AR619" i="1"/>
  <c r="AR807" i="1"/>
  <c r="AR354" i="1"/>
  <c r="AR570" i="1"/>
  <c r="AR541" i="1"/>
  <c r="AR236" i="1"/>
  <c r="AR139" i="1"/>
  <c r="AR448" i="1"/>
  <c r="AR418" i="1"/>
  <c r="AR60" i="1"/>
  <c r="AR777" i="1"/>
  <c r="AR109" i="1"/>
  <c r="AR438" i="1"/>
  <c r="AR41" i="1"/>
  <c r="AR479" i="1"/>
  <c r="AR463" i="1"/>
  <c r="AR670" i="1"/>
  <c r="AR136" i="1"/>
  <c r="AR1013" i="1"/>
  <c r="AR536" i="1"/>
  <c r="AR696" i="1"/>
  <c r="AR1037" i="1"/>
  <c r="AR625" i="1"/>
  <c r="AR821" i="1"/>
  <c r="AR190" i="1"/>
  <c r="AR845" i="1"/>
  <c r="AR491" i="1"/>
  <c r="AR714" i="1"/>
  <c r="AR968" i="1"/>
  <c r="AR552" i="1"/>
  <c r="AR324" i="1"/>
  <c r="AR567" i="1"/>
  <c r="AR66" i="1"/>
  <c r="AR887" i="1"/>
  <c r="AR339" i="1"/>
  <c r="AR3" i="1"/>
  <c r="AR70" i="1"/>
  <c r="AR81" i="1"/>
  <c r="AR1086" i="1"/>
  <c r="AR1049" i="1"/>
  <c r="AR1084" i="1"/>
  <c r="AR137" i="1"/>
  <c r="AR902" i="1"/>
  <c r="AR446" i="1"/>
  <c r="AR79" i="1"/>
  <c r="AR321" i="1"/>
  <c r="AR35" i="1"/>
  <c r="AR960" i="1"/>
  <c r="AR841" i="1"/>
  <c r="AR78" i="1"/>
  <c r="AR113" i="1"/>
  <c r="AR912" i="1"/>
  <c r="AR633" i="1"/>
  <c r="AR982" i="1"/>
  <c r="AR848" i="1"/>
  <c r="AR484" i="1"/>
  <c r="AR441" i="1"/>
  <c r="AR1093" i="1"/>
  <c r="AR614" i="1"/>
  <c r="AR165" i="1"/>
  <c r="AR38" i="1"/>
  <c r="AR521" i="1"/>
  <c r="AR1076" i="1"/>
  <c r="AR474" i="1"/>
  <c r="AR572" i="1"/>
  <c r="AR450" i="1"/>
  <c r="AR514" i="1"/>
  <c r="AR122" i="1"/>
  <c r="AR588" i="1"/>
  <c r="AR152" i="1"/>
  <c r="AR33" i="1"/>
  <c r="AR462" i="1"/>
  <c r="AR1078" i="1"/>
  <c r="AR119" i="1"/>
  <c r="AR423" i="1"/>
  <c r="AR865" i="1"/>
  <c r="AR904" i="1"/>
  <c r="AR369" i="1"/>
  <c r="AR596" i="1"/>
  <c r="AR961" i="1"/>
  <c r="AR77" i="1"/>
  <c r="AR1007" i="1"/>
  <c r="AR478" i="1"/>
  <c r="AR143" i="1"/>
  <c r="AR381" i="1"/>
  <c r="AR420" i="1"/>
  <c r="AR929" i="1"/>
  <c r="AR529" i="1"/>
  <c r="AR147" i="1"/>
  <c r="AR335" i="1"/>
  <c r="AR289" i="1"/>
  <c r="AR935" i="1"/>
  <c r="AR690" i="1"/>
  <c r="AR31" i="1"/>
  <c r="AR411" i="1"/>
  <c r="AR489" i="1"/>
  <c r="AR409" i="1"/>
  <c r="AR80" i="1"/>
  <c r="AR980" i="1"/>
  <c r="AR575" i="1"/>
  <c r="AR125" i="1"/>
  <c r="AR386" i="1"/>
  <c r="AR94" i="1"/>
  <c r="AR1028" i="1"/>
  <c r="AR762" i="1"/>
  <c r="AR429" i="1"/>
  <c r="AR467" i="1"/>
  <c r="AR518" i="1"/>
  <c r="AR1006" i="1"/>
  <c r="AR353" i="1"/>
  <c r="AR719" i="1"/>
  <c r="AR928" i="1"/>
  <c r="AR416" i="1"/>
  <c r="AR458" i="1"/>
  <c r="AR778" i="1"/>
  <c r="AR166" i="1"/>
  <c r="AR557" i="1"/>
  <c r="AR634" i="1"/>
  <c r="AR21" i="1"/>
  <c r="AR216" i="1"/>
  <c r="AR468" i="1"/>
  <c r="AR492" i="1"/>
  <c r="AR707" i="1"/>
  <c r="AR47" i="1"/>
  <c r="AR86" i="1"/>
  <c r="AR156" i="1"/>
  <c r="AR620" i="1"/>
  <c r="AR430" i="1"/>
  <c r="AR44" i="1"/>
  <c r="AR55" i="1"/>
  <c r="AR738" i="1"/>
  <c r="AR247" i="1"/>
  <c r="AR876" i="1"/>
  <c r="AR366" i="1"/>
  <c r="AR828" i="1"/>
  <c r="AR392" i="1"/>
  <c r="AR205" i="1"/>
  <c r="AR939" i="1"/>
  <c r="AR218" i="1"/>
  <c r="AR440" i="1"/>
  <c r="AR114" i="1"/>
  <c r="AR473" i="1"/>
  <c r="AR780" i="1"/>
  <c r="AR785" i="1"/>
  <c r="AR744" i="1"/>
  <c r="AR310" i="1"/>
  <c r="AR145" i="1"/>
  <c r="AR123" i="1"/>
  <c r="AR7" i="1"/>
  <c r="AR63" i="1"/>
  <c r="AR750" i="1"/>
  <c r="AR65" i="1"/>
  <c r="AR594" i="1"/>
  <c r="AR883" i="1"/>
  <c r="AR655" i="1"/>
  <c r="AR32" i="1"/>
  <c r="AR574" i="1"/>
  <c r="AR1014" i="1"/>
  <c r="AR631" i="1"/>
  <c r="AR842" i="1"/>
  <c r="AR24" i="1"/>
  <c r="AR566" i="1"/>
  <c r="AR314" i="1"/>
  <c r="AR937" i="1"/>
  <c r="AR148" i="1"/>
  <c r="AR900" i="1"/>
  <c r="AR57" i="1"/>
  <c r="AR635" i="1"/>
  <c r="AR131" i="1"/>
  <c r="AR760" i="1"/>
  <c r="AR914" i="1"/>
  <c r="AR583" i="1"/>
  <c r="AR945" i="1"/>
  <c r="AR120" i="1"/>
  <c r="AR144" i="1"/>
  <c r="AR795" i="1"/>
  <c r="AR19" i="1"/>
  <c r="AR669" i="1"/>
  <c r="AR480" i="1"/>
  <c r="AR476" i="1"/>
  <c r="AR348" i="1"/>
  <c r="AR746" i="1"/>
  <c r="AR801" i="1"/>
  <c r="AR836" i="1"/>
  <c r="AR283" i="1"/>
  <c r="AR270" i="1"/>
  <c r="AR128" i="1"/>
  <c r="AR520" i="1"/>
  <c r="AR598" i="1"/>
  <c r="AR328" i="1"/>
  <c r="AR287" i="1"/>
  <c r="AR771" i="1"/>
  <c r="AR774" i="1"/>
  <c r="AR334" i="1"/>
  <c r="AR872" i="1"/>
  <c r="AR573" i="1"/>
  <c r="AR198" i="1"/>
  <c r="AR773" i="1"/>
  <c r="AR871" i="1"/>
  <c r="AR649" i="1"/>
  <c r="AR268" i="1"/>
  <c r="AR110" i="1"/>
  <c r="AR377" i="1"/>
  <c r="AR263" i="1"/>
  <c r="AR802" i="1"/>
  <c r="AR673" i="1"/>
  <c r="AR857" i="1"/>
  <c r="AR242" i="1"/>
  <c r="AR769" i="1"/>
  <c r="AR954" i="1"/>
  <c r="AR213" i="1"/>
  <c r="AR305" i="1"/>
  <c r="AR1016" i="1"/>
  <c r="AR1063" i="1"/>
  <c r="AR692" i="1"/>
  <c r="AR894" i="1"/>
  <c r="AR531" i="1"/>
  <c r="AR103" i="1"/>
  <c r="AR642" i="1"/>
  <c r="AR1092" i="1"/>
  <c r="AR1097" i="1"/>
  <c r="AR380" i="1"/>
  <c r="AR973" i="1"/>
  <c r="AR675" i="1"/>
  <c r="AR951" i="1"/>
  <c r="AR1000" i="1"/>
  <c r="AR516" i="1"/>
  <c r="AR105" i="1"/>
  <c r="AR158" i="1"/>
  <c r="AR591" i="1"/>
  <c r="AR108" i="1"/>
  <c r="AR342" i="1"/>
  <c r="AR272" i="1"/>
  <c r="AR657" i="1"/>
  <c r="AR71" i="1"/>
  <c r="AR911" i="1"/>
  <c r="AR238" i="1"/>
  <c r="AR296" i="1"/>
  <c r="AR389" i="1"/>
  <c r="AR251" i="1"/>
  <c r="AR91" i="1"/>
  <c r="AR747" i="1"/>
  <c r="AR265" i="1"/>
  <c r="AR748" i="1"/>
  <c r="AR791" i="1"/>
  <c r="AR509" i="1"/>
  <c r="AR875" i="1"/>
  <c r="AR64" i="1"/>
  <c r="AR274" i="1"/>
  <c r="AR264" i="1"/>
  <c r="AR647" i="1"/>
  <c r="AR240" i="1"/>
  <c r="AR298" i="1"/>
  <c r="AR1060" i="1"/>
  <c r="AR582" i="1"/>
  <c r="AR736" i="1"/>
  <c r="AR710" i="1"/>
  <c r="AR644" i="1"/>
  <c r="AR893" i="1"/>
  <c r="AR302" i="1"/>
  <c r="AR659" i="1"/>
  <c r="AR799" i="1"/>
  <c r="AR860" i="1"/>
  <c r="AR295" i="1"/>
  <c r="AR53" i="1"/>
  <c r="AR215" i="1"/>
  <c r="AR550" i="1"/>
  <c r="AR1051" i="1"/>
  <c r="AR290" i="1"/>
  <c r="AR292" i="1"/>
  <c r="AR237" i="1"/>
  <c r="AR643" i="1"/>
  <c r="AR1046" i="1"/>
  <c r="AR589" i="1"/>
  <c r="AR454" i="1"/>
  <c r="AR1090" i="1"/>
  <c r="AR460" i="1"/>
  <c r="AR202" i="1"/>
  <c r="AR487" i="1"/>
  <c r="AR27" i="1"/>
  <c r="AR503" i="1"/>
  <c r="AR629" i="1"/>
  <c r="AR711" i="1"/>
  <c r="AR682" i="1"/>
  <c r="AR297" i="1"/>
  <c r="AR593" i="1"/>
  <c r="AR294" i="1"/>
  <c r="AR1055" i="1"/>
  <c r="AR650" i="1"/>
  <c r="AR559" i="1"/>
  <c r="AR482" i="1"/>
  <c r="AR880" i="1"/>
  <c r="AR318" i="1"/>
  <c r="AR963" i="1"/>
  <c r="AR885" i="1"/>
  <c r="AR833" i="1"/>
  <c r="AR365" i="1"/>
  <c r="AR986" i="1"/>
  <c r="AR1067" i="1"/>
  <c r="AR254" i="1"/>
  <c r="AR1017" i="1"/>
  <c r="AR607" i="1"/>
  <c r="AR271" i="1"/>
  <c r="AR844" i="1"/>
  <c r="AR1107" i="1"/>
  <c r="AR308" i="1"/>
  <c r="AR910" i="1"/>
  <c r="AR527" i="1"/>
  <c r="AR792" i="1"/>
  <c r="AR621" i="1"/>
  <c r="AR303" i="1"/>
  <c r="AR52" i="1"/>
  <c r="AR507" i="1"/>
  <c r="AR677" i="1"/>
  <c r="AR1069" i="1"/>
  <c r="AR1001" i="1"/>
  <c r="AR1115" i="1"/>
  <c r="AR95" i="1"/>
  <c r="AR837" i="1"/>
  <c r="AR519" i="1"/>
  <c r="AR905" i="1"/>
  <c r="AR616" i="1"/>
  <c r="AR843" i="1"/>
  <c r="AR1042" i="1"/>
  <c r="AR991" i="1"/>
  <c r="AR316" i="1"/>
  <c r="AR997" i="1"/>
  <c r="AR758" i="1"/>
  <c r="AR863" i="1"/>
  <c r="AR1048" i="1"/>
  <c r="AR934" i="1"/>
  <c r="AR304" i="1"/>
  <c r="AR733" i="1"/>
  <c r="AR866" i="1"/>
  <c r="AR227" i="1"/>
  <c r="AR14" i="1"/>
  <c r="AR522" i="1"/>
  <c r="AR343" i="1"/>
  <c r="AR96" i="1"/>
  <c r="AR97" i="1"/>
  <c r="AR549" i="1"/>
  <c r="AR932" i="1"/>
  <c r="AR469" i="1"/>
  <c r="AR1032" i="1"/>
  <c r="AR336" i="1"/>
  <c r="AR1008" i="1"/>
  <c r="AR68" i="1"/>
  <c r="AR443" i="1"/>
  <c r="AR764" i="1"/>
  <c r="AR439" i="1"/>
  <c r="AR396" i="1"/>
  <c r="AR89" i="1"/>
  <c r="AR665" i="1"/>
  <c r="AR436" i="1"/>
  <c r="AR277" i="1"/>
  <c r="AR532" i="1"/>
  <c r="AR794" i="1"/>
  <c r="AR1004" i="1"/>
  <c r="AR1041" i="1"/>
  <c r="AR978" i="1"/>
  <c r="AR154" i="1"/>
  <c r="AR307" i="1"/>
  <c r="AR493" i="1"/>
  <c r="AR160" i="1"/>
  <c r="AR284" i="1"/>
  <c r="AR949" i="1"/>
  <c r="AR535" i="1"/>
  <c r="AR10" i="1"/>
  <c r="AR355" i="1"/>
  <c r="AR967" i="1"/>
  <c r="AR362" i="1"/>
  <c r="AR164" i="1"/>
  <c r="AR1070" i="1"/>
  <c r="AR252" i="1"/>
  <c r="AR908" i="1"/>
  <c r="AR943" i="1"/>
  <c r="AR971" i="1"/>
  <c r="AR172" i="1"/>
  <c r="AR13" i="1"/>
  <c r="AR333" i="1"/>
  <c r="AR133" i="1"/>
  <c r="AR300" i="1"/>
  <c r="AR15" i="1"/>
  <c r="AR1109" i="1"/>
  <c r="AR916" i="1"/>
  <c r="AR259" i="1"/>
  <c r="AR576" i="1"/>
  <c r="AR490" i="1"/>
  <c r="AR459" i="1"/>
  <c r="AR8" i="1"/>
  <c r="AR121" i="1"/>
  <c r="AR273" i="1"/>
  <c r="AR179" i="1"/>
  <c r="AR938" i="1"/>
  <c r="AR713" i="1"/>
  <c r="AR873" i="1"/>
  <c r="AR888" i="1"/>
  <c r="AR606" i="1"/>
  <c r="AR11" i="1"/>
  <c r="AR185" i="1"/>
  <c r="AR258" i="1"/>
  <c r="AR384" i="1"/>
  <c r="AR539" i="1"/>
  <c r="AR20" i="1"/>
  <c r="AR388" i="1"/>
  <c r="AR999" i="1"/>
  <c r="AR107" i="1"/>
  <c r="AR197" i="1"/>
  <c r="AR234" i="1"/>
  <c r="AR1034" i="1"/>
  <c r="AR155" i="1"/>
  <c r="AR661" i="1"/>
  <c r="AR30" i="1"/>
  <c r="AR149" i="1"/>
  <c r="AR257" i="1"/>
  <c r="AR26" i="1"/>
  <c r="AR581" i="1"/>
  <c r="AR327" i="1"/>
  <c r="AR745" i="1"/>
  <c r="AR464" i="1"/>
  <c r="AR85" i="1"/>
  <c r="AR834" i="1"/>
  <c r="AR138" i="1"/>
  <c r="AR551" i="1"/>
  <c r="AR964" i="1"/>
  <c r="AR188" i="1"/>
  <c r="AR288" i="1"/>
  <c r="AR1033" i="1"/>
  <c r="AR481" i="1"/>
  <c r="AR666" i="1"/>
  <c r="AR638" i="1"/>
  <c r="AR768" i="1"/>
  <c r="AR182" i="1"/>
  <c r="AR879" i="1"/>
  <c r="AR278" i="1"/>
  <c r="AR958" i="1"/>
  <c r="AR186" i="1"/>
  <c r="AR275" i="1"/>
  <c r="AR1083" i="1"/>
  <c r="AR486" i="1"/>
  <c r="AR4" i="1"/>
  <c r="AR1020" i="1"/>
  <c r="AR180" i="1"/>
  <c r="AR546" i="1"/>
  <c r="AR116" i="1"/>
  <c r="AR17" i="1"/>
  <c r="AR1116" i="1"/>
  <c r="AR1010" i="1"/>
  <c r="AR370" i="1"/>
  <c r="AR106" i="1"/>
  <c r="AR329" i="1"/>
  <c r="AR553" i="1"/>
  <c r="AR262" i="1"/>
  <c r="AR497" i="1"/>
  <c r="AR903" i="1"/>
  <c r="AR414" i="1"/>
  <c r="AR1023" i="1"/>
  <c r="AR51" i="1"/>
  <c r="AR266" i="1"/>
  <c r="AR599" i="1"/>
  <c r="AR244" i="1"/>
  <c r="AR279" i="1"/>
  <c r="AR920" i="1"/>
  <c r="AR1110" i="1"/>
  <c r="AR159" i="1"/>
  <c r="AR988" i="1"/>
  <c r="AR891" i="1"/>
  <c r="AR461" i="1"/>
  <c r="AR495" i="1"/>
  <c r="AR43" i="1"/>
  <c r="AR923" i="1"/>
  <c r="AR293" i="1"/>
  <c r="AR1072" i="1"/>
  <c r="AR708" i="1"/>
  <c r="AR979" i="1"/>
  <c r="AR930" i="1"/>
  <c r="AR359" i="1"/>
  <c r="AR611" i="1"/>
  <c r="AR496" i="1"/>
  <c r="AR561" i="1"/>
  <c r="AR326" i="1"/>
  <c r="AR88" i="1"/>
  <c r="AR712" i="1"/>
  <c r="AR401" i="1"/>
  <c r="AR46" i="1"/>
  <c r="AR181" i="1"/>
  <c r="AR731" i="1"/>
  <c r="AR851" i="1"/>
  <c r="AR177" i="1"/>
  <c r="AR512" i="1"/>
  <c r="AR703" i="1"/>
  <c r="AR49" i="1"/>
  <c r="AR37" i="1"/>
  <c r="AR36" i="1"/>
  <c r="AR424" i="1"/>
  <c r="AR803" i="1"/>
  <c r="AR630" i="1"/>
  <c r="AR435" i="1"/>
  <c r="AR135" i="1"/>
  <c r="AR613" i="1"/>
  <c r="AR351" i="1"/>
  <c r="AR393" i="1"/>
  <c r="AR1079" i="1"/>
  <c r="AR83" i="1"/>
  <c r="AR74" i="1"/>
  <c r="AR200" i="1"/>
  <c r="AR261" i="1"/>
  <c r="AR816" i="1"/>
  <c r="AR112" i="1"/>
  <c r="AR301" i="1"/>
  <c r="AR29" i="1"/>
  <c r="AR387" i="1"/>
  <c r="AR209" i="1"/>
  <c r="AR248" i="1"/>
  <c r="AR814" i="1"/>
  <c r="AR111" i="1"/>
  <c r="AR895" i="1"/>
  <c r="AR347" i="1"/>
  <c r="AR805" i="1"/>
  <c r="AR1077" i="1"/>
  <c r="AR723" i="1"/>
  <c r="AR787" i="1"/>
  <c r="AR941" i="1"/>
  <c r="AR722" i="1"/>
  <c r="AR1018" i="1"/>
  <c r="AR776" i="1"/>
  <c r="AR1075" i="1"/>
  <c r="AR100" i="1"/>
  <c r="AR779" i="1"/>
  <c r="AR373" i="1"/>
  <c r="AR98" i="1"/>
  <c r="AR132" i="1"/>
  <c r="AR219" i="1"/>
  <c r="AR194" i="1"/>
  <c r="AR210" i="1"/>
  <c r="AR231" i="1"/>
  <c r="AR681" i="1"/>
  <c r="AR728" i="1"/>
  <c r="AR554" i="1"/>
  <c r="AR82" i="1"/>
  <c r="AR371" i="1"/>
  <c r="AR229" i="1"/>
  <c r="AR456" i="1"/>
  <c r="AR977" i="1"/>
  <c r="AR341" i="1"/>
  <c r="AR421" i="1"/>
  <c r="AR397" i="1"/>
  <c r="AR364" i="1"/>
  <c r="AR228" i="1"/>
  <c r="AR915" i="1"/>
  <c r="AR407" i="1"/>
  <c r="AR171" i="1"/>
  <c r="AR697" i="1"/>
  <c r="AR691" i="1"/>
  <c r="AR206" i="1"/>
  <c r="AR230" i="1"/>
  <c r="AR767" i="1"/>
  <c r="AR276" i="1"/>
  <c r="AR150" i="1"/>
  <c r="AR699" i="1"/>
  <c r="AR260" i="1"/>
  <c r="AR76" i="1"/>
  <c r="AR718" i="1"/>
  <c r="AR796" i="1"/>
  <c r="AR942" i="1"/>
  <c r="AR372" i="1"/>
  <c r="AR684" i="1"/>
  <c r="AR433" i="1"/>
  <c r="AR813" i="1"/>
  <c r="AR508" i="1"/>
  <c r="AR146" i="1"/>
  <c r="AR1117" i="1"/>
  <c r="AR350" i="1"/>
  <c r="AR313" i="1"/>
  <c r="AR193" i="1"/>
  <c r="AR1071" i="1"/>
  <c r="AR225" i="1"/>
  <c r="AR658" i="1"/>
  <c r="AR214" i="1"/>
  <c r="AR374" i="1"/>
  <c r="AR226" i="1"/>
  <c r="AR782" i="1"/>
  <c r="AR406" i="1"/>
  <c r="AR965" i="1"/>
  <c r="AR12" i="1"/>
  <c r="AR753" i="1"/>
  <c r="AR641" i="1"/>
  <c r="AR391" i="1"/>
  <c r="AR727" i="1"/>
  <c r="AR640" i="1"/>
  <c r="AR815" i="1"/>
  <c r="AR752" i="1"/>
  <c r="AR1087" i="1"/>
  <c r="AR783" i="1"/>
  <c r="AR717" i="1"/>
  <c r="AR161" i="1"/>
  <c r="AR919" i="1"/>
  <c r="AR243" i="1"/>
  <c r="AR798" i="1"/>
  <c r="AR367" i="1"/>
  <c r="AR664" i="1"/>
  <c r="AR212" i="1"/>
  <c r="AR331" i="1"/>
  <c r="AR819" i="1"/>
  <c r="AR948" i="1"/>
  <c r="AR67" i="1"/>
  <c r="AR382" i="1"/>
  <c r="AR357" i="1"/>
  <c r="AR720" i="1"/>
  <c r="AR729" i="1"/>
  <c r="AR34" i="1"/>
  <c r="AR330" i="1"/>
  <c r="AR45" i="1"/>
  <c r="AR223" i="1"/>
  <c r="AR800" i="1"/>
  <c r="AR824" i="1"/>
  <c r="AR195" i="1"/>
  <c r="AR897" i="1"/>
  <c r="AR525" i="1"/>
  <c r="AR1101" i="1"/>
  <c r="AR1035" i="1"/>
  <c r="AR211" i="1"/>
  <c r="AR169" i="1"/>
  <c r="AR1098" i="1"/>
  <c r="AR772" i="1"/>
  <c r="AR1080" i="1"/>
  <c r="AR201" i="1"/>
  <c r="AR534" i="1"/>
  <c r="AR1003" i="1"/>
  <c r="AR285" i="1"/>
  <c r="AR602" i="1"/>
  <c r="AR933" i="1"/>
  <c r="AR1009" i="1"/>
  <c r="AR615" i="1"/>
  <c r="AR426" i="1"/>
  <c r="AR906" i="1"/>
  <c r="AR332" i="1"/>
  <c r="AR547" i="1"/>
  <c r="AR1029" i="1"/>
  <c r="AR1073" i="1"/>
  <c r="AR117" i="1"/>
  <c r="AR168" i="1"/>
  <c r="AR349" i="1"/>
  <c r="AR344" i="1"/>
  <c r="AR688" i="1"/>
  <c r="AR250" i="1"/>
  <c r="AR861" i="1"/>
  <c r="AR5" i="1"/>
  <c r="AR157" i="1"/>
  <c r="AR648" i="1"/>
  <c r="AR187" i="1"/>
  <c r="AR996" i="1"/>
  <c r="AR1045" i="1"/>
  <c r="AR170" i="1"/>
  <c r="AR358" i="1"/>
  <c r="AR413" i="1"/>
  <c r="AR18" i="1"/>
  <c r="AR852" i="1"/>
  <c r="AR471" i="1"/>
  <c r="AR189" i="1"/>
  <c r="AR590" i="1"/>
  <c r="AR734" i="1"/>
  <c r="AR267" i="1"/>
  <c r="AR556" i="1"/>
  <c r="AR896" i="1"/>
  <c r="AR93" i="1"/>
  <c r="AR975" i="1"/>
  <c r="AR402" i="1"/>
  <c r="AR235" i="1"/>
  <c r="AR1047" i="1"/>
  <c r="AR898" i="1"/>
  <c r="AR715" i="1"/>
  <c r="AR742" i="1"/>
  <c r="AR966" i="1"/>
  <c r="AR87" i="1"/>
  <c r="AR99" i="1"/>
  <c r="AR309" i="1"/>
  <c r="AR687" i="1"/>
  <c r="AR141" i="1"/>
  <c r="AR950" i="1"/>
  <c r="AR405" i="1"/>
  <c r="AR622" i="1"/>
  <c r="AR543" i="1"/>
  <c r="AR812" i="1"/>
  <c r="AR645" i="1"/>
  <c r="AR808" i="1"/>
  <c r="AR311" i="1"/>
  <c r="AR163" i="1"/>
  <c r="AR363" i="1"/>
  <c r="AR804" i="1"/>
  <c r="AR176" i="1"/>
  <c r="AR417" i="1"/>
  <c r="AR204" i="1"/>
  <c r="AR232" i="1"/>
  <c r="AR220" i="1"/>
  <c r="AR623" i="1"/>
  <c r="AR926" i="1"/>
  <c r="AR685" i="1"/>
  <c r="AR6" i="1"/>
  <c r="AR184" i="1"/>
  <c r="AR54" i="1"/>
  <c r="AR173" i="1"/>
  <c r="AR523" i="1"/>
  <c r="AR1081" i="1"/>
  <c r="AR390" i="1"/>
  <c r="AR48" i="1"/>
  <c r="AR61" i="1"/>
  <c r="AR730" i="1"/>
  <c r="AR42" i="1"/>
  <c r="AR1044" i="1"/>
  <c r="AR530" i="1"/>
  <c r="AR612" i="1"/>
  <c r="AR233" i="1"/>
  <c r="AR751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R590" i="1"/>
  <c r="S590" i="1"/>
  <c r="T590" i="1"/>
  <c r="U590" i="1"/>
  <c r="V590" i="1"/>
  <c r="W590" i="1"/>
  <c r="X590" i="1"/>
  <c r="Y590" i="1"/>
  <c r="Z590" i="1"/>
  <c r="AA590" i="1"/>
  <c r="AB590" i="1"/>
  <c r="AC590" i="1"/>
  <c r="R703" i="1"/>
  <c r="S703" i="1"/>
  <c r="T703" i="1"/>
  <c r="U703" i="1"/>
  <c r="V703" i="1"/>
  <c r="W703" i="1"/>
  <c r="X703" i="1"/>
  <c r="Y703" i="1"/>
  <c r="Z703" i="1"/>
  <c r="AA703" i="1"/>
  <c r="AB703" i="1"/>
  <c r="AC703" i="1"/>
  <c r="R512" i="1"/>
  <c r="S512" i="1"/>
  <c r="T512" i="1"/>
  <c r="U512" i="1"/>
  <c r="V512" i="1"/>
  <c r="W512" i="1"/>
  <c r="X512" i="1"/>
  <c r="Y512" i="1"/>
  <c r="Z512" i="1"/>
  <c r="AA512" i="1"/>
  <c r="AB512" i="1"/>
  <c r="AC512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R1044" i="1"/>
  <c r="S1044" i="1"/>
  <c r="T1044" i="1"/>
  <c r="U1044" i="1"/>
  <c r="V1044" i="1"/>
  <c r="W1044" i="1"/>
  <c r="X1044" i="1"/>
  <c r="Y1044" i="1"/>
  <c r="Z1044" i="1"/>
  <c r="AA1044" i="1"/>
  <c r="AB1044" i="1"/>
  <c r="AC1044" i="1"/>
  <c r="R893" i="1"/>
  <c r="S893" i="1"/>
  <c r="T893" i="1"/>
  <c r="U893" i="1"/>
  <c r="V893" i="1"/>
  <c r="W893" i="1"/>
  <c r="X893" i="1"/>
  <c r="Y893" i="1"/>
  <c r="Z893" i="1"/>
  <c r="AA893" i="1"/>
  <c r="AB893" i="1"/>
  <c r="AC893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R1096" i="1"/>
  <c r="S1096" i="1"/>
  <c r="T1096" i="1"/>
  <c r="U1096" i="1"/>
  <c r="V1096" i="1"/>
  <c r="W1096" i="1"/>
  <c r="X1096" i="1"/>
  <c r="Y1096" i="1"/>
  <c r="Z1096" i="1"/>
  <c r="AA1096" i="1"/>
  <c r="AB1096" i="1"/>
  <c r="AC1096" i="1"/>
  <c r="R715" i="1"/>
  <c r="S715" i="1"/>
  <c r="T715" i="1"/>
  <c r="U715" i="1"/>
  <c r="V715" i="1"/>
  <c r="W715" i="1"/>
  <c r="X715" i="1"/>
  <c r="Y715" i="1"/>
  <c r="Z715" i="1"/>
  <c r="AA715" i="1"/>
  <c r="AB715" i="1"/>
  <c r="AC715" i="1"/>
  <c r="R704" i="1"/>
  <c r="S704" i="1"/>
  <c r="T704" i="1"/>
  <c r="U704" i="1"/>
  <c r="V704" i="1"/>
  <c r="W704" i="1"/>
  <c r="X704" i="1"/>
  <c r="Y704" i="1"/>
  <c r="Z704" i="1"/>
  <c r="AA704" i="1"/>
  <c r="AB704" i="1"/>
  <c r="AC704" i="1"/>
  <c r="R966" i="1"/>
  <c r="S966" i="1"/>
  <c r="T966" i="1"/>
  <c r="U966" i="1"/>
  <c r="V966" i="1"/>
  <c r="W966" i="1"/>
  <c r="X966" i="1"/>
  <c r="Y966" i="1"/>
  <c r="Z966" i="1"/>
  <c r="AA966" i="1"/>
  <c r="AB966" i="1"/>
  <c r="AC966" i="1"/>
  <c r="R629" i="1"/>
  <c r="S629" i="1"/>
  <c r="T629" i="1"/>
  <c r="U629" i="1"/>
  <c r="V629" i="1"/>
  <c r="W629" i="1"/>
  <c r="X629" i="1"/>
  <c r="Y629" i="1"/>
  <c r="Z629" i="1"/>
  <c r="AA629" i="1"/>
  <c r="AB629" i="1"/>
  <c r="AC629" i="1"/>
  <c r="R705" i="1"/>
  <c r="S705" i="1"/>
  <c r="T705" i="1"/>
  <c r="U705" i="1"/>
  <c r="V705" i="1"/>
  <c r="W705" i="1"/>
  <c r="X705" i="1"/>
  <c r="Y705" i="1"/>
  <c r="Z705" i="1"/>
  <c r="AA705" i="1"/>
  <c r="AB705" i="1"/>
  <c r="AC705" i="1"/>
  <c r="R1097" i="1"/>
  <c r="S1097" i="1"/>
  <c r="T1097" i="1"/>
  <c r="U1097" i="1"/>
  <c r="V1097" i="1"/>
  <c r="W1097" i="1"/>
  <c r="X1097" i="1"/>
  <c r="Y1097" i="1"/>
  <c r="Z1097" i="1"/>
  <c r="AA1097" i="1"/>
  <c r="AB1097" i="1"/>
  <c r="AC1097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R656" i="1"/>
  <c r="S656" i="1"/>
  <c r="T656" i="1"/>
  <c r="U656" i="1"/>
  <c r="V656" i="1"/>
  <c r="W656" i="1"/>
  <c r="X656" i="1"/>
  <c r="Y656" i="1"/>
  <c r="Z656" i="1"/>
  <c r="AA656" i="1"/>
  <c r="AB656" i="1"/>
  <c r="AC656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R541" i="1"/>
  <c r="S541" i="1"/>
  <c r="T541" i="1"/>
  <c r="U541" i="1"/>
  <c r="V541" i="1"/>
  <c r="W541" i="1"/>
  <c r="X541" i="1"/>
  <c r="Y541" i="1"/>
  <c r="Z541" i="1"/>
  <c r="AA541" i="1"/>
  <c r="AB541" i="1"/>
  <c r="AC541" i="1"/>
  <c r="R559" i="1"/>
  <c r="S559" i="1"/>
  <c r="T559" i="1"/>
  <c r="U559" i="1"/>
  <c r="V559" i="1"/>
  <c r="W559" i="1"/>
  <c r="X559" i="1"/>
  <c r="Y559" i="1"/>
  <c r="Z559" i="1"/>
  <c r="AA559" i="1"/>
  <c r="AB559" i="1"/>
  <c r="AC559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R456" i="1"/>
  <c r="S456" i="1"/>
  <c r="T456" i="1"/>
  <c r="U456" i="1"/>
  <c r="V456" i="1"/>
  <c r="W456" i="1"/>
  <c r="X456" i="1"/>
  <c r="Y456" i="1"/>
  <c r="Z456" i="1"/>
  <c r="AA456" i="1"/>
  <c r="AB456" i="1"/>
  <c r="AC456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R804" i="1"/>
  <c r="S804" i="1"/>
  <c r="T804" i="1"/>
  <c r="U804" i="1"/>
  <c r="V804" i="1"/>
  <c r="W804" i="1"/>
  <c r="X804" i="1"/>
  <c r="Y804" i="1"/>
  <c r="Z804" i="1"/>
  <c r="AA804" i="1"/>
  <c r="AB804" i="1"/>
  <c r="AC804" i="1"/>
  <c r="R540" i="1"/>
  <c r="S540" i="1"/>
  <c r="T540" i="1"/>
  <c r="U540" i="1"/>
  <c r="V540" i="1"/>
  <c r="W540" i="1"/>
  <c r="X540" i="1"/>
  <c r="Y540" i="1"/>
  <c r="Z540" i="1"/>
  <c r="AA540" i="1"/>
  <c r="AB540" i="1"/>
  <c r="AC540" i="1"/>
  <c r="R964" i="1"/>
  <c r="S964" i="1"/>
  <c r="T964" i="1"/>
  <c r="U964" i="1"/>
  <c r="V964" i="1"/>
  <c r="W964" i="1"/>
  <c r="X964" i="1"/>
  <c r="Y964" i="1"/>
  <c r="Z964" i="1"/>
  <c r="AA964" i="1"/>
  <c r="AB964" i="1"/>
  <c r="AC964" i="1"/>
  <c r="R551" i="1"/>
  <c r="S551" i="1"/>
  <c r="T551" i="1"/>
  <c r="U551" i="1"/>
  <c r="V551" i="1"/>
  <c r="W551" i="1"/>
  <c r="X551" i="1"/>
  <c r="Y551" i="1"/>
  <c r="Z551" i="1"/>
  <c r="AA551" i="1"/>
  <c r="AB551" i="1"/>
  <c r="AC551" i="1"/>
  <c r="R509" i="1"/>
  <c r="S509" i="1"/>
  <c r="T509" i="1"/>
  <c r="U509" i="1"/>
  <c r="V509" i="1"/>
  <c r="W509" i="1"/>
  <c r="X509" i="1"/>
  <c r="Y509" i="1"/>
  <c r="Z509" i="1"/>
  <c r="AA509" i="1"/>
  <c r="AB509" i="1"/>
  <c r="AC509" i="1"/>
  <c r="R903" i="1"/>
  <c r="S903" i="1"/>
  <c r="T903" i="1"/>
  <c r="U903" i="1"/>
  <c r="V903" i="1"/>
  <c r="W903" i="1"/>
  <c r="X903" i="1"/>
  <c r="Y903" i="1"/>
  <c r="Z903" i="1"/>
  <c r="AA903" i="1"/>
  <c r="AB903" i="1"/>
  <c r="AC903" i="1"/>
  <c r="R10" i="1"/>
  <c r="S10" i="1"/>
  <c r="T10" i="1"/>
  <c r="U10" i="1"/>
  <c r="V10" i="1"/>
  <c r="W10" i="1"/>
  <c r="X10" i="1"/>
  <c r="Y10" i="1"/>
  <c r="Z10" i="1"/>
  <c r="AA10" i="1"/>
  <c r="AB10" i="1"/>
  <c r="AC10" i="1"/>
  <c r="R766" i="1"/>
  <c r="S766" i="1"/>
  <c r="T766" i="1"/>
  <c r="U766" i="1"/>
  <c r="V766" i="1"/>
  <c r="W766" i="1"/>
  <c r="X766" i="1"/>
  <c r="Y766" i="1"/>
  <c r="Z766" i="1"/>
  <c r="AA766" i="1"/>
  <c r="AB766" i="1"/>
  <c r="AC766" i="1"/>
  <c r="R1045" i="1"/>
  <c r="S1045" i="1"/>
  <c r="T1045" i="1"/>
  <c r="U1045" i="1"/>
  <c r="V1045" i="1"/>
  <c r="W1045" i="1"/>
  <c r="X1045" i="1"/>
  <c r="Y1045" i="1"/>
  <c r="Z1045" i="1"/>
  <c r="AA1045" i="1"/>
  <c r="AB1045" i="1"/>
  <c r="AC1045" i="1"/>
  <c r="AG1045" i="1"/>
  <c r="E1045" i="1"/>
  <c r="K1045" i="1"/>
  <c r="L1045" i="1"/>
  <c r="N1045" i="1"/>
  <c r="AF1045" i="1"/>
  <c r="AO1045" i="1"/>
  <c r="AQ1045" i="1"/>
  <c r="AG766" i="1"/>
  <c r="E766" i="1"/>
  <c r="K766" i="1"/>
  <c r="L766" i="1"/>
  <c r="N766" i="1"/>
  <c r="AF766" i="1"/>
  <c r="AO766" i="1"/>
  <c r="AQ766" i="1"/>
  <c r="AG903" i="1"/>
  <c r="AG10" i="1"/>
  <c r="E10" i="1"/>
  <c r="K10" i="1"/>
  <c r="L10" i="1"/>
  <c r="N10" i="1"/>
  <c r="AF10" i="1"/>
  <c r="AO10" i="1"/>
  <c r="AQ10" i="1"/>
  <c r="E903" i="1"/>
  <c r="K903" i="1"/>
  <c r="L903" i="1"/>
  <c r="N903" i="1"/>
  <c r="AF903" i="1"/>
  <c r="AO903" i="1"/>
  <c r="AQ903" i="1"/>
  <c r="AG509" i="1"/>
  <c r="E509" i="1"/>
  <c r="K509" i="1"/>
  <c r="L509" i="1"/>
  <c r="N509" i="1"/>
  <c r="AF509" i="1"/>
  <c r="AO509" i="1"/>
  <c r="AQ509" i="1"/>
  <c r="AG551" i="1"/>
  <c r="E551" i="1"/>
  <c r="K551" i="1"/>
  <c r="L551" i="1"/>
  <c r="N551" i="1"/>
  <c r="AF551" i="1"/>
  <c r="AO551" i="1"/>
  <c r="AQ551" i="1"/>
  <c r="AG964" i="1"/>
  <c r="E964" i="1"/>
  <c r="K964" i="1"/>
  <c r="L964" i="1"/>
  <c r="N964" i="1"/>
  <c r="AF964" i="1"/>
  <c r="AO964" i="1"/>
  <c r="AQ964" i="1"/>
  <c r="AG540" i="1"/>
  <c r="E540" i="1"/>
  <c r="K540" i="1"/>
  <c r="L540" i="1"/>
  <c r="N540" i="1"/>
  <c r="AF540" i="1"/>
  <c r="AO540" i="1"/>
  <c r="AQ540" i="1"/>
  <c r="AG804" i="1"/>
  <c r="E804" i="1"/>
  <c r="K804" i="1"/>
  <c r="L804" i="1"/>
  <c r="N804" i="1"/>
  <c r="AF804" i="1"/>
  <c r="AO804" i="1"/>
  <c r="AQ804" i="1"/>
  <c r="AG188" i="1"/>
  <c r="E188" i="1"/>
  <c r="K188" i="1"/>
  <c r="L188" i="1"/>
  <c r="N188" i="1"/>
  <c r="AF188" i="1"/>
  <c r="AO188" i="1"/>
  <c r="AQ188" i="1"/>
  <c r="AG456" i="1"/>
  <c r="E456" i="1"/>
  <c r="K456" i="1"/>
  <c r="L456" i="1"/>
  <c r="N456" i="1"/>
  <c r="AF456" i="1"/>
  <c r="AO456" i="1"/>
  <c r="AQ456" i="1"/>
  <c r="AG288" i="1"/>
  <c r="E288" i="1"/>
  <c r="K288" i="1"/>
  <c r="L288" i="1"/>
  <c r="N288" i="1"/>
  <c r="AF288" i="1"/>
  <c r="AO288" i="1"/>
  <c r="AQ288" i="1"/>
  <c r="AG559" i="1"/>
  <c r="E559" i="1"/>
  <c r="K559" i="1"/>
  <c r="L559" i="1"/>
  <c r="N559" i="1"/>
  <c r="AF559" i="1"/>
  <c r="AO559" i="1"/>
  <c r="AQ559" i="1"/>
  <c r="AG541" i="1"/>
  <c r="E541" i="1"/>
  <c r="K541" i="1"/>
  <c r="L541" i="1"/>
  <c r="N541" i="1"/>
  <c r="AF541" i="1"/>
  <c r="AO541" i="1"/>
  <c r="AQ541" i="1"/>
  <c r="AG177" i="1"/>
  <c r="E177" i="1"/>
  <c r="K177" i="1"/>
  <c r="L177" i="1"/>
  <c r="N177" i="1"/>
  <c r="AF177" i="1"/>
  <c r="AO177" i="1"/>
  <c r="AQ177" i="1"/>
  <c r="AG656" i="1"/>
  <c r="E656" i="1"/>
  <c r="K656" i="1"/>
  <c r="L656" i="1"/>
  <c r="N656" i="1"/>
  <c r="AF656" i="1"/>
  <c r="AO656" i="1"/>
  <c r="AQ656" i="1"/>
  <c r="AF966" i="1"/>
  <c r="AG966" i="1"/>
  <c r="AF629" i="1"/>
  <c r="AG629" i="1"/>
  <c r="AF705" i="1"/>
  <c r="AG705" i="1"/>
  <c r="AF1097" i="1"/>
  <c r="AG1097" i="1"/>
  <c r="AF222" i="1"/>
  <c r="AG222" i="1"/>
  <c r="E222" i="1"/>
  <c r="K222" i="1"/>
  <c r="L222" i="1"/>
  <c r="N222" i="1"/>
  <c r="AO222" i="1"/>
  <c r="AQ222" i="1"/>
  <c r="AQ705" i="1"/>
  <c r="AQ1097" i="1"/>
  <c r="AO705" i="1"/>
  <c r="AO1097" i="1"/>
  <c r="N1097" i="1"/>
  <c r="L1097" i="1"/>
  <c r="K1097" i="1"/>
  <c r="E1097" i="1"/>
  <c r="N705" i="1"/>
  <c r="L705" i="1"/>
  <c r="K705" i="1"/>
  <c r="E705" i="1"/>
  <c r="E629" i="1"/>
  <c r="K629" i="1"/>
  <c r="L629" i="1"/>
  <c r="N629" i="1"/>
  <c r="AO629" i="1"/>
  <c r="AQ629" i="1"/>
  <c r="AG704" i="1"/>
  <c r="E966" i="1"/>
  <c r="K966" i="1"/>
  <c r="L966" i="1"/>
  <c r="N966" i="1"/>
  <c r="AO966" i="1"/>
  <c r="AQ966" i="1"/>
  <c r="E704" i="1"/>
  <c r="K704" i="1"/>
  <c r="L704" i="1"/>
  <c r="N704" i="1"/>
  <c r="AF704" i="1"/>
  <c r="AO704" i="1"/>
  <c r="AQ704" i="1"/>
  <c r="AG715" i="1"/>
  <c r="E715" i="1"/>
  <c r="K715" i="1"/>
  <c r="L715" i="1"/>
  <c r="N715" i="1"/>
  <c r="AF715" i="1"/>
  <c r="AO715" i="1"/>
  <c r="AQ715" i="1"/>
  <c r="AG1096" i="1"/>
  <c r="E1096" i="1"/>
  <c r="K1096" i="1"/>
  <c r="L1096" i="1"/>
  <c r="N1096" i="1"/>
  <c r="AF1096" i="1"/>
  <c r="AO1096" i="1"/>
  <c r="AQ1096" i="1"/>
  <c r="AG187" i="1"/>
  <c r="E187" i="1"/>
  <c r="K187" i="1"/>
  <c r="L187" i="1"/>
  <c r="N187" i="1"/>
  <c r="AF187" i="1"/>
  <c r="AO187" i="1"/>
  <c r="AQ187" i="1"/>
  <c r="AG236" i="1"/>
  <c r="E236" i="1"/>
  <c r="K236" i="1"/>
  <c r="L236" i="1"/>
  <c r="N236" i="1"/>
  <c r="AF236" i="1"/>
  <c r="AO236" i="1"/>
  <c r="AQ236" i="1"/>
  <c r="AG893" i="1"/>
  <c r="E893" i="1"/>
  <c r="K893" i="1"/>
  <c r="L893" i="1"/>
  <c r="N893" i="1"/>
  <c r="AF893" i="1"/>
  <c r="AO893" i="1"/>
  <c r="AQ893" i="1"/>
  <c r="AG1044" i="1"/>
  <c r="E1044" i="1"/>
  <c r="K1044" i="1"/>
  <c r="L1044" i="1"/>
  <c r="N1044" i="1"/>
  <c r="AF1044" i="1"/>
  <c r="AO1044" i="1"/>
  <c r="AQ1044" i="1"/>
  <c r="AG214" i="1"/>
  <c r="E214" i="1"/>
  <c r="K214" i="1"/>
  <c r="L214" i="1"/>
  <c r="N214" i="1"/>
  <c r="AF214" i="1"/>
  <c r="AO214" i="1"/>
  <c r="AQ214" i="1"/>
  <c r="AG512" i="1"/>
  <c r="E512" i="1"/>
  <c r="K512" i="1"/>
  <c r="L512" i="1"/>
  <c r="N512" i="1"/>
  <c r="AF512" i="1"/>
  <c r="AO512" i="1"/>
  <c r="AQ512" i="1"/>
  <c r="AG703" i="1"/>
  <c r="E703" i="1"/>
  <c r="K703" i="1"/>
  <c r="L703" i="1"/>
  <c r="N703" i="1"/>
  <c r="AF703" i="1"/>
  <c r="AO703" i="1"/>
  <c r="AQ703" i="1"/>
  <c r="AG590" i="1"/>
  <c r="E590" i="1"/>
  <c r="K590" i="1"/>
  <c r="L590" i="1"/>
  <c r="N590" i="1"/>
  <c r="AF590" i="1"/>
  <c r="AO590" i="1"/>
  <c r="AQ590" i="1"/>
  <c r="AG213" i="1"/>
  <c r="E213" i="1"/>
  <c r="K213" i="1"/>
  <c r="L213" i="1"/>
  <c r="N213" i="1"/>
  <c r="AF213" i="1"/>
  <c r="AO213" i="1"/>
  <c r="AQ213" i="1"/>
  <c r="AG215" i="1"/>
  <c r="E215" i="1"/>
  <c r="K215" i="1"/>
  <c r="L215" i="1"/>
  <c r="N215" i="1"/>
  <c r="AF215" i="1"/>
  <c r="AO215" i="1"/>
  <c r="AQ215" i="1"/>
  <c r="AG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E170" i="1"/>
  <c r="K170" i="1"/>
  <c r="L170" i="1"/>
  <c r="N170" i="1"/>
  <c r="AF170" i="1"/>
  <c r="AO170" i="1"/>
  <c r="AQ170" i="1"/>
  <c r="AG305" i="1"/>
  <c r="AG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R305" i="1"/>
  <c r="S305" i="1"/>
  <c r="T305" i="1"/>
  <c r="U305" i="1"/>
  <c r="V305" i="1"/>
  <c r="W305" i="1"/>
  <c r="X305" i="1"/>
  <c r="Y305" i="1"/>
  <c r="Z305" i="1"/>
  <c r="AA305" i="1"/>
  <c r="AB305" i="1"/>
  <c r="AC305" i="1"/>
  <c r="E305" i="1"/>
  <c r="K305" i="1"/>
  <c r="L305" i="1"/>
  <c r="N305" i="1"/>
  <c r="AF305" i="1"/>
  <c r="AO305" i="1"/>
  <c r="AQ305" i="1"/>
  <c r="E175" i="1"/>
  <c r="K175" i="1"/>
  <c r="L175" i="1"/>
  <c r="N175" i="1"/>
  <c r="AF175" i="1"/>
  <c r="AO175" i="1"/>
  <c r="AQ175" i="1"/>
  <c r="AG470" i="1"/>
  <c r="AG49" i="1"/>
  <c r="AG139" i="1"/>
  <c r="R470" i="1"/>
  <c r="S470" i="1"/>
  <c r="T470" i="1"/>
  <c r="U470" i="1"/>
  <c r="V470" i="1"/>
  <c r="W470" i="1"/>
  <c r="X470" i="1"/>
  <c r="Y470" i="1"/>
  <c r="Z470" i="1"/>
  <c r="AA470" i="1"/>
  <c r="AB470" i="1"/>
  <c r="AC470" i="1"/>
  <c r="R49" i="1"/>
  <c r="S49" i="1"/>
  <c r="T49" i="1"/>
  <c r="U49" i="1"/>
  <c r="V49" i="1"/>
  <c r="W49" i="1"/>
  <c r="X49" i="1"/>
  <c r="Y49" i="1"/>
  <c r="Z49" i="1"/>
  <c r="AA49" i="1"/>
  <c r="AB49" i="1"/>
  <c r="AC4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E470" i="1"/>
  <c r="E49" i="1"/>
  <c r="E139" i="1"/>
  <c r="K470" i="1"/>
  <c r="K49" i="1"/>
  <c r="K139" i="1"/>
  <c r="L470" i="1"/>
  <c r="L49" i="1"/>
  <c r="L139" i="1"/>
  <c r="N470" i="1"/>
  <c r="N49" i="1"/>
  <c r="N139" i="1"/>
  <c r="AF470" i="1"/>
  <c r="AF49" i="1"/>
  <c r="AF139" i="1"/>
  <c r="AO470" i="1"/>
  <c r="AO49" i="1"/>
  <c r="AO139" i="1"/>
  <c r="AQ470" i="1"/>
  <c r="AQ49" i="1"/>
  <c r="AQ139" i="1"/>
  <c r="AG965" i="1"/>
  <c r="AG448" i="1"/>
  <c r="AG127" i="1"/>
  <c r="R510" i="1"/>
  <c r="S510" i="1"/>
  <c r="T510" i="1"/>
  <c r="U510" i="1"/>
  <c r="V510" i="1"/>
  <c r="W510" i="1"/>
  <c r="X510" i="1"/>
  <c r="Y510" i="1"/>
  <c r="Z510" i="1"/>
  <c r="AA510" i="1"/>
  <c r="AB510" i="1"/>
  <c r="AC510" i="1"/>
  <c r="R965" i="1"/>
  <c r="S965" i="1"/>
  <c r="T965" i="1"/>
  <c r="U965" i="1"/>
  <c r="V965" i="1"/>
  <c r="W965" i="1"/>
  <c r="X965" i="1"/>
  <c r="Y965" i="1"/>
  <c r="Z965" i="1"/>
  <c r="AA965" i="1"/>
  <c r="AB965" i="1"/>
  <c r="AC965" i="1"/>
  <c r="R448" i="1"/>
  <c r="S448" i="1"/>
  <c r="T448" i="1"/>
  <c r="U448" i="1"/>
  <c r="V448" i="1"/>
  <c r="W448" i="1"/>
  <c r="X448" i="1"/>
  <c r="Y448" i="1"/>
  <c r="Z448" i="1"/>
  <c r="AA448" i="1"/>
  <c r="AB448" i="1"/>
  <c r="AC448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L965" i="1"/>
  <c r="L448" i="1"/>
  <c r="L127" i="1"/>
  <c r="K965" i="1"/>
  <c r="K448" i="1"/>
  <c r="K127" i="1"/>
  <c r="E965" i="1"/>
  <c r="E448" i="1"/>
  <c r="E127" i="1"/>
  <c r="N965" i="1"/>
  <c r="N448" i="1"/>
  <c r="N127" i="1"/>
  <c r="AF965" i="1"/>
  <c r="AF448" i="1"/>
  <c r="AF127" i="1"/>
  <c r="AO965" i="1"/>
  <c r="AO448" i="1"/>
  <c r="AO127" i="1"/>
  <c r="AQ965" i="1"/>
  <c r="AQ448" i="1"/>
  <c r="AQ127" i="1"/>
  <c r="AG302" i="1"/>
  <c r="AG418" i="1"/>
  <c r="AG12" i="1"/>
  <c r="AG1101" i="1"/>
  <c r="AG510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R418" i="1"/>
  <c r="S418" i="1"/>
  <c r="T418" i="1"/>
  <c r="U418" i="1"/>
  <c r="V418" i="1"/>
  <c r="W418" i="1"/>
  <c r="X418" i="1"/>
  <c r="Y418" i="1"/>
  <c r="Z418" i="1"/>
  <c r="AA418" i="1"/>
  <c r="AB418" i="1"/>
  <c r="AC418" i="1"/>
  <c r="R12" i="1"/>
  <c r="S12" i="1"/>
  <c r="T12" i="1"/>
  <c r="U12" i="1"/>
  <c r="V12" i="1"/>
  <c r="W12" i="1"/>
  <c r="X12" i="1"/>
  <c r="Y12" i="1"/>
  <c r="Z12" i="1"/>
  <c r="AA12" i="1"/>
  <c r="AB12" i="1"/>
  <c r="AC12" i="1"/>
  <c r="R1101" i="1"/>
  <c r="S1101" i="1"/>
  <c r="T1101" i="1"/>
  <c r="U1101" i="1"/>
  <c r="V1101" i="1"/>
  <c r="W1101" i="1"/>
  <c r="X1101" i="1"/>
  <c r="Y1101" i="1"/>
  <c r="Z1101" i="1"/>
  <c r="AA1101" i="1"/>
  <c r="AB1101" i="1"/>
  <c r="AC1101" i="1"/>
  <c r="E302" i="1"/>
  <c r="E418" i="1"/>
  <c r="E12" i="1"/>
  <c r="E1101" i="1"/>
  <c r="E510" i="1"/>
  <c r="K302" i="1"/>
  <c r="K418" i="1"/>
  <c r="K12" i="1"/>
  <c r="K1101" i="1"/>
  <c r="K510" i="1"/>
  <c r="L302" i="1"/>
  <c r="L418" i="1"/>
  <c r="L12" i="1"/>
  <c r="L1101" i="1"/>
  <c r="L510" i="1"/>
  <c r="N302" i="1"/>
  <c r="N418" i="1"/>
  <c r="N12" i="1"/>
  <c r="N1101" i="1"/>
  <c r="N510" i="1"/>
  <c r="AF302" i="1"/>
  <c r="AF418" i="1"/>
  <c r="AF12" i="1"/>
  <c r="AF1101" i="1"/>
  <c r="AF510" i="1"/>
  <c r="AO302" i="1"/>
  <c r="AO418" i="1"/>
  <c r="AO12" i="1"/>
  <c r="AO1101" i="1"/>
  <c r="AO510" i="1"/>
  <c r="AQ302" i="1"/>
  <c r="AQ418" i="1"/>
  <c r="AQ12" i="1"/>
  <c r="AQ1101" i="1"/>
  <c r="AQ510" i="1"/>
  <c r="AG603" i="1"/>
  <c r="R603" i="1"/>
  <c r="S603" i="1"/>
  <c r="T603" i="1"/>
  <c r="U603" i="1"/>
  <c r="V603" i="1"/>
  <c r="W603" i="1"/>
  <c r="X603" i="1"/>
  <c r="Y603" i="1"/>
  <c r="Z603" i="1"/>
  <c r="AA603" i="1"/>
  <c r="AB603" i="1"/>
  <c r="AC603" i="1"/>
  <c r="E603" i="1"/>
  <c r="K603" i="1"/>
  <c r="L603" i="1"/>
  <c r="N603" i="1"/>
  <c r="AF603" i="1"/>
  <c r="AO603" i="1"/>
  <c r="AQ603" i="1"/>
  <c r="AG471" i="1"/>
  <c r="AG803" i="1"/>
  <c r="AG463" i="1"/>
  <c r="R471" i="1"/>
  <c r="S471" i="1"/>
  <c r="T471" i="1"/>
  <c r="U471" i="1"/>
  <c r="V471" i="1"/>
  <c r="W471" i="1"/>
  <c r="X471" i="1"/>
  <c r="Y471" i="1"/>
  <c r="Z471" i="1"/>
  <c r="AA471" i="1"/>
  <c r="AB471" i="1"/>
  <c r="AC471" i="1"/>
  <c r="R803" i="1"/>
  <c r="S803" i="1"/>
  <c r="T803" i="1"/>
  <c r="U803" i="1"/>
  <c r="V803" i="1"/>
  <c r="W803" i="1"/>
  <c r="X803" i="1"/>
  <c r="Y803" i="1"/>
  <c r="Z803" i="1"/>
  <c r="AA803" i="1"/>
  <c r="AB803" i="1"/>
  <c r="AC803" i="1"/>
  <c r="R463" i="1"/>
  <c r="S463" i="1"/>
  <c r="T463" i="1"/>
  <c r="U463" i="1"/>
  <c r="V463" i="1"/>
  <c r="W463" i="1"/>
  <c r="X463" i="1"/>
  <c r="Y463" i="1"/>
  <c r="Z463" i="1"/>
  <c r="AA463" i="1"/>
  <c r="AB463" i="1"/>
  <c r="AC463" i="1"/>
  <c r="H471" i="1"/>
  <c r="E468" i="1"/>
  <c r="E298" i="1"/>
  <c r="E48" i="1"/>
  <c r="E471" i="1"/>
  <c r="K471" i="1"/>
  <c r="L471" i="1"/>
  <c r="N471" i="1"/>
  <c r="AF471" i="1"/>
  <c r="AO471" i="1"/>
  <c r="AQ471" i="1"/>
  <c r="E803" i="1"/>
  <c r="K803" i="1"/>
  <c r="L803" i="1"/>
  <c r="N803" i="1"/>
  <c r="AF803" i="1"/>
  <c r="AO803" i="1"/>
  <c r="AQ803" i="1"/>
  <c r="E463" i="1"/>
  <c r="K463" i="1"/>
  <c r="L463" i="1"/>
  <c r="N463" i="1"/>
  <c r="AF463" i="1"/>
  <c r="AO463" i="1"/>
  <c r="AQ463" i="1"/>
  <c r="AG659" i="1"/>
  <c r="R659" i="1"/>
  <c r="S659" i="1"/>
  <c r="T659" i="1"/>
  <c r="U659" i="1"/>
  <c r="V659" i="1"/>
  <c r="W659" i="1"/>
  <c r="X659" i="1"/>
  <c r="Y659" i="1"/>
  <c r="Z659" i="1"/>
  <c r="AA659" i="1"/>
  <c r="AB659" i="1"/>
  <c r="AC659" i="1"/>
  <c r="E659" i="1"/>
  <c r="K659" i="1"/>
  <c r="L659" i="1"/>
  <c r="N659" i="1"/>
  <c r="AF659" i="1"/>
  <c r="AO659" i="1"/>
  <c r="AQ659" i="1"/>
  <c r="AQ1113" i="1"/>
  <c r="AO1113" i="1"/>
  <c r="AG1113" i="1"/>
  <c r="AF1113" i="1"/>
  <c r="AC1113" i="1"/>
  <c r="AB1113" i="1"/>
  <c r="AA1113" i="1"/>
  <c r="Z1113" i="1"/>
  <c r="Y1113" i="1"/>
  <c r="X1113" i="1"/>
  <c r="W1113" i="1"/>
  <c r="V1113" i="1"/>
  <c r="U1113" i="1"/>
  <c r="T1113" i="1"/>
  <c r="S1113" i="1"/>
  <c r="R1113" i="1"/>
  <c r="N1113" i="1"/>
  <c r="L1113" i="1"/>
  <c r="K1113" i="1"/>
  <c r="E1113" i="1"/>
  <c r="AG522" i="1"/>
  <c r="R522" i="1"/>
  <c r="S522" i="1"/>
  <c r="T522" i="1"/>
  <c r="U522" i="1"/>
  <c r="V522" i="1"/>
  <c r="W522" i="1"/>
  <c r="X522" i="1"/>
  <c r="Y522" i="1"/>
  <c r="Z522" i="1"/>
  <c r="AA522" i="1"/>
  <c r="AB522" i="1"/>
  <c r="AC522" i="1"/>
  <c r="E522" i="1"/>
  <c r="K522" i="1"/>
  <c r="L522" i="1"/>
  <c r="N522" i="1"/>
  <c r="AF522" i="1"/>
  <c r="AO522" i="1"/>
  <c r="AQ522" i="1"/>
  <c r="AG987" i="1"/>
  <c r="AG1035" i="1"/>
  <c r="AG797" i="1"/>
  <c r="AF797" i="1"/>
  <c r="AF1035" i="1"/>
  <c r="R797" i="1"/>
  <c r="S797" i="1"/>
  <c r="T797" i="1"/>
  <c r="U797" i="1"/>
  <c r="V797" i="1"/>
  <c r="W797" i="1"/>
  <c r="X797" i="1"/>
  <c r="Y797" i="1"/>
  <c r="Z797" i="1"/>
  <c r="AA797" i="1"/>
  <c r="AB797" i="1"/>
  <c r="AC797" i="1"/>
  <c r="R1035" i="1"/>
  <c r="S1035" i="1"/>
  <c r="T1035" i="1"/>
  <c r="U1035" i="1"/>
  <c r="V1035" i="1"/>
  <c r="W1035" i="1"/>
  <c r="X1035" i="1"/>
  <c r="Y1035" i="1"/>
  <c r="Z1035" i="1"/>
  <c r="AA1035" i="1"/>
  <c r="AB1035" i="1"/>
  <c r="AC1035" i="1"/>
  <c r="R987" i="1"/>
  <c r="S987" i="1"/>
  <c r="T987" i="1"/>
  <c r="U987" i="1"/>
  <c r="V987" i="1"/>
  <c r="W987" i="1"/>
  <c r="X987" i="1"/>
  <c r="Y987" i="1"/>
  <c r="Z987" i="1"/>
  <c r="AA987" i="1"/>
  <c r="AB987" i="1"/>
  <c r="AC987" i="1"/>
  <c r="E987" i="1"/>
  <c r="K987" i="1"/>
  <c r="L987" i="1"/>
  <c r="N987" i="1"/>
  <c r="AF987" i="1"/>
  <c r="AO987" i="1"/>
  <c r="AQ987" i="1"/>
  <c r="E1035" i="1"/>
  <c r="K1035" i="1"/>
  <c r="L1035" i="1"/>
  <c r="N1035" i="1"/>
  <c r="AO1035" i="1"/>
  <c r="AQ1035" i="1"/>
  <c r="E797" i="1"/>
  <c r="K797" i="1"/>
  <c r="L797" i="1"/>
  <c r="N797" i="1"/>
  <c r="AO797" i="1"/>
  <c r="AQ797" i="1"/>
  <c r="AG525" i="1"/>
  <c r="AG99" i="1"/>
  <c r="AG6" i="1"/>
  <c r="R525" i="1"/>
  <c r="S525" i="1"/>
  <c r="T525" i="1"/>
  <c r="U525" i="1"/>
  <c r="V525" i="1"/>
  <c r="W525" i="1"/>
  <c r="X525" i="1"/>
  <c r="Y525" i="1"/>
  <c r="Z525" i="1"/>
  <c r="AA525" i="1"/>
  <c r="AB525" i="1"/>
  <c r="AC525" i="1"/>
  <c r="R99" i="1"/>
  <c r="S99" i="1"/>
  <c r="T99" i="1"/>
  <c r="U99" i="1"/>
  <c r="V99" i="1"/>
  <c r="W99" i="1"/>
  <c r="X99" i="1"/>
  <c r="Y99" i="1"/>
  <c r="Z99" i="1"/>
  <c r="AA99" i="1"/>
  <c r="AB99" i="1"/>
  <c r="AC99" i="1"/>
  <c r="R6" i="1"/>
  <c r="S6" i="1"/>
  <c r="T6" i="1"/>
  <c r="U6" i="1"/>
  <c r="V6" i="1"/>
  <c r="W6" i="1"/>
  <c r="X6" i="1"/>
  <c r="Y6" i="1"/>
  <c r="Z6" i="1"/>
  <c r="AA6" i="1"/>
  <c r="AB6" i="1"/>
  <c r="AC6" i="1"/>
  <c r="E99" i="1"/>
  <c r="E6" i="1"/>
  <c r="K99" i="1"/>
  <c r="K6" i="1"/>
  <c r="L99" i="1"/>
  <c r="L6" i="1"/>
  <c r="N99" i="1"/>
  <c r="N6" i="1"/>
  <c r="AF99" i="1"/>
  <c r="AF6" i="1"/>
  <c r="AO99" i="1"/>
  <c r="AO6" i="1"/>
  <c r="AQ99" i="1"/>
  <c r="AQ6" i="1"/>
  <c r="E525" i="1"/>
  <c r="K525" i="1"/>
  <c r="L525" i="1"/>
  <c r="N525" i="1"/>
  <c r="AF525" i="1"/>
  <c r="AO525" i="1"/>
  <c r="AQ525" i="1"/>
  <c r="AG353" i="1"/>
  <c r="R353" i="1"/>
  <c r="S353" i="1"/>
  <c r="T353" i="1"/>
  <c r="U353" i="1"/>
  <c r="V353" i="1"/>
  <c r="W353" i="1"/>
  <c r="X353" i="1"/>
  <c r="Y353" i="1"/>
  <c r="Z353" i="1"/>
  <c r="AA353" i="1"/>
  <c r="AB353" i="1"/>
  <c r="AC353" i="1"/>
  <c r="E353" i="1"/>
  <c r="K353" i="1"/>
  <c r="L353" i="1"/>
  <c r="N353" i="1"/>
  <c r="AF353" i="1"/>
  <c r="AO353" i="1"/>
  <c r="AQ353" i="1"/>
  <c r="AG173" i="1"/>
  <c r="AG558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E173" i="1"/>
  <c r="K173" i="1"/>
  <c r="L173" i="1"/>
  <c r="N173" i="1"/>
  <c r="AF173" i="1"/>
  <c r="AO173" i="1"/>
  <c r="AQ173" i="1"/>
  <c r="AG825" i="1"/>
  <c r="AG60" i="1"/>
  <c r="AG482" i="1"/>
  <c r="R825" i="1"/>
  <c r="S825" i="1"/>
  <c r="T825" i="1"/>
  <c r="U825" i="1"/>
  <c r="V825" i="1"/>
  <c r="W825" i="1"/>
  <c r="X825" i="1"/>
  <c r="Y825" i="1"/>
  <c r="Z825" i="1"/>
  <c r="AA825" i="1"/>
  <c r="AB825" i="1"/>
  <c r="AC825" i="1"/>
  <c r="R60" i="1"/>
  <c r="S60" i="1"/>
  <c r="T60" i="1"/>
  <c r="U60" i="1"/>
  <c r="V60" i="1"/>
  <c r="W60" i="1"/>
  <c r="X60" i="1"/>
  <c r="Y60" i="1"/>
  <c r="Z60" i="1"/>
  <c r="AA60" i="1"/>
  <c r="AB60" i="1"/>
  <c r="AC60" i="1"/>
  <c r="R482" i="1"/>
  <c r="S482" i="1"/>
  <c r="T482" i="1"/>
  <c r="U482" i="1"/>
  <c r="V482" i="1"/>
  <c r="W482" i="1"/>
  <c r="X482" i="1"/>
  <c r="Y482" i="1"/>
  <c r="Z482" i="1"/>
  <c r="AA482" i="1"/>
  <c r="AB482" i="1"/>
  <c r="AC482" i="1"/>
  <c r="R558" i="1"/>
  <c r="S558" i="1"/>
  <c r="T558" i="1"/>
  <c r="U558" i="1"/>
  <c r="V558" i="1"/>
  <c r="W558" i="1"/>
  <c r="X558" i="1"/>
  <c r="Y558" i="1"/>
  <c r="Z558" i="1"/>
  <c r="AA558" i="1"/>
  <c r="AB558" i="1"/>
  <c r="AC558" i="1"/>
  <c r="E825" i="1"/>
  <c r="E60" i="1"/>
  <c r="E482" i="1"/>
  <c r="E558" i="1"/>
  <c r="K825" i="1"/>
  <c r="K60" i="1"/>
  <c r="K482" i="1"/>
  <c r="K558" i="1"/>
  <c r="L825" i="1"/>
  <c r="L60" i="1"/>
  <c r="L482" i="1"/>
  <c r="L558" i="1"/>
  <c r="N825" i="1"/>
  <c r="N60" i="1"/>
  <c r="N482" i="1"/>
  <c r="N558" i="1"/>
  <c r="AF825" i="1"/>
  <c r="AF60" i="1"/>
  <c r="AF482" i="1"/>
  <c r="AF558" i="1"/>
  <c r="AO825" i="1"/>
  <c r="AO60" i="1"/>
  <c r="AO482" i="1"/>
  <c r="AO558" i="1"/>
  <c r="AQ825" i="1"/>
  <c r="AQ60" i="1"/>
  <c r="AQ482" i="1"/>
  <c r="AQ558" i="1"/>
  <c r="AG37" i="1"/>
  <c r="AG921" i="1"/>
  <c r="AG355" i="1"/>
  <c r="AG852" i="1"/>
  <c r="AG414" i="1"/>
  <c r="AG309" i="1"/>
  <c r="AG161" i="1"/>
  <c r="T37" i="1"/>
  <c r="U37" i="1"/>
  <c r="V37" i="1"/>
  <c r="W37" i="1"/>
  <c r="X37" i="1"/>
  <c r="Y37" i="1"/>
  <c r="Z37" i="1"/>
  <c r="AA37" i="1"/>
  <c r="AB37" i="1"/>
  <c r="AC37" i="1"/>
  <c r="T921" i="1"/>
  <c r="U921" i="1"/>
  <c r="V921" i="1"/>
  <c r="W921" i="1"/>
  <c r="X921" i="1"/>
  <c r="Y921" i="1"/>
  <c r="Z921" i="1"/>
  <c r="AA921" i="1"/>
  <c r="AB921" i="1"/>
  <c r="AC921" i="1"/>
  <c r="T355" i="1"/>
  <c r="U355" i="1"/>
  <c r="V355" i="1"/>
  <c r="W355" i="1"/>
  <c r="X355" i="1"/>
  <c r="Y355" i="1"/>
  <c r="Z355" i="1"/>
  <c r="AA355" i="1"/>
  <c r="AB355" i="1"/>
  <c r="AC355" i="1"/>
  <c r="T852" i="1"/>
  <c r="U852" i="1"/>
  <c r="V852" i="1"/>
  <c r="W852" i="1"/>
  <c r="X852" i="1"/>
  <c r="Y852" i="1"/>
  <c r="Z852" i="1"/>
  <c r="AA852" i="1"/>
  <c r="AB852" i="1"/>
  <c r="AC852" i="1"/>
  <c r="T414" i="1"/>
  <c r="U414" i="1"/>
  <c r="V414" i="1"/>
  <c r="W414" i="1"/>
  <c r="X414" i="1"/>
  <c r="Y414" i="1"/>
  <c r="Z414" i="1"/>
  <c r="AA414" i="1"/>
  <c r="AB414" i="1"/>
  <c r="AC414" i="1"/>
  <c r="T309" i="1"/>
  <c r="U309" i="1"/>
  <c r="V309" i="1"/>
  <c r="W309" i="1"/>
  <c r="X309" i="1"/>
  <c r="Y309" i="1"/>
  <c r="Z309" i="1"/>
  <c r="AA309" i="1"/>
  <c r="AB309" i="1"/>
  <c r="AC309" i="1"/>
  <c r="T161" i="1"/>
  <c r="U161" i="1"/>
  <c r="V161" i="1"/>
  <c r="W161" i="1"/>
  <c r="X161" i="1"/>
  <c r="Y161" i="1"/>
  <c r="Z161" i="1"/>
  <c r="AA161" i="1"/>
  <c r="AB161" i="1"/>
  <c r="AC161" i="1"/>
  <c r="R37" i="1"/>
  <c r="S37" i="1"/>
  <c r="R921" i="1"/>
  <c r="S921" i="1"/>
  <c r="R355" i="1"/>
  <c r="S355" i="1"/>
  <c r="R852" i="1"/>
  <c r="S852" i="1"/>
  <c r="R414" i="1"/>
  <c r="S414" i="1"/>
  <c r="R309" i="1"/>
  <c r="S309" i="1"/>
  <c r="R161" i="1"/>
  <c r="S161" i="1"/>
  <c r="K37" i="1"/>
  <c r="K921" i="1"/>
  <c r="K355" i="1"/>
  <c r="K852" i="1"/>
  <c r="K414" i="1"/>
  <c r="K309" i="1"/>
  <c r="K161" i="1"/>
  <c r="L37" i="1"/>
  <c r="L921" i="1"/>
  <c r="L355" i="1"/>
  <c r="L852" i="1"/>
  <c r="L414" i="1"/>
  <c r="L309" i="1"/>
  <c r="L161" i="1"/>
  <c r="N37" i="1"/>
  <c r="N921" i="1"/>
  <c r="N355" i="1"/>
  <c r="N852" i="1"/>
  <c r="N414" i="1"/>
  <c r="N309" i="1"/>
  <c r="N161" i="1"/>
  <c r="AF37" i="1"/>
  <c r="AF921" i="1"/>
  <c r="AF355" i="1"/>
  <c r="AF852" i="1"/>
  <c r="AF414" i="1"/>
  <c r="AF309" i="1"/>
  <c r="AF161" i="1"/>
  <c r="AO37" i="1"/>
  <c r="AO921" i="1"/>
  <c r="AO355" i="1"/>
  <c r="AO852" i="1"/>
  <c r="AO414" i="1"/>
  <c r="AO309" i="1"/>
  <c r="AO161" i="1"/>
  <c r="AQ37" i="1"/>
  <c r="AQ921" i="1"/>
  <c r="AQ355" i="1"/>
  <c r="AQ852" i="1"/>
  <c r="AQ414" i="1"/>
  <c r="AQ309" i="1"/>
  <c r="AQ161" i="1"/>
  <c r="E161" i="1"/>
  <c r="E309" i="1"/>
  <c r="E414" i="1"/>
  <c r="E852" i="1"/>
  <c r="E355" i="1"/>
  <c r="E921" i="1"/>
  <c r="E37" i="1"/>
  <c r="AG438" i="1"/>
  <c r="AG1051" i="1"/>
  <c r="R438" i="1"/>
  <c r="S438" i="1"/>
  <c r="T438" i="1"/>
  <c r="U438" i="1"/>
  <c r="V438" i="1"/>
  <c r="W438" i="1"/>
  <c r="X438" i="1"/>
  <c r="Y438" i="1"/>
  <c r="Z438" i="1"/>
  <c r="AA438" i="1"/>
  <c r="AB438" i="1"/>
  <c r="AC438" i="1"/>
  <c r="R1051" i="1"/>
  <c r="S1051" i="1"/>
  <c r="T1051" i="1"/>
  <c r="U1051" i="1"/>
  <c r="V1051" i="1"/>
  <c r="W1051" i="1"/>
  <c r="X1051" i="1"/>
  <c r="Y1051" i="1"/>
  <c r="Z1051" i="1"/>
  <c r="AA1051" i="1"/>
  <c r="AB1051" i="1"/>
  <c r="AC1051" i="1"/>
  <c r="E438" i="1"/>
  <c r="E1051" i="1"/>
  <c r="K438" i="1"/>
  <c r="K1051" i="1"/>
  <c r="L438" i="1"/>
  <c r="L1051" i="1"/>
  <c r="N438" i="1"/>
  <c r="N1051" i="1"/>
  <c r="AF438" i="1"/>
  <c r="AF1051" i="1"/>
  <c r="AO438" i="1"/>
  <c r="AO1051" i="1"/>
  <c r="AQ438" i="1"/>
  <c r="AQ1051" i="1"/>
  <c r="AG328" i="1"/>
  <c r="AG141" i="1"/>
  <c r="AG176" i="1"/>
  <c r="AG1110" i="1"/>
  <c r="AG487" i="1"/>
  <c r="R328" i="1"/>
  <c r="S328" i="1"/>
  <c r="T328" i="1"/>
  <c r="U328" i="1"/>
  <c r="V328" i="1"/>
  <c r="W328" i="1"/>
  <c r="X328" i="1"/>
  <c r="Y328" i="1"/>
  <c r="Z328" i="1"/>
  <c r="AA328" i="1"/>
  <c r="AB328" i="1"/>
  <c r="AC328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R1110" i="1"/>
  <c r="S1110" i="1"/>
  <c r="T1110" i="1"/>
  <c r="U1110" i="1"/>
  <c r="V1110" i="1"/>
  <c r="W1110" i="1"/>
  <c r="X1110" i="1"/>
  <c r="Y1110" i="1"/>
  <c r="Z1110" i="1"/>
  <c r="AA1110" i="1"/>
  <c r="AB1110" i="1"/>
  <c r="AC1110" i="1"/>
  <c r="R487" i="1"/>
  <c r="S487" i="1"/>
  <c r="T487" i="1"/>
  <c r="U487" i="1"/>
  <c r="V487" i="1"/>
  <c r="W487" i="1"/>
  <c r="X487" i="1"/>
  <c r="Y487" i="1"/>
  <c r="Z487" i="1"/>
  <c r="AA487" i="1"/>
  <c r="AB487" i="1"/>
  <c r="AC487" i="1"/>
  <c r="E328" i="1"/>
  <c r="E141" i="1"/>
  <c r="E176" i="1"/>
  <c r="E1110" i="1"/>
  <c r="E487" i="1"/>
  <c r="K328" i="1"/>
  <c r="K141" i="1"/>
  <c r="K176" i="1"/>
  <c r="K1110" i="1"/>
  <c r="K487" i="1"/>
  <c r="L328" i="1"/>
  <c r="L141" i="1"/>
  <c r="L176" i="1"/>
  <c r="L1110" i="1"/>
  <c r="L487" i="1"/>
  <c r="N328" i="1"/>
  <c r="N141" i="1"/>
  <c r="N176" i="1"/>
  <c r="N1110" i="1"/>
  <c r="N487" i="1"/>
  <c r="AF328" i="1"/>
  <c r="AF141" i="1"/>
  <c r="AF176" i="1"/>
  <c r="AF1110" i="1"/>
  <c r="AF487" i="1"/>
  <c r="AO328" i="1"/>
  <c r="AO141" i="1"/>
  <c r="AO176" i="1"/>
  <c r="AO1110" i="1"/>
  <c r="AO487" i="1"/>
  <c r="AQ328" i="1"/>
  <c r="AQ141" i="1"/>
  <c r="AQ176" i="1"/>
  <c r="AQ1110" i="1"/>
  <c r="AQ487" i="1"/>
  <c r="T865" i="1"/>
  <c r="U865" i="1"/>
  <c r="V865" i="1"/>
  <c r="W865" i="1"/>
  <c r="X865" i="1"/>
  <c r="Y865" i="1"/>
  <c r="Z865" i="1"/>
  <c r="AA865" i="1"/>
  <c r="AB865" i="1"/>
  <c r="AC865" i="1"/>
  <c r="T181" i="1"/>
  <c r="U181" i="1"/>
  <c r="V181" i="1"/>
  <c r="W181" i="1"/>
  <c r="X181" i="1"/>
  <c r="Y181" i="1"/>
  <c r="Z181" i="1"/>
  <c r="AA181" i="1"/>
  <c r="AB181" i="1"/>
  <c r="AC181" i="1"/>
  <c r="T317" i="1"/>
  <c r="U317" i="1"/>
  <c r="V317" i="1"/>
  <c r="W317" i="1"/>
  <c r="X317" i="1"/>
  <c r="Y317" i="1"/>
  <c r="Z317" i="1"/>
  <c r="AA317" i="1"/>
  <c r="AB317" i="1"/>
  <c r="AC317" i="1"/>
  <c r="T283" i="1"/>
  <c r="U283" i="1"/>
  <c r="V283" i="1"/>
  <c r="W283" i="1"/>
  <c r="X283" i="1"/>
  <c r="Y283" i="1"/>
  <c r="Z283" i="1"/>
  <c r="AA283" i="1"/>
  <c r="AB283" i="1"/>
  <c r="AC283" i="1"/>
  <c r="T322" i="1"/>
  <c r="U322" i="1"/>
  <c r="V322" i="1"/>
  <c r="W322" i="1"/>
  <c r="X322" i="1"/>
  <c r="Y322" i="1"/>
  <c r="Z322" i="1"/>
  <c r="AA322" i="1"/>
  <c r="AB322" i="1"/>
  <c r="AC322" i="1"/>
  <c r="T732" i="1"/>
  <c r="U732" i="1"/>
  <c r="V732" i="1"/>
  <c r="W732" i="1"/>
  <c r="X732" i="1"/>
  <c r="Y732" i="1"/>
  <c r="Z732" i="1"/>
  <c r="AA732" i="1"/>
  <c r="AB732" i="1"/>
  <c r="AC732" i="1"/>
  <c r="T40" i="1"/>
  <c r="U40" i="1"/>
  <c r="V40" i="1"/>
  <c r="W40" i="1"/>
  <c r="X40" i="1"/>
  <c r="Y40" i="1"/>
  <c r="Z40" i="1"/>
  <c r="AA40" i="1"/>
  <c r="AB40" i="1"/>
  <c r="AC40" i="1"/>
  <c r="T824" i="1"/>
  <c r="U824" i="1"/>
  <c r="V824" i="1"/>
  <c r="W824" i="1"/>
  <c r="X824" i="1"/>
  <c r="Y824" i="1"/>
  <c r="Z824" i="1"/>
  <c r="AA824" i="1"/>
  <c r="AB824" i="1"/>
  <c r="AC824" i="1"/>
  <c r="T514" i="1"/>
  <c r="U514" i="1"/>
  <c r="V514" i="1"/>
  <c r="W514" i="1"/>
  <c r="X514" i="1"/>
  <c r="Y514" i="1"/>
  <c r="Z514" i="1"/>
  <c r="AA514" i="1"/>
  <c r="AB514" i="1"/>
  <c r="AC514" i="1"/>
  <c r="T1010" i="1"/>
  <c r="U1010" i="1"/>
  <c r="V1010" i="1"/>
  <c r="W1010" i="1"/>
  <c r="X1010" i="1"/>
  <c r="Y1010" i="1"/>
  <c r="Z1010" i="1"/>
  <c r="AA1010" i="1"/>
  <c r="AB1010" i="1"/>
  <c r="AC1010" i="1"/>
  <c r="T896" i="1"/>
  <c r="U896" i="1"/>
  <c r="V896" i="1"/>
  <c r="W896" i="1"/>
  <c r="X896" i="1"/>
  <c r="Y896" i="1"/>
  <c r="Z896" i="1"/>
  <c r="AA896" i="1"/>
  <c r="AB896" i="1"/>
  <c r="AC896" i="1"/>
  <c r="T835" i="1"/>
  <c r="U835" i="1"/>
  <c r="V835" i="1"/>
  <c r="W835" i="1"/>
  <c r="X835" i="1"/>
  <c r="Y835" i="1"/>
  <c r="Z835" i="1"/>
  <c r="AA835" i="1"/>
  <c r="AB835" i="1"/>
  <c r="AC835" i="1"/>
  <c r="T668" i="1"/>
  <c r="U668" i="1"/>
  <c r="V668" i="1"/>
  <c r="W668" i="1"/>
  <c r="X668" i="1"/>
  <c r="Y668" i="1"/>
  <c r="Z668" i="1"/>
  <c r="AA668" i="1"/>
  <c r="AB668" i="1"/>
  <c r="AC668" i="1"/>
  <c r="T800" i="1"/>
  <c r="U800" i="1"/>
  <c r="V800" i="1"/>
  <c r="W800" i="1"/>
  <c r="X800" i="1"/>
  <c r="Y800" i="1"/>
  <c r="Z800" i="1"/>
  <c r="AA800" i="1"/>
  <c r="AB800" i="1"/>
  <c r="AC800" i="1"/>
  <c r="T183" i="1"/>
  <c r="U183" i="1"/>
  <c r="V183" i="1"/>
  <c r="W183" i="1"/>
  <c r="X183" i="1"/>
  <c r="Y183" i="1"/>
  <c r="Z183" i="1"/>
  <c r="AA183" i="1"/>
  <c r="AB183" i="1"/>
  <c r="AC183" i="1"/>
  <c r="T714" i="1"/>
  <c r="U714" i="1"/>
  <c r="V714" i="1"/>
  <c r="W714" i="1"/>
  <c r="X714" i="1"/>
  <c r="Y714" i="1"/>
  <c r="Z714" i="1"/>
  <c r="AA714" i="1"/>
  <c r="AB714" i="1"/>
  <c r="AC714" i="1"/>
  <c r="T809" i="1"/>
  <c r="U809" i="1"/>
  <c r="V809" i="1"/>
  <c r="W809" i="1"/>
  <c r="X809" i="1"/>
  <c r="Y809" i="1"/>
  <c r="Z809" i="1"/>
  <c r="AA809" i="1"/>
  <c r="AB809" i="1"/>
  <c r="AC809" i="1"/>
  <c r="T223" i="1"/>
  <c r="U223" i="1"/>
  <c r="V223" i="1"/>
  <c r="W223" i="1"/>
  <c r="X223" i="1"/>
  <c r="Y223" i="1"/>
  <c r="Z223" i="1"/>
  <c r="AA223" i="1"/>
  <c r="AB223" i="1"/>
  <c r="AC223" i="1"/>
  <c r="T506" i="1"/>
  <c r="U506" i="1"/>
  <c r="V506" i="1"/>
  <c r="W506" i="1"/>
  <c r="X506" i="1"/>
  <c r="Y506" i="1"/>
  <c r="Z506" i="1"/>
  <c r="AA506" i="1"/>
  <c r="AB506" i="1"/>
  <c r="AC506" i="1"/>
  <c r="T934" i="1"/>
  <c r="U934" i="1"/>
  <c r="V934" i="1"/>
  <c r="W934" i="1"/>
  <c r="X934" i="1"/>
  <c r="Y934" i="1"/>
  <c r="Z934" i="1"/>
  <c r="AA934" i="1"/>
  <c r="AB934" i="1"/>
  <c r="AC934" i="1"/>
  <c r="T286" i="1"/>
  <c r="U286" i="1"/>
  <c r="V286" i="1"/>
  <c r="W286" i="1"/>
  <c r="X286" i="1"/>
  <c r="Y286" i="1"/>
  <c r="Z286" i="1"/>
  <c r="AA286" i="1"/>
  <c r="AB286" i="1"/>
  <c r="AC286" i="1"/>
  <c r="T535" i="1"/>
  <c r="U535" i="1"/>
  <c r="V535" i="1"/>
  <c r="W535" i="1"/>
  <c r="X535" i="1"/>
  <c r="Y535" i="1"/>
  <c r="Z535" i="1"/>
  <c r="AA535" i="1"/>
  <c r="AB535" i="1"/>
  <c r="AC535" i="1"/>
  <c r="T1048" i="1"/>
  <c r="U1048" i="1"/>
  <c r="V1048" i="1"/>
  <c r="W1048" i="1"/>
  <c r="X1048" i="1"/>
  <c r="Y1048" i="1"/>
  <c r="Z1048" i="1"/>
  <c r="AA1048" i="1"/>
  <c r="AB1048" i="1"/>
  <c r="AC1048" i="1"/>
  <c r="T578" i="1"/>
  <c r="U578" i="1"/>
  <c r="V578" i="1"/>
  <c r="W578" i="1"/>
  <c r="X578" i="1"/>
  <c r="Y578" i="1"/>
  <c r="Z578" i="1"/>
  <c r="AA578" i="1"/>
  <c r="AB578" i="1"/>
  <c r="AC578" i="1"/>
  <c r="T253" i="1"/>
  <c r="U253" i="1"/>
  <c r="V253" i="1"/>
  <c r="W253" i="1"/>
  <c r="X253" i="1"/>
  <c r="Y253" i="1"/>
  <c r="Z253" i="1"/>
  <c r="AA253" i="1"/>
  <c r="AB253" i="1"/>
  <c r="AC253" i="1"/>
  <c r="T998" i="1"/>
  <c r="U998" i="1"/>
  <c r="V998" i="1"/>
  <c r="W998" i="1"/>
  <c r="X998" i="1"/>
  <c r="Y998" i="1"/>
  <c r="Z998" i="1"/>
  <c r="AA998" i="1"/>
  <c r="AB998" i="1"/>
  <c r="AC998" i="1"/>
  <c r="T836" i="1"/>
  <c r="U836" i="1"/>
  <c r="V836" i="1"/>
  <c r="W836" i="1"/>
  <c r="X836" i="1"/>
  <c r="Y836" i="1"/>
  <c r="Z836" i="1"/>
  <c r="AA836" i="1"/>
  <c r="AB836" i="1"/>
  <c r="AC836" i="1"/>
  <c r="T516" i="1"/>
  <c r="U516" i="1"/>
  <c r="V516" i="1"/>
  <c r="W516" i="1"/>
  <c r="X516" i="1"/>
  <c r="Y516" i="1"/>
  <c r="Z516" i="1"/>
  <c r="AA516" i="1"/>
  <c r="AB516" i="1"/>
  <c r="AC516" i="1"/>
  <c r="T138" i="1"/>
  <c r="U138" i="1"/>
  <c r="V138" i="1"/>
  <c r="W138" i="1"/>
  <c r="X138" i="1"/>
  <c r="Y138" i="1"/>
  <c r="Z138" i="1"/>
  <c r="AA138" i="1"/>
  <c r="AB138" i="1"/>
  <c r="AC138" i="1"/>
  <c r="T475" i="1"/>
  <c r="U475" i="1"/>
  <c r="V475" i="1"/>
  <c r="W475" i="1"/>
  <c r="X475" i="1"/>
  <c r="Y475" i="1"/>
  <c r="Z475" i="1"/>
  <c r="AA475" i="1"/>
  <c r="AB475" i="1"/>
  <c r="AC475" i="1"/>
  <c r="T663" i="1"/>
  <c r="U663" i="1"/>
  <c r="V663" i="1"/>
  <c r="W663" i="1"/>
  <c r="X663" i="1"/>
  <c r="Y663" i="1"/>
  <c r="Z663" i="1"/>
  <c r="AA663" i="1"/>
  <c r="AB663" i="1"/>
  <c r="AC663" i="1"/>
  <c r="T569" i="1"/>
  <c r="U569" i="1"/>
  <c r="V569" i="1"/>
  <c r="W569" i="1"/>
  <c r="X569" i="1"/>
  <c r="Y569" i="1"/>
  <c r="Z569" i="1"/>
  <c r="AA569" i="1"/>
  <c r="AB569" i="1"/>
  <c r="AC569" i="1"/>
  <c r="T834" i="1"/>
  <c r="U834" i="1"/>
  <c r="V834" i="1"/>
  <c r="W834" i="1"/>
  <c r="X834" i="1"/>
  <c r="Y834" i="1"/>
  <c r="Z834" i="1"/>
  <c r="AA834" i="1"/>
  <c r="AB834" i="1"/>
  <c r="AC834" i="1"/>
  <c r="T587" i="1"/>
  <c r="U587" i="1"/>
  <c r="V587" i="1"/>
  <c r="W587" i="1"/>
  <c r="X587" i="1"/>
  <c r="Y587" i="1"/>
  <c r="Z587" i="1"/>
  <c r="AA587" i="1"/>
  <c r="AB587" i="1"/>
  <c r="AC587" i="1"/>
  <c r="T895" i="1"/>
  <c r="U895" i="1"/>
  <c r="V895" i="1"/>
  <c r="W895" i="1"/>
  <c r="X895" i="1"/>
  <c r="Y895" i="1"/>
  <c r="Z895" i="1"/>
  <c r="AA895" i="1"/>
  <c r="AB895" i="1"/>
  <c r="AC895" i="1"/>
  <c r="T949" i="1"/>
  <c r="U949" i="1"/>
  <c r="V949" i="1"/>
  <c r="W949" i="1"/>
  <c r="X949" i="1"/>
  <c r="Y949" i="1"/>
  <c r="Z949" i="1"/>
  <c r="AA949" i="1"/>
  <c r="AB949" i="1"/>
  <c r="AC949" i="1"/>
  <c r="T741" i="1"/>
  <c r="U741" i="1"/>
  <c r="V741" i="1"/>
  <c r="W741" i="1"/>
  <c r="X741" i="1"/>
  <c r="Y741" i="1"/>
  <c r="Z741" i="1"/>
  <c r="AA741" i="1"/>
  <c r="AB741" i="1"/>
  <c r="AC741" i="1"/>
  <c r="T1066" i="1"/>
  <c r="U1066" i="1"/>
  <c r="V1066" i="1"/>
  <c r="W1066" i="1"/>
  <c r="X1066" i="1"/>
  <c r="Y1066" i="1"/>
  <c r="Z1066" i="1"/>
  <c r="AA1066" i="1"/>
  <c r="AB1066" i="1"/>
  <c r="AC1066" i="1"/>
  <c r="T769" i="1"/>
  <c r="U769" i="1"/>
  <c r="V769" i="1"/>
  <c r="W769" i="1"/>
  <c r="X769" i="1"/>
  <c r="Y769" i="1"/>
  <c r="Z769" i="1"/>
  <c r="AA769" i="1"/>
  <c r="AB769" i="1"/>
  <c r="AC769" i="1"/>
  <c r="T1092" i="1"/>
  <c r="U1092" i="1"/>
  <c r="V1092" i="1"/>
  <c r="W1092" i="1"/>
  <c r="X1092" i="1"/>
  <c r="Y1092" i="1"/>
  <c r="Z1092" i="1"/>
  <c r="AA1092" i="1"/>
  <c r="AB1092" i="1"/>
  <c r="AC1092" i="1"/>
  <c r="T504" i="1"/>
  <c r="U504" i="1"/>
  <c r="V504" i="1"/>
  <c r="W504" i="1"/>
  <c r="X504" i="1"/>
  <c r="Y504" i="1"/>
  <c r="Z504" i="1"/>
  <c r="AA504" i="1"/>
  <c r="AB504" i="1"/>
  <c r="AC504" i="1"/>
  <c r="T1036" i="1"/>
  <c r="U1036" i="1"/>
  <c r="V1036" i="1"/>
  <c r="W1036" i="1"/>
  <c r="X1036" i="1"/>
  <c r="Y1036" i="1"/>
  <c r="Z1036" i="1"/>
  <c r="AA1036" i="1"/>
  <c r="AB1036" i="1"/>
  <c r="AC1036" i="1"/>
  <c r="T660" i="1"/>
  <c r="U660" i="1"/>
  <c r="V660" i="1"/>
  <c r="W660" i="1"/>
  <c r="X660" i="1"/>
  <c r="Y660" i="1"/>
  <c r="Z660" i="1"/>
  <c r="AA660" i="1"/>
  <c r="AB660" i="1"/>
  <c r="AC660" i="1"/>
  <c r="T585" i="1"/>
  <c r="U585" i="1"/>
  <c r="V585" i="1"/>
  <c r="W585" i="1"/>
  <c r="X585" i="1"/>
  <c r="Y585" i="1"/>
  <c r="Z585" i="1"/>
  <c r="AA585" i="1"/>
  <c r="AB585" i="1"/>
  <c r="AC585" i="1"/>
  <c r="T863" i="1"/>
  <c r="U863" i="1"/>
  <c r="V863" i="1"/>
  <c r="W863" i="1"/>
  <c r="X863" i="1"/>
  <c r="Y863" i="1"/>
  <c r="Z863" i="1"/>
  <c r="AA863" i="1"/>
  <c r="AB863" i="1"/>
  <c r="AC863" i="1"/>
  <c r="T1006" i="1"/>
  <c r="U1006" i="1"/>
  <c r="V1006" i="1"/>
  <c r="W1006" i="1"/>
  <c r="X1006" i="1"/>
  <c r="Y1006" i="1"/>
  <c r="Z1006" i="1"/>
  <c r="AA1006" i="1"/>
  <c r="AB1006" i="1"/>
  <c r="AC1006" i="1"/>
  <c r="T352" i="1"/>
  <c r="U352" i="1"/>
  <c r="V352" i="1"/>
  <c r="W352" i="1"/>
  <c r="X352" i="1"/>
  <c r="Y352" i="1"/>
  <c r="Z352" i="1"/>
  <c r="AA352" i="1"/>
  <c r="AB352" i="1"/>
  <c r="AC352" i="1"/>
  <c r="T864" i="1"/>
  <c r="U864" i="1"/>
  <c r="V864" i="1"/>
  <c r="W864" i="1"/>
  <c r="X864" i="1"/>
  <c r="Y864" i="1"/>
  <c r="Z864" i="1"/>
  <c r="AA864" i="1"/>
  <c r="AB864" i="1"/>
  <c r="AC864" i="1"/>
  <c r="T642" i="1"/>
  <c r="U642" i="1"/>
  <c r="V642" i="1"/>
  <c r="W642" i="1"/>
  <c r="X642" i="1"/>
  <c r="Y642" i="1"/>
  <c r="Z642" i="1"/>
  <c r="AA642" i="1"/>
  <c r="AB642" i="1"/>
  <c r="AC642" i="1"/>
  <c r="T34" i="1"/>
  <c r="U34" i="1"/>
  <c r="V34" i="1"/>
  <c r="W34" i="1"/>
  <c r="X34" i="1"/>
  <c r="Y34" i="1"/>
  <c r="Z34" i="1"/>
  <c r="AA34" i="1"/>
  <c r="AB34" i="1"/>
  <c r="AC34" i="1"/>
  <c r="T927" i="1"/>
  <c r="U927" i="1"/>
  <c r="V927" i="1"/>
  <c r="W927" i="1"/>
  <c r="X927" i="1"/>
  <c r="Y927" i="1"/>
  <c r="Z927" i="1"/>
  <c r="AA927" i="1"/>
  <c r="AB927" i="1"/>
  <c r="AC927" i="1"/>
  <c r="T856" i="1"/>
  <c r="U856" i="1"/>
  <c r="V856" i="1"/>
  <c r="W856" i="1"/>
  <c r="X856" i="1"/>
  <c r="Y856" i="1"/>
  <c r="Z856" i="1"/>
  <c r="AA856" i="1"/>
  <c r="AB856" i="1"/>
  <c r="AC856" i="1"/>
  <c r="T501" i="1"/>
  <c r="U501" i="1"/>
  <c r="V501" i="1"/>
  <c r="W501" i="1"/>
  <c r="X501" i="1"/>
  <c r="Y501" i="1"/>
  <c r="Z501" i="1"/>
  <c r="AA501" i="1"/>
  <c r="AB501" i="1"/>
  <c r="AC501" i="1"/>
  <c r="T224" i="1"/>
  <c r="U224" i="1"/>
  <c r="V224" i="1"/>
  <c r="W224" i="1"/>
  <c r="X224" i="1"/>
  <c r="Y224" i="1"/>
  <c r="Z224" i="1"/>
  <c r="AA224" i="1"/>
  <c r="AB224" i="1"/>
  <c r="AC224" i="1"/>
  <c r="T153" i="1"/>
  <c r="U153" i="1"/>
  <c r="V153" i="1"/>
  <c r="W153" i="1"/>
  <c r="X153" i="1"/>
  <c r="Y153" i="1"/>
  <c r="Z153" i="1"/>
  <c r="AA153" i="1"/>
  <c r="AB153" i="1"/>
  <c r="AC153" i="1"/>
  <c r="T174" i="1"/>
  <c r="U174" i="1"/>
  <c r="V174" i="1"/>
  <c r="W174" i="1"/>
  <c r="X174" i="1"/>
  <c r="Y174" i="1"/>
  <c r="Z174" i="1"/>
  <c r="AA174" i="1"/>
  <c r="AB174" i="1"/>
  <c r="AC174" i="1"/>
  <c r="T476" i="1"/>
  <c r="U476" i="1"/>
  <c r="V476" i="1"/>
  <c r="W476" i="1"/>
  <c r="X476" i="1"/>
  <c r="Y476" i="1"/>
  <c r="Z476" i="1"/>
  <c r="AA476" i="1"/>
  <c r="AB476" i="1"/>
  <c r="AC476" i="1"/>
  <c r="T563" i="1"/>
  <c r="U563" i="1"/>
  <c r="V563" i="1"/>
  <c r="W563" i="1"/>
  <c r="X563" i="1"/>
  <c r="Y563" i="1"/>
  <c r="Z563" i="1"/>
  <c r="AA563" i="1"/>
  <c r="AB563" i="1"/>
  <c r="AC563" i="1"/>
  <c r="T823" i="1"/>
  <c r="U823" i="1"/>
  <c r="V823" i="1"/>
  <c r="W823" i="1"/>
  <c r="X823" i="1"/>
  <c r="Y823" i="1"/>
  <c r="Z823" i="1"/>
  <c r="AA823" i="1"/>
  <c r="AB823" i="1"/>
  <c r="AC823" i="1"/>
  <c r="T830" i="1"/>
  <c r="U830" i="1"/>
  <c r="V830" i="1"/>
  <c r="W830" i="1"/>
  <c r="X830" i="1"/>
  <c r="Y830" i="1"/>
  <c r="Z830" i="1"/>
  <c r="AA830" i="1"/>
  <c r="AB830" i="1"/>
  <c r="AC830" i="1"/>
  <c r="T284" i="1"/>
  <c r="U284" i="1"/>
  <c r="V284" i="1"/>
  <c r="W284" i="1"/>
  <c r="X284" i="1"/>
  <c r="Y284" i="1"/>
  <c r="Z284" i="1"/>
  <c r="AA284" i="1"/>
  <c r="AB284" i="1"/>
  <c r="AC284" i="1"/>
  <c r="T480" i="1"/>
  <c r="U480" i="1"/>
  <c r="V480" i="1"/>
  <c r="W480" i="1"/>
  <c r="X480" i="1"/>
  <c r="Y480" i="1"/>
  <c r="Z480" i="1"/>
  <c r="AA480" i="1"/>
  <c r="AB480" i="1"/>
  <c r="AC480" i="1"/>
  <c r="T320" i="1"/>
  <c r="U320" i="1"/>
  <c r="V320" i="1"/>
  <c r="W320" i="1"/>
  <c r="X320" i="1"/>
  <c r="Y320" i="1"/>
  <c r="Z320" i="1"/>
  <c r="AA320" i="1"/>
  <c r="AB320" i="1"/>
  <c r="AC320" i="1"/>
  <c r="T19" i="1"/>
  <c r="U19" i="1"/>
  <c r="V19" i="1"/>
  <c r="W19" i="1"/>
  <c r="X19" i="1"/>
  <c r="Y19" i="1"/>
  <c r="Z19" i="1"/>
  <c r="AA19" i="1"/>
  <c r="AB19" i="1"/>
  <c r="AC19" i="1"/>
  <c r="T354" i="1"/>
  <c r="U354" i="1"/>
  <c r="V354" i="1"/>
  <c r="W354" i="1"/>
  <c r="X354" i="1"/>
  <c r="Y354" i="1"/>
  <c r="Z354" i="1"/>
  <c r="AA354" i="1"/>
  <c r="AB354" i="1"/>
  <c r="AC354" i="1"/>
  <c r="T795" i="1"/>
  <c r="U795" i="1"/>
  <c r="V795" i="1"/>
  <c r="W795" i="1"/>
  <c r="X795" i="1"/>
  <c r="Y795" i="1"/>
  <c r="Z795" i="1"/>
  <c r="AA795" i="1"/>
  <c r="AB795" i="1"/>
  <c r="AC795" i="1"/>
  <c r="T426" i="1"/>
  <c r="U426" i="1"/>
  <c r="V426" i="1"/>
  <c r="W426" i="1"/>
  <c r="X426" i="1"/>
  <c r="Y426" i="1"/>
  <c r="Z426" i="1"/>
  <c r="AA426" i="1"/>
  <c r="AB426" i="1"/>
  <c r="AC426" i="1"/>
  <c r="T144" i="1"/>
  <c r="U144" i="1"/>
  <c r="V144" i="1"/>
  <c r="W144" i="1"/>
  <c r="X144" i="1"/>
  <c r="Y144" i="1"/>
  <c r="Z144" i="1"/>
  <c r="AA144" i="1"/>
  <c r="AB144" i="1"/>
  <c r="AC144" i="1"/>
  <c r="T959" i="1"/>
  <c r="U959" i="1"/>
  <c r="V959" i="1"/>
  <c r="W959" i="1"/>
  <c r="X959" i="1"/>
  <c r="Y959" i="1"/>
  <c r="Z959" i="1"/>
  <c r="AA959" i="1"/>
  <c r="AB959" i="1"/>
  <c r="AC959" i="1"/>
  <c r="T491" i="1"/>
  <c r="U491" i="1"/>
  <c r="V491" i="1"/>
  <c r="W491" i="1"/>
  <c r="X491" i="1"/>
  <c r="Y491" i="1"/>
  <c r="Z491" i="1"/>
  <c r="AA491" i="1"/>
  <c r="AB491" i="1"/>
  <c r="AC491" i="1"/>
  <c r="T120" i="1"/>
  <c r="U120" i="1"/>
  <c r="V120" i="1"/>
  <c r="W120" i="1"/>
  <c r="X120" i="1"/>
  <c r="Y120" i="1"/>
  <c r="Z120" i="1"/>
  <c r="AA120" i="1"/>
  <c r="AB120" i="1"/>
  <c r="AC120" i="1"/>
  <c r="T168" i="1"/>
  <c r="U168" i="1"/>
  <c r="V168" i="1"/>
  <c r="W168" i="1"/>
  <c r="X168" i="1"/>
  <c r="Y168" i="1"/>
  <c r="Z168" i="1"/>
  <c r="AA168" i="1"/>
  <c r="AB168" i="1"/>
  <c r="AC168" i="1"/>
  <c r="T394" i="1"/>
  <c r="U394" i="1"/>
  <c r="V394" i="1"/>
  <c r="W394" i="1"/>
  <c r="X394" i="1"/>
  <c r="Y394" i="1"/>
  <c r="Z394" i="1"/>
  <c r="AA394" i="1"/>
  <c r="AB394" i="1"/>
  <c r="AC394" i="1"/>
  <c r="T729" i="1"/>
  <c r="U729" i="1"/>
  <c r="V729" i="1"/>
  <c r="W729" i="1"/>
  <c r="X729" i="1"/>
  <c r="Y729" i="1"/>
  <c r="Z729" i="1"/>
  <c r="AA729" i="1"/>
  <c r="AB729" i="1"/>
  <c r="AC729" i="1"/>
  <c r="T1019" i="1"/>
  <c r="U1019" i="1"/>
  <c r="V1019" i="1"/>
  <c r="W1019" i="1"/>
  <c r="X1019" i="1"/>
  <c r="Y1019" i="1"/>
  <c r="Z1019" i="1"/>
  <c r="AA1019" i="1"/>
  <c r="AB1019" i="1"/>
  <c r="AC1019" i="1"/>
  <c r="T995" i="1"/>
  <c r="U995" i="1"/>
  <c r="V995" i="1"/>
  <c r="W995" i="1"/>
  <c r="X995" i="1"/>
  <c r="Y995" i="1"/>
  <c r="Z995" i="1"/>
  <c r="AA995" i="1"/>
  <c r="AB995" i="1"/>
  <c r="AC995" i="1"/>
  <c r="T412" i="1"/>
  <c r="U412" i="1"/>
  <c r="V412" i="1"/>
  <c r="W412" i="1"/>
  <c r="X412" i="1"/>
  <c r="Y412" i="1"/>
  <c r="Z412" i="1"/>
  <c r="AA412" i="1"/>
  <c r="AB412" i="1"/>
  <c r="AC412" i="1"/>
  <c r="T1068" i="1"/>
  <c r="U1068" i="1"/>
  <c r="V1068" i="1"/>
  <c r="W1068" i="1"/>
  <c r="X1068" i="1"/>
  <c r="Y1068" i="1"/>
  <c r="Z1068" i="1"/>
  <c r="AA1068" i="1"/>
  <c r="AB1068" i="1"/>
  <c r="AC1068" i="1"/>
  <c r="T945" i="1"/>
  <c r="U945" i="1"/>
  <c r="V945" i="1"/>
  <c r="W945" i="1"/>
  <c r="X945" i="1"/>
  <c r="Y945" i="1"/>
  <c r="Z945" i="1"/>
  <c r="AA945" i="1"/>
  <c r="AB945" i="1"/>
  <c r="AC945" i="1"/>
  <c r="T820" i="1"/>
  <c r="U820" i="1"/>
  <c r="V820" i="1"/>
  <c r="W820" i="1"/>
  <c r="X820" i="1"/>
  <c r="Y820" i="1"/>
  <c r="Z820" i="1"/>
  <c r="AA820" i="1"/>
  <c r="AB820" i="1"/>
  <c r="AC820" i="1"/>
  <c r="T1041" i="1"/>
  <c r="U1041" i="1"/>
  <c r="V1041" i="1"/>
  <c r="W1041" i="1"/>
  <c r="X1041" i="1"/>
  <c r="Y1041" i="1"/>
  <c r="Z1041" i="1"/>
  <c r="AA1041" i="1"/>
  <c r="AB1041" i="1"/>
  <c r="AC1041" i="1"/>
  <c r="T648" i="1"/>
  <c r="U648" i="1"/>
  <c r="V648" i="1"/>
  <c r="W648" i="1"/>
  <c r="X648" i="1"/>
  <c r="Y648" i="1"/>
  <c r="Z648" i="1"/>
  <c r="AA648" i="1"/>
  <c r="AB648" i="1"/>
  <c r="AC648" i="1"/>
  <c r="T754" i="1"/>
  <c r="U754" i="1"/>
  <c r="V754" i="1"/>
  <c r="W754" i="1"/>
  <c r="X754" i="1"/>
  <c r="Y754" i="1"/>
  <c r="Z754" i="1"/>
  <c r="AA754" i="1"/>
  <c r="AB754" i="1"/>
  <c r="AC754" i="1"/>
  <c r="T615" i="1"/>
  <c r="U615" i="1"/>
  <c r="V615" i="1"/>
  <c r="W615" i="1"/>
  <c r="X615" i="1"/>
  <c r="Y615" i="1"/>
  <c r="Z615" i="1"/>
  <c r="AA615" i="1"/>
  <c r="AB615" i="1"/>
  <c r="AC615" i="1"/>
  <c r="T117" i="1"/>
  <c r="U117" i="1"/>
  <c r="V117" i="1"/>
  <c r="W117" i="1"/>
  <c r="X117" i="1"/>
  <c r="Y117" i="1"/>
  <c r="Z117" i="1"/>
  <c r="AA117" i="1"/>
  <c r="AB117" i="1"/>
  <c r="AC117" i="1"/>
  <c r="T758" i="1"/>
  <c r="U758" i="1"/>
  <c r="V758" i="1"/>
  <c r="W758" i="1"/>
  <c r="X758" i="1"/>
  <c r="Y758" i="1"/>
  <c r="Z758" i="1"/>
  <c r="AA758" i="1"/>
  <c r="AB758" i="1"/>
  <c r="AC758" i="1"/>
  <c r="T997" i="1"/>
  <c r="U997" i="1"/>
  <c r="V997" i="1"/>
  <c r="W997" i="1"/>
  <c r="X997" i="1"/>
  <c r="Y997" i="1"/>
  <c r="Z997" i="1"/>
  <c r="AA997" i="1"/>
  <c r="AB997" i="1"/>
  <c r="AC997" i="1"/>
  <c r="T294" i="1"/>
  <c r="U294" i="1"/>
  <c r="V294" i="1"/>
  <c r="W294" i="1"/>
  <c r="X294" i="1"/>
  <c r="Y294" i="1"/>
  <c r="Z294" i="1"/>
  <c r="AA294" i="1"/>
  <c r="AB294" i="1"/>
  <c r="AC294" i="1"/>
  <c r="T720" i="1"/>
  <c r="U720" i="1"/>
  <c r="V720" i="1"/>
  <c r="W720" i="1"/>
  <c r="X720" i="1"/>
  <c r="Y720" i="1"/>
  <c r="Z720" i="1"/>
  <c r="AA720" i="1"/>
  <c r="AB720" i="1"/>
  <c r="AC720" i="1"/>
  <c r="T583" i="1"/>
  <c r="U583" i="1"/>
  <c r="V583" i="1"/>
  <c r="W583" i="1"/>
  <c r="X583" i="1"/>
  <c r="Y583" i="1"/>
  <c r="Z583" i="1"/>
  <c r="AA583" i="1"/>
  <c r="AB583" i="1"/>
  <c r="AC583" i="1"/>
  <c r="T124" i="1"/>
  <c r="U124" i="1"/>
  <c r="V124" i="1"/>
  <c r="W124" i="1"/>
  <c r="X124" i="1"/>
  <c r="Y124" i="1"/>
  <c r="Z124" i="1"/>
  <c r="AA124" i="1"/>
  <c r="AB124" i="1"/>
  <c r="AC124" i="1"/>
  <c r="T190" i="1"/>
  <c r="U190" i="1"/>
  <c r="V190" i="1"/>
  <c r="W190" i="1"/>
  <c r="X190" i="1"/>
  <c r="Y190" i="1"/>
  <c r="Z190" i="1"/>
  <c r="AA190" i="1"/>
  <c r="AB190" i="1"/>
  <c r="AC190" i="1"/>
  <c r="T1009" i="1"/>
  <c r="U1009" i="1"/>
  <c r="V1009" i="1"/>
  <c r="W1009" i="1"/>
  <c r="X1009" i="1"/>
  <c r="Y1009" i="1"/>
  <c r="Z1009" i="1"/>
  <c r="AA1009" i="1"/>
  <c r="AB1009" i="1"/>
  <c r="AC1009" i="1"/>
  <c r="T866" i="1"/>
  <c r="U866" i="1"/>
  <c r="V866" i="1"/>
  <c r="W866" i="1"/>
  <c r="X866" i="1"/>
  <c r="Y866" i="1"/>
  <c r="Z866" i="1"/>
  <c r="AA866" i="1"/>
  <c r="AB866" i="1"/>
  <c r="AC866" i="1"/>
  <c r="T894" i="1"/>
  <c r="U894" i="1"/>
  <c r="V894" i="1"/>
  <c r="W894" i="1"/>
  <c r="X894" i="1"/>
  <c r="Y894" i="1"/>
  <c r="Z894" i="1"/>
  <c r="AA894" i="1"/>
  <c r="AB894" i="1"/>
  <c r="AC894" i="1"/>
  <c r="T1076" i="1"/>
  <c r="U1076" i="1"/>
  <c r="V1076" i="1"/>
  <c r="W1076" i="1"/>
  <c r="X1076" i="1"/>
  <c r="Y1076" i="1"/>
  <c r="Z1076" i="1"/>
  <c r="AA1076" i="1"/>
  <c r="AB1076" i="1"/>
  <c r="AC1076" i="1"/>
  <c r="T1030" i="1"/>
  <c r="U1030" i="1"/>
  <c r="V1030" i="1"/>
  <c r="W1030" i="1"/>
  <c r="X1030" i="1"/>
  <c r="Y1030" i="1"/>
  <c r="Z1030" i="1"/>
  <c r="AA1030" i="1"/>
  <c r="AB1030" i="1"/>
  <c r="AC1030" i="1"/>
  <c r="T382" i="1"/>
  <c r="U382" i="1"/>
  <c r="V382" i="1"/>
  <c r="W382" i="1"/>
  <c r="X382" i="1"/>
  <c r="Y382" i="1"/>
  <c r="Z382" i="1"/>
  <c r="AA382" i="1"/>
  <c r="AB382" i="1"/>
  <c r="AC382" i="1"/>
  <c r="T604" i="1"/>
  <c r="U604" i="1"/>
  <c r="V604" i="1"/>
  <c r="W604" i="1"/>
  <c r="X604" i="1"/>
  <c r="Y604" i="1"/>
  <c r="Z604" i="1"/>
  <c r="AA604" i="1"/>
  <c r="AB604" i="1"/>
  <c r="AC604" i="1"/>
  <c r="T636" i="1"/>
  <c r="U636" i="1"/>
  <c r="V636" i="1"/>
  <c r="W636" i="1"/>
  <c r="X636" i="1"/>
  <c r="Y636" i="1"/>
  <c r="Z636" i="1"/>
  <c r="AA636" i="1"/>
  <c r="AB636" i="1"/>
  <c r="AC636" i="1"/>
  <c r="T316" i="1"/>
  <c r="U316" i="1"/>
  <c r="V316" i="1"/>
  <c r="W316" i="1"/>
  <c r="X316" i="1"/>
  <c r="Y316" i="1"/>
  <c r="Z316" i="1"/>
  <c r="AA316" i="1"/>
  <c r="AB316" i="1"/>
  <c r="AC316" i="1"/>
  <c r="T884" i="1"/>
  <c r="U884" i="1"/>
  <c r="V884" i="1"/>
  <c r="W884" i="1"/>
  <c r="X884" i="1"/>
  <c r="Y884" i="1"/>
  <c r="Z884" i="1"/>
  <c r="AA884" i="1"/>
  <c r="AB884" i="1"/>
  <c r="AC884" i="1"/>
  <c r="T297" i="1"/>
  <c r="U297" i="1"/>
  <c r="V297" i="1"/>
  <c r="W297" i="1"/>
  <c r="X297" i="1"/>
  <c r="Y297" i="1"/>
  <c r="Z297" i="1"/>
  <c r="AA297" i="1"/>
  <c r="AB297" i="1"/>
  <c r="AC297" i="1"/>
  <c r="T870" i="1"/>
  <c r="U870" i="1"/>
  <c r="V870" i="1"/>
  <c r="W870" i="1"/>
  <c r="X870" i="1"/>
  <c r="Y870" i="1"/>
  <c r="Z870" i="1"/>
  <c r="AA870" i="1"/>
  <c r="AB870" i="1"/>
  <c r="AC870" i="1"/>
  <c r="T914" i="1"/>
  <c r="U914" i="1"/>
  <c r="V914" i="1"/>
  <c r="W914" i="1"/>
  <c r="X914" i="1"/>
  <c r="Y914" i="1"/>
  <c r="Z914" i="1"/>
  <c r="AA914" i="1"/>
  <c r="AB914" i="1"/>
  <c r="AC914" i="1"/>
  <c r="T111" i="1"/>
  <c r="U111" i="1"/>
  <c r="V111" i="1"/>
  <c r="W111" i="1"/>
  <c r="X111" i="1"/>
  <c r="Y111" i="1"/>
  <c r="Z111" i="1"/>
  <c r="AA111" i="1"/>
  <c r="AB111" i="1"/>
  <c r="AC111" i="1"/>
  <c r="T67" i="1"/>
  <c r="U67" i="1"/>
  <c r="V67" i="1"/>
  <c r="W67" i="1"/>
  <c r="X67" i="1"/>
  <c r="Y67" i="1"/>
  <c r="Z67" i="1"/>
  <c r="AA67" i="1"/>
  <c r="AB67" i="1"/>
  <c r="AC67" i="1"/>
  <c r="T909" i="1"/>
  <c r="U909" i="1"/>
  <c r="V909" i="1"/>
  <c r="W909" i="1"/>
  <c r="X909" i="1"/>
  <c r="Y909" i="1"/>
  <c r="Z909" i="1"/>
  <c r="AA909" i="1"/>
  <c r="AB909" i="1"/>
  <c r="AC909" i="1"/>
  <c r="T991" i="1"/>
  <c r="U991" i="1"/>
  <c r="V991" i="1"/>
  <c r="W991" i="1"/>
  <c r="X991" i="1"/>
  <c r="Y991" i="1"/>
  <c r="Z991" i="1"/>
  <c r="AA991" i="1"/>
  <c r="AB991" i="1"/>
  <c r="AC991" i="1"/>
  <c r="T948" i="1"/>
  <c r="U948" i="1"/>
  <c r="V948" i="1"/>
  <c r="W948" i="1"/>
  <c r="X948" i="1"/>
  <c r="Y948" i="1"/>
  <c r="Z948" i="1"/>
  <c r="AA948" i="1"/>
  <c r="AB948" i="1"/>
  <c r="AC948" i="1"/>
  <c r="T464" i="1"/>
  <c r="U464" i="1"/>
  <c r="V464" i="1"/>
  <c r="W464" i="1"/>
  <c r="X464" i="1"/>
  <c r="Y464" i="1"/>
  <c r="Z464" i="1"/>
  <c r="AA464" i="1"/>
  <c r="AB464" i="1"/>
  <c r="AC464" i="1"/>
  <c r="T913" i="1"/>
  <c r="U913" i="1"/>
  <c r="V913" i="1"/>
  <c r="W913" i="1"/>
  <c r="X913" i="1"/>
  <c r="Y913" i="1"/>
  <c r="Z913" i="1"/>
  <c r="AA913" i="1"/>
  <c r="AB913" i="1"/>
  <c r="AC913" i="1"/>
  <c r="T131" i="1"/>
  <c r="U131" i="1"/>
  <c r="V131" i="1"/>
  <c r="W131" i="1"/>
  <c r="X131" i="1"/>
  <c r="Y131" i="1"/>
  <c r="Z131" i="1"/>
  <c r="AA131" i="1"/>
  <c r="AB131" i="1"/>
  <c r="AC131" i="1"/>
  <c r="T1074" i="1"/>
  <c r="U1074" i="1"/>
  <c r="V1074" i="1"/>
  <c r="W1074" i="1"/>
  <c r="X1074" i="1"/>
  <c r="Y1074" i="1"/>
  <c r="Z1074" i="1"/>
  <c r="AA1074" i="1"/>
  <c r="AB1074" i="1"/>
  <c r="AC1074" i="1"/>
  <c r="T819" i="1"/>
  <c r="U819" i="1"/>
  <c r="V819" i="1"/>
  <c r="W819" i="1"/>
  <c r="X819" i="1"/>
  <c r="Y819" i="1"/>
  <c r="Z819" i="1"/>
  <c r="AA819" i="1"/>
  <c r="AB819" i="1"/>
  <c r="AC819" i="1"/>
  <c r="T1071" i="1"/>
  <c r="U1071" i="1"/>
  <c r="V1071" i="1"/>
  <c r="W1071" i="1"/>
  <c r="X1071" i="1"/>
  <c r="Y1071" i="1"/>
  <c r="Z1071" i="1"/>
  <c r="AA1071" i="1"/>
  <c r="AB1071" i="1"/>
  <c r="AC1071" i="1"/>
  <c r="T682" i="1"/>
  <c r="U682" i="1"/>
  <c r="V682" i="1"/>
  <c r="W682" i="1"/>
  <c r="X682" i="1"/>
  <c r="Y682" i="1"/>
  <c r="Z682" i="1"/>
  <c r="AA682" i="1"/>
  <c r="AB682" i="1"/>
  <c r="AC682" i="1"/>
  <c r="T1042" i="1"/>
  <c r="U1042" i="1"/>
  <c r="V1042" i="1"/>
  <c r="W1042" i="1"/>
  <c r="X1042" i="1"/>
  <c r="Y1042" i="1"/>
  <c r="Z1042" i="1"/>
  <c r="AA1042" i="1"/>
  <c r="AB1042" i="1"/>
  <c r="AC1042" i="1"/>
  <c r="T933" i="1"/>
  <c r="U933" i="1"/>
  <c r="V933" i="1"/>
  <c r="W933" i="1"/>
  <c r="X933" i="1"/>
  <c r="Y933" i="1"/>
  <c r="Z933" i="1"/>
  <c r="AA933" i="1"/>
  <c r="AB933" i="1"/>
  <c r="AC933" i="1"/>
  <c r="T598" i="1"/>
  <c r="U598" i="1"/>
  <c r="V598" i="1"/>
  <c r="W598" i="1"/>
  <c r="X598" i="1"/>
  <c r="Y598" i="1"/>
  <c r="Z598" i="1"/>
  <c r="AA598" i="1"/>
  <c r="AB598" i="1"/>
  <c r="AC598" i="1"/>
  <c r="T267" i="1"/>
  <c r="U267" i="1"/>
  <c r="V267" i="1"/>
  <c r="W267" i="1"/>
  <c r="X267" i="1"/>
  <c r="Y267" i="1"/>
  <c r="Z267" i="1"/>
  <c r="AA267" i="1"/>
  <c r="AB267" i="1"/>
  <c r="AC267" i="1"/>
  <c r="T843" i="1"/>
  <c r="U843" i="1"/>
  <c r="V843" i="1"/>
  <c r="W843" i="1"/>
  <c r="X843" i="1"/>
  <c r="Y843" i="1"/>
  <c r="Z843" i="1"/>
  <c r="AA843" i="1"/>
  <c r="AB843" i="1"/>
  <c r="AC843" i="1"/>
  <c r="T602" i="1"/>
  <c r="U602" i="1"/>
  <c r="V602" i="1"/>
  <c r="W602" i="1"/>
  <c r="X602" i="1"/>
  <c r="Y602" i="1"/>
  <c r="Z602" i="1"/>
  <c r="AA602" i="1"/>
  <c r="AB602" i="1"/>
  <c r="AC602" i="1"/>
  <c r="T954" i="1"/>
  <c r="U954" i="1"/>
  <c r="V954" i="1"/>
  <c r="W954" i="1"/>
  <c r="X954" i="1"/>
  <c r="Y954" i="1"/>
  <c r="Z954" i="1"/>
  <c r="AA954" i="1"/>
  <c r="AB954" i="1"/>
  <c r="AC954" i="1"/>
  <c r="T1038" i="1"/>
  <c r="U1038" i="1"/>
  <c r="V1038" i="1"/>
  <c r="W1038" i="1"/>
  <c r="X1038" i="1"/>
  <c r="Y1038" i="1"/>
  <c r="Z1038" i="1"/>
  <c r="AA1038" i="1"/>
  <c r="AB1038" i="1"/>
  <c r="AC1038" i="1"/>
  <c r="T793" i="1"/>
  <c r="U793" i="1"/>
  <c r="V793" i="1"/>
  <c r="W793" i="1"/>
  <c r="X793" i="1"/>
  <c r="Y793" i="1"/>
  <c r="Z793" i="1"/>
  <c r="AA793" i="1"/>
  <c r="AB793" i="1"/>
  <c r="AC793" i="1"/>
  <c r="T263" i="1"/>
  <c r="U263" i="1"/>
  <c r="V263" i="1"/>
  <c r="W263" i="1"/>
  <c r="X263" i="1"/>
  <c r="Y263" i="1"/>
  <c r="Z263" i="1"/>
  <c r="AA263" i="1"/>
  <c r="AB263" i="1"/>
  <c r="AC263" i="1"/>
  <c r="T329" i="1"/>
  <c r="U329" i="1"/>
  <c r="V329" i="1"/>
  <c r="W329" i="1"/>
  <c r="X329" i="1"/>
  <c r="Y329" i="1"/>
  <c r="Z329" i="1"/>
  <c r="AA329" i="1"/>
  <c r="AB329" i="1"/>
  <c r="AC329" i="1"/>
  <c r="T712" i="1"/>
  <c r="U712" i="1"/>
  <c r="V712" i="1"/>
  <c r="W712" i="1"/>
  <c r="X712" i="1"/>
  <c r="Y712" i="1"/>
  <c r="Z712" i="1"/>
  <c r="AA712" i="1"/>
  <c r="AB712" i="1"/>
  <c r="AC712" i="1"/>
  <c r="T208" i="1"/>
  <c r="U208" i="1"/>
  <c r="V208" i="1"/>
  <c r="W208" i="1"/>
  <c r="X208" i="1"/>
  <c r="Y208" i="1"/>
  <c r="Z208" i="1"/>
  <c r="AA208" i="1"/>
  <c r="AB208" i="1"/>
  <c r="AC208" i="1"/>
  <c r="T102" i="1"/>
  <c r="U102" i="1"/>
  <c r="V102" i="1"/>
  <c r="W102" i="1"/>
  <c r="X102" i="1"/>
  <c r="Y102" i="1"/>
  <c r="Z102" i="1"/>
  <c r="AA102" i="1"/>
  <c r="AB102" i="1"/>
  <c r="AC102" i="1"/>
  <c r="T50" i="1"/>
  <c r="U50" i="1"/>
  <c r="V50" i="1"/>
  <c r="W50" i="1"/>
  <c r="X50" i="1"/>
  <c r="Y50" i="1"/>
  <c r="Z50" i="1"/>
  <c r="AA50" i="1"/>
  <c r="AB50" i="1"/>
  <c r="AC50" i="1"/>
  <c r="T664" i="1"/>
  <c r="U664" i="1"/>
  <c r="V664" i="1"/>
  <c r="W664" i="1"/>
  <c r="X664" i="1"/>
  <c r="Y664" i="1"/>
  <c r="Z664" i="1"/>
  <c r="AA664" i="1"/>
  <c r="AB664" i="1"/>
  <c r="AC664" i="1"/>
  <c r="T546" i="1"/>
  <c r="U546" i="1"/>
  <c r="V546" i="1"/>
  <c r="W546" i="1"/>
  <c r="X546" i="1"/>
  <c r="Y546" i="1"/>
  <c r="Z546" i="1"/>
  <c r="AA546" i="1"/>
  <c r="AB546" i="1"/>
  <c r="AC546" i="1"/>
  <c r="T367" i="1"/>
  <c r="U367" i="1"/>
  <c r="V367" i="1"/>
  <c r="W367" i="1"/>
  <c r="X367" i="1"/>
  <c r="Y367" i="1"/>
  <c r="Z367" i="1"/>
  <c r="AA367" i="1"/>
  <c r="AB367" i="1"/>
  <c r="AC367" i="1"/>
  <c r="T444" i="1"/>
  <c r="U444" i="1"/>
  <c r="V444" i="1"/>
  <c r="W444" i="1"/>
  <c r="X444" i="1"/>
  <c r="Y444" i="1"/>
  <c r="Z444" i="1"/>
  <c r="AA444" i="1"/>
  <c r="AB444" i="1"/>
  <c r="AC444" i="1"/>
  <c r="T694" i="1"/>
  <c r="U694" i="1"/>
  <c r="V694" i="1"/>
  <c r="W694" i="1"/>
  <c r="X694" i="1"/>
  <c r="Y694" i="1"/>
  <c r="Z694" i="1"/>
  <c r="AA694" i="1"/>
  <c r="AB694" i="1"/>
  <c r="AC694" i="1"/>
  <c r="T907" i="1"/>
  <c r="U907" i="1"/>
  <c r="V907" i="1"/>
  <c r="W907" i="1"/>
  <c r="X907" i="1"/>
  <c r="Y907" i="1"/>
  <c r="Z907" i="1"/>
  <c r="AA907" i="1"/>
  <c r="AB907" i="1"/>
  <c r="AC907" i="1"/>
  <c r="T1073" i="1"/>
  <c r="U1073" i="1"/>
  <c r="V1073" i="1"/>
  <c r="W1073" i="1"/>
  <c r="X1073" i="1"/>
  <c r="Y1073" i="1"/>
  <c r="Z1073" i="1"/>
  <c r="AA1073" i="1"/>
  <c r="AB1073" i="1"/>
  <c r="AC1073" i="1"/>
  <c r="T716" i="1"/>
  <c r="U716" i="1"/>
  <c r="V716" i="1"/>
  <c r="W716" i="1"/>
  <c r="X716" i="1"/>
  <c r="Y716" i="1"/>
  <c r="Z716" i="1"/>
  <c r="AA716" i="1"/>
  <c r="AB716" i="1"/>
  <c r="AC716" i="1"/>
  <c r="T644" i="1"/>
  <c r="U644" i="1"/>
  <c r="V644" i="1"/>
  <c r="W644" i="1"/>
  <c r="X644" i="1"/>
  <c r="Y644" i="1"/>
  <c r="Z644" i="1"/>
  <c r="AA644" i="1"/>
  <c r="AB644" i="1"/>
  <c r="AC644" i="1"/>
  <c r="T711" i="1"/>
  <c r="U711" i="1"/>
  <c r="V711" i="1"/>
  <c r="W711" i="1"/>
  <c r="X711" i="1"/>
  <c r="Y711" i="1"/>
  <c r="Z711" i="1"/>
  <c r="AA711" i="1"/>
  <c r="AB711" i="1"/>
  <c r="AC711" i="1"/>
  <c r="T57" i="1"/>
  <c r="U57" i="1"/>
  <c r="V57" i="1"/>
  <c r="W57" i="1"/>
  <c r="X57" i="1"/>
  <c r="Y57" i="1"/>
  <c r="Z57" i="1"/>
  <c r="AA57" i="1"/>
  <c r="AB57" i="1"/>
  <c r="AC57" i="1"/>
  <c r="T88" i="1"/>
  <c r="U88" i="1"/>
  <c r="V88" i="1"/>
  <c r="W88" i="1"/>
  <c r="X88" i="1"/>
  <c r="Y88" i="1"/>
  <c r="Z88" i="1"/>
  <c r="AA88" i="1"/>
  <c r="AB88" i="1"/>
  <c r="AC88" i="1"/>
  <c r="T25" i="1"/>
  <c r="U25" i="1"/>
  <c r="V25" i="1"/>
  <c r="W25" i="1"/>
  <c r="X25" i="1"/>
  <c r="Y25" i="1"/>
  <c r="Z25" i="1"/>
  <c r="AA25" i="1"/>
  <c r="AB25" i="1"/>
  <c r="AC25" i="1"/>
  <c r="T595" i="1"/>
  <c r="U595" i="1"/>
  <c r="V595" i="1"/>
  <c r="W595" i="1"/>
  <c r="X595" i="1"/>
  <c r="Y595" i="1"/>
  <c r="Z595" i="1"/>
  <c r="AA595" i="1"/>
  <c r="AB595" i="1"/>
  <c r="AC595" i="1"/>
  <c r="T867" i="1"/>
  <c r="U867" i="1"/>
  <c r="V867" i="1"/>
  <c r="W867" i="1"/>
  <c r="X867" i="1"/>
  <c r="Y867" i="1"/>
  <c r="Z867" i="1"/>
  <c r="AA867" i="1"/>
  <c r="AB867" i="1"/>
  <c r="AC867" i="1"/>
  <c r="T900" i="1"/>
  <c r="U900" i="1"/>
  <c r="V900" i="1"/>
  <c r="W900" i="1"/>
  <c r="X900" i="1"/>
  <c r="Y900" i="1"/>
  <c r="Z900" i="1"/>
  <c r="AA900" i="1"/>
  <c r="AB900" i="1"/>
  <c r="AC900" i="1"/>
  <c r="T696" i="1"/>
  <c r="U696" i="1"/>
  <c r="V696" i="1"/>
  <c r="W696" i="1"/>
  <c r="X696" i="1"/>
  <c r="Y696" i="1"/>
  <c r="Z696" i="1"/>
  <c r="AA696" i="1"/>
  <c r="AB696" i="1"/>
  <c r="AC696" i="1"/>
  <c r="T148" i="1"/>
  <c r="U148" i="1"/>
  <c r="V148" i="1"/>
  <c r="W148" i="1"/>
  <c r="X148" i="1"/>
  <c r="Y148" i="1"/>
  <c r="Z148" i="1"/>
  <c r="AA148" i="1"/>
  <c r="AB148" i="1"/>
  <c r="AC148" i="1"/>
  <c r="T624" i="1"/>
  <c r="U624" i="1"/>
  <c r="V624" i="1"/>
  <c r="W624" i="1"/>
  <c r="X624" i="1"/>
  <c r="Y624" i="1"/>
  <c r="Z624" i="1"/>
  <c r="AA624" i="1"/>
  <c r="AB624" i="1"/>
  <c r="AC624" i="1"/>
  <c r="T654" i="1"/>
  <c r="U654" i="1"/>
  <c r="V654" i="1"/>
  <c r="W654" i="1"/>
  <c r="X654" i="1"/>
  <c r="Y654" i="1"/>
  <c r="Z654" i="1"/>
  <c r="AA654" i="1"/>
  <c r="AB654" i="1"/>
  <c r="AC654" i="1"/>
  <c r="T327" i="1"/>
  <c r="U327" i="1"/>
  <c r="V327" i="1"/>
  <c r="W327" i="1"/>
  <c r="X327" i="1"/>
  <c r="Y327" i="1"/>
  <c r="Z327" i="1"/>
  <c r="AA327" i="1"/>
  <c r="AB327" i="1"/>
  <c r="AC327" i="1"/>
  <c r="T937" i="1"/>
  <c r="U937" i="1"/>
  <c r="V937" i="1"/>
  <c r="W937" i="1"/>
  <c r="X937" i="1"/>
  <c r="Y937" i="1"/>
  <c r="Z937" i="1"/>
  <c r="AA937" i="1"/>
  <c r="AB937" i="1"/>
  <c r="AC937" i="1"/>
  <c r="T777" i="1"/>
  <c r="U777" i="1"/>
  <c r="V777" i="1"/>
  <c r="W777" i="1"/>
  <c r="X777" i="1"/>
  <c r="Y777" i="1"/>
  <c r="Z777" i="1"/>
  <c r="AA777" i="1"/>
  <c r="AB777" i="1"/>
  <c r="AC777" i="1"/>
  <c r="T592" i="1"/>
  <c r="U592" i="1"/>
  <c r="V592" i="1"/>
  <c r="W592" i="1"/>
  <c r="X592" i="1"/>
  <c r="Y592" i="1"/>
  <c r="Z592" i="1"/>
  <c r="AA592" i="1"/>
  <c r="AB592" i="1"/>
  <c r="AC592" i="1"/>
  <c r="T314" i="1"/>
  <c r="U314" i="1"/>
  <c r="V314" i="1"/>
  <c r="W314" i="1"/>
  <c r="X314" i="1"/>
  <c r="Y314" i="1"/>
  <c r="Z314" i="1"/>
  <c r="AA314" i="1"/>
  <c r="AB314" i="1"/>
  <c r="AC314" i="1"/>
  <c r="T579" i="1"/>
  <c r="U579" i="1"/>
  <c r="V579" i="1"/>
  <c r="W579" i="1"/>
  <c r="X579" i="1"/>
  <c r="Y579" i="1"/>
  <c r="Z579" i="1"/>
  <c r="AA579" i="1"/>
  <c r="AB579" i="1"/>
  <c r="AC579" i="1"/>
  <c r="T957" i="1"/>
  <c r="U957" i="1"/>
  <c r="V957" i="1"/>
  <c r="W957" i="1"/>
  <c r="X957" i="1"/>
  <c r="Y957" i="1"/>
  <c r="Z957" i="1"/>
  <c r="AA957" i="1"/>
  <c r="AB957" i="1"/>
  <c r="AC957" i="1"/>
  <c r="T686" i="1"/>
  <c r="U686" i="1"/>
  <c r="V686" i="1"/>
  <c r="W686" i="1"/>
  <c r="X686" i="1"/>
  <c r="Y686" i="1"/>
  <c r="Z686" i="1"/>
  <c r="AA686" i="1"/>
  <c r="AB686" i="1"/>
  <c r="AC686" i="1"/>
  <c r="T955" i="1"/>
  <c r="U955" i="1"/>
  <c r="V955" i="1"/>
  <c r="W955" i="1"/>
  <c r="X955" i="1"/>
  <c r="Y955" i="1"/>
  <c r="Z955" i="1"/>
  <c r="AA955" i="1"/>
  <c r="AB955" i="1"/>
  <c r="AC955" i="1"/>
  <c r="T400" i="1"/>
  <c r="U400" i="1"/>
  <c r="V400" i="1"/>
  <c r="W400" i="1"/>
  <c r="X400" i="1"/>
  <c r="Y400" i="1"/>
  <c r="Z400" i="1"/>
  <c r="AA400" i="1"/>
  <c r="AB400" i="1"/>
  <c r="AC400" i="1"/>
  <c r="T521" i="1"/>
  <c r="U521" i="1"/>
  <c r="V521" i="1"/>
  <c r="W521" i="1"/>
  <c r="X521" i="1"/>
  <c r="Y521" i="1"/>
  <c r="Z521" i="1"/>
  <c r="AA521" i="1"/>
  <c r="AB521" i="1"/>
  <c r="AC521" i="1"/>
  <c r="T798" i="1"/>
  <c r="U798" i="1"/>
  <c r="V798" i="1"/>
  <c r="W798" i="1"/>
  <c r="X798" i="1"/>
  <c r="Y798" i="1"/>
  <c r="Z798" i="1"/>
  <c r="AA798" i="1"/>
  <c r="AB798" i="1"/>
  <c r="AC798" i="1"/>
  <c r="T784" i="1"/>
  <c r="U784" i="1"/>
  <c r="V784" i="1"/>
  <c r="W784" i="1"/>
  <c r="X784" i="1"/>
  <c r="Y784" i="1"/>
  <c r="Z784" i="1"/>
  <c r="AA784" i="1"/>
  <c r="AB784" i="1"/>
  <c r="AC784" i="1"/>
  <c r="T984" i="1"/>
  <c r="U984" i="1"/>
  <c r="V984" i="1"/>
  <c r="W984" i="1"/>
  <c r="X984" i="1"/>
  <c r="Y984" i="1"/>
  <c r="Z984" i="1"/>
  <c r="AA984" i="1"/>
  <c r="AB984" i="1"/>
  <c r="AC984" i="1"/>
  <c r="T242" i="1"/>
  <c r="U242" i="1"/>
  <c r="V242" i="1"/>
  <c r="W242" i="1"/>
  <c r="X242" i="1"/>
  <c r="Y242" i="1"/>
  <c r="Z242" i="1"/>
  <c r="AA242" i="1"/>
  <c r="AB242" i="1"/>
  <c r="AC242" i="1"/>
  <c r="T227" i="1"/>
  <c r="U227" i="1"/>
  <c r="V227" i="1"/>
  <c r="W227" i="1"/>
  <c r="X227" i="1"/>
  <c r="Y227" i="1"/>
  <c r="Z227" i="1"/>
  <c r="AA227" i="1"/>
  <c r="AB227" i="1"/>
  <c r="AC227" i="1"/>
  <c r="T243" i="1"/>
  <c r="U243" i="1"/>
  <c r="V243" i="1"/>
  <c r="W243" i="1"/>
  <c r="X243" i="1"/>
  <c r="Y243" i="1"/>
  <c r="Z243" i="1"/>
  <c r="AA243" i="1"/>
  <c r="AB243" i="1"/>
  <c r="AC243" i="1"/>
  <c r="T739" i="1"/>
  <c r="U739" i="1"/>
  <c r="V739" i="1"/>
  <c r="W739" i="1"/>
  <c r="X739" i="1"/>
  <c r="Y739" i="1"/>
  <c r="Z739" i="1"/>
  <c r="AA739" i="1"/>
  <c r="AB739" i="1"/>
  <c r="AC739" i="1"/>
  <c r="T417" i="1"/>
  <c r="U417" i="1"/>
  <c r="V417" i="1"/>
  <c r="W417" i="1"/>
  <c r="X417" i="1"/>
  <c r="Y417" i="1"/>
  <c r="Z417" i="1"/>
  <c r="AA417" i="1"/>
  <c r="AB417" i="1"/>
  <c r="AC417" i="1"/>
  <c r="T570" i="1"/>
  <c r="U570" i="1"/>
  <c r="V570" i="1"/>
  <c r="W570" i="1"/>
  <c r="X570" i="1"/>
  <c r="Y570" i="1"/>
  <c r="Z570" i="1"/>
  <c r="AA570" i="1"/>
  <c r="AB570" i="1"/>
  <c r="AC570" i="1"/>
  <c r="T701" i="1"/>
  <c r="U701" i="1"/>
  <c r="V701" i="1"/>
  <c r="W701" i="1"/>
  <c r="X701" i="1"/>
  <c r="Y701" i="1"/>
  <c r="Z701" i="1"/>
  <c r="AA701" i="1"/>
  <c r="AB701" i="1"/>
  <c r="AC701" i="1"/>
  <c r="T564" i="1"/>
  <c r="U564" i="1"/>
  <c r="V564" i="1"/>
  <c r="W564" i="1"/>
  <c r="X564" i="1"/>
  <c r="Y564" i="1"/>
  <c r="Z564" i="1"/>
  <c r="AA564" i="1"/>
  <c r="AB564" i="1"/>
  <c r="AC564" i="1"/>
  <c r="T874" i="1"/>
  <c r="U874" i="1"/>
  <c r="V874" i="1"/>
  <c r="W874" i="1"/>
  <c r="X874" i="1"/>
  <c r="Y874" i="1"/>
  <c r="Z874" i="1"/>
  <c r="AA874" i="1"/>
  <c r="AB874" i="1"/>
  <c r="AC874" i="1"/>
  <c r="T807" i="1"/>
  <c r="U807" i="1"/>
  <c r="V807" i="1"/>
  <c r="W807" i="1"/>
  <c r="X807" i="1"/>
  <c r="Y807" i="1"/>
  <c r="Z807" i="1"/>
  <c r="AA807" i="1"/>
  <c r="AB807" i="1"/>
  <c r="AC807" i="1"/>
  <c r="T282" i="1"/>
  <c r="U282" i="1"/>
  <c r="V282" i="1"/>
  <c r="W282" i="1"/>
  <c r="X282" i="1"/>
  <c r="Y282" i="1"/>
  <c r="Z282" i="1"/>
  <c r="AA282" i="1"/>
  <c r="AB282" i="1"/>
  <c r="AC282" i="1"/>
  <c r="T794" i="1"/>
  <c r="U794" i="1"/>
  <c r="V794" i="1"/>
  <c r="W794" i="1"/>
  <c r="X794" i="1"/>
  <c r="Y794" i="1"/>
  <c r="Z794" i="1"/>
  <c r="AA794" i="1"/>
  <c r="AB794" i="1"/>
  <c r="AC794" i="1"/>
  <c r="T1062" i="1"/>
  <c r="U1062" i="1"/>
  <c r="V1062" i="1"/>
  <c r="W1062" i="1"/>
  <c r="X1062" i="1"/>
  <c r="Y1062" i="1"/>
  <c r="Z1062" i="1"/>
  <c r="AA1062" i="1"/>
  <c r="AB1062" i="1"/>
  <c r="AC1062" i="1"/>
  <c r="T925" i="1"/>
  <c r="U925" i="1"/>
  <c r="V925" i="1"/>
  <c r="W925" i="1"/>
  <c r="X925" i="1"/>
  <c r="Y925" i="1"/>
  <c r="Z925" i="1"/>
  <c r="AA925" i="1"/>
  <c r="AB925" i="1"/>
  <c r="AC925" i="1"/>
  <c r="T2" i="1"/>
  <c r="U2" i="1"/>
  <c r="V2" i="1"/>
  <c r="W2" i="1"/>
  <c r="X2" i="1"/>
  <c r="Y2" i="1"/>
  <c r="Z2" i="1"/>
  <c r="AA2" i="1"/>
  <c r="AB2" i="1"/>
  <c r="AC2" i="1"/>
  <c r="T905" i="1"/>
  <c r="U905" i="1"/>
  <c r="V905" i="1"/>
  <c r="W905" i="1"/>
  <c r="X905" i="1"/>
  <c r="Y905" i="1"/>
  <c r="Z905" i="1"/>
  <c r="AA905" i="1"/>
  <c r="AB905" i="1"/>
  <c r="AC905" i="1"/>
  <c r="T533" i="1"/>
  <c r="U533" i="1"/>
  <c r="V533" i="1"/>
  <c r="W533" i="1"/>
  <c r="X533" i="1"/>
  <c r="Y533" i="1"/>
  <c r="Z533" i="1"/>
  <c r="AA533" i="1"/>
  <c r="AB533" i="1"/>
  <c r="AC533" i="1"/>
  <c r="T9" i="1"/>
  <c r="U9" i="1"/>
  <c r="V9" i="1"/>
  <c r="W9" i="1"/>
  <c r="X9" i="1"/>
  <c r="Y9" i="1"/>
  <c r="Z9" i="1"/>
  <c r="AA9" i="1"/>
  <c r="AB9" i="1"/>
  <c r="AC9" i="1"/>
  <c r="T110" i="1"/>
  <c r="U110" i="1"/>
  <c r="V110" i="1"/>
  <c r="W110" i="1"/>
  <c r="X110" i="1"/>
  <c r="Y110" i="1"/>
  <c r="Z110" i="1"/>
  <c r="AA110" i="1"/>
  <c r="AB110" i="1"/>
  <c r="AC110" i="1"/>
  <c r="T1082" i="1"/>
  <c r="U1082" i="1"/>
  <c r="V1082" i="1"/>
  <c r="W1082" i="1"/>
  <c r="X1082" i="1"/>
  <c r="Y1082" i="1"/>
  <c r="Z1082" i="1"/>
  <c r="AA1082" i="1"/>
  <c r="AB1082" i="1"/>
  <c r="AC1082" i="1"/>
  <c r="T608" i="1"/>
  <c r="U608" i="1"/>
  <c r="V608" i="1"/>
  <c r="W608" i="1"/>
  <c r="X608" i="1"/>
  <c r="Y608" i="1"/>
  <c r="Z608" i="1"/>
  <c r="AA608" i="1"/>
  <c r="AB608" i="1"/>
  <c r="AC608" i="1"/>
  <c r="T953" i="1"/>
  <c r="U953" i="1"/>
  <c r="V953" i="1"/>
  <c r="W953" i="1"/>
  <c r="X953" i="1"/>
  <c r="Y953" i="1"/>
  <c r="Z953" i="1"/>
  <c r="AA953" i="1"/>
  <c r="AB953" i="1"/>
  <c r="AC953" i="1"/>
  <c r="T519" i="1"/>
  <c r="U519" i="1"/>
  <c r="V519" i="1"/>
  <c r="W519" i="1"/>
  <c r="X519" i="1"/>
  <c r="Y519" i="1"/>
  <c r="Z519" i="1"/>
  <c r="AA519" i="1"/>
  <c r="AB519" i="1"/>
  <c r="AC519" i="1"/>
  <c r="T956" i="1"/>
  <c r="U956" i="1"/>
  <c r="V956" i="1"/>
  <c r="W956" i="1"/>
  <c r="X956" i="1"/>
  <c r="Y956" i="1"/>
  <c r="Z956" i="1"/>
  <c r="AA956" i="1"/>
  <c r="AB956" i="1"/>
  <c r="AC956" i="1"/>
  <c r="T899" i="1"/>
  <c r="U899" i="1"/>
  <c r="V899" i="1"/>
  <c r="W899" i="1"/>
  <c r="X899" i="1"/>
  <c r="Y899" i="1"/>
  <c r="Z899" i="1"/>
  <c r="AA899" i="1"/>
  <c r="AB899" i="1"/>
  <c r="AC899" i="1"/>
  <c r="T566" i="1"/>
  <c r="U566" i="1"/>
  <c r="V566" i="1"/>
  <c r="W566" i="1"/>
  <c r="X566" i="1"/>
  <c r="Y566" i="1"/>
  <c r="Z566" i="1"/>
  <c r="AA566" i="1"/>
  <c r="AB566" i="1"/>
  <c r="AC566" i="1"/>
  <c r="T952" i="1"/>
  <c r="U952" i="1"/>
  <c r="V952" i="1"/>
  <c r="W952" i="1"/>
  <c r="X952" i="1"/>
  <c r="Y952" i="1"/>
  <c r="Z952" i="1"/>
  <c r="AA952" i="1"/>
  <c r="AB952" i="1"/>
  <c r="AC952" i="1"/>
  <c r="T717" i="1"/>
  <c r="U717" i="1"/>
  <c r="V717" i="1"/>
  <c r="W717" i="1"/>
  <c r="X717" i="1"/>
  <c r="Y717" i="1"/>
  <c r="Z717" i="1"/>
  <c r="AA717" i="1"/>
  <c r="AB717" i="1"/>
  <c r="AC717" i="1"/>
  <c r="T24" i="1"/>
  <c r="U24" i="1"/>
  <c r="V24" i="1"/>
  <c r="W24" i="1"/>
  <c r="X24" i="1"/>
  <c r="Y24" i="1"/>
  <c r="Z24" i="1"/>
  <c r="AA24" i="1"/>
  <c r="AB24" i="1"/>
  <c r="AC24" i="1"/>
  <c r="T1070" i="1"/>
  <c r="U1070" i="1"/>
  <c r="V1070" i="1"/>
  <c r="W1070" i="1"/>
  <c r="X1070" i="1"/>
  <c r="Y1070" i="1"/>
  <c r="Z1070" i="1"/>
  <c r="AA1070" i="1"/>
  <c r="AB1070" i="1"/>
  <c r="AC1070" i="1"/>
  <c r="T837" i="1"/>
  <c r="U837" i="1"/>
  <c r="V837" i="1"/>
  <c r="W837" i="1"/>
  <c r="X837" i="1"/>
  <c r="Y837" i="1"/>
  <c r="Z837" i="1"/>
  <c r="AA837" i="1"/>
  <c r="AB837" i="1"/>
  <c r="AC837" i="1"/>
  <c r="T581" i="1"/>
  <c r="U581" i="1"/>
  <c r="V581" i="1"/>
  <c r="W581" i="1"/>
  <c r="X581" i="1"/>
  <c r="Y581" i="1"/>
  <c r="Z581" i="1"/>
  <c r="AA581" i="1"/>
  <c r="AB581" i="1"/>
  <c r="AC581" i="1"/>
  <c r="T783" i="1"/>
  <c r="U783" i="1"/>
  <c r="V783" i="1"/>
  <c r="W783" i="1"/>
  <c r="X783" i="1"/>
  <c r="Y783" i="1"/>
  <c r="Z783" i="1"/>
  <c r="AA783" i="1"/>
  <c r="AB783" i="1"/>
  <c r="AC783" i="1"/>
  <c r="T1039" i="1"/>
  <c r="U1039" i="1"/>
  <c r="V1039" i="1"/>
  <c r="W1039" i="1"/>
  <c r="X1039" i="1"/>
  <c r="Y1039" i="1"/>
  <c r="Z1039" i="1"/>
  <c r="AA1039" i="1"/>
  <c r="AB1039" i="1"/>
  <c r="AC1039" i="1"/>
  <c r="T842" i="1"/>
  <c r="U842" i="1"/>
  <c r="V842" i="1"/>
  <c r="W842" i="1"/>
  <c r="X842" i="1"/>
  <c r="Y842" i="1"/>
  <c r="Z842" i="1"/>
  <c r="AA842" i="1"/>
  <c r="AB842" i="1"/>
  <c r="AC842" i="1"/>
  <c r="T1087" i="1"/>
  <c r="U1087" i="1"/>
  <c r="V1087" i="1"/>
  <c r="W1087" i="1"/>
  <c r="X1087" i="1"/>
  <c r="Y1087" i="1"/>
  <c r="Z1087" i="1"/>
  <c r="AA1087" i="1"/>
  <c r="AB1087" i="1"/>
  <c r="AC1087" i="1"/>
  <c r="T752" i="1"/>
  <c r="U752" i="1"/>
  <c r="V752" i="1"/>
  <c r="W752" i="1"/>
  <c r="X752" i="1"/>
  <c r="Y752" i="1"/>
  <c r="Z752" i="1"/>
  <c r="AA752" i="1"/>
  <c r="AB752" i="1"/>
  <c r="AC752" i="1"/>
  <c r="T101" i="1"/>
  <c r="U101" i="1"/>
  <c r="V101" i="1"/>
  <c r="W101" i="1"/>
  <c r="X101" i="1"/>
  <c r="Y101" i="1"/>
  <c r="Z101" i="1"/>
  <c r="AA101" i="1"/>
  <c r="AB101" i="1"/>
  <c r="AC101" i="1"/>
  <c r="T652" i="1"/>
  <c r="U652" i="1"/>
  <c r="V652" i="1"/>
  <c r="W652" i="1"/>
  <c r="X652" i="1"/>
  <c r="Y652" i="1"/>
  <c r="Z652" i="1"/>
  <c r="AA652" i="1"/>
  <c r="AB652" i="1"/>
  <c r="AC652" i="1"/>
  <c r="T815" i="1"/>
  <c r="U815" i="1"/>
  <c r="V815" i="1"/>
  <c r="W815" i="1"/>
  <c r="X815" i="1"/>
  <c r="Y815" i="1"/>
  <c r="Z815" i="1"/>
  <c r="AA815" i="1"/>
  <c r="AB815" i="1"/>
  <c r="AC815" i="1"/>
  <c r="T1014" i="1"/>
  <c r="U1014" i="1"/>
  <c r="V1014" i="1"/>
  <c r="W1014" i="1"/>
  <c r="X1014" i="1"/>
  <c r="Y1014" i="1"/>
  <c r="Z1014" i="1"/>
  <c r="AA1014" i="1"/>
  <c r="AB1014" i="1"/>
  <c r="AC1014" i="1"/>
  <c r="T724" i="1"/>
  <c r="U724" i="1"/>
  <c r="V724" i="1"/>
  <c r="W724" i="1"/>
  <c r="X724" i="1"/>
  <c r="Y724" i="1"/>
  <c r="Z724" i="1"/>
  <c r="AA724" i="1"/>
  <c r="AB724" i="1"/>
  <c r="AC724" i="1"/>
  <c r="T387" i="1"/>
  <c r="U387" i="1"/>
  <c r="V387" i="1"/>
  <c r="W387" i="1"/>
  <c r="X387" i="1"/>
  <c r="Y387" i="1"/>
  <c r="Z387" i="1"/>
  <c r="AA387" i="1"/>
  <c r="AB387" i="1"/>
  <c r="AC387" i="1"/>
  <c r="T32" i="1"/>
  <c r="U32" i="1"/>
  <c r="V32" i="1"/>
  <c r="W32" i="1"/>
  <c r="X32" i="1"/>
  <c r="Y32" i="1"/>
  <c r="Z32" i="1"/>
  <c r="AA32" i="1"/>
  <c r="AB32" i="1"/>
  <c r="AC32" i="1"/>
  <c r="T639" i="1"/>
  <c r="U639" i="1"/>
  <c r="V639" i="1"/>
  <c r="W639" i="1"/>
  <c r="X639" i="1"/>
  <c r="Y639" i="1"/>
  <c r="Z639" i="1"/>
  <c r="AA639" i="1"/>
  <c r="AB639" i="1"/>
  <c r="AC639" i="1"/>
  <c r="T425" i="1"/>
  <c r="U425" i="1"/>
  <c r="V425" i="1"/>
  <c r="W425" i="1"/>
  <c r="X425" i="1"/>
  <c r="Y425" i="1"/>
  <c r="Z425" i="1"/>
  <c r="AA425" i="1"/>
  <c r="AB425" i="1"/>
  <c r="AC425" i="1"/>
  <c r="T336" i="1"/>
  <c r="U336" i="1"/>
  <c r="V336" i="1"/>
  <c r="W336" i="1"/>
  <c r="X336" i="1"/>
  <c r="Y336" i="1"/>
  <c r="Z336" i="1"/>
  <c r="AA336" i="1"/>
  <c r="AB336" i="1"/>
  <c r="AC336" i="1"/>
  <c r="T936" i="1"/>
  <c r="U936" i="1"/>
  <c r="V936" i="1"/>
  <c r="W936" i="1"/>
  <c r="X936" i="1"/>
  <c r="Y936" i="1"/>
  <c r="Z936" i="1"/>
  <c r="AA936" i="1"/>
  <c r="AB936" i="1"/>
  <c r="AC936" i="1"/>
  <c r="T413" i="1"/>
  <c r="U413" i="1"/>
  <c r="V413" i="1"/>
  <c r="W413" i="1"/>
  <c r="X413" i="1"/>
  <c r="Y413" i="1"/>
  <c r="Z413" i="1"/>
  <c r="AA413" i="1"/>
  <c r="AB413" i="1"/>
  <c r="AC413" i="1"/>
  <c r="T517" i="1"/>
  <c r="U517" i="1"/>
  <c r="V517" i="1"/>
  <c r="W517" i="1"/>
  <c r="X517" i="1"/>
  <c r="Y517" i="1"/>
  <c r="Z517" i="1"/>
  <c r="AA517" i="1"/>
  <c r="AB517" i="1"/>
  <c r="AC517" i="1"/>
  <c r="T614" i="1"/>
  <c r="U614" i="1"/>
  <c r="V614" i="1"/>
  <c r="W614" i="1"/>
  <c r="X614" i="1"/>
  <c r="Y614" i="1"/>
  <c r="Z614" i="1"/>
  <c r="AA614" i="1"/>
  <c r="AB614" i="1"/>
  <c r="AC614" i="1"/>
  <c r="T722" i="1"/>
  <c r="U722" i="1"/>
  <c r="V722" i="1"/>
  <c r="W722" i="1"/>
  <c r="X722" i="1"/>
  <c r="Y722" i="1"/>
  <c r="Z722" i="1"/>
  <c r="AA722" i="1"/>
  <c r="AB722" i="1"/>
  <c r="AC722" i="1"/>
  <c r="T26" i="1"/>
  <c r="U26" i="1"/>
  <c r="V26" i="1"/>
  <c r="W26" i="1"/>
  <c r="X26" i="1"/>
  <c r="Y26" i="1"/>
  <c r="Z26" i="1"/>
  <c r="AA26" i="1"/>
  <c r="AB26" i="1"/>
  <c r="AC26" i="1"/>
  <c r="T869" i="1"/>
  <c r="U869" i="1"/>
  <c r="V869" i="1"/>
  <c r="W869" i="1"/>
  <c r="X869" i="1"/>
  <c r="Y869" i="1"/>
  <c r="Z869" i="1"/>
  <c r="AA869" i="1"/>
  <c r="AB869" i="1"/>
  <c r="AC869" i="1"/>
  <c r="T640" i="1"/>
  <c r="U640" i="1"/>
  <c r="V640" i="1"/>
  <c r="W640" i="1"/>
  <c r="X640" i="1"/>
  <c r="Y640" i="1"/>
  <c r="Z640" i="1"/>
  <c r="AA640" i="1"/>
  <c r="AB640" i="1"/>
  <c r="AC640" i="1"/>
  <c r="T326" i="1"/>
  <c r="U326" i="1"/>
  <c r="V326" i="1"/>
  <c r="W326" i="1"/>
  <c r="X326" i="1"/>
  <c r="Y326" i="1"/>
  <c r="Z326" i="1"/>
  <c r="AA326" i="1"/>
  <c r="AB326" i="1"/>
  <c r="AC326" i="1"/>
  <c r="T723" i="1"/>
  <c r="U723" i="1"/>
  <c r="V723" i="1"/>
  <c r="W723" i="1"/>
  <c r="X723" i="1"/>
  <c r="Y723" i="1"/>
  <c r="Z723" i="1"/>
  <c r="AA723" i="1"/>
  <c r="AB723" i="1"/>
  <c r="AC723" i="1"/>
  <c r="T761" i="1"/>
  <c r="U761" i="1"/>
  <c r="V761" i="1"/>
  <c r="W761" i="1"/>
  <c r="X761" i="1"/>
  <c r="Y761" i="1"/>
  <c r="Z761" i="1"/>
  <c r="AA761" i="1"/>
  <c r="AB761" i="1"/>
  <c r="AC761" i="1"/>
  <c r="T240" i="1"/>
  <c r="U240" i="1"/>
  <c r="V240" i="1"/>
  <c r="W240" i="1"/>
  <c r="X240" i="1"/>
  <c r="Y240" i="1"/>
  <c r="Z240" i="1"/>
  <c r="AA240" i="1"/>
  <c r="AB240" i="1"/>
  <c r="AC240" i="1"/>
  <c r="T857" i="1"/>
  <c r="U857" i="1"/>
  <c r="V857" i="1"/>
  <c r="W857" i="1"/>
  <c r="X857" i="1"/>
  <c r="Y857" i="1"/>
  <c r="Z857" i="1"/>
  <c r="AA857" i="1"/>
  <c r="AB857" i="1"/>
  <c r="AC857" i="1"/>
  <c r="T1085" i="1"/>
  <c r="U1085" i="1"/>
  <c r="V1085" i="1"/>
  <c r="W1085" i="1"/>
  <c r="X1085" i="1"/>
  <c r="Y1085" i="1"/>
  <c r="Z1085" i="1"/>
  <c r="AA1085" i="1"/>
  <c r="AB1085" i="1"/>
  <c r="AC1085" i="1"/>
  <c r="T727" i="1"/>
  <c r="U727" i="1"/>
  <c r="V727" i="1"/>
  <c r="W727" i="1"/>
  <c r="X727" i="1"/>
  <c r="Y727" i="1"/>
  <c r="Z727" i="1"/>
  <c r="AA727" i="1"/>
  <c r="AB727" i="1"/>
  <c r="AC727" i="1"/>
  <c r="T781" i="1"/>
  <c r="U781" i="1"/>
  <c r="V781" i="1"/>
  <c r="W781" i="1"/>
  <c r="X781" i="1"/>
  <c r="Y781" i="1"/>
  <c r="Z781" i="1"/>
  <c r="AA781" i="1"/>
  <c r="AB781" i="1"/>
  <c r="AC781" i="1"/>
  <c r="T737" i="1"/>
  <c r="U737" i="1"/>
  <c r="V737" i="1"/>
  <c r="W737" i="1"/>
  <c r="X737" i="1"/>
  <c r="Y737" i="1"/>
  <c r="Z737" i="1"/>
  <c r="AA737" i="1"/>
  <c r="AB737" i="1"/>
  <c r="AC737" i="1"/>
  <c r="T610" i="1"/>
  <c r="U610" i="1"/>
  <c r="V610" i="1"/>
  <c r="W610" i="1"/>
  <c r="X610" i="1"/>
  <c r="Y610" i="1"/>
  <c r="Z610" i="1"/>
  <c r="AA610" i="1"/>
  <c r="AB610" i="1"/>
  <c r="AC610" i="1"/>
  <c r="T515" i="1"/>
  <c r="U515" i="1"/>
  <c r="V515" i="1"/>
  <c r="W515" i="1"/>
  <c r="X515" i="1"/>
  <c r="Y515" i="1"/>
  <c r="Z515" i="1"/>
  <c r="AA515" i="1"/>
  <c r="AB515" i="1"/>
  <c r="AC515" i="1"/>
  <c r="T877" i="1"/>
  <c r="U877" i="1"/>
  <c r="V877" i="1"/>
  <c r="W877" i="1"/>
  <c r="X877" i="1"/>
  <c r="Y877" i="1"/>
  <c r="Z877" i="1"/>
  <c r="AA877" i="1"/>
  <c r="AB877" i="1"/>
  <c r="AC877" i="1"/>
  <c r="T257" i="1"/>
  <c r="U257" i="1"/>
  <c r="V257" i="1"/>
  <c r="W257" i="1"/>
  <c r="X257" i="1"/>
  <c r="Y257" i="1"/>
  <c r="Z257" i="1"/>
  <c r="AA257" i="1"/>
  <c r="AB257" i="1"/>
  <c r="AC257" i="1"/>
  <c r="T709" i="1"/>
  <c r="U709" i="1"/>
  <c r="V709" i="1"/>
  <c r="W709" i="1"/>
  <c r="X709" i="1"/>
  <c r="Y709" i="1"/>
  <c r="Z709" i="1"/>
  <c r="AA709" i="1"/>
  <c r="AB709" i="1"/>
  <c r="AC709" i="1"/>
  <c r="T1020" i="1"/>
  <c r="U1020" i="1"/>
  <c r="V1020" i="1"/>
  <c r="W1020" i="1"/>
  <c r="X1020" i="1"/>
  <c r="Y1020" i="1"/>
  <c r="Z1020" i="1"/>
  <c r="AA1020" i="1"/>
  <c r="AB1020" i="1"/>
  <c r="AC1020" i="1"/>
  <c r="T391" i="1"/>
  <c r="U391" i="1"/>
  <c r="V391" i="1"/>
  <c r="W391" i="1"/>
  <c r="X391" i="1"/>
  <c r="Y391" i="1"/>
  <c r="Z391" i="1"/>
  <c r="AA391" i="1"/>
  <c r="AB391" i="1"/>
  <c r="AC391" i="1"/>
  <c r="T641" i="1"/>
  <c r="U641" i="1"/>
  <c r="V641" i="1"/>
  <c r="W641" i="1"/>
  <c r="X641" i="1"/>
  <c r="Y641" i="1"/>
  <c r="Z641" i="1"/>
  <c r="AA641" i="1"/>
  <c r="AB641" i="1"/>
  <c r="AC641" i="1"/>
  <c r="T484" i="1"/>
  <c r="U484" i="1"/>
  <c r="V484" i="1"/>
  <c r="W484" i="1"/>
  <c r="X484" i="1"/>
  <c r="Y484" i="1"/>
  <c r="Z484" i="1"/>
  <c r="AA484" i="1"/>
  <c r="AB484" i="1"/>
  <c r="AC484" i="1"/>
  <c r="T753" i="1"/>
  <c r="U753" i="1"/>
  <c r="V753" i="1"/>
  <c r="W753" i="1"/>
  <c r="X753" i="1"/>
  <c r="Y753" i="1"/>
  <c r="Z753" i="1"/>
  <c r="AA753" i="1"/>
  <c r="AB753" i="1"/>
  <c r="AC753" i="1"/>
  <c r="T270" i="1"/>
  <c r="U270" i="1"/>
  <c r="V270" i="1"/>
  <c r="W270" i="1"/>
  <c r="X270" i="1"/>
  <c r="Y270" i="1"/>
  <c r="Z270" i="1"/>
  <c r="AA270" i="1"/>
  <c r="AB270" i="1"/>
  <c r="AC270" i="1"/>
  <c r="T268" i="1"/>
  <c r="U268" i="1"/>
  <c r="V268" i="1"/>
  <c r="W268" i="1"/>
  <c r="X268" i="1"/>
  <c r="Y268" i="1"/>
  <c r="Z268" i="1"/>
  <c r="AA268" i="1"/>
  <c r="AB268" i="1"/>
  <c r="AC268" i="1"/>
  <c r="T883" i="1"/>
  <c r="U883" i="1"/>
  <c r="V883" i="1"/>
  <c r="W883" i="1"/>
  <c r="X883" i="1"/>
  <c r="Y883" i="1"/>
  <c r="Z883" i="1"/>
  <c r="AA883" i="1"/>
  <c r="AB883" i="1"/>
  <c r="AC883" i="1"/>
  <c r="T992" i="1"/>
  <c r="U992" i="1"/>
  <c r="V992" i="1"/>
  <c r="W992" i="1"/>
  <c r="X992" i="1"/>
  <c r="Y992" i="1"/>
  <c r="Z992" i="1"/>
  <c r="AA992" i="1"/>
  <c r="AB992" i="1"/>
  <c r="AC992" i="1"/>
  <c r="T1002" i="1"/>
  <c r="U1002" i="1"/>
  <c r="V1002" i="1"/>
  <c r="W1002" i="1"/>
  <c r="X1002" i="1"/>
  <c r="Y1002" i="1"/>
  <c r="Z1002" i="1"/>
  <c r="AA1002" i="1"/>
  <c r="AB1002" i="1"/>
  <c r="AC1002" i="1"/>
  <c r="T651" i="1"/>
  <c r="U651" i="1"/>
  <c r="V651" i="1"/>
  <c r="W651" i="1"/>
  <c r="X651" i="1"/>
  <c r="Y651" i="1"/>
  <c r="Z651" i="1"/>
  <c r="AA651" i="1"/>
  <c r="AB651" i="1"/>
  <c r="AC651" i="1"/>
  <c r="T1052" i="1"/>
  <c r="U1052" i="1"/>
  <c r="V1052" i="1"/>
  <c r="W1052" i="1"/>
  <c r="X1052" i="1"/>
  <c r="Y1052" i="1"/>
  <c r="Z1052" i="1"/>
  <c r="AA1052" i="1"/>
  <c r="AB1052" i="1"/>
  <c r="AC1052" i="1"/>
  <c r="T609" i="1"/>
  <c r="U609" i="1"/>
  <c r="V609" i="1"/>
  <c r="W609" i="1"/>
  <c r="X609" i="1"/>
  <c r="Y609" i="1"/>
  <c r="Z609" i="1"/>
  <c r="AA609" i="1"/>
  <c r="AB609" i="1"/>
  <c r="AC609" i="1"/>
  <c r="T871" i="1"/>
  <c r="U871" i="1"/>
  <c r="V871" i="1"/>
  <c r="W871" i="1"/>
  <c r="X871" i="1"/>
  <c r="Y871" i="1"/>
  <c r="Z871" i="1"/>
  <c r="AA871" i="1"/>
  <c r="AB871" i="1"/>
  <c r="AC871" i="1"/>
  <c r="T726" i="1"/>
  <c r="U726" i="1"/>
  <c r="V726" i="1"/>
  <c r="W726" i="1"/>
  <c r="X726" i="1"/>
  <c r="Y726" i="1"/>
  <c r="Z726" i="1"/>
  <c r="AA726" i="1"/>
  <c r="AB726" i="1"/>
  <c r="AC726" i="1"/>
  <c r="T740" i="1"/>
  <c r="U740" i="1"/>
  <c r="V740" i="1"/>
  <c r="W740" i="1"/>
  <c r="X740" i="1"/>
  <c r="Y740" i="1"/>
  <c r="Z740" i="1"/>
  <c r="AA740" i="1"/>
  <c r="AB740" i="1"/>
  <c r="AC740" i="1"/>
  <c r="T399" i="1"/>
  <c r="U399" i="1"/>
  <c r="V399" i="1"/>
  <c r="W399" i="1"/>
  <c r="X399" i="1"/>
  <c r="Y399" i="1"/>
  <c r="Z399" i="1"/>
  <c r="AA399" i="1"/>
  <c r="AB399" i="1"/>
  <c r="AC399" i="1"/>
  <c r="T406" i="1"/>
  <c r="U406" i="1"/>
  <c r="V406" i="1"/>
  <c r="W406" i="1"/>
  <c r="X406" i="1"/>
  <c r="Y406" i="1"/>
  <c r="Z406" i="1"/>
  <c r="AA406" i="1"/>
  <c r="AB406" i="1"/>
  <c r="AC406" i="1"/>
  <c r="T285" i="1"/>
  <c r="U285" i="1"/>
  <c r="V285" i="1"/>
  <c r="W285" i="1"/>
  <c r="X285" i="1"/>
  <c r="Y285" i="1"/>
  <c r="Z285" i="1"/>
  <c r="AA285" i="1"/>
  <c r="AB285" i="1"/>
  <c r="AC285" i="1"/>
  <c r="T1001" i="1"/>
  <c r="U1001" i="1"/>
  <c r="V1001" i="1"/>
  <c r="W1001" i="1"/>
  <c r="X1001" i="1"/>
  <c r="Y1001" i="1"/>
  <c r="Z1001" i="1"/>
  <c r="AA1001" i="1"/>
  <c r="AB1001" i="1"/>
  <c r="AC1001" i="1"/>
  <c r="T947" i="1"/>
  <c r="U947" i="1"/>
  <c r="V947" i="1"/>
  <c r="W947" i="1"/>
  <c r="X947" i="1"/>
  <c r="Y947" i="1"/>
  <c r="Z947" i="1"/>
  <c r="AA947" i="1"/>
  <c r="AB947" i="1"/>
  <c r="AC947" i="1"/>
  <c r="T827" i="1"/>
  <c r="U827" i="1"/>
  <c r="V827" i="1"/>
  <c r="W827" i="1"/>
  <c r="X827" i="1"/>
  <c r="Y827" i="1"/>
  <c r="Z827" i="1"/>
  <c r="AA827" i="1"/>
  <c r="AB827" i="1"/>
  <c r="AC827" i="1"/>
  <c r="T1064" i="1"/>
  <c r="U1064" i="1"/>
  <c r="V1064" i="1"/>
  <c r="W1064" i="1"/>
  <c r="X1064" i="1"/>
  <c r="Y1064" i="1"/>
  <c r="Z1064" i="1"/>
  <c r="AA1064" i="1"/>
  <c r="AB1064" i="1"/>
  <c r="AC1064" i="1"/>
  <c r="T1069" i="1"/>
  <c r="U1069" i="1"/>
  <c r="V1069" i="1"/>
  <c r="W1069" i="1"/>
  <c r="X1069" i="1"/>
  <c r="Y1069" i="1"/>
  <c r="Z1069" i="1"/>
  <c r="AA1069" i="1"/>
  <c r="AB1069" i="1"/>
  <c r="AC1069" i="1"/>
  <c r="T513" i="1"/>
  <c r="U513" i="1"/>
  <c r="V513" i="1"/>
  <c r="W513" i="1"/>
  <c r="X513" i="1"/>
  <c r="Y513" i="1"/>
  <c r="Z513" i="1"/>
  <c r="AA513" i="1"/>
  <c r="AB513" i="1"/>
  <c r="AC513" i="1"/>
  <c r="T95" i="1"/>
  <c r="U95" i="1"/>
  <c r="V95" i="1"/>
  <c r="W95" i="1"/>
  <c r="X95" i="1"/>
  <c r="Y95" i="1"/>
  <c r="Z95" i="1"/>
  <c r="AA95" i="1"/>
  <c r="AB95" i="1"/>
  <c r="AC95" i="1"/>
  <c r="T346" i="1"/>
  <c r="U346" i="1"/>
  <c r="V346" i="1"/>
  <c r="W346" i="1"/>
  <c r="X346" i="1"/>
  <c r="Y346" i="1"/>
  <c r="Z346" i="1"/>
  <c r="AA346" i="1"/>
  <c r="AB346" i="1"/>
  <c r="AC346" i="1"/>
  <c r="T549" i="1"/>
  <c r="U549" i="1"/>
  <c r="V549" i="1"/>
  <c r="W549" i="1"/>
  <c r="X549" i="1"/>
  <c r="Y549" i="1"/>
  <c r="Z549" i="1"/>
  <c r="AA549" i="1"/>
  <c r="AB549" i="1"/>
  <c r="AC549" i="1"/>
  <c r="T246" i="1"/>
  <c r="U246" i="1"/>
  <c r="V246" i="1"/>
  <c r="W246" i="1"/>
  <c r="X246" i="1"/>
  <c r="Y246" i="1"/>
  <c r="Z246" i="1"/>
  <c r="AA246" i="1"/>
  <c r="AB246" i="1"/>
  <c r="AC246" i="1"/>
  <c r="T561" i="1"/>
  <c r="U561" i="1"/>
  <c r="V561" i="1"/>
  <c r="W561" i="1"/>
  <c r="X561" i="1"/>
  <c r="Y561" i="1"/>
  <c r="Z561" i="1"/>
  <c r="AA561" i="1"/>
  <c r="AB561" i="1"/>
  <c r="AC561" i="1"/>
  <c r="T503" i="1"/>
  <c r="U503" i="1"/>
  <c r="V503" i="1"/>
  <c r="W503" i="1"/>
  <c r="X503" i="1"/>
  <c r="Y503" i="1"/>
  <c r="Z503" i="1"/>
  <c r="AA503" i="1"/>
  <c r="AB503" i="1"/>
  <c r="AC503" i="1"/>
  <c r="T385" i="1"/>
  <c r="U385" i="1"/>
  <c r="V385" i="1"/>
  <c r="W385" i="1"/>
  <c r="X385" i="1"/>
  <c r="Y385" i="1"/>
  <c r="Z385" i="1"/>
  <c r="AA385" i="1"/>
  <c r="AB385" i="1"/>
  <c r="AC385" i="1"/>
  <c r="T782" i="1"/>
  <c r="U782" i="1"/>
  <c r="V782" i="1"/>
  <c r="W782" i="1"/>
  <c r="X782" i="1"/>
  <c r="Y782" i="1"/>
  <c r="Z782" i="1"/>
  <c r="AA782" i="1"/>
  <c r="AB782" i="1"/>
  <c r="AC782" i="1"/>
  <c r="T1067" i="1"/>
  <c r="U1067" i="1"/>
  <c r="V1067" i="1"/>
  <c r="W1067" i="1"/>
  <c r="X1067" i="1"/>
  <c r="Y1067" i="1"/>
  <c r="Z1067" i="1"/>
  <c r="AA1067" i="1"/>
  <c r="AB1067" i="1"/>
  <c r="AC1067" i="1"/>
  <c r="T343" i="1"/>
  <c r="U343" i="1"/>
  <c r="V343" i="1"/>
  <c r="W343" i="1"/>
  <c r="X343" i="1"/>
  <c r="Y343" i="1"/>
  <c r="Z343" i="1"/>
  <c r="AA343" i="1"/>
  <c r="AB343" i="1"/>
  <c r="AC343" i="1"/>
  <c r="T149" i="1"/>
  <c r="U149" i="1"/>
  <c r="V149" i="1"/>
  <c r="W149" i="1"/>
  <c r="X149" i="1"/>
  <c r="Y149" i="1"/>
  <c r="Z149" i="1"/>
  <c r="AA149" i="1"/>
  <c r="AB149" i="1"/>
  <c r="AC149" i="1"/>
  <c r="T30" i="1"/>
  <c r="U30" i="1"/>
  <c r="V30" i="1"/>
  <c r="W30" i="1"/>
  <c r="X30" i="1"/>
  <c r="Y30" i="1"/>
  <c r="Z30" i="1"/>
  <c r="AA30" i="1"/>
  <c r="AB30" i="1"/>
  <c r="AC30" i="1"/>
  <c r="T488" i="1"/>
  <c r="U488" i="1"/>
  <c r="V488" i="1"/>
  <c r="W488" i="1"/>
  <c r="X488" i="1"/>
  <c r="Y488" i="1"/>
  <c r="Z488" i="1"/>
  <c r="AA488" i="1"/>
  <c r="AB488" i="1"/>
  <c r="AC488" i="1"/>
  <c r="T226" i="1"/>
  <c r="U226" i="1"/>
  <c r="V226" i="1"/>
  <c r="W226" i="1"/>
  <c r="X226" i="1"/>
  <c r="Y226" i="1"/>
  <c r="Z226" i="1"/>
  <c r="AA226" i="1"/>
  <c r="AB226" i="1"/>
  <c r="AC226" i="1"/>
  <c r="T27" i="1"/>
  <c r="U27" i="1"/>
  <c r="V27" i="1"/>
  <c r="W27" i="1"/>
  <c r="X27" i="1"/>
  <c r="Y27" i="1"/>
  <c r="Z27" i="1"/>
  <c r="AA27" i="1"/>
  <c r="AB27" i="1"/>
  <c r="AC27" i="1"/>
  <c r="T1011" i="1"/>
  <c r="U1011" i="1"/>
  <c r="V1011" i="1"/>
  <c r="W1011" i="1"/>
  <c r="X1011" i="1"/>
  <c r="Y1011" i="1"/>
  <c r="Z1011" i="1"/>
  <c r="AA1011" i="1"/>
  <c r="AB1011" i="1"/>
  <c r="AC1011" i="1"/>
  <c r="T29" i="1"/>
  <c r="U29" i="1"/>
  <c r="V29" i="1"/>
  <c r="W29" i="1"/>
  <c r="X29" i="1"/>
  <c r="Y29" i="1"/>
  <c r="Z29" i="1"/>
  <c r="AA29" i="1"/>
  <c r="AB29" i="1"/>
  <c r="AC29" i="1"/>
  <c r="T994" i="1"/>
  <c r="U994" i="1"/>
  <c r="V994" i="1"/>
  <c r="W994" i="1"/>
  <c r="X994" i="1"/>
  <c r="Y994" i="1"/>
  <c r="Z994" i="1"/>
  <c r="AA994" i="1"/>
  <c r="AB994" i="1"/>
  <c r="AC994" i="1"/>
  <c r="T374" i="1"/>
  <c r="U374" i="1"/>
  <c r="V374" i="1"/>
  <c r="W374" i="1"/>
  <c r="X374" i="1"/>
  <c r="Y374" i="1"/>
  <c r="Z374" i="1"/>
  <c r="AA374" i="1"/>
  <c r="AB374" i="1"/>
  <c r="AC374" i="1"/>
  <c r="T198" i="1"/>
  <c r="U198" i="1"/>
  <c r="V198" i="1"/>
  <c r="W198" i="1"/>
  <c r="X198" i="1"/>
  <c r="Y198" i="1"/>
  <c r="Z198" i="1"/>
  <c r="AA198" i="1"/>
  <c r="AB198" i="1"/>
  <c r="AC198" i="1"/>
  <c r="T618" i="1"/>
  <c r="U618" i="1"/>
  <c r="V618" i="1"/>
  <c r="W618" i="1"/>
  <c r="X618" i="1"/>
  <c r="Y618" i="1"/>
  <c r="Z618" i="1"/>
  <c r="AA618" i="1"/>
  <c r="AB618" i="1"/>
  <c r="AC618" i="1"/>
  <c r="T647" i="1"/>
  <c r="U647" i="1"/>
  <c r="V647" i="1"/>
  <c r="W647" i="1"/>
  <c r="X647" i="1"/>
  <c r="Y647" i="1"/>
  <c r="Z647" i="1"/>
  <c r="AA647" i="1"/>
  <c r="AB647" i="1"/>
  <c r="AC647" i="1"/>
  <c r="T673" i="1"/>
  <c r="U673" i="1"/>
  <c r="V673" i="1"/>
  <c r="W673" i="1"/>
  <c r="X673" i="1"/>
  <c r="Y673" i="1"/>
  <c r="Z673" i="1"/>
  <c r="AA673" i="1"/>
  <c r="AB673" i="1"/>
  <c r="AC673" i="1"/>
  <c r="T1012" i="1"/>
  <c r="U1012" i="1"/>
  <c r="V1012" i="1"/>
  <c r="W1012" i="1"/>
  <c r="X1012" i="1"/>
  <c r="Y1012" i="1"/>
  <c r="Z1012" i="1"/>
  <c r="AA1012" i="1"/>
  <c r="AB1012" i="1"/>
  <c r="AC1012" i="1"/>
  <c r="T313" i="1"/>
  <c r="U313" i="1"/>
  <c r="V313" i="1"/>
  <c r="W313" i="1"/>
  <c r="X313" i="1"/>
  <c r="Y313" i="1"/>
  <c r="Z313" i="1"/>
  <c r="AA313" i="1"/>
  <c r="AB313" i="1"/>
  <c r="AC313" i="1"/>
  <c r="T832" i="1"/>
  <c r="U832" i="1"/>
  <c r="V832" i="1"/>
  <c r="W832" i="1"/>
  <c r="X832" i="1"/>
  <c r="Y832" i="1"/>
  <c r="Z832" i="1"/>
  <c r="AA832" i="1"/>
  <c r="AB832" i="1"/>
  <c r="AC832" i="1"/>
  <c r="T545" i="1"/>
  <c r="U545" i="1"/>
  <c r="V545" i="1"/>
  <c r="W545" i="1"/>
  <c r="X545" i="1"/>
  <c r="Y545" i="1"/>
  <c r="Z545" i="1"/>
  <c r="AA545" i="1"/>
  <c r="AB545" i="1"/>
  <c r="AC545" i="1"/>
  <c r="T160" i="1"/>
  <c r="U160" i="1"/>
  <c r="V160" i="1"/>
  <c r="W160" i="1"/>
  <c r="X160" i="1"/>
  <c r="Y160" i="1"/>
  <c r="Z160" i="1"/>
  <c r="AA160" i="1"/>
  <c r="AB160" i="1"/>
  <c r="AC160" i="1"/>
  <c r="T646" i="1"/>
  <c r="U646" i="1"/>
  <c r="V646" i="1"/>
  <c r="W646" i="1"/>
  <c r="X646" i="1"/>
  <c r="Y646" i="1"/>
  <c r="Z646" i="1"/>
  <c r="AA646" i="1"/>
  <c r="AB646" i="1"/>
  <c r="AC646" i="1"/>
  <c r="T658" i="1"/>
  <c r="U658" i="1"/>
  <c r="V658" i="1"/>
  <c r="W658" i="1"/>
  <c r="X658" i="1"/>
  <c r="Y658" i="1"/>
  <c r="Z658" i="1"/>
  <c r="AA658" i="1"/>
  <c r="AB658" i="1"/>
  <c r="AC658" i="1"/>
  <c r="T681" i="1"/>
  <c r="U681" i="1"/>
  <c r="V681" i="1"/>
  <c r="W681" i="1"/>
  <c r="X681" i="1"/>
  <c r="Y681" i="1"/>
  <c r="Z681" i="1"/>
  <c r="AA681" i="1"/>
  <c r="AB681" i="1"/>
  <c r="AC681" i="1"/>
  <c r="T477" i="1"/>
  <c r="U477" i="1"/>
  <c r="V477" i="1"/>
  <c r="W477" i="1"/>
  <c r="X477" i="1"/>
  <c r="Y477" i="1"/>
  <c r="Z477" i="1"/>
  <c r="AA477" i="1"/>
  <c r="AB477" i="1"/>
  <c r="AC477" i="1"/>
  <c r="T802" i="1"/>
  <c r="U802" i="1"/>
  <c r="V802" i="1"/>
  <c r="W802" i="1"/>
  <c r="X802" i="1"/>
  <c r="Y802" i="1"/>
  <c r="Z802" i="1"/>
  <c r="AA802" i="1"/>
  <c r="AB802" i="1"/>
  <c r="AC802" i="1"/>
  <c r="T844" i="1"/>
  <c r="U844" i="1"/>
  <c r="V844" i="1"/>
  <c r="W844" i="1"/>
  <c r="X844" i="1"/>
  <c r="Y844" i="1"/>
  <c r="Z844" i="1"/>
  <c r="AA844" i="1"/>
  <c r="AB844" i="1"/>
  <c r="AC844" i="1"/>
  <c r="T255" i="1"/>
  <c r="U255" i="1"/>
  <c r="V255" i="1"/>
  <c r="W255" i="1"/>
  <c r="X255" i="1"/>
  <c r="Y255" i="1"/>
  <c r="Z255" i="1"/>
  <c r="AA255" i="1"/>
  <c r="AB255" i="1"/>
  <c r="AC255" i="1"/>
  <c r="T851" i="1"/>
  <c r="U851" i="1"/>
  <c r="V851" i="1"/>
  <c r="W851" i="1"/>
  <c r="X851" i="1"/>
  <c r="Y851" i="1"/>
  <c r="Z851" i="1"/>
  <c r="AA851" i="1"/>
  <c r="AB851" i="1"/>
  <c r="AC851" i="1"/>
  <c r="T63" i="1"/>
  <c r="U63" i="1"/>
  <c r="V63" i="1"/>
  <c r="W63" i="1"/>
  <c r="X63" i="1"/>
  <c r="Y63" i="1"/>
  <c r="Z63" i="1"/>
  <c r="AA63" i="1"/>
  <c r="AB63" i="1"/>
  <c r="AC63" i="1"/>
  <c r="T743" i="1"/>
  <c r="U743" i="1"/>
  <c r="V743" i="1"/>
  <c r="W743" i="1"/>
  <c r="X743" i="1"/>
  <c r="Y743" i="1"/>
  <c r="Z743" i="1"/>
  <c r="AA743" i="1"/>
  <c r="AB743" i="1"/>
  <c r="AC743" i="1"/>
  <c r="T7" i="1"/>
  <c r="U7" i="1"/>
  <c r="V7" i="1"/>
  <c r="W7" i="1"/>
  <c r="X7" i="1"/>
  <c r="Y7" i="1"/>
  <c r="Z7" i="1"/>
  <c r="AA7" i="1"/>
  <c r="AB7" i="1"/>
  <c r="AC7" i="1"/>
  <c r="T1004" i="1"/>
  <c r="U1004" i="1"/>
  <c r="V1004" i="1"/>
  <c r="W1004" i="1"/>
  <c r="X1004" i="1"/>
  <c r="Y1004" i="1"/>
  <c r="Z1004" i="1"/>
  <c r="AA1004" i="1"/>
  <c r="AB1004" i="1"/>
  <c r="AC1004" i="1"/>
  <c r="T788" i="1"/>
  <c r="U788" i="1"/>
  <c r="V788" i="1"/>
  <c r="W788" i="1"/>
  <c r="X788" i="1"/>
  <c r="Y788" i="1"/>
  <c r="Z788" i="1"/>
  <c r="AA788" i="1"/>
  <c r="AB788" i="1"/>
  <c r="AC788" i="1"/>
  <c r="T74" i="1"/>
  <c r="U74" i="1"/>
  <c r="V74" i="1"/>
  <c r="W74" i="1"/>
  <c r="X74" i="1"/>
  <c r="Y74" i="1"/>
  <c r="Z74" i="1"/>
  <c r="AA74" i="1"/>
  <c r="AB74" i="1"/>
  <c r="AC74" i="1"/>
  <c r="T847" i="1"/>
  <c r="U847" i="1"/>
  <c r="V847" i="1"/>
  <c r="W847" i="1"/>
  <c r="X847" i="1"/>
  <c r="Y847" i="1"/>
  <c r="Z847" i="1"/>
  <c r="AA847" i="1"/>
  <c r="AB847" i="1"/>
  <c r="AC847" i="1"/>
  <c r="T202" i="1"/>
  <c r="U202" i="1"/>
  <c r="V202" i="1"/>
  <c r="W202" i="1"/>
  <c r="X202" i="1"/>
  <c r="Y202" i="1"/>
  <c r="Z202" i="1"/>
  <c r="AA202" i="1"/>
  <c r="AB202" i="1"/>
  <c r="AC202" i="1"/>
  <c r="T931" i="1"/>
  <c r="U931" i="1"/>
  <c r="V931" i="1"/>
  <c r="W931" i="1"/>
  <c r="X931" i="1"/>
  <c r="Y931" i="1"/>
  <c r="Z931" i="1"/>
  <c r="AA931" i="1"/>
  <c r="AB931" i="1"/>
  <c r="AC931" i="1"/>
  <c r="T360" i="1"/>
  <c r="U360" i="1"/>
  <c r="V360" i="1"/>
  <c r="W360" i="1"/>
  <c r="X360" i="1"/>
  <c r="Y360" i="1"/>
  <c r="Z360" i="1"/>
  <c r="AA360" i="1"/>
  <c r="AB360" i="1"/>
  <c r="AC360" i="1"/>
  <c r="T264" i="1"/>
  <c r="U264" i="1"/>
  <c r="V264" i="1"/>
  <c r="W264" i="1"/>
  <c r="X264" i="1"/>
  <c r="Y264" i="1"/>
  <c r="Z264" i="1"/>
  <c r="AA264" i="1"/>
  <c r="AB264" i="1"/>
  <c r="AC264" i="1"/>
  <c r="T310" i="1"/>
  <c r="U310" i="1"/>
  <c r="V310" i="1"/>
  <c r="W310" i="1"/>
  <c r="X310" i="1"/>
  <c r="Y310" i="1"/>
  <c r="Z310" i="1"/>
  <c r="AA310" i="1"/>
  <c r="AB310" i="1"/>
  <c r="AC310" i="1"/>
  <c r="T810" i="1"/>
  <c r="U810" i="1"/>
  <c r="V810" i="1"/>
  <c r="W810" i="1"/>
  <c r="X810" i="1"/>
  <c r="Y810" i="1"/>
  <c r="Z810" i="1"/>
  <c r="AA810" i="1"/>
  <c r="AB810" i="1"/>
  <c r="AC810" i="1"/>
  <c r="T1108" i="1"/>
  <c r="U1108" i="1"/>
  <c r="V1108" i="1"/>
  <c r="W1108" i="1"/>
  <c r="X1108" i="1"/>
  <c r="Y1108" i="1"/>
  <c r="Z1108" i="1"/>
  <c r="AA1108" i="1"/>
  <c r="AB1108" i="1"/>
  <c r="AC1108" i="1"/>
  <c r="T225" i="1"/>
  <c r="U225" i="1"/>
  <c r="V225" i="1"/>
  <c r="W225" i="1"/>
  <c r="X225" i="1"/>
  <c r="Y225" i="1"/>
  <c r="Z225" i="1"/>
  <c r="AA225" i="1"/>
  <c r="AB225" i="1"/>
  <c r="AC225" i="1"/>
  <c r="T334" i="1"/>
  <c r="U334" i="1"/>
  <c r="V334" i="1"/>
  <c r="W334" i="1"/>
  <c r="X334" i="1"/>
  <c r="Y334" i="1"/>
  <c r="Z334" i="1"/>
  <c r="AA334" i="1"/>
  <c r="AB334" i="1"/>
  <c r="AC334" i="1"/>
  <c r="T502" i="1"/>
  <c r="U502" i="1"/>
  <c r="V502" i="1"/>
  <c r="W502" i="1"/>
  <c r="X502" i="1"/>
  <c r="Y502" i="1"/>
  <c r="Z502" i="1"/>
  <c r="AA502" i="1"/>
  <c r="AB502" i="1"/>
  <c r="AC502" i="1"/>
  <c r="T274" i="1"/>
  <c r="U274" i="1"/>
  <c r="V274" i="1"/>
  <c r="W274" i="1"/>
  <c r="X274" i="1"/>
  <c r="Y274" i="1"/>
  <c r="Z274" i="1"/>
  <c r="AA274" i="1"/>
  <c r="AB274" i="1"/>
  <c r="AC274" i="1"/>
  <c r="T256" i="1"/>
  <c r="U256" i="1"/>
  <c r="V256" i="1"/>
  <c r="W256" i="1"/>
  <c r="X256" i="1"/>
  <c r="Y256" i="1"/>
  <c r="Z256" i="1"/>
  <c r="AA256" i="1"/>
  <c r="AB256" i="1"/>
  <c r="AC256" i="1"/>
  <c r="T597" i="1"/>
  <c r="U597" i="1"/>
  <c r="V597" i="1"/>
  <c r="W597" i="1"/>
  <c r="X597" i="1"/>
  <c r="Y597" i="1"/>
  <c r="Z597" i="1"/>
  <c r="AA597" i="1"/>
  <c r="AB597" i="1"/>
  <c r="AC597" i="1"/>
  <c r="T115" i="1"/>
  <c r="U115" i="1"/>
  <c r="V115" i="1"/>
  <c r="W115" i="1"/>
  <c r="X115" i="1"/>
  <c r="Y115" i="1"/>
  <c r="Z115" i="1"/>
  <c r="AA115" i="1"/>
  <c r="AB115" i="1"/>
  <c r="AC115" i="1"/>
  <c r="T437" i="1"/>
  <c r="U437" i="1"/>
  <c r="V437" i="1"/>
  <c r="W437" i="1"/>
  <c r="X437" i="1"/>
  <c r="Y437" i="1"/>
  <c r="Z437" i="1"/>
  <c r="AA437" i="1"/>
  <c r="AB437" i="1"/>
  <c r="AC437" i="1"/>
  <c r="T207" i="1"/>
  <c r="U207" i="1"/>
  <c r="V207" i="1"/>
  <c r="W207" i="1"/>
  <c r="X207" i="1"/>
  <c r="Y207" i="1"/>
  <c r="Z207" i="1"/>
  <c r="AA207" i="1"/>
  <c r="AB207" i="1"/>
  <c r="AC207" i="1"/>
  <c r="T846" i="1"/>
  <c r="U846" i="1"/>
  <c r="V846" i="1"/>
  <c r="W846" i="1"/>
  <c r="X846" i="1"/>
  <c r="Y846" i="1"/>
  <c r="Z846" i="1"/>
  <c r="AA846" i="1"/>
  <c r="AB846" i="1"/>
  <c r="AC846" i="1"/>
  <c r="T193" i="1"/>
  <c r="U193" i="1"/>
  <c r="V193" i="1"/>
  <c r="W193" i="1"/>
  <c r="X193" i="1"/>
  <c r="Y193" i="1"/>
  <c r="Z193" i="1"/>
  <c r="AA193" i="1"/>
  <c r="AB193" i="1"/>
  <c r="AC193" i="1"/>
  <c r="T1079" i="1"/>
  <c r="U1079" i="1"/>
  <c r="V1079" i="1"/>
  <c r="W1079" i="1"/>
  <c r="X1079" i="1"/>
  <c r="Y1079" i="1"/>
  <c r="Z1079" i="1"/>
  <c r="AA1079" i="1"/>
  <c r="AB1079" i="1"/>
  <c r="AC1079" i="1"/>
  <c r="T162" i="1"/>
  <c r="U162" i="1"/>
  <c r="V162" i="1"/>
  <c r="W162" i="1"/>
  <c r="X162" i="1"/>
  <c r="Y162" i="1"/>
  <c r="Z162" i="1"/>
  <c r="AA162" i="1"/>
  <c r="AB162" i="1"/>
  <c r="AC162" i="1"/>
  <c r="T64" i="1"/>
  <c r="U64" i="1"/>
  <c r="V64" i="1"/>
  <c r="W64" i="1"/>
  <c r="X64" i="1"/>
  <c r="Y64" i="1"/>
  <c r="Z64" i="1"/>
  <c r="AA64" i="1"/>
  <c r="AB64" i="1"/>
  <c r="AC64" i="1"/>
  <c r="T189" i="1"/>
  <c r="U189" i="1"/>
  <c r="V189" i="1"/>
  <c r="W189" i="1"/>
  <c r="X189" i="1"/>
  <c r="Y189" i="1"/>
  <c r="Z189" i="1"/>
  <c r="AA189" i="1"/>
  <c r="AB189" i="1"/>
  <c r="AC189" i="1"/>
  <c r="T771" i="1"/>
  <c r="U771" i="1"/>
  <c r="V771" i="1"/>
  <c r="W771" i="1"/>
  <c r="X771" i="1"/>
  <c r="Y771" i="1"/>
  <c r="Z771" i="1"/>
  <c r="AA771" i="1"/>
  <c r="AB771" i="1"/>
  <c r="AC771" i="1"/>
  <c r="T14" i="1"/>
  <c r="U14" i="1"/>
  <c r="V14" i="1"/>
  <c r="W14" i="1"/>
  <c r="X14" i="1"/>
  <c r="Y14" i="1"/>
  <c r="Z14" i="1"/>
  <c r="AA14" i="1"/>
  <c r="AB14" i="1"/>
  <c r="AC14" i="1"/>
  <c r="T155" i="1"/>
  <c r="U155" i="1"/>
  <c r="V155" i="1"/>
  <c r="W155" i="1"/>
  <c r="X155" i="1"/>
  <c r="Y155" i="1"/>
  <c r="Z155" i="1"/>
  <c r="AA155" i="1"/>
  <c r="AB155" i="1"/>
  <c r="AC155" i="1"/>
  <c r="T505" i="1"/>
  <c r="U505" i="1"/>
  <c r="V505" i="1"/>
  <c r="W505" i="1"/>
  <c r="X505" i="1"/>
  <c r="Y505" i="1"/>
  <c r="Z505" i="1"/>
  <c r="AA505" i="1"/>
  <c r="AB505" i="1"/>
  <c r="AC505" i="1"/>
  <c r="T350" i="1"/>
  <c r="U350" i="1"/>
  <c r="V350" i="1"/>
  <c r="W350" i="1"/>
  <c r="X350" i="1"/>
  <c r="Y350" i="1"/>
  <c r="Z350" i="1"/>
  <c r="AA350" i="1"/>
  <c r="AB350" i="1"/>
  <c r="AC350" i="1"/>
  <c r="T415" i="1"/>
  <c r="U415" i="1"/>
  <c r="V415" i="1"/>
  <c r="W415" i="1"/>
  <c r="X415" i="1"/>
  <c r="Y415" i="1"/>
  <c r="Z415" i="1"/>
  <c r="AA415" i="1"/>
  <c r="AB415" i="1"/>
  <c r="AC415" i="1"/>
  <c r="T1117" i="1"/>
  <c r="U1117" i="1"/>
  <c r="V1117" i="1"/>
  <c r="W1117" i="1"/>
  <c r="X1117" i="1"/>
  <c r="Y1117" i="1"/>
  <c r="Z1117" i="1"/>
  <c r="AA1117" i="1"/>
  <c r="AB1117" i="1"/>
  <c r="AC1117" i="1"/>
  <c r="T75" i="1"/>
  <c r="U75" i="1"/>
  <c r="V75" i="1"/>
  <c r="W75" i="1"/>
  <c r="X75" i="1"/>
  <c r="Y75" i="1"/>
  <c r="Z75" i="1"/>
  <c r="AA75" i="1"/>
  <c r="AB75" i="1"/>
  <c r="AC75" i="1"/>
  <c r="T735" i="1"/>
  <c r="U735" i="1"/>
  <c r="V735" i="1"/>
  <c r="W735" i="1"/>
  <c r="X735" i="1"/>
  <c r="Y735" i="1"/>
  <c r="Z735" i="1"/>
  <c r="AA735" i="1"/>
  <c r="AB735" i="1"/>
  <c r="AC735" i="1"/>
  <c r="T473" i="1"/>
  <c r="U473" i="1"/>
  <c r="V473" i="1"/>
  <c r="W473" i="1"/>
  <c r="X473" i="1"/>
  <c r="Y473" i="1"/>
  <c r="Z473" i="1"/>
  <c r="AA473" i="1"/>
  <c r="AB473" i="1"/>
  <c r="AC473" i="1"/>
  <c r="T1015" i="1"/>
  <c r="U1015" i="1"/>
  <c r="V1015" i="1"/>
  <c r="W1015" i="1"/>
  <c r="X1015" i="1"/>
  <c r="Y1015" i="1"/>
  <c r="Z1015" i="1"/>
  <c r="AA1015" i="1"/>
  <c r="AB1015" i="1"/>
  <c r="AC1015" i="1"/>
  <c r="T1083" i="1"/>
  <c r="U1083" i="1"/>
  <c r="V1083" i="1"/>
  <c r="W1083" i="1"/>
  <c r="X1083" i="1"/>
  <c r="Y1083" i="1"/>
  <c r="Z1083" i="1"/>
  <c r="AA1083" i="1"/>
  <c r="AB1083" i="1"/>
  <c r="AC1083" i="1"/>
  <c r="T58" i="1"/>
  <c r="U58" i="1"/>
  <c r="V58" i="1"/>
  <c r="W58" i="1"/>
  <c r="X58" i="1"/>
  <c r="Y58" i="1"/>
  <c r="Z58" i="1"/>
  <c r="AA58" i="1"/>
  <c r="AB58" i="1"/>
  <c r="AC58" i="1"/>
  <c r="T875" i="1"/>
  <c r="U875" i="1"/>
  <c r="V875" i="1"/>
  <c r="W875" i="1"/>
  <c r="X875" i="1"/>
  <c r="Y875" i="1"/>
  <c r="Z875" i="1"/>
  <c r="AA875" i="1"/>
  <c r="AB875" i="1"/>
  <c r="AC875" i="1"/>
  <c r="T358" i="1"/>
  <c r="U358" i="1"/>
  <c r="V358" i="1"/>
  <c r="W358" i="1"/>
  <c r="X358" i="1"/>
  <c r="Y358" i="1"/>
  <c r="Z358" i="1"/>
  <c r="AA358" i="1"/>
  <c r="AB358" i="1"/>
  <c r="AC358" i="1"/>
  <c r="T28" i="1"/>
  <c r="U28" i="1"/>
  <c r="V28" i="1"/>
  <c r="W28" i="1"/>
  <c r="X28" i="1"/>
  <c r="Y28" i="1"/>
  <c r="Z28" i="1"/>
  <c r="AA28" i="1"/>
  <c r="AB28" i="1"/>
  <c r="AC28" i="1"/>
  <c r="T62" i="1"/>
  <c r="U62" i="1"/>
  <c r="V62" i="1"/>
  <c r="W62" i="1"/>
  <c r="X62" i="1"/>
  <c r="Y62" i="1"/>
  <c r="Z62" i="1"/>
  <c r="AA62" i="1"/>
  <c r="AB62" i="1"/>
  <c r="AC62" i="1"/>
  <c r="T560" i="1"/>
  <c r="U560" i="1"/>
  <c r="V560" i="1"/>
  <c r="W560" i="1"/>
  <c r="X560" i="1"/>
  <c r="Y560" i="1"/>
  <c r="Z560" i="1"/>
  <c r="AA560" i="1"/>
  <c r="AB560" i="1"/>
  <c r="AC560" i="1"/>
  <c r="T878" i="1"/>
  <c r="U878" i="1"/>
  <c r="V878" i="1"/>
  <c r="W878" i="1"/>
  <c r="X878" i="1"/>
  <c r="Y878" i="1"/>
  <c r="Z878" i="1"/>
  <c r="AA878" i="1"/>
  <c r="AB878" i="1"/>
  <c r="AC878" i="1"/>
  <c r="T5" i="1"/>
  <c r="U5" i="1"/>
  <c r="V5" i="1"/>
  <c r="W5" i="1"/>
  <c r="X5" i="1"/>
  <c r="Y5" i="1"/>
  <c r="Z5" i="1"/>
  <c r="AA5" i="1"/>
  <c r="AB5" i="1"/>
  <c r="AC5" i="1"/>
  <c r="T520" i="1"/>
  <c r="U520" i="1"/>
  <c r="V520" i="1"/>
  <c r="W520" i="1"/>
  <c r="X520" i="1"/>
  <c r="Y520" i="1"/>
  <c r="Z520" i="1"/>
  <c r="AA520" i="1"/>
  <c r="AB520" i="1"/>
  <c r="AC520" i="1"/>
  <c r="T104" i="1"/>
  <c r="U104" i="1"/>
  <c r="V104" i="1"/>
  <c r="W104" i="1"/>
  <c r="X104" i="1"/>
  <c r="Y104" i="1"/>
  <c r="Z104" i="1"/>
  <c r="AA104" i="1"/>
  <c r="AB104" i="1"/>
  <c r="AC104" i="1"/>
  <c r="T167" i="1"/>
  <c r="U167" i="1"/>
  <c r="V167" i="1"/>
  <c r="W167" i="1"/>
  <c r="X167" i="1"/>
  <c r="Y167" i="1"/>
  <c r="Z167" i="1"/>
  <c r="AA167" i="1"/>
  <c r="AB167" i="1"/>
  <c r="AC167" i="1"/>
  <c r="T930" i="1"/>
  <c r="U930" i="1"/>
  <c r="V930" i="1"/>
  <c r="W930" i="1"/>
  <c r="X930" i="1"/>
  <c r="Y930" i="1"/>
  <c r="Z930" i="1"/>
  <c r="AA930" i="1"/>
  <c r="AB930" i="1"/>
  <c r="AC930" i="1"/>
  <c r="T853" i="1"/>
  <c r="U853" i="1"/>
  <c r="V853" i="1"/>
  <c r="W853" i="1"/>
  <c r="X853" i="1"/>
  <c r="Y853" i="1"/>
  <c r="Z853" i="1"/>
  <c r="AA853" i="1"/>
  <c r="AB853" i="1"/>
  <c r="AC853" i="1"/>
  <c r="T808" i="1"/>
  <c r="U808" i="1"/>
  <c r="V808" i="1"/>
  <c r="W808" i="1"/>
  <c r="X808" i="1"/>
  <c r="Y808" i="1"/>
  <c r="Z808" i="1"/>
  <c r="AA808" i="1"/>
  <c r="AB808" i="1"/>
  <c r="AC808" i="1"/>
  <c r="T725" i="1"/>
  <c r="U725" i="1"/>
  <c r="V725" i="1"/>
  <c r="W725" i="1"/>
  <c r="X725" i="1"/>
  <c r="Y725" i="1"/>
  <c r="Z725" i="1"/>
  <c r="AA725" i="1"/>
  <c r="AB725" i="1"/>
  <c r="AC725" i="1"/>
  <c r="T403" i="1"/>
  <c r="U403" i="1"/>
  <c r="V403" i="1"/>
  <c r="W403" i="1"/>
  <c r="X403" i="1"/>
  <c r="Y403" i="1"/>
  <c r="Z403" i="1"/>
  <c r="AA403" i="1"/>
  <c r="AB403" i="1"/>
  <c r="AC403" i="1"/>
  <c r="T848" i="1"/>
  <c r="U848" i="1"/>
  <c r="V848" i="1"/>
  <c r="W848" i="1"/>
  <c r="X848" i="1"/>
  <c r="Y848" i="1"/>
  <c r="Z848" i="1"/>
  <c r="AA848" i="1"/>
  <c r="AB848" i="1"/>
  <c r="AC848" i="1"/>
  <c r="T813" i="1"/>
  <c r="U813" i="1"/>
  <c r="V813" i="1"/>
  <c r="W813" i="1"/>
  <c r="X813" i="1"/>
  <c r="Y813" i="1"/>
  <c r="Z813" i="1"/>
  <c r="AA813" i="1"/>
  <c r="AB813" i="1"/>
  <c r="AC813" i="1"/>
  <c r="T841" i="1"/>
  <c r="U841" i="1"/>
  <c r="V841" i="1"/>
  <c r="W841" i="1"/>
  <c r="X841" i="1"/>
  <c r="Y841" i="1"/>
  <c r="Z841" i="1"/>
  <c r="AA841" i="1"/>
  <c r="AB841" i="1"/>
  <c r="AC841" i="1"/>
  <c r="T544" i="1"/>
  <c r="U544" i="1"/>
  <c r="V544" i="1"/>
  <c r="W544" i="1"/>
  <c r="X544" i="1"/>
  <c r="Y544" i="1"/>
  <c r="Z544" i="1"/>
  <c r="AA544" i="1"/>
  <c r="AB544" i="1"/>
  <c r="AC544" i="1"/>
  <c r="T299" i="1"/>
  <c r="U299" i="1"/>
  <c r="V299" i="1"/>
  <c r="W299" i="1"/>
  <c r="X299" i="1"/>
  <c r="Y299" i="1"/>
  <c r="Z299" i="1"/>
  <c r="AA299" i="1"/>
  <c r="AB299" i="1"/>
  <c r="AC299" i="1"/>
  <c r="T672" i="1"/>
  <c r="U672" i="1"/>
  <c r="V672" i="1"/>
  <c r="W672" i="1"/>
  <c r="X672" i="1"/>
  <c r="Y672" i="1"/>
  <c r="Z672" i="1"/>
  <c r="AA672" i="1"/>
  <c r="AB672" i="1"/>
  <c r="AC672" i="1"/>
  <c r="T407" i="1"/>
  <c r="U407" i="1"/>
  <c r="V407" i="1"/>
  <c r="W407" i="1"/>
  <c r="X407" i="1"/>
  <c r="Y407" i="1"/>
  <c r="Z407" i="1"/>
  <c r="AA407" i="1"/>
  <c r="AB407" i="1"/>
  <c r="AC407" i="1"/>
  <c r="T791" i="1"/>
  <c r="U791" i="1"/>
  <c r="V791" i="1"/>
  <c r="W791" i="1"/>
  <c r="X791" i="1"/>
  <c r="Y791" i="1"/>
  <c r="Z791" i="1"/>
  <c r="AA791" i="1"/>
  <c r="AB791" i="1"/>
  <c r="AC791" i="1"/>
  <c r="T485" i="1"/>
  <c r="U485" i="1"/>
  <c r="V485" i="1"/>
  <c r="W485" i="1"/>
  <c r="X485" i="1"/>
  <c r="Y485" i="1"/>
  <c r="Z485" i="1"/>
  <c r="AA485" i="1"/>
  <c r="AB485" i="1"/>
  <c r="AC485" i="1"/>
  <c r="T245" i="1"/>
  <c r="U245" i="1"/>
  <c r="V245" i="1"/>
  <c r="W245" i="1"/>
  <c r="X245" i="1"/>
  <c r="Y245" i="1"/>
  <c r="Z245" i="1"/>
  <c r="AA245" i="1"/>
  <c r="AB245" i="1"/>
  <c r="AC245" i="1"/>
  <c r="T451" i="1"/>
  <c r="U451" i="1"/>
  <c r="V451" i="1"/>
  <c r="W451" i="1"/>
  <c r="X451" i="1"/>
  <c r="Y451" i="1"/>
  <c r="Z451" i="1"/>
  <c r="AA451" i="1"/>
  <c r="AB451" i="1"/>
  <c r="AC451" i="1"/>
  <c r="T748" i="1"/>
  <c r="U748" i="1"/>
  <c r="V748" i="1"/>
  <c r="W748" i="1"/>
  <c r="X748" i="1"/>
  <c r="Y748" i="1"/>
  <c r="Z748" i="1"/>
  <c r="AA748" i="1"/>
  <c r="AB748" i="1"/>
  <c r="AC748" i="1"/>
  <c r="T265" i="1"/>
  <c r="U265" i="1"/>
  <c r="V265" i="1"/>
  <c r="W265" i="1"/>
  <c r="X265" i="1"/>
  <c r="Y265" i="1"/>
  <c r="Z265" i="1"/>
  <c r="AA265" i="1"/>
  <c r="AB265" i="1"/>
  <c r="AC265" i="1"/>
  <c r="T645" i="1"/>
  <c r="U645" i="1"/>
  <c r="V645" i="1"/>
  <c r="W645" i="1"/>
  <c r="X645" i="1"/>
  <c r="Y645" i="1"/>
  <c r="Z645" i="1"/>
  <c r="AA645" i="1"/>
  <c r="AB645" i="1"/>
  <c r="AC645" i="1"/>
  <c r="T16" i="1"/>
  <c r="U16" i="1"/>
  <c r="V16" i="1"/>
  <c r="W16" i="1"/>
  <c r="X16" i="1"/>
  <c r="Y16" i="1"/>
  <c r="Z16" i="1"/>
  <c r="AA16" i="1"/>
  <c r="AB16" i="1"/>
  <c r="AC16" i="1"/>
  <c r="T915" i="1"/>
  <c r="U915" i="1"/>
  <c r="V915" i="1"/>
  <c r="W915" i="1"/>
  <c r="X915" i="1"/>
  <c r="Y915" i="1"/>
  <c r="Z915" i="1"/>
  <c r="AA915" i="1"/>
  <c r="AB915" i="1"/>
  <c r="AC915" i="1"/>
  <c r="T368" i="1"/>
  <c r="U368" i="1"/>
  <c r="V368" i="1"/>
  <c r="W368" i="1"/>
  <c r="X368" i="1"/>
  <c r="Y368" i="1"/>
  <c r="Z368" i="1"/>
  <c r="AA368" i="1"/>
  <c r="AB368" i="1"/>
  <c r="AC368" i="1"/>
  <c r="T154" i="1"/>
  <c r="U154" i="1"/>
  <c r="V154" i="1"/>
  <c r="W154" i="1"/>
  <c r="X154" i="1"/>
  <c r="Y154" i="1"/>
  <c r="Z154" i="1"/>
  <c r="AA154" i="1"/>
  <c r="AB154" i="1"/>
  <c r="AC154" i="1"/>
  <c r="T114" i="1"/>
  <c r="U114" i="1"/>
  <c r="V114" i="1"/>
  <c r="W114" i="1"/>
  <c r="X114" i="1"/>
  <c r="Y114" i="1"/>
  <c r="Z114" i="1"/>
  <c r="AA114" i="1"/>
  <c r="AB114" i="1"/>
  <c r="AC114" i="1"/>
  <c r="T376" i="1"/>
  <c r="U376" i="1"/>
  <c r="V376" i="1"/>
  <c r="W376" i="1"/>
  <c r="X376" i="1"/>
  <c r="Y376" i="1"/>
  <c r="Z376" i="1"/>
  <c r="AA376" i="1"/>
  <c r="AB376" i="1"/>
  <c r="AC376" i="1"/>
  <c r="T136" i="1"/>
  <c r="U136" i="1"/>
  <c r="V136" i="1"/>
  <c r="W136" i="1"/>
  <c r="X136" i="1"/>
  <c r="Y136" i="1"/>
  <c r="Z136" i="1"/>
  <c r="AA136" i="1"/>
  <c r="AB136" i="1"/>
  <c r="AC136" i="1"/>
  <c r="T684" i="1"/>
  <c r="U684" i="1"/>
  <c r="V684" i="1"/>
  <c r="W684" i="1"/>
  <c r="X684" i="1"/>
  <c r="Y684" i="1"/>
  <c r="Z684" i="1"/>
  <c r="AA684" i="1"/>
  <c r="AB684" i="1"/>
  <c r="AC684" i="1"/>
  <c r="T372" i="1"/>
  <c r="U372" i="1"/>
  <c r="V372" i="1"/>
  <c r="W372" i="1"/>
  <c r="X372" i="1"/>
  <c r="Y372" i="1"/>
  <c r="Z372" i="1"/>
  <c r="AA372" i="1"/>
  <c r="AB372" i="1"/>
  <c r="AC372" i="1"/>
  <c r="T440" i="1"/>
  <c r="U440" i="1"/>
  <c r="V440" i="1"/>
  <c r="W440" i="1"/>
  <c r="X440" i="1"/>
  <c r="Y440" i="1"/>
  <c r="Z440" i="1"/>
  <c r="AA440" i="1"/>
  <c r="AB440" i="1"/>
  <c r="AC440" i="1"/>
  <c r="T157" i="1"/>
  <c r="U157" i="1"/>
  <c r="V157" i="1"/>
  <c r="W157" i="1"/>
  <c r="X157" i="1"/>
  <c r="Y157" i="1"/>
  <c r="Z157" i="1"/>
  <c r="AA157" i="1"/>
  <c r="AB157" i="1"/>
  <c r="AC157" i="1"/>
  <c r="T250" i="1"/>
  <c r="U250" i="1"/>
  <c r="V250" i="1"/>
  <c r="W250" i="1"/>
  <c r="X250" i="1"/>
  <c r="Y250" i="1"/>
  <c r="Z250" i="1"/>
  <c r="AA250" i="1"/>
  <c r="AB250" i="1"/>
  <c r="AC250" i="1"/>
  <c r="T679" i="1"/>
  <c r="U679" i="1"/>
  <c r="V679" i="1"/>
  <c r="W679" i="1"/>
  <c r="X679" i="1"/>
  <c r="Y679" i="1"/>
  <c r="Z679" i="1"/>
  <c r="AA679" i="1"/>
  <c r="AB679" i="1"/>
  <c r="AC679" i="1"/>
  <c r="T472" i="1"/>
  <c r="U472" i="1"/>
  <c r="V472" i="1"/>
  <c r="W472" i="1"/>
  <c r="X472" i="1"/>
  <c r="Y472" i="1"/>
  <c r="Z472" i="1"/>
  <c r="AA472" i="1"/>
  <c r="AB472" i="1"/>
  <c r="AC472" i="1"/>
  <c r="T216" i="1"/>
  <c r="U216" i="1"/>
  <c r="V216" i="1"/>
  <c r="W216" i="1"/>
  <c r="X216" i="1"/>
  <c r="Y216" i="1"/>
  <c r="Z216" i="1"/>
  <c r="AA216" i="1"/>
  <c r="AB216" i="1"/>
  <c r="AC216" i="1"/>
  <c r="T52" i="1"/>
  <c r="U52" i="1"/>
  <c r="V52" i="1"/>
  <c r="W52" i="1"/>
  <c r="X52" i="1"/>
  <c r="Y52" i="1"/>
  <c r="Z52" i="1"/>
  <c r="AA52" i="1"/>
  <c r="AB52" i="1"/>
  <c r="AC52" i="1"/>
  <c r="T1111" i="1"/>
  <c r="U1111" i="1"/>
  <c r="V1111" i="1"/>
  <c r="W1111" i="1"/>
  <c r="X1111" i="1"/>
  <c r="Y1111" i="1"/>
  <c r="Z1111" i="1"/>
  <c r="AA1111" i="1"/>
  <c r="AB1111" i="1"/>
  <c r="AC1111" i="1"/>
  <c r="T218" i="1"/>
  <c r="U218" i="1"/>
  <c r="V218" i="1"/>
  <c r="W218" i="1"/>
  <c r="X218" i="1"/>
  <c r="Y218" i="1"/>
  <c r="Z218" i="1"/>
  <c r="AA218" i="1"/>
  <c r="AB218" i="1"/>
  <c r="AC218" i="1"/>
  <c r="T1034" i="1"/>
  <c r="U1034" i="1"/>
  <c r="V1034" i="1"/>
  <c r="W1034" i="1"/>
  <c r="X1034" i="1"/>
  <c r="Y1034" i="1"/>
  <c r="Z1034" i="1"/>
  <c r="AA1034" i="1"/>
  <c r="AB1034" i="1"/>
  <c r="AC1034" i="1"/>
  <c r="T978" i="1"/>
  <c r="U978" i="1"/>
  <c r="V978" i="1"/>
  <c r="W978" i="1"/>
  <c r="X978" i="1"/>
  <c r="Y978" i="1"/>
  <c r="Z978" i="1"/>
  <c r="AA978" i="1"/>
  <c r="AB978" i="1"/>
  <c r="AC978" i="1"/>
  <c r="T675" i="1"/>
  <c r="U675" i="1"/>
  <c r="V675" i="1"/>
  <c r="W675" i="1"/>
  <c r="X675" i="1"/>
  <c r="Y675" i="1"/>
  <c r="Z675" i="1"/>
  <c r="AA675" i="1"/>
  <c r="AB675" i="1"/>
  <c r="AC675" i="1"/>
  <c r="T303" i="1"/>
  <c r="U303" i="1"/>
  <c r="V303" i="1"/>
  <c r="W303" i="1"/>
  <c r="X303" i="1"/>
  <c r="Y303" i="1"/>
  <c r="Z303" i="1"/>
  <c r="AA303" i="1"/>
  <c r="AB303" i="1"/>
  <c r="AC303" i="1"/>
  <c r="T617" i="1"/>
  <c r="U617" i="1"/>
  <c r="V617" i="1"/>
  <c r="W617" i="1"/>
  <c r="X617" i="1"/>
  <c r="Y617" i="1"/>
  <c r="Z617" i="1"/>
  <c r="AA617" i="1"/>
  <c r="AB617" i="1"/>
  <c r="AC617" i="1"/>
  <c r="T234" i="1"/>
  <c r="U234" i="1"/>
  <c r="V234" i="1"/>
  <c r="W234" i="1"/>
  <c r="X234" i="1"/>
  <c r="Y234" i="1"/>
  <c r="Z234" i="1"/>
  <c r="AA234" i="1"/>
  <c r="AB234" i="1"/>
  <c r="AC234" i="1"/>
  <c r="T829" i="1"/>
  <c r="U829" i="1"/>
  <c r="V829" i="1"/>
  <c r="W829" i="1"/>
  <c r="X829" i="1"/>
  <c r="Y829" i="1"/>
  <c r="Z829" i="1"/>
  <c r="AA829" i="1"/>
  <c r="AB829" i="1"/>
  <c r="AC829" i="1"/>
  <c r="T323" i="1"/>
  <c r="U323" i="1"/>
  <c r="V323" i="1"/>
  <c r="W323" i="1"/>
  <c r="X323" i="1"/>
  <c r="Y323" i="1"/>
  <c r="Z323" i="1"/>
  <c r="AA323" i="1"/>
  <c r="AB323" i="1"/>
  <c r="AC323" i="1"/>
  <c r="T942" i="1"/>
  <c r="U942" i="1"/>
  <c r="V942" i="1"/>
  <c r="W942" i="1"/>
  <c r="X942" i="1"/>
  <c r="Y942" i="1"/>
  <c r="Z942" i="1"/>
  <c r="AA942" i="1"/>
  <c r="AB942" i="1"/>
  <c r="AC942" i="1"/>
  <c r="T960" i="1"/>
  <c r="U960" i="1"/>
  <c r="V960" i="1"/>
  <c r="W960" i="1"/>
  <c r="X960" i="1"/>
  <c r="Y960" i="1"/>
  <c r="Z960" i="1"/>
  <c r="AA960" i="1"/>
  <c r="AB960" i="1"/>
  <c r="AC960" i="1"/>
  <c r="T958" i="1"/>
  <c r="U958" i="1"/>
  <c r="V958" i="1"/>
  <c r="W958" i="1"/>
  <c r="X958" i="1"/>
  <c r="Y958" i="1"/>
  <c r="Z958" i="1"/>
  <c r="AA958" i="1"/>
  <c r="AB958" i="1"/>
  <c r="AC958" i="1"/>
  <c r="T197" i="1"/>
  <c r="U197" i="1"/>
  <c r="V197" i="1"/>
  <c r="W197" i="1"/>
  <c r="X197" i="1"/>
  <c r="Y197" i="1"/>
  <c r="Z197" i="1"/>
  <c r="AA197" i="1"/>
  <c r="AB197" i="1"/>
  <c r="AC197" i="1"/>
  <c r="T792" i="1"/>
  <c r="U792" i="1"/>
  <c r="V792" i="1"/>
  <c r="W792" i="1"/>
  <c r="X792" i="1"/>
  <c r="Y792" i="1"/>
  <c r="Z792" i="1"/>
  <c r="AA792" i="1"/>
  <c r="AB792" i="1"/>
  <c r="AC792" i="1"/>
  <c r="T134" i="1"/>
  <c r="U134" i="1"/>
  <c r="V134" i="1"/>
  <c r="W134" i="1"/>
  <c r="X134" i="1"/>
  <c r="Y134" i="1"/>
  <c r="Z134" i="1"/>
  <c r="AA134" i="1"/>
  <c r="AB134" i="1"/>
  <c r="AC134" i="1"/>
  <c r="T280" i="1"/>
  <c r="U280" i="1"/>
  <c r="V280" i="1"/>
  <c r="W280" i="1"/>
  <c r="X280" i="1"/>
  <c r="Y280" i="1"/>
  <c r="Z280" i="1"/>
  <c r="AA280" i="1"/>
  <c r="AB280" i="1"/>
  <c r="AC280" i="1"/>
  <c r="T605" i="1"/>
  <c r="U605" i="1"/>
  <c r="V605" i="1"/>
  <c r="W605" i="1"/>
  <c r="X605" i="1"/>
  <c r="Y605" i="1"/>
  <c r="Z605" i="1"/>
  <c r="AA605" i="1"/>
  <c r="AB605" i="1"/>
  <c r="AC605" i="1"/>
  <c r="T392" i="1"/>
  <c r="U392" i="1"/>
  <c r="V392" i="1"/>
  <c r="W392" i="1"/>
  <c r="X392" i="1"/>
  <c r="Y392" i="1"/>
  <c r="Z392" i="1"/>
  <c r="AA392" i="1"/>
  <c r="AB392" i="1"/>
  <c r="AC392" i="1"/>
  <c r="T882" i="1"/>
  <c r="U882" i="1"/>
  <c r="V882" i="1"/>
  <c r="W882" i="1"/>
  <c r="X882" i="1"/>
  <c r="Y882" i="1"/>
  <c r="Z882" i="1"/>
  <c r="AA882" i="1"/>
  <c r="AB882" i="1"/>
  <c r="AC882" i="1"/>
  <c r="T59" i="1"/>
  <c r="U59" i="1"/>
  <c r="V59" i="1"/>
  <c r="W59" i="1"/>
  <c r="X59" i="1"/>
  <c r="Y59" i="1"/>
  <c r="Z59" i="1"/>
  <c r="AA59" i="1"/>
  <c r="AB59" i="1"/>
  <c r="AC59" i="1"/>
  <c r="T1003" i="1"/>
  <c r="U1003" i="1"/>
  <c r="V1003" i="1"/>
  <c r="W1003" i="1"/>
  <c r="X1003" i="1"/>
  <c r="Y1003" i="1"/>
  <c r="Z1003" i="1"/>
  <c r="AA1003" i="1"/>
  <c r="AB1003" i="1"/>
  <c r="AC1003" i="1"/>
  <c r="T1099" i="1"/>
  <c r="U1099" i="1"/>
  <c r="V1099" i="1"/>
  <c r="W1099" i="1"/>
  <c r="X1099" i="1"/>
  <c r="Y1099" i="1"/>
  <c r="Z1099" i="1"/>
  <c r="AA1099" i="1"/>
  <c r="AB1099" i="1"/>
  <c r="AC1099" i="1"/>
  <c r="T107" i="1"/>
  <c r="U107" i="1"/>
  <c r="V107" i="1"/>
  <c r="W107" i="1"/>
  <c r="X107" i="1"/>
  <c r="Y107" i="1"/>
  <c r="Z107" i="1"/>
  <c r="AA107" i="1"/>
  <c r="AB107" i="1"/>
  <c r="AC107" i="1"/>
  <c r="T1000" i="1"/>
  <c r="U1000" i="1"/>
  <c r="V1000" i="1"/>
  <c r="W1000" i="1"/>
  <c r="X1000" i="1"/>
  <c r="Y1000" i="1"/>
  <c r="Z1000" i="1"/>
  <c r="AA1000" i="1"/>
  <c r="AB1000" i="1"/>
  <c r="AC1000" i="1"/>
  <c r="T126" i="1"/>
  <c r="U126" i="1"/>
  <c r="V126" i="1"/>
  <c r="W126" i="1"/>
  <c r="X126" i="1"/>
  <c r="Y126" i="1"/>
  <c r="Z126" i="1"/>
  <c r="AA126" i="1"/>
  <c r="AB126" i="1"/>
  <c r="AC126" i="1"/>
  <c r="T677" i="1"/>
  <c r="U677" i="1"/>
  <c r="V677" i="1"/>
  <c r="W677" i="1"/>
  <c r="X677" i="1"/>
  <c r="Y677" i="1"/>
  <c r="Z677" i="1"/>
  <c r="AA677" i="1"/>
  <c r="AB677" i="1"/>
  <c r="AC677" i="1"/>
  <c r="T828" i="1"/>
  <c r="U828" i="1"/>
  <c r="V828" i="1"/>
  <c r="W828" i="1"/>
  <c r="X828" i="1"/>
  <c r="Y828" i="1"/>
  <c r="Z828" i="1"/>
  <c r="AA828" i="1"/>
  <c r="AB828" i="1"/>
  <c r="AC828" i="1"/>
  <c r="T498" i="1"/>
  <c r="U498" i="1"/>
  <c r="V498" i="1"/>
  <c r="W498" i="1"/>
  <c r="X498" i="1"/>
  <c r="Y498" i="1"/>
  <c r="Z498" i="1"/>
  <c r="AA498" i="1"/>
  <c r="AB498" i="1"/>
  <c r="AC498" i="1"/>
  <c r="T499" i="1"/>
  <c r="U499" i="1"/>
  <c r="V499" i="1"/>
  <c r="W499" i="1"/>
  <c r="X499" i="1"/>
  <c r="Y499" i="1"/>
  <c r="Z499" i="1"/>
  <c r="AA499" i="1"/>
  <c r="AB499" i="1"/>
  <c r="AC499" i="1"/>
  <c r="T1065" i="1"/>
  <c r="U1065" i="1"/>
  <c r="V1065" i="1"/>
  <c r="W1065" i="1"/>
  <c r="X1065" i="1"/>
  <c r="Y1065" i="1"/>
  <c r="Z1065" i="1"/>
  <c r="AA1065" i="1"/>
  <c r="AB1065" i="1"/>
  <c r="AC1065" i="1"/>
  <c r="T665" i="1"/>
  <c r="U665" i="1"/>
  <c r="V665" i="1"/>
  <c r="W665" i="1"/>
  <c r="X665" i="1"/>
  <c r="Y665" i="1"/>
  <c r="Z665" i="1"/>
  <c r="AA665" i="1"/>
  <c r="AB665" i="1"/>
  <c r="AC665" i="1"/>
  <c r="T951" i="1"/>
  <c r="U951" i="1"/>
  <c r="V951" i="1"/>
  <c r="W951" i="1"/>
  <c r="X951" i="1"/>
  <c r="Y951" i="1"/>
  <c r="Z951" i="1"/>
  <c r="AA951" i="1"/>
  <c r="AB951" i="1"/>
  <c r="AC951" i="1"/>
  <c r="T366" i="1"/>
  <c r="U366" i="1"/>
  <c r="V366" i="1"/>
  <c r="W366" i="1"/>
  <c r="X366" i="1"/>
  <c r="Y366" i="1"/>
  <c r="Z366" i="1"/>
  <c r="AA366" i="1"/>
  <c r="AB366" i="1"/>
  <c r="AC366" i="1"/>
  <c r="T876" i="1"/>
  <c r="U876" i="1"/>
  <c r="V876" i="1"/>
  <c r="W876" i="1"/>
  <c r="X876" i="1"/>
  <c r="Y876" i="1"/>
  <c r="Z876" i="1"/>
  <c r="AA876" i="1"/>
  <c r="AB876" i="1"/>
  <c r="AC876" i="1"/>
  <c r="T349" i="1"/>
  <c r="U349" i="1"/>
  <c r="V349" i="1"/>
  <c r="W349" i="1"/>
  <c r="X349" i="1"/>
  <c r="Y349" i="1"/>
  <c r="Z349" i="1"/>
  <c r="AA349" i="1"/>
  <c r="AB349" i="1"/>
  <c r="AC349" i="1"/>
  <c r="T377" i="1"/>
  <c r="U377" i="1"/>
  <c r="V377" i="1"/>
  <c r="W377" i="1"/>
  <c r="X377" i="1"/>
  <c r="Y377" i="1"/>
  <c r="Z377" i="1"/>
  <c r="AA377" i="1"/>
  <c r="AB377" i="1"/>
  <c r="AC377" i="1"/>
  <c r="T796" i="1"/>
  <c r="U796" i="1"/>
  <c r="V796" i="1"/>
  <c r="W796" i="1"/>
  <c r="X796" i="1"/>
  <c r="Y796" i="1"/>
  <c r="Z796" i="1"/>
  <c r="AA796" i="1"/>
  <c r="AB796" i="1"/>
  <c r="AC796" i="1"/>
  <c r="T731" i="1"/>
  <c r="U731" i="1"/>
  <c r="V731" i="1"/>
  <c r="W731" i="1"/>
  <c r="X731" i="1"/>
  <c r="Y731" i="1"/>
  <c r="Z731" i="1"/>
  <c r="AA731" i="1"/>
  <c r="AB731" i="1"/>
  <c r="AC731" i="1"/>
  <c r="T1091" i="1"/>
  <c r="U1091" i="1"/>
  <c r="V1091" i="1"/>
  <c r="W1091" i="1"/>
  <c r="X1091" i="1"/>
  <c r="Y1091" i="1"/>
  <c r="Z1091" i="1"/>
  <c r="AA1091" i="1"/>
  <c r="AB1091" i="1"/>
  <c r="AC1091" i="1"/>
  <c r="T702" i="1"/>
  <c r="U702" i="1"/>
  <c r="V702" i="1"/>
  <c r="W702" i="1"/>
  <c r="X702" i="1"/>
  <c r="Y702" i="1"/>
  <c r="Z702" i="1"/>
  <c r="AA702" i="1"/>
  <c r="AB702" i="1"/>
  <c r="AC702" i="1"/>
  <c r="T976" i="1"/>
  <c r="U976" i="1"/>
  <c r="V976" i="1"/>
  <c r="W976" i="1"/>
  <c r="X976" i="1"/>
  <c r="Y976" i="1"/>
  <c r="Z976" i="1"/>
  <c r="AA976" i="1"/>
  <c r="AB976" i="1"/>
  <c r="AC976" i="1"/>
  <c r="T356" i="1"/>
  <c r="U356" i="1"/>
  <c r="V356" i="1"/>
  <c r="W356" i="1"/>
  <c r="X356" i="1"/>
  <c r="Y356" i="1"/>
  <c r="Z356" i="1"/>
  <c r="AA356" i="1"/>
  <c r="AB356" i="1"/>
  <c r="AC356" i="1"/>
  <c r="T434" i="1"/>
  <c r="U434" i="1"/>
  <c r="V434" i="1"/>
  <c r="W434" i="1"/>
  <c r="X434" i="1"/>
  <c r="Y434" i="1"/>
  <c r="Z434" i="1"/>
  <c r="AA434" i="1"/>
  <c r="AB434" i="1"/>
  <c r="AC434" i="1"/>
  <c r="T676" i="1"/>
  <c r="U676" i="1"/>
  <c r="V676" i="1"/>
  <c r="W676" i="1"/>
  <c r="X676" i="1"/>
  <c r="Y676" i="1"/>
  <c r="Z676" i="1"/>
  <c r="AA676" i="1"/>
  <c r="AB676" i="1"/>
  <c r="AC676" i="1"/>
  <c r="T39" i="1"/>
  <c r="U39" i="1"/>
  <c r="V39" i="1"/>
  <c r="W39" i="1"/>
  <c r="X39" i="1"/>
  <c r="Y39" i="1"/>
  <c r="Z39" i="1"/>
  <c r="AA39" i="1"/>
  <c r="AB39" i="1"/>
  <c r="AC39" i="1"/>
  <c r="T72" i="1"/>
  <c r="U72" i="1"/>
  <c r="V72" i="1"/>
  <c r="W72" i="1"/>
  <c r="X72" i="1"/>
  <c r="Y72" i="1"/>
  <c r="Z72" i="1"/>
  <c r="AA72" i="1"/>
  <c r="AB72" i="1"/>
  <c r="AC72" i="1"/>
  <c r="T718" i="1"/>
  <c r="U718" i="1"/>
  <c r="V718" i="1"/>
  <c r="W718" i="1"/>
  <c r="X718" i="1"/>
  <c r="Y718" i="1"/>
  <c r="Z718" i="1"/>
  <c r="AA718" i="1"/>
  <c r="AB718" i="1"/>
  <c r="AC718" i="1"/>
  <c r="T738" i="1"/>
  <c r="U738" i="1"/>
  <c r="V738" i="1"/>
  <c r="W738" i="1"/>
  <c r="X738" i="1"/>
  <c r="Y738" i="1"/>
  <c r="Z738" i="1"/>
  <c r="AA738" i="1"/>
  <c r="AB738" i="1"/>
  <c r="AC738" i="1"/>
  <c r="T1090" i="1"/>
  <c r="U1090" i="1"/>
  <c r="V1090" i="1"/>
  <c r="W1090" i="1"/>
  <c r="X1090" i="1"/>
  <c r="Y1090" i="1"/>
  <c r="Z1090" i="1"/>
  <c r="AA1090" i="1"/>
  <c r="AB1090" i="1"/>
  <c r="AC1090" i="1"/>
  <c r="T879" i="1"/>
  <c r="U879" i="1"/>
  <c r="V879" i="1"/>
  <c r="W879" i="1"/>
  <c r="X879" i="1"/>
  <c r="Y879" i="1"/>
  <c r="Z879" i="1"/>
  <c r="AA879" i="1"/>
  <c r="AB879" i="1"/>
  <c r="AC879" i="1"/>
  <c r="T55" i="1"/>
  <c r="U55" i="1"/>
  <c r="V55" i="1"/>
  <c r="W55" i="1"/>
  <c r="X55" i="1"/>
  <c r="Y55" i="1"/>
  <c r="Z55" i="1"/>
  <c r="AA55" i="1"/>
  <c r="AB55" i="1"/>
  <c r="AC55" i="1"/>
  <c r="T293" i="1"/>
  <c r="U293" i="1"/>
  <c r="V293" i="1"/>
  <c r="W293" i="1"/>
  <c r="X293" i="1"/>
  <c r="Y293" i="1"/>
  <c r="Z293" i="1"/>
  <c r="AA293" i="1"/>
  <c r="AB293" i="1"/>
  <c r="AC293" i="1"/>
  <c r="T90" i="1"/>
  <c r="U90" i="1"/>
  <c r="V90" i="1"/>
  <c r="W90" i="1"/>
  <c r="X90" i="1"/>
  <c r="Y90" i="1"/>
  <c r="Z90" i="1"/>
  <c r="AA90" i="1"/>
  <c r="AB90" i="1"/>
  <c r="AC90" i="1"/>
  <c r="T306" i="1"/>
  <c r="U306" i="1"/>
  <c r="V306" i="1"/>
  <c r="W306" i="1"/>
  <c r="X306" i="1"/>
  <c r="Y306" i="1"/>
  <c r="Z306" i="1"/>
  <c r="AA306" i="1"/>
  <c r="AB306" i="1"/>
  <c r="AC306" i="1"/>
  <c r="T838" i="1"/>
  <c r="U838" i="1"/>
  <c r="V838" i="1"/>
  <c r="W838" i="1"/>
  <c r="X838" i="1"/>
  <c r="Y838" i="1"/>
  <c r="Z838" i="1"/>
  <c r="AA838" i="1"/>
  <c r="AB838" i="1"/>
  <c r="AC838" i="1"/>
  <c r="T986" i="1"/>
  <c r="U986" i="1"/>
  <c r="V986" i="1"/>
  <c r="W986" i="1"/>
  <c r="X986" i="1"/>
  <c r="Y986" i="1"/>
  <c r="Z986" i="1"/>
  <c r="AA986" i="1"/>
  <c r="AB986" i="1"/>
  <c r="AC986" i="1"/>
  <c r="T580" i="1"/>
  <c r="U580" i="1"/>
  <c r="V580" i="1"/>
  <c r="W580" i="1"/>
  <c r="X580" i="1"/>
  <c r="Y580" i="1"/>
  <c r="Z580" i="1"/>
  <c r="AA580" i="1"/>
  <c r="AB580" i="1"/>
  <c r="AC580" i="1"/>
  <c r="T397" i="1"/>
  <c r="U397" i="1"/>
  <c r="V397" i="1"/>
  <c r="W397" i="1"/>
  <c r="X397" i="1"/>
  <c r="Y397" i="1"/>
  <c r="Z397" i="1"/>
  <c r="AA397" i="1"/>
  <c r="AB397" i="1"/>
  <c r="AC397" i="1"/>
  <c r="T849" i="1"/>
  <c r="U849" i="1"/>
  <c r="V849" i="1"/>
  <c r="W849" i="1"/>
  <c r="X849" i="1"/>
  <c r="Y849" i="1"/>
  <c r="Z849" i="1"/>
  <c r="AA849" i="1"/>
  <c r="AB849" i="1"/>
  <c r="AC849" i="1"/>
  <c r="T421" i="1"/>
  <c r="U421" i="1"/>
  <c r="V421" i="1"/>
  <c r="W421" i="1"/>
  <c r="X421" i="1"/>
  <c r="Y421" i="1"/>
  <c r="Z421" i="1"/>
  <c r="AA421" i="1"/>
  <c r="AB421" i="1"/>
  <c r="AC421" i="1"/>
  <c r="T859" i="1"/>
  <c r="U859" i="1"/>
  <c r="V859" i="1"/>
  <c r="W859" i="1"/>
  <c r="X859" i="1"/>
  <c r="Y859" i="1"/>
  <c r="Z859" i="1"/>
  <c r="AA859" i="1"/>
  <c r="AB859" i="1"/>
  <c r="AC859" i="1"/>
  <c r="T44" i="1"/>
  <c r="U44" i="1"/>
  <c r="V44" i="1"/>
  <c r="W44" i="1"/>
  <c r="X44" i="1"/>
  <c r="Y44" i="1"/>
  <c r="Z44" i="1"/>
  <c r="AA44" i="1"/>
  <c r="AB44" i="1"/>
  <c r="AC44" i="1"/>
  <c r="T970" i="1"/>
  <c r="U970" i="1"/>
  <c r="V970" i="1"/>
  <c r="W970" i="1"/>
  <c r="X970" i="1"/>
  <c r="Y970" i="1"/>
  <c r="Z970" i="1"/>
  <c r="AA970" i="1"/>
  <c r="AB970" i="1"/>
  <c r="AC970" i="1"/>
  <c r="T370" i="1"/>
  <c r="U370" i="1"/>
  <c r="V370" i="1"/>
  <c r="W370" i="1"/>
  <c r="X370" i="1"/>
  <c r="Y370" i="1"/>
  <c r="Z370" i="1"/>
  <c r="AA370" i="1"/>
  <c r="AB370" i="1"/>
  <c r="AC370" i="1"/>
  <c r="T182" i="1"/>
  <c r="U182" i="1"/>
  <c r="V182" i="1"/>
  <c r="W182" i="1"/>
  <c r="X182" i="1"/>
  <c r="Y182" i="1"/>
  <c r="Z182" i="1"/>
  <c r="AA182" i="1"/>
  <c r="AB182" i="1"/>
  <c r="AC182" i="1"/>
  <c r="T312" i="1"/>
  <c r="U312" i="1"/>
  <c r="V312" i="1"/>
  <c r="W312" i="1"/>
  <c r="X312" i="1"/>
  <c r="Y312" i="1"/>
  <c r="Z312" i="1"/>
  <c r="AA312" i="1"/>
  <c r="AB312" i="1"/>
  <c r="AC312" i="1"/>
  <c r="T562" i="1"/>
  <c r="U562" i="1"/>
  <c r="V562" i="1"/>
  <c r="W562" i="1"/>
  <c r="X562" i="1"/>
  <c r="Y562" i="1"/>
  <c r="Z562" i="1"/>
  <c r="AA562" i="1"/>
  <c r="AB562" i="1"/>
  <c r="AC562" i="1"/>
  <c r="T76" i="1"/>
  <c r="U76" i="1"/>
  <c r="V76" i="1"/>
  <c r="W76" i="1"/>
  <c r="X76" i="1"/>
  <c r="Y76" i="1"/>
  <c r="Z76" i="1"/>
  <c r="AA76" i="1"/>
  <c r="AB76" i="1"/>
  <c r="AC76" i="1"/>
  <c r="T620" i="1"/>
  <c r="U620" i="1"/>
  <c r="V620" i="1"/>
  <c r="W620" i="1"/>
  <c r="X620" i="1"/>
  <c r="Y620" i="1"/>
  <c r="Z620" i="1"/>
  <c r="AA620" i="1"/>
  <c r="AB620" i="1"/>
  <c r="AC620" i="1"/>
  <c r="T789" i="1"/>
  <c r="U789" i="1"/>
  <c r="V789" i="1"/>
  <c r="W789" i="1"/>
  <c r="X789" i="1"/>
  <c r="Y789" i="1"/>
  <c r="Z789" i="1"/>
  <c r="AA789" i="1"/>
  <c r="AB789" i="1"/>
  <c r="AC789" i="1"/>
  <c r="T478" i="1"/>
  <c r="U478" i="1"/>
  <c r="V478" i="1"/>
  <c r="W478" i="1"/>
  <c r="X478" i="1"/>
  <c r="Y478" i="1"/>
  <c r="Z478" i="1"/>
  <c r="AA478" i="1"/>
  <c r="AB478" i="1"/>
  <c r="AC478" i="1"/>
  <c r="T260" i="1"/>
  <c r="U260" i="1"/>
  <c r="V260" i="1"/>
  <c r="W260" i="1"/>
  <c r="X260" i="1"/>
  <c r="Y260" i="1"/>
  <c r="Z260" i="1"/>
  <c r="AA260" i="1"/>
  <c r="AB260" i="1"/>
  <c r="AC260" i="1"/>
  <c r="T347" i="1"/>
  <c r="U347" i="1"/>
  <c r="V347" i="1"/>
  <c r="W347" i="1"/>
  <c r="X347" i="1"/>
  <c r="Y347" i="1"/>
  <c r="Z347" i="1"/>
  <c r="AA347" i="1"/>
  <c r="AB347" i="1"/>
  <c r="AC347" i="1"/>
  <c r="T699" i="1"/>
  <c r="U699" i="1"/>
  <c r="V699" i="1"/>
  <c r="W699" i="1"/>
  <c r="X699" i="1"/>
  <c r="Y699" i="1"/>
  <c r="Z699" i="1"/>
  <c r="AA699" i="1"/>
  <c r="AB699" i="1"/>
  <c r="AC699" i="1"/>
  <c r="T156" i="1"/>
  <c r="U156" i="1"/>
  <c r="V156" i="1"/>
  <c r="W156" i="1"/>
  <c r="X156" i="1"/>
  <c r="Y156" i="1"/>
  <c r="Z156" i="1"/>
  <c r="AA156" i="1"/>
  <c r="AB156" i="1"/>
  <c r="AC156" i="1"/>
  <c r="T191" i="1"/>
  <c r="U191" i="1"/>
  <c r="V191" i="1"/>
  <c r="W191" i="1"/>
  <c r="X191" i="1"/>
  <c r="Y191" i="1"/>
  <c r="Z191" i="1"/>
  <c r="AA191" i="1"/>
  <c r="AB191" i="1"/>
  <c r="AC191" i="1"/>
  <c r="T831" i="1"/>
  <c r="U831" i="1"/>
  <c r="V831" i="1"/>
  <c r="W831" i="1"/>
  <c r="X831" i="1"/>
  <c r="Y831" i="1"/>
  <c r="Z831" i="1"/>
  <c r="AA831" i="1"/>
  <c r="AB831" i="1"/>
  <c r="AC831" i="1"/>
  <c r="T532" i="1"/>
  <c r="U532" i="1"/>
  <c r="V532" i="1"/>
  <c r="W532" i="1"/>
  <c r="X532" i="1"/>
  <c r="Y532" i="1"/>
  <c r="Z532" i="1"/>
  <c r="AA532" i="1"/>
  <c r="AB532" i="1"/>
  <c r="AC532" i="1"/>
  <c r="T86" i="1"/>
  <c r="U86" i="1"/>
  <c r="V86" i="1"/>
  <c r="W86" i="1"/>
  <c r="X86" i="1"/>
  <c r="Y86" i="1"/>
  <c r="Z86" i="1"/>
  <c r="AA86" i="1"/>
  <c r="AB86" i="1"/>
  <c r="AC86" i="1"/>
  <c r="T801" i="1"/>
  <c r="U801" i="1"/>
  <c r="V801" i="1"/>
  <c r="W801" i="1"/>
  <c r="X801" i="1"/>
  <c r="Y801" i="1"/>
  <c r="Z801" i="1"/>
  <c r="AA801" i="1"/>
  <c r="AB801" i="1"/>
  <c r="AC801" i="1"/>
  <c r="T130" i="1"/>
  <c r="U130" i="1"/>
  <c r="V130" i="1"/>
  <c r="W130" i="1"/>
  <c r="X130" i="1"/>
  <c r="Y130" i="1"/>
  <c r="Z130" i="1"/>
  <c r="AA130" i="1"/>
  <c r="AB130" i="1"/>
  <c r="AC130" i="1"/>
  <c r="T332" i="1"/>
  <c r="U332" i="1"/>
  <c r="V332" i="1"/>
  <c r="W332" i="1"/>
  <c r="X332" i="1"/>
  <c r="Y332" i="1"/>
  <c r="Z332" i="1"/>
  <c r="AA332" i="1"/>
  <c r="AB332" i="1"/>
  <c r="AC332" i="1"/>
  <c r="T746" i="1"/>
  <c r="U746" i="1"/>
  <c r="V746" i="1"/>
  <c r="W746" i="1"/>
  <c r="X746" i="1"/>
  <c r="Y746" i="1"/>
  <c r="Z746" i="1"/>
  <c r="AA746" i="1"/>
  <c r="AB746" i="1"/>
  <c r="AC746" i="1"/>
  <c r="T670" i="1"/>
  <c r="U670" i="1"/>
  <c r="V670" i="1"/>
  <c r="W670" i="1"/>
  <c r="X670" i="1"/>
  <c r="Y670" i="1"/>
  <c r="Z670" i="1"/>
  <c r="AA670" i="1"/>
  <c r="AB670" i="1"/>
  <c r="AC670" i="1"/>
  <c r="T277" i="1"/>
  <c r="U277" i="1"/>
  <c r="V277" i="1"/>
  <c r="W277" i="1"/>
  <c r="X277" i="1"/>
  <c r="Y277" i="1"/>
  <c r="Z277" i="1"/>
  <c r="AA277" i="1"/>
  <c r="AB277" i="1"/>
  <c r="AC277" i="1"/>
  <c r="T812" i="1"/>
  <c r="U812" i="1"/>
  <c r="V812" i="1"/>
  <c r="W812" i="1"/>
  <c r="X812" i="1"/>
  <c r="Y812" i="1"/>
  <c r="Z812" i="1"/>
  <c r="AA812" i="1"/>
  <c r="AB812" i="1"/>
  <c r="AC812" i="1"/>
  <c r="T436" i="1"/>
  <c r="U436" i="1"/>
  <c r="V436" i="1"/>
  <c r="W436" i="1"/>
  <c r="X436" i="1"/>
  <c r="Y436" i="1"/>
  <c r="Z436" i="1"/>
  <c r="AA436" i="1"/>
  <c r="AB436" i="1"/>
  <c r="AC436" i="1"/>
  <c r="T1050" i="1"/>
  <c r="U1050" i="1"/>
  <c r="V1050" i="1"/>
  <c r="W1050" i="1"/>
  <c r="X1050" i="1"/>
  <c r="Y1050" i="1"/>
  <c r="Z1050" i="1"/>
  <c r="AA1050" i="1"/>
  <c r="AB1050" i="1"/>
  <c r="AC1050" i="1"/>
  <c r="T918" i="1"/>
  <c r="U918" i="1"/>
  <c r="V918" i="1"/>
  <c r="W918" i="1"/>
  <c r="X918" i="1"/>
  <c r="Y918" i="1"/>
  <c r="Z918" i="1"/>
  <c r="AA918" i="1"/>
  <c r="AB918" i="1"/>
  <c r="AC918" i="1"/>
  <c r="T348" i="1"/>
  <c r="U348" i="1"/>
  <c r="V348" i="1"/>
  <c r="W348" i="1"/>
  <c r="X348" i="1"/>
  <c r="Y348" i="1"/>
  <c r="Z348" i="1"/>
  <c r="AA348" i="1"/>
  <c r="AB348" i="1"/>
  <c r="AC348" i="1"/>
  <c r="T47" i="1"/>
  <c r="U47" i="1"/>
  <c r="V47" i="1"/>
  <c r="W47" i="1"/>
  <c r="X47" i="1"/>
  <c r="Y47" i="1"/>
  <c r="Z47" i="1"/>
  <c r="AA47" i="1"/>
  <c r="AB47" i="1"/>
  <c r="AC47" i="1"/>
  <c r="T707" i="1"/>
  <c r="U707" i="1"/>
  <c r="V707" i="1"/>
  <c r="W707" i="1"/>
  <c r="X707" i="1"/>
  <c r="Y707" i="1"/>
  <c r="Z707" i="1"/>
  <c r="AA707" i="1"/>
  <c r="AB707" i="1"/>
  <c r="AC707" i="1"/>
  <c r="T977" i="1"/>
  <c r="U977" i="1"/>
  <c r="V977" i="1"/>
  <c r="W977" i="1"/>
  <c r="X977" i="1"/>
  <c r="Y977" i="1"/>
  <c r="Z977" i="1"/>
  <c r="AA977" i="1"/>
  <c r="AB977" i="1"/>
  <c r="AC977" i="1"/>
  <c r="T911" i="1"/>
  <c r="U911" i="1"/>
  <c r="V911" i="1"/>
  <c r="W911" i="1"/>
  <c r="X911" i="1"/>
  <c r="Y911" i="1"/>
  <c r="Z911" i="1"/>
  <c r="AA911" i="1"/>
  <c r="AB911" i="1"/>
  <c r="AC911" i="1"/>
  <c r="T91" i="1"/>
  <c r="U91" i="1"/>
  <c r="V91" i="1"/>
  <c r="W91" i="1"/>
  <c r="X91" i="1"/>
  <c r="Y91" i="1"/>
  <c r="Z91" i="1"/>
  <c r="AA91" i="1"/>
  <c r="AB91" i="1"/>
  <c r="AC91" i="1"/>
  <c r="T534" i="1"/>
  <c r="U534" i="1"/>
  <c r="V534" i="1"/>
  <c r="W534" i="1"/>
  <c r="X534" i="1"/>
  <c r="Y534" i="1"/>
  <c r="Z534" i="1"/>
  <c r="AA534" i="1"/>
  <c r="AB534" i="1"/>
  <c r="AC534" i="1"/>
  <c r="T706" i="1"/>
  <c r="U706" i="1"/>
  <c r="V706" i="1"/>
  <c r="W706" i="1"/>
  <c r="X706" i="1"/>
  <c r="Y706" i="1"/>
  <c r="Z706" i="1"/>
  <c r="AA706" i="1"/>
  <c r="AB706" i="1"/>
  <c r="AC706" i="1"/>
  <c r="T449" i="1"/>
  <c r="U449" i="1"/>
  <c r="V449" i="1"/>
  <c r="W449" i="1"/>
  <c r="X449" i="1"/>
  <c r="Y449" i="1"/>
  <c r="Z449" i="1"/>
  <c r="AA449" i="1"/>
  <c r="AB449" i="1"/>
  <c r="AC449" i="1"/>
  <c r="T249" i="1"/>
  <c r="U249" i="1"/>
  <c r="V249" i="1"/>
  <c r="W249" i="1"/>
  <c r="X249" i="1"/>
  <c r="Y249" i="1"/>
  <c r="Z249" i="1"/>
  <c r="AA249" i="1"/>
  <c r="AB249" i="1"/>
  <c r="AC249" i="1"/>
  <c r="T251" i="1"/>
  <c r="U251" i="1"/>
  <c r="V251" i="1"/>
  <c r="W251" i="1"/>
  <c r="X251" i="1"/>
  <c r="Y251" i="1"/>
  <c r="Z251" i="1"/>
  <c r="AA251" i="1"/>
  <c r="AB251" i="1"/>
  <c r="AC251" i="1"/>
  <c r="T886" i="1"/>
  <c r="U886" i="1"/>
  <c r="V886" i="1"/>
  <c r="W886" i="1"/>
  <c r="X886" i="1"/>
  <c r="Y886" i="1"/>
  <c r="Z886" i="1"/>
  <c r="AA886" i="1"/>
  <c r="AB886" i="1"/>
  <c r="AC886" i="1"/>
  <c r="T89" i="1"/>
  <c r="U89" i="1"/>
  <c r="V89" i="1"/>
  <c r="W89" i="1"/>
  <c r="X89" i="1"/>
  <c r="Y89" i="1"/>
  <c r="Z89" i="1"/>
  <c r="AA89" i="1"/>
  <c r="AB89" i="1"/>
  <c r="AC89" i="1"/>
  <c r="T365" i="1"/>
  <c r="U365" i="1"/>
  <c r="V365" i="1"/>
  <c r="W365" i="1"/>
  <c r="X365" i="1"/>
  <c r="Y365" i="1"/>
  <c r="Z365" i="1"/>
  <c r="AA365" i="1"/>
  <c r="AB365" i="1"/>
  <c r="AC365" i="1"/>
  <c r="T492" i="1"/>
  <c r="U492" i="1"/>
  <c r="V492" i="1"/>
  <c r="W492" i="1"/>
  <c r="X492" i="1"/>
  <c r="Y492" i="1"/>
  <c r="Z492" i="1"/>
  <c r="AA492" i="1"/>
  <c r="AB492" i="1"/>
  <c r="AC492" i="1"/>
  <c r="T1107" i="1"/>
  <c r="U1107" i="1"/>
  <c r="V1107" i="1"/>
  <c r="W1107" i="1"/>
  <c r="X1107" i="1"/>
  <c r="Y1107" i="1"/>
  <c r="Z1107" i="1"/>
  <c r="AA1107" i="1"/>
  <c r="AB1107" i="1"/>
  <c r="AC1107" i="1"/>
  <c r="T993" i="1"/>
  <c r="U993" i="1"/>
  <c r="V993" i="1"/>
  <c r="W993" i="1"/>
  <c r="X993" i="1"/>
  <c r="Y993" i="1"/>
  <c r="Z993" i="1"/>
  <c r="AA993" i="1"/>
  <c r="AB993" i="1"/>
  <c r="AC993" i="1"/>
  <c r="T527" i="1"/>
  <c r="U527" i="1"/>
  <c r="V527" i="1"/>
  <c r="W527" i="1"/>
  <c r="X527" i="1"/>
  <c r="Y527" i="1"/>
  <c r="Z527" i="1"/>
  <c r="AA527" i="1"/>
  <c r="AB527" i="1"/>
  <c r="AC527" i="1"/>
  <c r="T351" i="1"/>
  <c r="U351" i="1"/>
  <c r="V351" i="1"/>
  <c r="W351" i="1"/>
  <c r="X351" i="1"/>
  <c r="Y351" i="1"/>
  <c r="Z351" i="1"/>
  <c r="AA351" i="1"/>
  <c r="AB351" i="1"/>
  <c r="AC351" i="1"/>
  <c r="T206" i="1"/>
  <c r="U206" i="1"/>
  <c r="V206" i="1"/>
  <c r="W206" i="1"/>
  <c r="X206" i="1"/>
  <c r="Y206" i="1"/>
  <c r="Z206" i="1"/>
  <c r="AA206" i="1"/>
  <c r="AB206" i="1"/>
  <c r="AC206" i="1"/>
  <c r="T405" i="1"/>
  <c r="U405" i="1"/>
  <c r="V405" i="1"/>
  <c r="W405" i="1"/>
  <c r="X405" i="1"/>
  <c r="Y405" i="1"/>
  <c r="Z405" i="1"/>
  <c r="AA405" i="1"/>
  <c r="AB405" i="1"/>
  <c r="AC405" i="1"/>
  <c r="T92" i="1"/>
  <c r="U92" i="1"/>
  <c r="V92" i="1"/>
  <c r="W92" i="1"/>
  <c r="X92" i="1"/>
  <c r="Y92" i="1"/>
  <c r="Z92" i="1"/>
  <c r="AA92" i="1"/>
  <c r="AB92" i="1"/>
  <c r="AC92" i="1"/>
  <c r="T980" i="1"/>
  <c r="U980" i="1"/>
  <c r="V980" i="1"/>
  <c r="W980" i="1"/>
  <c r="X980" i="1"/>
  <c r="Y980" i="1"/>
  <c r="Z980" i="1"/>
  <c r="AA980" i="1"/>
  <c r="AB980" i="1"/>
  <c r="AC980" i="1"/>
  <c r="T542" i="1"/>
  <c r="U542" i="1"/>
  <c r="V542" i="1"/>
  <c r="W542" i="1"/>
  <c r="X542" i="1"/>
  <c r="Y542" i="1"/>
  <c r="Z542" i="1"/>
  <c r="AA542" i="1"/>
  <c r="AB542" i="1"/>
  <c r="AC542" i="1"/>
  <c r="T698" i="1"/>
  <c r="U698" i="1"/>
  <c r="V698" i="1"/>
  <c r="W698" i="1"/>
  <c r="X698" i="1"/>
  <c r="Y698" i="1"/>
  <c r="Z698" i="1"/>
  <c r="AA698" i="1"/>
  <c r="AB698" i="1"/>
  <c r="AC698" i="1"/>
  <c r="T973" i="1"/>
  <c r="U973" i="1"/>
  <c r="V973" i="1"/>
  <c r="W973" i="1"/>
  <c r="X973" i="1"/>
  <c r="Y973" i="1"/>
  <c r="Z973" i="1"/>
  <c r="AA973" i="1"/>
  <c r="AB973" i="1"/>
  <c r="AC973" i="1"/>
  <c r="T221" i="1"/>
  <c r="U221" i="1"/>
  <c r="V221" i="1"/>
  <c r="W221" i="1"/>
  <c r="X221" i="1"/>
  <c r="Y221" i="1"/>
  <c r="Z221" i="1"/>
  <c r="AA221" i="1"/>
  <c r="AB221" i="1"/>
  <c r="AC221" i="1"/>
  <c r="T217" i="1"/>
  <c r="U217" i="1"/>
  <c r="V217" i="1"/>
  <c r="W217" i="1"/>
  <c r="X217" i="1"/>
  <c r="Y217" i="1"/>
  <c r="Z217" i="1"/>
  <c r="AA217" i="1"/>
  <c r="AB217" i="1"/>
  <c r="AC217" i="1"/>
  <c r="T858" i="1"/>
  <c r="U858" i="1"/>
  <c r="V858" i="1"/>
  <c r="W858" i="1"/>
  <c r="X858" i="1"/>
  <c r="Y858" i="1"/>
  <c r="Z858" i="1"/>
  <c r="AA858" i="1"/>
  <c r="AB858" i="1"/>
  <c r="AC858" i="1"/>
  <c r="T395" i="1"/>
  <c r="U395" i="1"/>
  <c r="V395" i="1"/>
  <c r="W395" i="1"/>
  <c r="X395" i="1"/>
  <c r="Y395" i="1"/>
  <c r="Z395" i="1"/>
  <c r="AA395" i="1"/>
  <c r="AB395" i="1"/>
  <c r="AC395" i="1"/>
  <c r="T435" i="1"/>
  <c r="U435" i="1"/>
  <c r="V435" i="1"/>
  <c r="W435" i="1"/>
  <c r="X435" i="1"/>
  <c r="Y435" i="1"/>
  <c r="Z435" i="1"/>
  <c r="AA435" i="1"/>
  <c r="AB435" i="1"/>
  <c r="AC435" i="1"/>
  <c r="T628" i="1"/>
  <c r="U628" i="1"/>
  <c r="V628" i="1"/>
  <c r="W628" i="1"/>
  <c r="X628" i="1"/>
  <c r="Y628" i="1"/>
  <c r="Z628" i="1"/>
  <c r="AA628" i="1"/>
  <c r="AB628" i="1"/>
  <c r="AC628" i="1"/>
  <c r="T1088" i="1"/>
  <c r="U1088" i="1"/>
  <c r="V1088" i="1"/>
  <c r="W1088" i="1"/>
  <c r="X1088" i="1"/>
  <c r="Y1088" i="1"/>
  <c r="Z1088" i="1"/>
  <c r="AA1088" i="1"/>
  <c r="AB1088" i="1"/>
  <c r="AC1088" i="1"/>
  <c r="T634" i="1"/>
  <c r="U634" i="1"/>
  <c r="V634" i="1"/>
  <c r="W634" i="1"/>
  <c r="X634" i="1"/>
  <c r="Y634" i="1"/>
  <c r="Z634" i="1"/>
  <c r="AA634" i="1"/>
  <c r="AB634" i="1"/>
  <c r="AC634" i="1"/>
  <c r="T379" i="1"/>
  <c r="U379" i="1"/>
  <c r="V379" i="1"/>
  <c r="W379" i="1"/>
  <c r="X379" i="1"/>
  <c r="Y379" i="1"/>
  <c r="Z379" i="1"/>
  <c r="AA379" i="1"/>
  <c r="AB379" i="1"/>
  <c r="AC379" i="1"/>
  <c r="T396" i="1"/>
  <c r="U396" i="1"/>
  <c r="V396" i="1"/>
  <c r="W396" i="1"/>
  <c r="X396" i="1"/>
  <c r="Y396" i="1"/>
  <c r="Z396" i="1"/>
  <c r="AA396" i="1"/>
  <c r="AB396" i="1"/>
  <c r="AC396" i="1"/>
  <c r="T557" i="1"/>
  <c r="U557" i="1"/>
  <c r="V557" i="1"/>
  <c r="W557" i="1"/>
  <c r="X557" i="1"/>
  <c r="Y557" i="1"/>
  <c r="Z557" i="1"/>
  <c r="AA557" i="1"/>
  <c r="AB557" i="1"/>
  <c r="AC557" i="1"/>
  <c r="T669" i="1"/>
  <c r="U669" i="1"/>
  <c r="V669" i="1"/>
  <c r="W669" i="1"/>
  <c r="X669" i="1"/>
  <c r="Y669" i="1"/>
  <c r="Z669" i="1"/>
  <c r="AA669" i="1"/>
  <c r="AB669" i="1"/>
  <c r="AC669" i="1"/>
  <c r="T555" i="1"/>
  <c r="U555" i="1"/>
  <c r="V555" i="1"/>
  <c r="W555" i="1"/>
  <c r="X555" i="1"/>
  <c r="Y555" i="1"/>
  <c r="Z555" i="1"/>
  <c r="AA555" i="1"/>
  <c r="AB555" i="1"/>
  <c r="AC555" i="1"/>
  <c r="T495" i="1"/>
  <c r="U495" i="1"/>
  <c r="V495" i="1"/>
  <c r="W495" i="1"/>
  <c r="X495" i="1"/>
  <c r="Y495" i="1"/>
  <c r="Z495" i="1"/>
  <c r="AA495" i="1"/>
  <c r="AB495" i="1"/>
  <c r="AC495" i="1"/>
  <c r="T768" i="1"/>
  <c r="U768" i="1"/>
  <c r="V768" i="1"/>
  <c r="W768" i="1"/>
  <c r="X768" i="1"/>
  <c r="Y768" i="1"/>
  <c r="Z768" i="1"/>
  <c r="AA768" i="1"/>
  <c r="AB768" i="1"/>
  <c r="AC768" i="1"/>
  <c r="T700" i="1"/>
  <c r="U700" i="1"/>
  <c r="V700" i="1"/>
  <c r="W700" i="1"/>
  <c r="X700" i="1"/>
  <c r="Y700" i="1"/>
  <c r="Z700" i="1"/>
  <c r="AA700" i="1"/>
  <c r="AB700" i="1"/>
  <c r="AC700" i="1"/>
  <c r="T626" i="1"/>
  <c r="U626" i="1"/>
  <c r="V626" i="1"/>
  <c r="W626" i="1"/>
  <c r="X626" i="1"/>
  <c r="Y626" i="1"/>
  <c r="Z626" i="1"/>
  <c r="AA626" i="1"/>
  <c r="AB626" i="1"/>
  <c r="AC626" i="1"/>
  <c r="T967" i="1"/>
  <c r="U967" i="1"/>
  <c r="V967" i="1"/>
  <c r="W967" i="1"/>
  <c r="X967" i="1"/>
  <c r="Y967" i="1"/>
  <c r="Z967" i="1"/>
  <c r="AA967" i="1"/>
  <c r="AB967" i="1"/>
  <c r="AC967" i="1"/>
  <c r="T241" i="1"/>
  <c r="U241" i="1"/>
  <c r="V241" i="1"/>
  <c r="W241" i="1"/>
  <c r="X241" i="1"/>
  <c r="Y241" i="1"/>
  <c r="Z241" i="1"/>
  <c r="AA241" i="1"/>
  <c r="AB241" i="1"/>
  <c r="AC241" i="1"/>
  <c r="T760" i="1"/>
  <c r="U760" i="1"/>
  <c r="V760" i="1"/>
  <c r="W760" i="1"/>
  <c r="X760" i="1"/>
  <c r="Y760" i="1"/>
  <c r="Z760" i="1"/>
  <c r="AA760" i="1"/>
  <c r="AB760" i="1"/>
  <c r="AC760" i="1"/>
  <c r="T22" i="1"/>
  <c r="U22" i="1"/>
  <c r="V22" i="1"/>
  <c r="W22" i="1"/>
  <c r="X22" i="1"/>
  <c r="Y22" i="1"/>
  <c r="Z22" i="1"/>
  <c r="AA22" i="1"/>
  <c r="AB22" i="1"/>
  <c r="AC22" i="1"/>
  <c r="T818" i="1"/>
  <c r="U818" i="1"/>
  <c r="V818" i="1"/>
  <c r="W818" i="1"/>
  <c r="X818" i="1"/>
  <c r="Y818" i="1"/>
  <c r="Z818" i="1"/>
  <c r="AA818" i="1"/>
  <c r="AB818" i="1"/>
  <c r="AC818" i="1"/>
  <c r="T1022" i="1"/>
  <c r="U1022" i="1"/>
  <c r="V1022" i="1"/>
  <c r="W1022" i="1"/>
  <c r="X1022" i="1"/>
  <c r="Y1022" i="1"/>
  <c r="Z1022" i="1"/>
  <c r="AA1022" i="1"/>
  <c r="AB1022" i="1"/>
  <c r="AC1022" i="1"/>
  <c r="T461" i="1"/>
  <c r="U461" i="1"/>
  <c r="V461" i="1"/>
  <c r="W461" i="1"/>
  <c r="X461" i="1"/>
  <c r="Y461" i="1"/>
  <c r="Z461" i="1"/>
  <c r="AA461" i="1"/>
  <c r="AB461" i="1"/>
  <c r="AC461" i="1"/>
  <c r="T410" i="1"/>
  <c r="U410" i="1"/>
  <c r="V410" i="1"/>
  <c r="W410" i="1"/>
  <c r="X410" i="1"/>
  <c r="Y410" i="1"/>
  <c r="Z410" i="1"/>
  <c r="AA410" i="1"/>
  <c r="AB410" i="1"/>
  <c r="AC410" i="1"/>
  <c r="T166" i="1"/>
  <c r="U166" i="1"/>
  <c r="V166" i="1"/>
  <c r="W166" i="1"/>
  <c r="X166" i="1"/>
  <c r="Y166" i="1"/>
  <c r="Z166" i="1"/>
  <c r="AA166" i="1"/>
  <c r="AB166" i="1"/>
  <c r="AC166" i="1"/>
  <c r="T600" i="1"/>
  <c r="U600" i="1"/>
  <c r="V600" i="1"/>
  <c r="W600" i="1"/>
  <c r="X600" i="1"/>
  <c r="Y600" i="1"/>
  <c r="Z600" i="1"/>
  <c r="AA600" i="1"/>
  <c r="AB600" i="1"/>
  <c r="AC600" i="1"/>
  <c r="T568" i="1"/>
  <c r="U568" i="1"/>
  <c r="V568" i="1"/>
  <c r="W568" i="1"/>
  <c r="X568" i="1"/>
  <c r="Y568" i="1"/>
  <c r="Z568" i="1"/>
  <c r="AA568" i="1"/>
  <c r="AB568" i="1"/>
  <c r="AC568" i="1"/>
  <c r="T1021" i="1"/>
  <c r="U1021" i="1"/>
  <c r="V1021" i="1"/>
  <c r="W1021" i="1"/>
  <c r="X1021" i="1"/>
  <c r="Y1021" i="1"/>
  <c r="Z1021" i="1"/>
  <c r="AA1021" i="1"/>
  <c r="AB1021" i="1"/>
  <c r="AC1021" i="1"/>
  <c r="T589" i="1"/>
  <c r="U589" i="1"/>
  <c r="V589" i="1"/>
  <c r="W589" i="1"/>
  <c r="X589" i="1"/>
  <c r="Y589" i="1"/>
  <c r="Z589" i="1"/>
  <c r="AA589" i="1"/>
  <c r="AB589" i="1"/>
  <c r="AC589" i="1"/>
  <c r="T891" i="1"/>
  <c r="U891" i="1"/>
  <c r="V891" i="1"/>
  <c r="W891" i="1"/>
  <c r="X891" i="1"/>
  <c r="Y891" i="1"/>
  <c r="Z891" i="1"/>
  <c r="AA891" i="1"/>
  <c r="AB891" i="1"/>
  <c r="AC891" i="1"/>
  <c r="T962" i="1"/>
  <c r="U962" i="1"/>
  <c r="V962" i="1"/>
  <c r="W962" i="1"/>
  <c r="X962" i="1"/>
  <c r="Y962" i="1"/>
  <c r="Z962" i="1"/>
  <c r="AA962" i="1"/>
  <c r="AB962" i="1"/>
  <c r="AC962" i="1"/>
  <c r="T778" i="1"/>
  <c r="U778" i="1"/>
  <c r="V778" i="1"/>
  <c r="W778" i="1"/>
  <c r="X778" i="1"/>
  <c r="Y778" i="1"/>
  <c r="Z778" i="1"/>
  <c r="AA778" i="1"/>
  <c r="AB778" i="1"/>
  <c r="AC778" i="1"/>
  <c r="T770" i="1"/>
  <c r="U770" i="1"/>
  <c r="V770" i="1"/>
  <c r="W770" i="1"/>
  <c r="X770" i="1"/>
  <c r="Y770" i="1"/>
  <c r="Z770" i="1"/>
  <c r="AA770" i="1"/>
  <c r="AB770" i="1"/>
  <c r="AC770" i="1"/>
  <c r="T458" i="1"/>
  <c r="U458" i="1"/>
  <c r="V458" i="1"/>
  <c r="W458" i="1"/>
  <c r="X458" i="1"/>
  <c r="Y458" i="1"/>
  <c r="Z458" i="1"/>
  <c r="AA458" i="1"/>
  <c r="AB458" i="1"/>
  <c r="AC458" i="1"/>
  <c r="T1029" i="1"/>
  <c r="U1029" i="1"/>
  <c r="V1029" i="1"/>
  <c r="W1029" i="1"/>
  <c r="X1029" i="1"/>
  <c r="Y1029" i="1"/>
  <c r="Z1029" i="1"/>
  <c r="AA1029" i="1"/>
  <c r="AB1029" i="1"/>
  <c r="AC1029" i="1"/>
  <c r="T416" i="1"/>
  <c r="U416" i="1"/>
  <c r="V416" i="1"/>
  <c r="W416" i="1"/>
  <c r="X416" i="1"/>
  <c r="Y416" i="1"/>
  <c r="Z416" i="1"/>
  <c r="AA416" i="1"/>
  <c r="AB416" i="1"/>
  <c r="AC416" i="1"/>
  <c r="T337" i="1"/>
  <c r="U337" i="1"/>
  <c r="V337" i="1"/>
  <c r="W337" i="1"/>
  <c r="X337" i="1"/>
  <c r="Y337" i="1"/>
  <c r="Z337" i="1"/>
  <c r="AA337" i="1"/>
  <c r="AB337" i="1"/>
  <c r="AC337" i="1"/>
  <c r="T988" i="1"/>
  <c r="U988" i="1"/>
  <c r="V988" i="1"/>
  <c r="W988" i="1"/>
  <c r="X988" i="1"/>
  <c r="Y988" i="1"/>
  <c r="Z988" i="1"/>
  <c r="AA988" i="1"/>
  <c r="AB988" i="1"/>
  <c r="AC988" i="1"/>
  <c r="T507" i="1"/>
  <c r="U507" i="1"/>
  <c r="V507" i="1"/>
  <c r="W507" i="1"/>
  <c r="X507" i="1"/>
  <c r="Y507" i="1"/>
  <c r="Z507" i="1"/>
  <c r="AA507" i="1"/>
  <c r="AB507" i="1"/>
  <c r="AC507" i="1"/>
  <c r="T23" i="1"/>
  <c r="U23" i="1"/>
  <c r="V23" i="1"/>
  <c r="W23" i="1"/>
  <c r="X23" i="1"/>
  <c r="Y23" i="1"/>
  <c r="Z23" i="1"/>
  <c r="AA23" i="1"/>
  <c r="AB23" i="1"/>
  <c r="AC23" i="1"/>
  <c r="T31" i="1"/>
  <c r="U31" i="1"/>
  <c r="V31" i="1"/>
  <c r="W31" i="1"/>
  <c r="X31" i="1"/>
  <c r="Y31" i="1"/>
  <c r="Z31" i="1"/>
  <c r="AA31" i="1"/>
  <c r="AB31" i="1"/>
  <c r="AC31" i="1"/>
  <c r="T547" i="1"/>
  <c r="U547" i="1"/>
  <c r="V547" i="1"/>
  <c r="W547" i="1"/>
  <c r="X547" i="1"/>
  <c r="Y547" i="1"/>
  <c r="Z547" i="1"/>
  <c r="AA547" i="1"/>
  <c r="AB547" i="1"/>
  <c r="AC547" i="1"/>
  <c r="T910" i="1"/>
  <c r="U910" i="1"/>
  <c r="V910" i="1"/>
  <c r="W910" i="1"/>
  <c r="X910" i="1"/>
  <c r="Y910" i="1"/>
  <c r="Z910" i="1"/>
  <c r="AA910" i="1"/>
  <c r="AB910" i="1"/>
  <c r="AC910" i="1"/>
  <c r="T291" i="1"/>
  <c r="U291" i="1"/>
  <c r="V291" i="1"/>
  <c r="W291" i="1"/>
  <c r="X291" i="1"/>
  <c r="Y291" i="1"/>
  <c r="Z291" i="1"/>
  <c r="AA291" i="1"/>
  <c r="AB291" i="1"/>
  <c r="AC291" i="1"/>
  <c r="T944" i="1"/>
  <c r="U944" i="1"/>
  <c r="V944" i="1"/>
  <c r="W944" i="1"/>
  <c r="X944" i="1"/>
  <c r="Y944" i="1"/>
  <c r="Z944" i="1"/>
  <c r="AA944" i="1"/>
  <c r="AB944" i="1"/>
  <c r="AC944" i="1"/>
  <c r="T928" i="1"/>
  <c r="U928" i="1"/>
  <c r="V928" i="1"/>
  <c r="W928" i="1"/>
  <c r="X928" i="1"/>
  <c r="Y928" i="1"/>
  <c r="Z928" i="1"/>
  <c r="AA928" i="1"/>
  <c r="AB928" i="1"/>
  <c r="AC928" i="1"/>
  <c r="T159" i="1"/>
  <c r="U159" i="1"/>
  <c r="V159" i="1"/>
  <c r="W159" i="1"/>
  <c r="X159" i="1"/>
  <c r="Y159" i="1"/>
  <c r="Z159" i="1"/>
  <c r="AA159" i="1"/>
  <c r="AB159" i="1"/>
  <c r="AC159" i="1"/>
  <c r="T635" i="1"/>
  <c r="U635" i="1"/>
  <c r="V635" i="1"/>
  <c r="W635" i="1"/>
  <c r="X635" i="1"/>
  <c r="Y635" i="1"/>
  <c r="Z635" i="1"/>
  <c r="AA635" i="1"/>
  <c r="AB635" i="1"/>
  <c r="AC635" i="1"/>
  <c r="T757" i="1"/>
  <c r="U757" i="1"/>
  <c r="V757" i="1"/>
  <c r="W757" i="1"/>
  <c r="X757" i="1"/>
  <c r="Y757" i="1"/>
  <c r="Z757" i="1"/>
  <c r="AA757" i="1"/>
  <c r="AB757" i="1"/>
  <c r="AC757" i="1"/>
  <c r="T889" i="1"/>
  <c r="U889" i="1"/>
  <c r="V889" i="1"/>
  <c r="W889" i="1"/>
  <c r="X889" i="1"/>
  <c r="Y889" i="1"/>
  <c r="Z889" i="1"/>
  <c r="AA889" i="1"/>
  <c r="AB889" i="1"/>
  <c r="AC889" i="1"/>
  <c r="T667" i="1"/>
  <c r="U667" i="1"/>
  <c r="V667" i="1"/>
  <c r="W667" i="1"/>
  <c r="X667" i="1"/>
  <c r="Y667" i="1"/>
  <c r="Z667" i="1"/>
  <c r="AA667" i="1"/>
  <c r="AB667" i="1"/>
  <c r="AC667" i="1"/>
  <c r="T398" i="1"/>
  <c r="U398" i="1"/>
  <c r="V398" i="1"/>
  <c r="W398" i="1"/>
  <c r="X398" i="1"/>
  <c r="Y398" i="1"/>
  <c r="Z398" i="1"/>
  <c r="AA398" i="1"/>
  <c r="AB398" i="1"/>
  <c r="AC398" i="1"/>
  <c r="T422" i="1"/>
  <c r="U422" i="1"/>
  <c r="V422" i="1"/>
  <c r="W422" i="1"/>
  <c r="X422" i="1"/>
  <c r="Y422" i="1"/>
  <c r="Z422" i="1"/>
  <c r="AA422" i="1"/>
  <c r="AB422" i="1"/>
  <c r="AC422" i="1"/>
  <c r="T447" i="1"/>
  <c r="U447" i="1"/>
  <c r="V447" i="1"/>
  <c r="W447" i="1"/>
  <c r="X447" i="1"/>
  <c r="Y447" i="1"/>
  <c r="Z447" i="1"/>
  <c r="AA447" i="1"/>
  <c r="AB447" i="1"/>
  <c r="AC447" i="1"/>
  <c r="T674" i="1"/>
  <c r="U674" i="1"/>
  <c r="V674" i="1"/>
  <c r="W674" i="1"/>
  <c r="X674" i="1"/>
  <c r="Y674" i="1"/>
  <c r="Z674" i="1"/>
  <c r="AA674" i="1"/>
  <c r="AB674" i="1"/>
  <c r="AC674" i="1"/>
  <c r="T806" i="1"/>
  <c r="U806" i="1"/>
  <c r="V806" i="1"/>
  <c r="W806" i="1"/>
  <c r="X806" i="1"/>
  <c r="Y806" i="1"/>
  <c r="Z806" i="1"/>
  <c r="AA806" i="1"/>
  <c r="AB806" i="1"/>
  <c r="AC806" i="1"/>
  <c r="T683" i="1"/>
  <c r="U683" i="1"/>
  <c r="V683" i="1"/>
  <c r="W683" i="1"/>
  <c r="X683" i="1"/>
  <c r="Y683" i="1"/>
  <c r="Z683" i="1"/>
  <c r="AA683" i="1"/>
  <c r="AB683" i="1"/>
  <c r="AC683" i="1"/>
  <c r="T584" i="1"/>
  <c r="U584" i="1"/>
  <c r="V584" i="1"/>
  <c r="W584" i="1"/>
  <c r="X584" i="1"/>
  <c r="Y584" i="1"/>
  <c r="Z584" i="1"/>
  <c r="AA584" i="1"/>
  <c r="AB584" i="1"/>
  <c r="AC584" i="1"/>
  <c r="T638" i="1"/>
  <c r="U638" i="1"/>
  <c r="V638" i="1"/>
  <c r="W638" i="1"/>
  <c r="X638" i="1"/>
  <c r="Y638" i="1"/>
  <c r="Z638" i="1"/>
  <c r="AA638" i="1"/>
  <c r="AB638" i="1"/>
  <c r="AC638" i="1"/>
  <c r="T666" i="1"/>
  <c r="U666" i="1"/>
  <c r="V666" i="1"/>
  <c r="W666" i="1"/>
  <c r="X666" i="1"/>
  <c r="Y666" i="1"/>
  <c r="Z666" i="1"/>
  <c r="AA666" i="1"/>
  <c r="AB666" i="1"/>
  <c r="AC666" i="1"/>
  <c r="T340" i="1"/>
  <c r="U340" i="1"/>
  <c r="V340" i="1"/>
  <c r="W340" i="1"/>
  <c r="X340" i="1"/>
  <c r="Y340" i="1"/>
  <c r="Z340" i="1"/>
  <c r="AA340" i="1"/>
  <c r="AB340" i="1"/>
  <c r="AC340" i="1"/>
  <c r="T308" i="1"/>
  <c r="U308" i="1"/>
  <c r="V308" i="1"/>
  <c r="W308" i="1"/>
  <c r="X308" i="1"/>
  <c r="Y308" i="1"/>
  <c r="Z308" i="1"/>
  <c r="AA308" i="1"/>
  <c r="AB308" i="1"/>
  <c r="AC308" i="1"/>
  <c r="T862" i="1"/>
  <c r="U862" i="1"/>
  <c r="V862" i="1"/>
  <c r="W862" i="1"/>
  <c r="X862" i="1"/>
  <c r="Y862" i="1"/>
  <c r="Z862" i="1"/>
  <c r="AA862" i="1"/>
  <c r="AB862" i="1"/>
  <c r="AC862" i="1"/>
  <c r="T805" i="1"/>
  <c r="U805" i="1"/>
  <c r="V805" i="1"/>
  <c r="W805" i="1"/>
  <c r="X805" i="1"/>
  <c r="Y805" i="1"/>
  <c r="Z805" i="1"/>
  <c r="AA805" i="1"/>
  <c r="AB805" i="1"/>
  <c r="AC805" i="1"/>
  <c r="T518" i="1"/>
  <c r="U518" i="1"/>
  <c r="V518" i="1"/>
  <c r="W518" i="1"/>
  <c r="X518" i="1"/>
  <c r="Y518" i="1"/>
  <c r="Z518" i="1"/>
  <c r="AA518" i="1"/>
  <c r="AB518" i="1"/>
  <c r="AC518" i="1"/>
  <c r="T1058" i="1"/>
  <c r="U1058" i="1"/>
  <c r="V1058" i="1"/>
  <c r="W1058" i="1"/>
  <c r="X1058" i="1"/>
  <c r="Y1058" i="1"/>
  <c r="Z1058" i="1"/>
  <c r="AA1058" i="1"/>
  <c r="AB1058" i="1"/>
  <c r="AC1058" i="1"/>
  <c r="T924" i="1"/>
  <c r="U924" i="1"/>
  <c r="V924" i="1"/>
  <c r="W924" i="1"/>
  <c r="X924" i="1"/>
  <c r="Y924" i="1"/>
  <c r="Z924" i="1"/>
  <c r="AA924" i="1"/>
  <c r="AB924" i="1"/>
  <c r="AC924" i="1"/>
  <c r="T20" i="1"/>
  <c r="U20" i="1"/>
  <c r="V20" i="1"/>
  <c r="W20" i="1"/>
  <c r="X20" i="1"/>
  <c r="Y20" i="1"/>
  <c r="Z20" i="1"/>
  <c r="AA20" i="1"/>
  <c r="AB20" i="1"/>
  <c r="AC20" i="1"/>
  <c r="T1061" i="1"/>
  <c r="U1061" i="1"/>
  <c r="V1061" i="1"/>
  <c r="W1061" i="1"/>
  <c r="X1061" i="1"/>
  <c r="Y1061" i="1"/>
  <c r="Z1061" i="1"/>
  <c r="AA1061" i="1"/>
  <c r="AB1061" i="1"/>
  <c r="AC1061" i="1"/>
  <c r="T1049" i="1"/>
  <c r="U1049" i="1"/>
  <c r="V1049" i="1"/>
  <c r="W1049" i="1"/>
  <c r="X1049" i="1"/>
  <c r="Y1049" i="1"/>
  <c r="Z1049" i="1"/>
  <c r="AA1049" i="1"/>
  <c r="AB1049" i="1"/>
  <c r="AC1049" i="1"/>
  <c r="T439" i="1"/>
  <c r="U439" i="1"/>
  <c r="V439" i="1"/>
  <c r="W439" i="1"/>
  <c r="X439" i="1"/>
  <c r="Y439" i="1"/>
  <c r="Z439" i="1"/>
  <c r="AA439" i="1"/>
  <c r="AB439" i="1"/>
  <c r="AC439" i="1"/>
  <c r="T455" i="1"/>
  <c r="U455" i="1"/>
  <c r="V455" i="1"/>
  <c r="W455" i="1"/>
  <c r="X455" i="1"/>
  <c r="Y455" i="1"/>
  <c r="Z455" i="1"/>
  <c r="AA455" i="1"/>
  <c r="AB455" i="1"/>
  <c r="AC455" i="1"/>
  <c r="T408" i="1"/>
  <c r="U408" i="1"/>
  <c r="V408" i="1"/>
  <c r="W408" i="1"/>
  <c r="X408" i="1"/>
  <c r="Y408" i="1"/>
  <c r="Z408" i="1"/>
  <c r="AA408" i="1"/>
  <c r="AB408" i="1"/>
  <c r="AC408" i="1"/>
  <c r="T790" i="1"/>
  <c r="U790" i="1"/>
  <c r="V790" i="1"/>
  <c r="W790" i="1"/>
  <c r="X790" i="1"/>
  <c r="Y790" i="1"/>
  <c r="Z790" i="1"/>
  <c r="AA790" i="1"/>
  <c r="AB790" i="1"/>
  <c r="AC790" i="1"/>
  <c r="T1005" i="1"/>
  <c r="U1005" i="1"/>
  <c r="V1005" i="1"/>
  <c r="W1005" i="1"/>
  <c r="X1005" i="1"/>
  <c r="Y1005" i="1"/>
  <c r="Z1005" i="1"/>
  <c r="AA1005" i="1"/>
  <c r="AB1005" i="1"/>
  <c r="AC1005" i="1"/>
  <c r="T885" i="1"/>
  <c r="U885" i="1"/>
  <c r="V885" i="1"/>
  <c r="W885" i="1"/>
  <c r="X885" i="1"/>
  <c r="Y885" i="1"/>
  <c r="Z885" i="1"/>
  <c r="AA885" i="1"/>
  <c r="AB885" i="1"/>
  <c r="AC885" i="1"/>
  <c r="T868" i="1"/>
  <c r="U868" i="1"/>
  <c r="V868" i="1"/>
  <c r="W868" i="1"/>
  <c r="X868" i="1"/>
  <c r="Y868" i="1"/>
  <c r="Z868" i="1"/>
  <c r="AA868" i="1"/>
  <c r="AB868" i="1"/>
  <c r="AC868" i="1"/>
  <c r="T1094" i="1"/>
  <c r="U1094" i="1"/>
  <c r="V1094" i="1"/>
  <c r="W1094" i="1"/>
  <c r="X1094" i="1"/>
  <c r="Y1094" i="1"/>
  <c r="Z1094" i="1"/>
  <c r="AA1094" i="1"/>
  <c r="AB1094" i="1"/>
  <c r="AC1094" i="1"/>
  <c r="T467" i="1"/>
  <c r="U467" i="1"/>
  <c r="V467" i="1"/>
  <c r="W467" i="1"/>
  <c r="X467" i="1"/>
  <c r="Y467" i="1"/>
  <c r="Z467" i="1"/>
  <c r="AA467" i="1"/>
  <c r="AB467" i="1"/>
  <c r="AC467" i="1"/>
  <c r="T565" i="1"/>
  <c r="U565" i="1"/>
  <c r="V565" i="1"/>
  <c r="W565" i="1"/>
  <c r="X565" i="1"/>
  <c r="Y565" i="1"/>
  <c r="Z565" i="1"/>
  <c r="AA565" i="1"/>
  <c r="AB565" i="1"/>
  <c r="AC565" i="1"/>
  <c r="T637" i="1"/>
  <c r="U637" i="1"/>
  <c r="V637" i="1"/>
  <c r="W637" i="1"/>
  <c r="X637" i="1"/>
  <c r="Y637" i="1"/>
  <c r="Z637" i="1"/>
  <c r="AA637" i="1"/>
  <c r="AB637" i="1"/>
  <c r="AC637" i="1"/>
  <c r="T631" i="1"/>
  <c r="U631" i="1"/>
  <c r="V631" i="1"/>
  <c r="W631" i="1"/>
  <c r="X631" i="1"/>
  <c r="Y631" i="1"/>
  <c r="Z631" i="1"/>
  <c r="AA631" i="1"/>
  <c r="AB631" i="1"/>
  <c r="AC631" i="1"/>
  <c r="T1024" i="1"/>
  <c r="U1024" i="1"/>
  <c r="V1024" i="1"/>
  <c r="W1024" i="1"/>
  <c r="X1024" i="1"/>
  <c r="Y1024" i="1"/>
  <c r="Z1024" i="1"/>
  <c r="AA1024" i="1"/>
  <c r="AB1024" i="1"/>
  <c r="AC1024" i="1"/>
  <c r="T228" i="1"/>
  <c r="U228" i="1"/>
  <c r="V228" i="1"/>
  <c r="W228" i="1"/>
  <c r="X228" i="1"/>
  <c r="Y228" i="1"/>
  <c r="Z228" i="1"/>
  <c r="AA228" i="1"/>
  <c r="AB228" i="1"/>
  <c r="AC228" i="1"/>
  <c r="T881" i="1"/>
  <c r="U881" i="1"/>
  <c r="V881" i="1"/>
  <c r="W881" i="1"/>
  <c r="X881" i="1"/>
  <c r="Y881" i="1"/>
  <c r="Z881" i="1"/>
  <c r="AA881" i="1"/>
  <c r="AB881" i="1"/>
  <c r="AC881" i="1"/>
  <c r="T429" i="1"/>
  <c r="U429" i="1"/>
  <c r="V429" i="1"/>
  <c r="W429" i="1"/>
  <c r="X429" i="1"/>
  <c r="Y429" i="1"/>
  <c r="Z429" i="1"/>
  <c r="AA429" i="1"/>
  <c r="AB429" i="1"/>
  <c r="AC429" i="1"/>
  <c r="T1031" i="1"/>
  <c r="U1031" i="1"/>
  <c r="V1031" i="1"/>
  <c r="W1031" i="1"/>
  <c r="X1031" i="1"/>
  <c r="Y1031" i="1"/>
  <c r="Z1031" i="1"/>
  <c r="AA1031" i="1"/>
  <c r="AB1031" i="1"/>
  <c r="AC1031" i="1"/>
  <c r="T1027" i="1"/>
  <c r="U1027" i="1"/>
  <c r="V1027" i="1"/>
  <c r="W1027" i="1"/>
  <c r="X1027" i="1"/>
  <c r="Y1027" i="1"/>
  <c r="Z1027" i="1"/>
  <c r="AA1027" i="1"/>
  <c r="AB1027" i="1"/>
  <c r="AC1027" i="1"/>
  <c r="T1057" i="1"/>
  <c r="U1057" i="1"/>
  <c r="V1057" i="1"/>
  <c r="W1057" i="1"/>
  <c r="X1057" i="1"/>
  <c r="Y1057" i="1"/>
  <c r="Z1057" i="1"/>
  <c r="AA1057" i="1"/>
  <c r="AB1057" i="1"/>
  <c r="AC1057" i="1"/>
  <c r="T1105" i="1"/>
  <c r="U1105" i="1"/>
  <c r="V1105" i="1"/>
  <c r="W1105" i="1"/>
  <c r="X1105" i="1"/>
  <c r="Y1105" i="1"/>
  <c r="Z1105" i="1"/>
  <c r="AA1105" i="1"/>
  <c r="AB1105" i="1"/>
  <c r="AC1105" i="1"/>
  <c r="T1103" i="1"/>
  <c r="U1103" i="1"/>
  <c r="V1103" i="1"/>
  <c r="W1103" i="1"/>
  <c r="X1103" i="1"/>
  <c r="Y1103" i="1"/>
  <c r="Z1103" i="1"/>
  <c r="AA1103" i="1"/>
  <c r="AB1103" i="1"/>
  <c r="AC1103" i="1"/>
  <c r="T1106" i="1"/>
  <c r="U1106" i="1"/>
  <c r="V1106" i="1"/>
  <c r="W1106" i="1"/>
  <c r="X1106" i="1"/>
  <c r="Y1106" i="1"/>
  <c r="Z1106" i="1"/>
  <c r="AA1106" i="1"/>
  <c r="AB1106" i="1"/>
  <c r="AC1106" i="1"/>
  <c r="T1104" i="1"/>
  <c r="U1104" i="1"/>
  <c r="V1104" i="1"/>
  <c r="W1104" i="1"/>
  <c r="X1104" i="1"/>
  <c r="Y1104" i="1"/>
  <c r="Z1104" i="1"/>
  <c r="AA1104" i="1"/>
  <c r="AB1104" i="1"/>
  <c r="AC1104" i="1"/>
  <c r="T880" i="1"/>
  <c r="U880" i="1"/>
  <c r="V880" i="1"/>
  <c r="W880" i="1"/>
  <c r="X880" i="1"/>
  <c r="Y880" i="1"/>
  <c r="Z880" i="1"/>
  <c r="AA880" i="1"/>
  <c r="AB880" i="1"/>
  <c r="AC880" i="1"/>
  <c r="T762" i="1"/>
  <c r="U762" i="1"/>
  <c r="V762" i="1"/>
  <c r="W762" i="1"/>
  <c r="X762" i="1"/>
  <c r="Y762" i="1"/>
  <c r="Z762" i="1"/>
  <c r="AA762" i="1"/>
  <c r="AB762" i="1"/>
  <c r="AC762" i="1"/>
  <c r="T364" i="1"/>
  <c r="U364" i="1"/>
  <c r="V364" i="1"/>
  <c r="W364" i="1"/>
  <c r="X364" i="1"/>
  <c r="Y364" i="1"/>
  <c r="Z364" i="1"/>
  <c r="AA364" i="1"/>
  <c r="AB364" i="1"/>
  <c r="AC364" i="1"/>
  <c r="T1028" i="1"/>
  <c r="U1028" i="1"/>
  <c r="V1028" i="1"/>
  <c r="W1028" i="1"/>
  <c r="X1028" i="1"/>
  <c r="Y1028" i="1"/>
  <c r="Z1028" i="1"/>
  <c r="AA1028" i="1"/>
  <c r="AB1028" i="1"/>
  <c r="AC1028" i="1"/>
  <c r="T539" i="1"/>
  <c r="U539" i="1"/>
  <c r="V539" i="1"/>
  <c r="W539" i="1"/>
  <c r="X539" i="1"/>
  <c r="Y539" i="1"/>
  <c r="Z539" i="1"/>
  <c r="AA539" i="1"/>
  <c r="AB539" i="1"/>
  <c r="AC539" i="1"/>
  <c r="T378" i="1"/>
  <c r="U378" i="1"/>
  <c r="V378" i="1"/>
  <c r="W378" i="1"/>
  <c r="X378" i="1"/>
  <c r="Y378" i="1"/>
  <c r="Z378" i="1"/>
  <c r="AA378" i="1"/>
  <c r="AB378" i="1"/>
  <c r="AC378" i="1"/>
  <c r="T94" i="1"/>
  <c r="U94" i="1"/>
  <c r="V94" i="1"/>
  <c r="W94" i="1"/>
  <c r="X94" i="1"/>
  <c r="Y94" i="1"/>
  <c r="Z94" i="1"/>
  <c r="AA94" i="1"/>
  <c r="AB94" i="1"/>
  <c r="AC94" i="1"/>
  <c r="T574" i="1"/>
  <c r="U574" i="1"/>
  <c r="V574" i="1"/>
  <c r="W574" i="1"/>
  <c r="X574" i="1"/>
  <c r="Y574" i="1"/>
  <c r="Z574" i="1"/>
  <c r="AA574" i="1"/>
  <c r="AB574" i="1"/>
  <c r="AC574" i="1"/>
  <c r="T764" i="1"/>
  <c r="U764" i="1"/>
  <c r="V764" i="1"/>
  <c r="W764" i="1"/>
  <c r="X764" i="1"/>
  <c r="Y764" i="1"/>
  <c r="Z764" i="1"/>
  <c r="AA764" i="1"/>
  <c r="AB764" i="1"/>
  <c r="AC764" i="1"/>
  <c r="T1086" i="1"/>
  <c r="U1086" i="1"/>
  <c r="V1086" i="1"/>
  <c r="W1086" i="1"/>
  <c r="X1086" i="1"/>
  <c r="Y1086" i="1"/>
  <c r="Z1086" i="1"/>
  <c r="AA1086" i="1"/>
  <c r="AB1086" i="1"/>
  <c r="AC1086" i="1"/>
  <c r="T443" i="1"/>
  <c r="U443" i="1"/>
  <c r="V443" i="1"/>
  <c r="W443" i="1"/>
  <c r="X443" i="1"/>
  <c r="Y443" i="1"/>
  <c r="Z443" i="1"/>
  <c r="AA443" i="1"/>
  <c r="AB443" i="1"/>
  <c r="AC443" i="1"/>
  <c r="T386" i="1"/>
  <c r="U386" i="1"/>
  <c r="V386" i="1"/>
  <c r="W386" i="1"/>
  <c r="X386" i="1"/>
  <c r="Y386" i="1"/>
  <c r="Z386" i="1"/>
  <c r="AA386" i="1"/>
  <c r="AB386" i="1"/>
  <c r="AC386" i="1"/>
  <c r="T655" i="1"/>
  <c r="U655" i="1"/>
  <c r="V655" i="1"/>
  <c r="W655" i="1"/>
  <c r="X655" i="1"/>
  <c r="Y655" i="1"/>
  <c r="Z655" i="1"/>
  <c r="AA655" i="1"/>
  <c r="AB655" i="1"/>
  <c r="AC655" i="1"/>
  <c r="T125" i="1"/>
  <c r="U125" i="1"/>
  <c r="V125" i="1"/>
  <c r="W125" i="1"/>
  <c r="X125" i="1"/>
  <c r="Y125" i="1"/>
  <c r="Z125" i="1"/>
  <c r="AA125" i="1"/>
  <c r="AB125" i="1"/>
  <c r="AC125" i="1"/>
  <c r="T69" i="1"/>
  <c r="U69" i="1"/>
  <c r="V69" i="1"/>
  <c r="W69" i="1"/>
  <c r="X69" i="1"/>
  <c r="Y69" i="1"/>
  <c r="Z69" i="1"/>
  <c r="AA69" i="1"/>
  <c r="AB69" i="1"/>
  <c r="AC69" i="1"/>
  <c r="T271" i="1"/>
  <c r="U271" i="1"/>
  <c r="V271" i="1"/>
  <c r="W271" i="1"/>
  <c r="X271" i="1"/>
  <c r="Y271" i="1"/>
  <c r="Z271" i="1"/>
  <c r="AA271" i="1"/>
  <c r="AB271" i="1"/>
  <c r="AC271" i="1"/>
  <c r="T201" i="1"/>
  <c r="U201" i="1"/>
  <c r="V201" i="1"/>
  <c r="W201" i="1"/>
  <c r="X201" i="1"/>
  <c r="Y201" i="1"/>
  <c r="Z201" i="1"/>
  <c r="AA201" i="1"/>
  <c r="AB201" i="1"/>
  <c r="AC201" i="1"/>
  <c r="T650" i="1"/>
  <c r="U650" i="1"/>
  <c r="V650" i="1"/>
  <c r="W650" i="1"/>
  <c r="X650" i="1"/>
  <c r="Y650" i="1"/>
  <c r="Z650" i="1"/>
  <c r="AA650" i="1"/>
  <c r="AB650" i="1"/>
  <c r="AC650" i="1"/>
  <c r="T384" i="1"/>
  <c r="U384" i="1"/>
  <c r="V384" i="1"/>
  <c r="W384" i="1"/>
  <c r="X384" i="1"/>
  <c r="Y384" i="1"/>
  <c r="Z384" i="1"/>
  <c r="AA384" i="1"/>
  <c r="AB384" i="1"/>
  <c r="AC384" i="1"/>
  <c r="T142" i="1"/>
  <c r="U142" i="1"/>
  <c r="V142" i="1"/>
  <c r="W142" i="1"/>
  <c r="X142" i="1"/>
  <c r="Y142" i="1"/>
  <c r="Z142" i="1"/>
  <c r="AA142" i="1"/>
  <c r="AB142" i="1"/>
  <c r="AC142" i="1"/>
  <c r="T118" i="1"/>
  <c r="U118" i="1"/>
  <c r="V118" i="1"/>
  <c r="W118" i="1"/>
  <c r="X118" i="1"/>
  <c r="Y118" i="1"/>
  <c r="Z118" i="1"/>
  <c r="AA118" i="1"/>
  <c r="AB118" i="1"/>
  <c r="AC118" i="1"/>
  <c r="T996" i="1"/>
  <c r="U996" i="1"/>
  <c r="V996" i="1"/>
  <c r="W996" i="1"/>
  <c r="X996" i="1"/>
  <c r="Y996" i="1"/>
  <c r="Z996" i="1"/>
  <c r="AA996" i="1"/>
  <c r="AB996" i="1"/>
  <c r="AC996" i="1"/>
  <c r="T68" i="1"/>
  <c r="U68" i="1"/>
  <c r="V68" i="1"/>
  <c r="W68" i="1"/>
  <c r="X68" i="1"/>
  <c r="Y68" i="1"/>
  <c r="Z68" i="1"/>
  <c r="AA68" i="1"/>
  <c r="AB68" i="1"/>
  <c r="AC68" i="1"/>
  <c r="T1008" i="1"/>
  <c r="U1008" i="1"/>
  <c r="V1008" i="1"/>
  <c r="W1008" i="1"/>
  <c r="X1008" i="1"/>
  <c r="Y1008" i="1"/>
  <c r="Z1008" i="1"/>
  <c r="AA1008" i="1"/>
  <c r="AB1008" i="1"/>
  <c r="AC1008" i="1"/>
  <c r="T1046" i="1"/>
  <c r="U1046" i="1"/>
  <c r="V1046" i="1"/>
  <c r="W1046" i="1"/>
  <c r="X1046" i="1"/>
  <c r="Y1046" i="1"/>
  <c r="Z1046" i="1"/>
  <c r="AA1046" i="1"/>
  <c r="AB1046" i="1"/>
  <c r="AC1046" i="1"/>
  <c r="T341" i="1"/>
  <c r="U341" i="1"/>
  <c r="V341" i="1"/>
  <c r="W341" i="1"/>
  <c r="X341" i="1"/>
  <c r="Y341" i="1"/>
  <c r="Z341" i="1"/>
  <c r="AA341" i="1"/>
  <c r="AB341" i="1"/>
  <c r="AC341" i="1"/>
  <c r="T920" i="1"/>
  <c r="U920" i="1"/>
  <c r="V920" i="1"/>
  <c r="W920" i="1"/>
  <c r="X920" i="1"/>
  <c r="Y920" i="1"/>
  <c r="Z920" i="1"/>
  <c r="AA920" i="1"/>
  <c r="AB920" i="1"/>
  <c r="AC920" i="1"/>
  <c r="T258" i="1"/>
  <c r="U258" i="1"/>
  <c r="V258" i="1"/>
  <c r="W258" i="1"/>
  <c r="X258" i="1"/>
  <c r="Y258" i="1"/>
  <c r="Z258" i="1"/>
  <c r="AA258" i="1"/>
  <c r="AB258" i="1"/>
  <c r="AC258" i="1"/>
  <c r="T680" i="1"/>
  <c r="U680" i="1"/>
  <c r="V680" i="1"/>
  <c r="W680" i="1"/>
  <c r="X680" i="1"/>
  <c r="Y680" i="1"/>
  <c r="Z680" i="1"/>
  <c r="AA680" i="1"/>
  <c r="AB680" i="1"/>
  <c r="AC680" i="1"/>
  <c r="T575" i="1"/>
  <c r="U575" i="1"/>
  <c r="V575" i="1"/>
  <c r="W575" i="1"/>
  <c r="X575" i="1"/>
  <c r="Y575" i="1"/>
  <c r="Z575" i="1"/>
  <c r="AA575" i="1"/>
  <c r="AB575" i="1"/>
  <c r="AC575" i="1"/>
  <c r="T687" i="1"/>
  <c r="U687" i="1"/>
  <c r="V687" i="1"/>
  <c r="W687" i="1"/>
  <c r="X687" i="1"/>
  <c r="Y687" i="1"/>
  <c r="Z687" i="1"/>
  <c r="AA687" i="1"/>
  <c r="AB687" i="1"/>
  <c r="AC687" i="1"/>
  <c r="T428" i="1"/>
  <c r="U428" i="1"/>
  <c r="V428" i="1"/>
  <c r="W428" i="1"/>
  <c r="X428" i="1"/>
  <c r="Y428" i="1"/>
  <c r="Z428" i="1"/>
  <c r="AA428" i="1"/>
  <c r="AB428" i="1"/>
  <c r="AC428" i="1"/>
  <c r="T621" i="1"/>
  <c r="U621" i="1"/>
  <c r="V621" i="1"/>
  <c r="W621" i="1"/>
  <c r="X621" i="1"/>
  <c r="Y621" i="1"/>
  <c r="Z621" i="1"/>
  <c r="AA621" i="1"/>
  <c r="AB621" i="1"/>
  <c r="AC621" i="1"/>
  <c r="T279" i="1"/>
  <c r="U279" i="1"/>
  <c r="V279" i="1"/>
  <c r="W279" i="1"/>
  <c r="X279" i="1"/>
  <c r="Y279" i="1"/>
  <c r="Z279" i="1"/>
  <c r="AA279" i="1"/>
  <c r="AB279" i="1"/>
  <c r="AC279" i="1"/>
  <c r="T479" i="1"/>
  <c r="U479" i="1"/>
  <c r="V479" i="1"/>
  <c r="W479" i="1"/>
  <c r="X479" i="1"/>
  <c r="Y479" i="1"/>
  <c r="Z479" i="1"/>
  <c r="AA479" i="1"/>
  <c r="AB479" i="1"/>
  <c r="AC479" i="1"/>
  <c r="T594" i="1"/>
  <c r="U594" i="1"/>
  <c r="V594" i="1"/>
  <c r="W594" i="1"/>
  <c r="X594" i="1"/>
  <c r="Y594" i="1"/>
  <c r="Z594" i="1"/>
  <c r="AA594" i="1"/>
  <c r="AB594" i="1"/>
  <c r="AC594" i="1"/>
  <c r="T616" i="1"/>
  <c r="U616" i="1"/>
  <c r="V616" i="1"/>
  <c r="W616" i="1"/>
  <c r="X616" i="1"/>
  <c r="Y616" i="1"/>
  <c r="Z616" i="1"/>
  <c r="AA616" i="1"/>
  <c r="AB616" i="1"/>
  <c r="AC616" i="1"/>
  <c r="T649" i="1"/>
  <c r="U649" i="1"/>
  <c r="V649" i="1"/>
  <c r="W649" i="1"/>
  <c r="X649" i="1"/>
  <c r="Y649" i="1"/>
  <c r="Z649" i="1"/>
  <c r="AA649" i="1"/>
  <c r="AB649" i="1"/>
  <c r="AC649" i="1"/>
  <c r="T80" i="1"/>
  <c r="U80" i="1"/>
  <c r="V80" i="1"/>
  <c r="W80" i="1"/>
  <c r="X80" i="1"/>
  <c r="Y80" i="1"/>
  <c r="Z80" i="1"/>
  <c r="AA80" i="1"/>
  <c r="AB80" i="1"/>
  <c r="AC80" i="1"/>
  <c r="T319" i="1"/>
  <c r="U319" i="1"/>
  <c r="V319" i="1"/>
  <c r="W319" i="1"/>
  <c r="X319" i="1"/>
  <c r="Y319" i="1"/>
  <c r="Z319" i="1"/>
  <c r="AA319" i="1"/>
  <c r="AB319" i="1"/>
  <c r="AC319" i="1"/>
  <c r="T237" i="1"/>
  <c r="U237" i="1"/>
  <c r="V237" i="1"/>
  <c r="W237" i="1"/>
  <c r="X237" i="1"/>
  <c r="Y237" i="1"/>
  <c r="Z237" i="1"/>
  <c r="AA237" i="1"/>
  <c r="AB237" i="1"/>
  <c r="AC237" i="1"/>
  <c r="T244" i="1"/>
  <c r="U244" i="1"/>
  <c r="V244" i="1"/>
  <c r="W244" i="1"/>
  <c r="X244" i="1"/>
  <c r="Y244" i="1"/>
  <c r="Z244" i="1"/>
  <c r="AA244" i="1"/>
  <c r="AB244" i="1"/>
  <c r="AC244" i="1"/>
  <c r="T409" i="1"/>
  <c r="U409" i="1"/>
  <c r="V409" i="1"/>
  <c r="W409" i="1"/>
  <c r="X409" i="1"/>
  <c r="Y409" i="1"/>
  <c r="Z409" i="1"/>
  <c r="AA409" i="1"/>
  <c r="AB409" i="1"/>
  <c r="AC409" i="1"/>
  <c r="T985" i="1"/>
  <c r="U985" i="1"/>
  <c r="V985" i="1"/>
  <c r="W985" i="1"/>
  <c r="X985" i="1"/>
  <c r="Y985" i="1"/>
  <c r="Z985" i="1"/>
  <c r="AA985" i="1"/>
  <c r="AB985" i="1"/>
  <c r="AC985" i="1"/>
  <c r="T599" i="1"/>
  <c r="U599" i="1"/>
  <c r="V599" i="1"/>
  <c r="W599" i="1"/>
  <c r="X599" i="1"/>
  <c r="Y599" i="1"/>
  <c r="Z599" i="1"/>
  <c r="AA599" i="1"/>
  <c r="AB599" i="1"/>
  <c r="AC599" i="1"/>
  <c r="T586" i="1"/>
  <c r="U586" i="1"/>
  <c r="V586" i="1"/>
  <c r="W586" i="1"/>
  <c r="X586" i="1"/>
  <c r="Y586" i="1"/>
  <c r="Z586" i="1"/>
  <c r="AA586" i="1"/>
  <c r="AB586" i="1"/>
  <c r="AC586" i="1"/>
  <c r="T304" i="1"/>
  <c r="U304" i="1"/>
  <c r="V304" i="1"/>
  <c r="W304" i="1"/>
  <c r="X304" i="1"/>
  <c r="Y304" i="1"/>
  <c r="Z304" i="1"/>
  <c r="AA304" i="1"/>
  <c r="AB304" i="1"/>
  <c r="AC304" i="1"/>
  <c r="T185" i="1"/>
  <c r="U185" i="1"/>
  <c r="V185" i="1"/>
  <c r="W185" i="1"/>
  <c r="X185" i="1"/>
  <c r="Y185" i="1"/>
  <c r="Z185" i="1"/>
  <c r="AA185" i="1"/>
  <c r="AB185" i="1"/>
  <c r="AC185" i="1"/>
  <c r="T229" i="1"/>
  <c r="U229" i="1"/>
  <c r="V229" i="1"/>
  <c r="W229" i="1"/>
  <c r="X229" i="1"/>
  <c r="Y229" i="1"/>
  <c r="Z229" i="1"/>
  <c r="AA229" i="1"/>
  <c r="AB229" i="1"/>
  <c r="AC229" i="1"/>
  <c r="T489" i="1"/>
  <c r="U489" i="1"/>
  <c r="V489" i="1"/>
  <c r="W489" i="1"/>
  <c r="X489" i="1"/>
  <c r="Y489" i="1"/>
  <c r="Z489" i="1"/>
  <c r="AA489" i="1"/>
  <c r="AB489" i="1"/>
  <c r="AC489" i="1"/>
  <c r="T961" i="1"/>
  <c r="U961" i="1"/>
  <c r="V961" i="1"/>
  <c r="W961" i="1"/>
  <c r="X961" i="1"/>
  <c r="Y961" i="1"/>
  <c r="Z961" i="1"/>
  <c r="AA961" i="1"/>
  <c r="AB961" i="1"/>
  <c r="AC961" i="1"/>
  <c r="T1032" i="1"/>
  <c r="U1032" i="1"/>
  <c r="V1032" i="1"/>
  <c r="W1032" i="1"/>
  <c r="X1032" i="1"/>
  <c r="Y1032" i="1"/>
  <c r="Z1032" i="1"/>
  <c r="AA1032" i="1"/>
  <c r="AB1032" i="1"/>
  <c r="AC1032" i="1"/>
  <c r="T266" i="1"/>
  <c r="U266" i="1"/>
  <c r="V266" i="1"/>
  <c r="W266" i="1"/>
  <c r="X266" i="1"/>
  <c r="Y266" i="1"/>
  <c r="Z266" i="1"/>
  <c r="AA266" i="1"/>
  <c r="AB266" i="1"/>
  <c r="AC266" i="1"/>
  <c r="T466" i="1"/>
  <c r="U466" i="1"/>
  <c r="V466" i="1"/>
  <c r="W466" i="1"/>
  <c r="X466" i="1"/>
  <c r="Y466" i="1"/>
  <c r="Z466" i="1"/>
  <c r="AA466" i="1"/>
  <c r="AB466" i="1"/>
  <c r="AC466" i="1"/>
  <c r="T695" i="1"/>
  <c r="U695" i="1"/>
  <c r="V695" i="1"/>
  <c r="W695" i="1"/>
  <c r="X695" i="1"/>
  <c r="Y695" i="1"/>
  <c r="Z695" i="1"/>
  <c r="AA695" i="1"/>
  <c r="AB695" i="1"/>
  <c r="AC695" i="1"/>
  <c r="T839" i="1"/>
  <c r="U839" i="1"/>
  <c r="V839" i="1"/>
  <c r="W839" i="1"/>
  <c r="X839" i="1"/>
  <c r="Y839" i="1"/>
  <c r="Z839" i="1"/>
  <c r="AA839" i="1"/>
  <c r="AB839" i="1"/>
  <c r="AC839" i="1"/>
  <c r="T822" i="1"/>
  <c r="U822" i="1"/>
  <c r="V822" i="1"/>
  <c r="W822" i="1"/>
  <c r="X822" i="1"/>
  <c r="Y822" i="1"/>
  <c r="Z822" i="1"/>
  <c r="AA822" i="1"/>
  <c r="AB822" i="1"/>
  <c r="AC822" i="1"/>
  <c r="T411" i="1"/>
  <c r="U411" i="1"/>
  <c r="V411" i="1"/>
  <c r="W411" i="1"/>
  <c r="X411" i="1"/>
  <c r="Y411" i="1"/>
  <c r="Z411" i="1"/>
  <c r="AA411" i="1"/>
  <c r="AB411" i="1"/>
  <c r="AC411" i="1"/>
  <c r="T371" i="1"/>
  <c r="U371" i="1"/>
  <c r="V371" i="1"/>
  <c r="W371" i="1"/>
  <c r="X371" i="1"/>
  <c r="Y371" i="1"/>
  <c r="Z371" i="1"/>
  <c r="AA371" i="1"/>
  <c r="AB371" i="1"/>
  <c r="AC371" i="1"/>
  <c r="T424" i="1"/>
  <c r="U424" i="1"/>
  <c r="V424" i="1"/>
  <c r="W424" i="1"/>
  <c r="X424" i="1"/>
  <c r="Y424" i="1"/>
  <c r="Z424" i="1"/>
  <c r="AA424" i="1"/>
  <c r="AB424" i="1"/>
  <c r="AC424" i="1"/>
  <c r="T690" i="1"/>
  <c r="U690" i="1"/>
  <c r="V690" i="1"/>
  <c r="W690" i="1"/>
  <c r="X690" i="1"/>
  <c r="Y690" i="1"/>
  <c r="Z690" i="1"/>
  <c r="AA690" i="1"/>
  <c r="AB690" i="1"/>
  <c r="AC690" i="1"/>
  <c r="T577" i="1"/>
  <c r="U577" i="1"/>
  <c r="V577" i="1"/>
  <c r="W577" i="1"/>
  <c r="X577" i="1"/>
  <c r="Y577" i="1"/>
  <c r="Z577" i="1"/>
  <c r="AA577" i="1"/>
  <c r="AB577" i="1"/>
  <c r="AC577" i="1"/>
  <c r="T607" i="1"/>
  <c r="U607" i="1"/>
  <c r="V607" i="1"/>
  <c r="W607" i="1"/>
  <c r="X607" i="1"/>
  <c r="Y607" i="1"/>
  <c r="Z607" i="1"/>
  <c r="AA607" i="1"/>
  <c r="AB607" i="1"/>
  <c r="AC607" i="1"/>
  <c r="T82" i="1"/>
  <c r="U82" i="1"/>
  <c r="V82" i="1"/>
  <c r="W82" i="1"/>
  <c r="X82" i="1"/>
  <c r="Y82" i="1"/>
  <c r="Z82" i="1"/>
  <c r="AA82" i="1"/>
  <c r="AB82" i="1"/>
  <c r="AC82" i="1"/>
  <c r="T721" i="1"/>
  <c r="U721" i="1"/>
  <c r="V721" i="1"/>
  <c r="W721" i="1"/>
  <c r="X721" i="1"/>
  <c r="Y721" i="1"/>
  <c r="Z721" i="1"/>
  <c r="AA721" i="1"/>
  <c r="AB721" i="1"/>
  <c r="AC721" i="1"/>
  <c r="T526" i="1"/>
  <c r="U526" i="1"/>
  <c r="V526" i="1"/>
  <c r="W526" i="1"/>
  <c r="X526" i="1"/>
  <c r="Y526" i="1"/>
  <c r="Z526" i="1"/>
  <c r="AA526" i="1"/>
  <c r="AB526" i="1"/>
  <c r="AC526" i="1"/>
  <c r="T935" i="1"/>
  <c r="U935" i="1"/>
  <c r="V935" i="1"/>
  <c r="W935" i="1"/>
  <c r="X935" i="1"/>
  <c r="Y935" i="1"/>
  <c r="Z935" i="1"/>
  <c r="AA935" i="1"/>
  <c r="AB935" i="1"/>
  <c r="AC935" i="1"/>
  <c r="T389" i="1"/>
  <c r="U389" i="1"/>
  <c r="V389" i="1"/>
  <c r="W389" i="1"/>
  <c r="X389" i="1"/>
  <c r="Y389" i="1"/>
  <c r="Z389" i="1"/>
  <c r="AA389" i="1"/>
  <c r="AB389" i="1"/>
  <c r="AC389" i="1"/>
  <c r="T481" i="1"/>
  <c r="U481" i="1"/>
  <c r="V481" i="1"/>
  <c r="W481" i="1"/>
  <c r="X481" i="1"/>
  <c r="Y481" i="1"/>
  <c r="Z481" i="1"/>
  <c r="AA481" i="1"/>
  <c r="AB481" i="1"/>
  <c r="AC481" i="1"/>
  <c r="T465" i="1"/>
  <c r="U465" i="1"/>
  <c r="V465" i="1"/>
  <c r="W465" i="1"/>
  <c r="X465" i="1"/>
  <c r="Y465" i="1"/>
  <c r="Z465" i="1"/>
  <c r="AA465" i="1"/>
  <c r="AB465" i="1"/>
  <c r="AC465" i="1"/>
  <c r="T51" i="1"/>
  <c r="U51" i="1"/>
  <c r="V51" i="1"/>
  <c r="W51" i="1"/>
  <c r="X51" i="1"/>
  <c r="Y51" i="1"/>
  <c r="Z51" i="1"/>
  <c r="AA51" i="1"/>
  <c r="AB51" i="1"/>
  <c r="AC51" i="1"/>
  <c r="T65" i="1"/>
  <c r="U65" i="1"/>
  <c r="V65" i="1"/>
  <c r="W65" i="1"/>
  <c r="X65" i="1"/>
  <c r="Y65" i="1"/>
  <c r="Z65" i="1"/>
  <c r="AA65" i="1"/>
  <c r="AB65" i="1"/>
  <c r="AC65" i="1"/>
  <c r="T292" i="1"/>
  <c r="U292" i="1"/>
  <c r="V292" i="1"/>
  <c r="W292" i="1"/>
  <c r="X292" i="1"/>
  <c r="Y292" i="1"/>
  <c r="Z292" i="1"/>
  <c r="AA292" i="1"/>
  <c r="AB292" i="1"/>
  <c r="AC292" i="1"/>
  <c r="T335" i="1"/>
  <c r="U335" i="1"/>
  <c r="V335" i="1"/>
  <c r="W335" i="1"/>
  <c r="X335" i="1"/>
  <c r="Y335" i="1"/>
  <c r="Z335" i="1"/>
  <c r="AA335" i="1"/>
  <c r="AB335" i="1"/>
  <c r="AC335" i="1"/>
  <c r="T147" i="1"/>
  <c r="U147" i="1"/>
  <c r="V147" i="1"/>
  <c r="W147" i="1"/>
  <c r="X147" i="1"/>
  <c r="Y147" i="1"/>
  <c r="Z147" i="1"/>
  <c r="AA147" i="1"/>
  <c r="AB147" i="1"/>
  <c r="AC147" i="1"/>
  <c r="T296" i="1"/>
  <c r="U296" i="1"/>
  <c r="V296" i="1"/>
  <c r="W296" i="1"/>
  <c r="X296" i="1"/>
  <c r="Y296" i="1"/>
  <c r="Z296" i="1"/>
  <c r="AA296" i="1"/>
  <c r="AB296" i="1"/>
  <c r="AC296" i="1"/>
  <c r="T469" i="1"/>
  <c r="U469" i="1"/>
  <c r="V469" i="1"/>
  <c r="W469" i="1"/>
  <c r="X469" i="1"/>
  <c r="Y469" i="1"/>
  <c r="Z469" i="1"/>
  <c r="AA469" i="1"/>
  <c r="AB469" i="1"/>
  <c r="AC469" i="1"/>
  <c r="T1033" i="1"/>
  <c r="U1033" i="1"/>
  <c r="V1033" i="1"/>
  <c r="W1033" i="1"/>
  <c r="X1033" i="1"/>
  <c r="Y1033" i="1"/>
  <c r="Z1033" i="1"/>
  <c r="AA1033" i="1"/>
  <c r="AB1033" i="1"/>
  <c r="AC1033" i="1"/>
  <c r="T811" i="1"/>
  <c r="U811" i="1"/>
  <c r="V811" i="1"/>
  <c r="W811" i="1"/>
  <c r="X811" i="1"/>
  <c r="Y811" i="1"/>
  <c r="Z811" i="1"/>
  <c r="AA811" i="1"/>
  <c r="AB811" i="1"/>
  <c r="AC811" i="1"/>
  <c r="T728" i="1"/>
  <c r="U728" i="1"/>
  <c r="V728" i="1"/>
  <c r="W728" i="1"/>
  <c r="X728" i="1"/>
  <c r="Y728" i="1"/>
  <c r="Z728" i="1"/>
  <c r="AA728" i="1"/>
  <c r="AB728" i="1"/>
  <c r="AC728" i="1"/>
  <c r="T529" i="1"/>
  <c r="U529" i="1"/>
  <c r="V529" i="1"/>
  <c r="W529" i="1"/>
  <c r="X529" i="1"/>
  <c r="Y529" i="1"/>
  <c r="Z529" i="1"/>
  <c r="AA529" i="1"/>
  <c r="AB529" i="1"/>
  <c r="AC529" i="1"/>
  <c r="T1023" i="1"/>
  <c r="U1023" i="1"/>
  <c r="V1023" i="1"/>
  <c r="W1023" i="1"/>
  <c r="X1023" i="1"/>
  <c r="Y1023" i="1"/>
  <c r="Z1023" i="1"/>
  <c r="AA1023" i="1"/>
  <c r="AB1023" i="1"/>
  <c r="AC1023" i="1"/>
  <c r="T46" i="1"/>
  <c r="U46" i="1"/>
  <c r="V46" i="1"/>
  <c r="W46" i="1"/>
  <c r="X46" i="1"/>
  <c r="Y46" i="1"/>
  <c r="Z46" i="1"/>
  <c r="AA46" i="1"/>
  <c r="AB46" i="1"/>
  <c r="AC46" i="1"/>
  <c r="T932" i="1"/>
  <c r="U932" i="1"/>
  <c r="V932" i="1"/>
  <c r="W932" i="1"/>
  <c r="X932" i="1"/>
  <c r="Y932" i="1"/>
  <c r="Z932" i="1"/>
  <c r="AA932" i="1"/>
  <c r="AB932" i="1"/>
  <c r="AC932" i="1"/>
  <c r="T750" i="1"/>
  <c r="U750" i="1"/>
  <c r="V750" i="1"/>
  <c r="W750" i="1"/>
  <c r="X750" i="1"/>
  <c r="Y750" i="1"/>
  <c r="Z750" i="1"/>
  <c r="AA750" i="1"/>
  <c r="AB750" i="1"/>
  <c r="AC750" i="1"/>
  <c r="T85" i="1"/>
  <c r="U85" i="1"/>
  <c r="V85" i="1"/>
  <c r="W85" i="1"/>
  <c r="X85" i="1"/>
  <c r="Y85" i="1"/>
  <c r="Z85" i="1"/>
  <c r="AA85" i="1"/>
  <c r="AB85" i="1"/>
  <c r="AC85" i="1"/>
  <c r="T231" i="1"/>
  <c r="U231" i="1"/>
  <c r="V231" i="1"/>
  <c r="W231" i="1"/>
  <c r="X231" i="1"/>
  <c r="Y231" i="1"/>
  <c r="Z231" i="1"/>
  <c r="AA231" i="1"/>
  <c r="AB231" i="1"/>
  <c r="AC231" i="1"/>
  <c r="T11" i="1"/>
  <c r="U11" i="1"/>
  <c r="V11" i="1"/>
  <c r="W11" i="1"/>
  <c r="X11" i="1"/>
  <c r="Y11" i="1"/>
  <c r="Z11" i="1"/>
  <c r="AA11" i="1"/>
  <c r="AB11" i="1"/>
  <c r="AC11" i="1"/>
  <c r="T1100" i="1"/>
  <c r="U1100" i="1"/>
  <c r="V1100" i="1"/>
  <c r="W1100" i="1"/>
  <c r="X1100" i="1"/>
  <c r="Y1100" i="1"/>
  <c r="Z1100" i="1"/>
  <c r="AA1100" i="1"/>
  <c r="AB1100" i="1"/>
  <c r="AC1100" i="1"/>
  <c r="T420" i="1"/>
  <c r="U420" i="1"/>
  <c r="V420" i="1"/>
  <c r="W420" i="1"/>
  <c r="X420" i="1"/>
  <c r="Y420" i="1"/>
  <c r="Z420" i="1"/>
  <c r="AA420" i="1"/>
  <c r="AB420" i="1"/>
  <c r="AC420" i="1"/>
  <c r="T146" i="1"/>
  <c r="U146" i="1"/>
  <c r="V146" i="1"/>
  <c r="W146" i="1"/>
  <c r="X146" i="1"/>
  <c r="Y146" i="1"/>
  <c r="Z146" i="1"/>
  <c r="AA146" i="1"/>
  <c r="AB146" i="1"/>
  <c r="AC146" i="1"/>
  <c r="T238" i="1"/>
  <c r="U238" i="1"/>
  <c r="V238" i="1"/>
  <c r="W238" i="1"/>
  <c r="X238" i="1"/>
  <c r="Y238" i="1"/>
  <c r="Z238" i="1"/>
  <c r="AA238" i="1"/>
  <c r="AB238" i="1"/>
  <c r="AC238" i="1"/>
  <c r="T1080" i="1"/>
  <c r="U1080" i="1"/>
  <c r="V1080" i="1"/>
  <c r="W1080" i="1"/>
  <c r="X1080" i="1"/>
  <c r="Y1080" i="1"/>
  <c r="Z1080" i="1"/>
  <c r="AA1080" i="1"/>
  <c r="AB1080" i="1"/>
  <c r="AC1080" i="1"/>
  <c r="T290" i="1"/>
  <c r="U290" i="1"/>
  <c r="V290" i="1"/>
  <c r="W290" i="1"/>
  <c r="X290" i="1"/>
  <c r="Y290" i="1"/>
  <c r="Z290" i="1"/>
  <c r="AA290" i="1"/>
  <c r="AB290" i="1"/>
  <c r="AC290" i="1"/>
  <c r="T1054" i="1"/>
  <c r="U1054" i="1"/>
  <c r="V1054" i="1"/>
  <c r="W1054" i="1"/>
  <c r="X1054" i="1"/>
  <c r="Y1054" i="1"/>
  <c r="Z1054" i="1"/>
  <c r="AA1054" i="1"/>
  <c r="AB1054" i="1"/>
  <c r="AC1054" i="1"/>
  <c r="T381" i="1"/>
  <c r="U381" i="1"/>
  <c r="V381" i="1"/>
  <c r="W381" i="1"/>
  <c r="X381" i="1"/>
  <c r="Y381" i="1"/>
  <c r="Z381" i="1"/>
  <c r="AA381" i="1"/>
  <c r="AB381" i="1"/>
  <c r="AC381" i="1"/>
  <c r="T632" i="1"/>
  <c r="U632" i="1"/>
  <c r="V632" i="1"/>
  <c r="W632" i="1"/>
  <c r="X632" i="1"/>
  <c r="Y632" i="1"/>
  <c r="Z632" i="1"/>
  <c r="AA632" i="1"/>
  <c r="AB632" i="1"/>
  <c r="AC632" i="1"/>
  <c r="T123" i="1"/>
  <c r="U123" i="1"/>
  <c r="V123" i="1"/>
  <c r="W123" i="1"/>
  <c r="X123" i="1"/>
  <c r="Y123" i="1"/>
  <c r="Z123" i="1"/>
  <c r="AA123" i="1"/>
  <c r="AB123" i="1"/>
  <c r="AC123" i="1"/>
  <c r="T548" i="1"/>
  <c r="U548" i="1"/>
  <c r="V548" i="1"/>
  <c r="W548" i="1"/>
  <c r="X548" i="1"/>
  <c r="Y548" i="1"/>
  <c r="Z548" i="1"/>
  <c r="AA548" i="1"/>
  <c r="AB548" i="1"/>
  <c r="AC548" i="1"/>
  <c r="T194" i="1"/>
  <c r="U194" i="1"/>
  <c r="V194" i="1"/>
  <c r="W194" i="1"/>
  <c r="X194" i="1"/>
  <c r="Y194" i="1"/>
  <c r="Z194" i="1"/>
  <c r="AA194" i="1"/>
  <c r="AB194" i="1"/>
  <c r="AC194" i="1"/>
  <c r="T775" i="1"/>
  <c r="U775" i="1"/>
  <c r="V775" i="1"/>
  <c r="W775" i="1"/>
  <c r="X775" i="1"/>
  <c r="Y775" i="1"/>
  <c r="Z775" i="1"/>
  <c r="AA775" i="1"/>
  <c r="AB775" i="1"/>
  <c r="AC775" i="1"/>
  <c r="T772" i="1"/>
  <c r="U772" i="1"/>
  <c r="V772" i="1"/>
  <c r="W772" i="1"/>
  <c r="X772" i="1"/>
  <c r="Y772" i="1"/>
  <c r="Z772" i="1"/>
  <c r="AA772" i="1"/>
  <c r="AB772" i="1"/>
  <c r="AC772" i="1"/>
  <c r="T493" i="1"/>
  <c r="U493" i="1"/>
  <c r="V493" i="1"/>
  <c r="W493" i="1"/>
  <c r="X493" i="1"/>
  <c r="Y493" i="1"/>
  <c r="Z493" i="1"/>
  <c r="AA493" i="1"/>
  <c r="AB493" i="1"/>
  <c r="AC493" i="1"/>
  <c r="T239" i="1"/>
  <c r="U239" i="1"/>
  <c r="V239" i="1"/>
  <c r="W239" i="1"/>
  <c r="X239" i="1"/>
  <c r="Y239" i="1"/>
  <c r="Z239" i="1"/>
  <c r="AA239" i="1"/>
  <c r="AB239" i="1"/>
  <c r="AC239" i="1"/>
  <c r="T926" i="1"/>
  <c r="U926" i="1"/>
  <c r="V926" i="1"/>
  <c r="W926" i="1"/>
  <c r="X926" i="1"/>
  <c r="Y926" i="1"/>
  <c r="Z926" i="1"/>
  <c r="AA926" i="1"/>
  <c r="AB926" i="1"/>
  <c r="AC926" i="1"/>
  <c r="T733" i="1"/>
  <c r="U733" i="1"/>
  <c r="V733" i="1"/>
  <c r="W733" i="1"/>
  <c r="X733" i="1"/>
  <c r="Y733" i="1"/>
  <c r="Z733" i="1"/>
  <c r="AA733" i="1"/>
  <c r="AB733" i="1"/>
  <c r="AC733" i="1"/>
  <c r="T143" i="1"/>
  <c r="U143" i="1"/>
  <c r="V143" i="1"/>
  <c r="W143" i="1"/>
  <c r="X143" i="1"/>
  <c r="Y143" i="1"/>
  <c r="Z143" i="1"/>
  <c r="AA143" i="1"/>
  <c r="AB143" i="1"/>
  <c r="AC143" i="1"/>
  <c r="T888" i="1"/>
  <c r="U888" i="1"/>
  <c r="V888" i="1"/>
  <c r="W888" i="1"/>
  <c r="X888" i="1"/>
  <c r="Y888" i="1"/>
  <c r="Z888" i="1"/>
  <c r="AA888" i="1"/>
  <c r="AB888" i="1"/>
  <c r="AC888" i="1"/>
  <c r="T103" i="1"/>
  <c r="U103" i="1"/>
  <c r="V103" i="1"/>
  <c r="W103" i="1"/>
  <c r="X103" i="1"/>
  <c r="Y103" i="1"/>
  <c r="Z103" i="1"/>
  <c r="AA103" i="1"/>
  <c r="AB103" i="1"/>
  <c r="AC103" i="1"/>
  <c r="T41" i="1"/>
  <c r="U41" i="1"/>
  <c r="V41" i="1"/>
  <c r="W41" i="1"/>
  <c r="X41" i="1"/>
  <c r="Y41" i="1"/>
  <c r="Z41" i="1"/>
  <c r="AA41" i="1"/>
  <c r="AB41" i="1"/>
  <c r="AC41" i="1"/>
  <c r="T375" i="1"/>
  <c r="U375" i="1"/>
  <c r="V375" i="1"/>
  <c r="W375" i="1"/>
  <c r="X375" i="1"/>
  <c r="Y375" i="1"/>
  <c r="Z375" i="1"/>
  <c r="AA375" i="1"/>
  <c r="AB375" i="1"/>
  <c r="AC375" i="1"/>
  <c r="T826" i="1"/>
  <c r="U826" i="1"/>
  <c r="V826" i="1"/>
  <c r="W826" i="1"/>
  <c r="X826" i="1"/>
  <c r="Y826" i="1"/>
  <c r="Z826" i="1"/>
  <c r="AA826" i="1"/>
  <c r="AB826" i="1"/>
  <c r="AC826" i="1"/>
  <c r="T1095" i="1"/>
  <c r="U1095" i="1"/>
  <c r="V1095" i="1"/>
  <c r="W1095" i="1"/>
  <c r="X1095" i="1"/>
  <c r="Y1095" i="1"/>
  <c r="Z1095" i="1"/>
  <c r="AA1095" i="1"/>
  <c r="AB1095" i="1"/>
  <c r="AC1095" i="1"/>
  <c r="T497" i="1"/>
  <c r="U497" i="1"/>
  <c r="V497" i="1"/>
  <c r="W497" i="1"/>
  <c r="X497" i="1"/>
  <c r="Y497" i="1"/>
  <c r="Z497" i="1"/>
  <c r="AA497" i="1"/>
  <c r="AB497" i="1"/>
  <c r="AC497" i="1"/>
  <c r="T619" i="1"/>
  <c r="U619" i="1"/>
  <c r="V619" i="1"/>
  <c r="W619" i="1"/>
  <c r="X619" i="1"/>
  <c r="Y619" i="1"/>
  <c r="Z619" i="1"/>
  <c r="AA619" i="1"/>
  <c r="AB619" i="1"/>
  <c r="AC619" i="1"/>
  <c r="T873" i="1"/>
  <c r="U873" i="1"/>
  <c r="V873" i="1"/>
  <c r="W873" i="1"/>
  <c r="X873" i="1"/>
  <c r="Y873" i="1"/>
  <c r="Z873" i="1"/>
  <c r="AA873" i="1"/>
  <c r="AB873" i="1"/>
  <c r="AC873" i="1"/>
  <c r="T713" i="1"/>
  <c r="U713" i="1"/>
  <c r="V713" i="1"/>
  <c r="W713" i="1"/>
  <c r="X713" i="1"/>
  <c r="Y713" i="1"/>
  <c r="Z713" i="1"/>
  <c r="AA713" i="1"/>
  <c r="AB713" i="1"/>
  <c r="AC713" i="1"/>
  <c r="T969" i="1"/>
  <c r="U969" i="1"/>
  <c r="V969" i="1"/>
  <c r="W969" i="1"/>
  <c r="X969" i="1"/>
  <c r="Y969" i="1"/>
  <c r="Z969" i="1"/>
  <c r="AA969" i="1"/>
  <c r="AB969" i="1"/>
  <c r="AC969" i="1"/>
  <c r="T508" i="1"/>
  <c r="U508" i="1"/>
  <c r="V508" i="1"/>
  <c r="W508" i="1"/>
  <c r="X508" i="1"/>
  <c r="Y508" i="1"/>
  <c r="Z508" i="1"/>
  <c r="AA508" i="1"/>
  <c r="AB508" i="1"/>
  <c r="AC508" i="1"/>
  <c r="T219" i="1"/>
  <c r="U219" i="1"/>
  <c r="V219" i="1"/>
  <c r="W219" i="1"/>
  <c r="X219" i="1"/>
  <c r="Y219" i="1"/>
  <c r="Z219" i="1"/>
  <c r="AA219" i="1"/>
  <c r="AB219" i="1"/>
  <c r="AC219" i="1"/>
  <c r="T179" i="1"/>
  <c r="U179" i="1"/>
  <c r="V179" i="1"/>
  <c r="W179" i="1"/>
  <c r="X179" i="1"/>
  <c r="Y179" i="1"/>
  <c r="Z179" i="1"/>
  <c r="AA179" i="1"/>
  <c r="AB179" i="1"/>
  <c r="AC179" i="1"/>
  <c r="T1007" i="1"/>
  <c r="U1007" i="1"/>
  <c r="V1007" i="1"/>
  <c r="W1007" i="1"/>
  <c r="X1007" i="1"/>
  <c r="Y1007" i="1"/>
  <c r="Z1007" i="1"/>
  <c r="AA1007" i="1"/>
  <c r="AB1007" i="1"/>
  <c r="AC1007" i="1"/>
  <c r="T765" i="1"/>
  <c r="U765" i="1"/>
  <c r="V765" i="1"/>
  <c r="W765" i="1"/>
  <c r="X765" i="1"/>
  <c r="Y765" i="1"/>
  <c r="Z765" i="1"/>
  <c r="AA765" i="1"/>
  <c r="AB765" i="1"/>
  <c r="AC765" i="1"/>
  <c r="T1025" i="1"/>
  <c r="U1025" i="1"/>
  <c r="V1025" i="1"/>
  <c r="W1025" i="1"/>
  <c r="X1025" i="1"/>
  <c r="Y1025" i="1"/>
  <c r="Z1025" i="1"/>
  <c r="AA1025" i="1"/>
  <c r="AB1025" i="1"/>
  <c r="AC1025" i="1"/>
  <c r="T77" i="1"/>
  <c r="U77" i="1"/>
  <c r="V77" i="1"/>
  <c r="W77" i="1"/>
  <c r="X77" i="1"/>
  <c r="Y77" i="1"/>
  <c r="Z77" i="1"/>
  <c r="AA77" i="1"/>
  <c r="AB77" i="1"/>
  <c r="AC77" i="1"/>
  <c r="T755" i="1"/>
  <c r="U755" i="1"/>
  <c r="V755" i="1"/>
  <c r="W755" i="1"/>
  <c r="X755" i="1"/>
  <c r="Y755" i="1"/>
  <c r="Z755" i="1"/>
  <c r="AA755" i="1"/>
  <c r="AB755" i="1"/>
  <c r="AC755" i="1"/>
  <c r="T84" i="1"/>
  <c r="U84" i="1"/>
  <c r="V84" i="1"/>
  <c r="W84" i="1"/>
  <c r="X84" i="1"/>
  <c r="Y84" i="1"/>
  <c r="Z84" i="1"/>
  <c r="AA84" i="1"/>
  <c r="AB84" i="1"/>
  <c r="AC84" i="1"/>
  <c r="T745" i="1"/>
  <c r="U745" i="1"/>
  <c r="V745" i="1"/>
  <c r="W745" i="1"/>
  <c r="X745" i="1"/>
  <c r="Y745" i="1"/>
  <c r="Z745" i="1"/>
  <c r="AA745" i="1"/>
  <c r="AB745" i="1"/>
  <c r="AC745" i="1"/>
  <c r="T431" i="1"/>
  <c r="U431" i="1"/>
  <c r="V431" i="1"/>
  <c r="W431" i="1"/>
  <c r="X431" i="1"/>
  <c r="Y431" i="1"/>
  <c r="Z431" i="1"/>
  <c r="AA431" i="1"/>
  <c r="AB431" i="1"/>
  <c r="AC431" i="1"/>
  <c r="T273" i="1"/>
  <c r="U273" i="1"/>
  <c r="V273" i="1"/>
  <c r="W273" i="1"/>
  <c r="X273" i="1"/>
  <c r="Y273" i="1"/>
  <c r="Z273" i="1"/>
  <c r="AA273" i="1"/>
  <c r="AB273" i="1"/>
  <c r="AC273" i="1"/>
  <c r="T1017" i="1"/>
  <c r="U1017" i="1"/>
  <c r="V1017" i="1"/>
  <c r="W1017" i="1"/>
  <c r="X1017" i="1"/>
  <c r="Y1017" i="1"/>
  <c r="Z1017" i="1"/>
  <c r="AA1017" i="1"/>
  <c r="AB1017" i="1"/>
  <c r="AC1017" i="1"/>
  <c r="T445" i="1"/>
  <c r="U445" i="1"/>
  <c r="V445" i="1"/>
  <c r="W445" i="1"/>
  <c r="X445" i="1"/>
  <c r="Y445" i="1"/>
  <c r="Z445" i="1"/>
  <c r="AA445" i="1"/>
  <c r="AB445" i="1"/>
  <c r="AC445" i="1"/>
  <c r="T140" i="1"/>
  <c r="U140" i="1"/>
  <c r="V140" i="1"/>
  <c r="W140" i="1"/>
  <c r="X140" i="1"/>
  <c r="Y140" i="1"/>
  <c r="Z140" i="1"/>
  <c r="AA140" i="1"/>
  <c r="AB140" i="1"/>
  <c r="AC140" i="1"/>
  <c r="T901" i="1"/>
  <c r="U901" i="1"/>
  <c r="V901" i="1"/>
  <c r="W901" i="1"/>
  <c r="X901" i="1"/>
  <c r="Y901" i="1"/>
  <c r="Z901" i="1"/>
  <c r="AA901" i="1"/>
  <c r="AB901" i="1"/>
  <c r="AC901" i="1"/>
  <c r="T442" i="1"/>
  <c r="U442" i="1"/>
  <c r="V442" i="1"/>
  <c r="W442" i="1"/>
  <c r="X442" i="1"/>
  <c r="Y442" i="1"/>
  <c r="Z442" i="1"/>
  <c r="AA442" i="1"/>
  <c r="AB442" i="1"/>
  <c r="AC442" i="1"/>
  <c r="T1112" i="1"/>
  <c r="U1112" i="1"/>
  <c r="V1112" i="1"/>
  <c r="W1112" i="1"/>
  <c r="X1112" i="1"/>
  <c r="Y1112" i="1"/>
  <c r="Z1112" i="1"/>
  <c r="AA1112" i="1"/>
  <c r="AB1112" i="1"/>
  <c r="AC1112" i="1"/>
  <c r="T56" i="1"/>
  <c r="U56" i="1"/>
  <c r="V56" i="1"/>
  <c r="W56" i="1"/>
  <c r="X56" i="1"/>
  <c r="Y56" i="1"/>
  <c r="Z56" i="1"/>
  <c r="AA56" i="1"/>
  <c r="AB56" i="1"/>
  <c r="AC56" i="1"/>
  <c r="T531" i="1"/>
  <c r="U531" i="1"/>
  <c r="V531" i="1"/>
  <c r="W531" i="1"/>
  <c r="X531" i="1"/>
  <c r="Y531" i="1"/>
  <c r="Z531" i="1"/>
  <c r="AA531" i="1"/>
  <c r="AB531" i="1"/>
  <c r="AC531" i="1"/>
  <c r="T369" i="1"/>
  <c r="U369" i="1"/>
  <c r="V369" i="1"/>
  <c r="W369" i="1"/>
  <c r="X369" i="1"/>
  <c r="Y369" i="1"/>
  <c r="Z369" i="1"/>
  <c r="AA369" i="1"/>
  <c r="AB369" i="1"/>
  <c r="AC369" i="1"/>
  <c r="T749" i="1"/>
  <c r="U749" i="1"/>
  <c r="V749" i="1"/>
  <c r="W749" i="1"/>
  <c r="X749" i="1"/>
  <c r="Y749" i="1"/>
  <c r="Z749" i="1"/>
  <c r="AA749" i="1"/>
  <c r="AB749" i="1"/>
  <c r="AC749" i="1"/>
  <c r="T151" i="1"/>
  <c r="U151" i="1"/>
  <c r="V151" i="1"/>
  <c r="W151" i="1"/>
  <c r="X151" i="1"/>
  <c r="Y151" i="1"/>
  <c r="Z151" i="1"/>
  <c r="AA151" i="1"/>
  <c r="AB151" i="1"/>
  <c r="AC151" i="1"/>
  <c r="T483" i="1"/>
  <c r="U483" i="1"/>
  <c r="V483" i="1"/>
  <c r="W483" i="1"/>
  <c r="X483" i="1"/>
  <c r="Y483" i="1"/>
  <c r="Z483" i="1"/>
  <c r="AA483" i="1"/>
  <c r="AB483" i="1"/>
  <c r="AC483" i="1"/>
  <c r="T262" i="1"/>
  <c r="U262" i="1"/>
  <c r="V262" i="1"/>
  <c r="W262" i="1"/>
  <c r="X262" i="1"/>
  <c r="Y262" i="1"/>
  <c r="Z262" i="1"/>
  <c r="AA262" i="1"/>
  <c r="AB262" i="1"/>
  <c r="AC262" i="1"/>
  <c r="T661" i="1"/>
  <c r="U661" i="1"/>
  <c r="V661" i="1"/>
  <c r="W661" i="1"/>
  <c r="X661" i="1"/>
  <c r="Y661" i="1"/>
  <c r="Z661" i="1"/>
  <c r="AA661" i="1"/>
  <c r="AB661" i="1"/>
  <c r="AC661" i="1"/>
  <c r="T689" i="1"/>
  <c r="U689" i="1"/>
  <c r="V689" i="1"/>
  <c r="W689" i="1"/>
  <c r="X689" i="1"/>
  <c r="Y689" i="1"/>
  <c r="Z689" i="1"/>
  <c r="AA689" i="1"/>
  <c r="AB689" i="1"/>
  <c r="AC689" i="1"/>
  <c r="T861" i="1"/>
  <c r="U861" i="1"/>
  <c r="V861" i="1"/>
  <c r="W861" i="1"/>
  <c r="X861" i="1"/>
  <c r="Y861" i="1"/>
  <c r="Z861" i="1"/>
  <c r="AA861" i="1"/>
  <c r="AB861" i="1"/>
  <c r="AC861" i="1"/>
  <c r="T73" i="1"/>
  <c r="U73" i="1"/>
  <c r="V73" i="1"/>
  <c r="W73" i="1"/>
  <c r="X73" i="1"/>
  <c r="Y73" i="1"/>
  <c r="Z73" i="1"/>
  <c r="AA73" i="1"/>
  <c r="AB73" i="1"/>
  <c r="AC73" i="1"/>
  <c r="T121" i="1"/>
  <c r="U121" i="1"/>
  <c r="V121" i="1"/>
  <c r="W121" i="1"/>
  <c r="X121" i="1"/>
  <c r="Y121" i="1"/>
  <c r="Z121" i="1"/>
  <c r="AA121" i="1"/>
  <c r="AB121" i="1"/>
  <c r="AC121" i="1"/>
  <c r="T432" i="1"/>
  <c r="U432" i="1"/>
  <c r="V432" i="1"/>
  <c r="W432" i="1"/>
  <c r="X432" i="1"/>
  <c r="Y432" i="1"/>
  <c r="Z432" i="1"/>
  <c r="AA432" i="1"/>
  <c r="AB432" i="1"/>
  <c r="AC432" i="1"/>
  <c r="T423" i="1"/>
  <c r="U423" i="1"/>
  <c r="V423" i="1"/>
  <c r="W423" i="1"/>
  <c r="X423" i="1"/>
  <c r="Y423" i="1"/>
  <c r="Z423" i="1"/>
  <c r="AA423" i="1"/>
  <c r="AB423" i="1"/>
  <c r="AC423" i="1"/>
  <c r="T132" i="1"/>
  <c r="U132" i="1"/>
  <c r="V132" i="1"/>
  <c r="W132" i="1"/>
  <c r="X132" i="1"/>
  <c r="Y132" i="1"/>
  <c r="Z132" i="1"/>
  <c r="AA132" i="1"/>
  <c r="AB132" i="1"/>
  <c r="AC132" i="1"/>
  <c r="T550" i="1"/>
  <c r="U550" i="1"/>
  <c r="V550" i="1"/>
  <c r="W550" i="1"/>
  <c r="X550" i="1"/>
  <c r="Y550" i="1"/>
  <c r="Z550" i="1"/>
  <c r="AA550" i="1"/>
  <c r="AB550" i="1"/>
  <c r="AC550" i="1"/>
  <c r="T553" i="1"/>
  <c r="U553" i="1"/>
  <c r="V553" i="1"/>
  <c r="W553" i="1"/>
  <c r="X553" i="1"/>
  <c r="Y553" i="1"/>
  <c r="Z553" i="1"/>
  <c r="AA553" i="1"/>
  <c r="AB553" i="1"/>
  <c r="AC553" i="1"/>
  <c r="T119" i="1"/>
  <c r="U119" i="1"/>
  <c r="V119" i="1"/>
  <c r="W119" i="1"/>
  <c r="X119" i="1"/>
  <c r="Y119" i="1"/>
  <c r="Z119" i="1"/>
  <c r="AA119" i="1"/>
  <c r="AB119" i="1"/>
  <c r="AC119" i="1"/>
  <c r="T773" i="1"/>
  <c r="U773" i="1"/>
  <c r="V773" i="1"/>
  <c r="W773" i="1"/>
  <c r="X773" i="1"/>
  <c r="Y773" i="1"/>
  <c r="Z773" i="1"/>
  <c r="AA773" i="1"/>
  <c r="AB773" i="1"/>
  <c r="AC773" i="1"/>
  <c r="T8" i="1"/>
  <c r="U8" i="1"/>
  <c r="V8" i="1"/>
  <c r="W8" i="1"/>
  <c r="X8" i="1"/>
  <c r="Y8" i="1"/>
  <c r="Z8" i="1"/>
  <c r="AA8" i="1"/>
  <c r="AB8" i="1"/>
  <c r="AC8" i="1"/>
  <c r="T1078" i="1"/>
  <c r="U1078" i="1"/>
  <c r="V1078" i="1"/>
  <c r="W1078" i="1"/>
  <c r="X1078" i="1"/>
  <c r="Y1078" i="1"/>
  <c r="Z1078" i="1"/>
  <c r="AA1078" i="1"/>
  <c r="AB1078" i="1"/>
  <c r="AC1078" i="1"/>
  <c r="T462" i="1"/>
  <c r="U462" i="1"/>
  <c r="V462" i="1"/>
  <c r="W462" i="1"/>
  <c r="X462" i="1"/>
  <c r="Y462" i="1"/>
  <c r="Z462" i="1"/>
  <c r="AA462" i="1"/>
  <c r="AB462" i="1"/>
  <c r="AC462" i="1"/>
  <c r="T459" i="1"/>
  <c r="U459" i="1"/>
  <c r="V459" i="1"/>
  <c r="W459" i="1"/>
  <c r="X459" i="1"/>
  <c r="Y459" i="1"/>
  <c r="Z459" i="1"/>
  <c r="AA459" i="1"/>
  <c r="AB459" i="1"/>
  <c r="AC459" i="1"/>
  <c r="T98" i="1"/>
  <c r="U98" i="1"/>
  <c r="V98" i="1"/>
  <c r="W98" i="1"/>
  <c r="X98" i="1"/>
  <c r="Y98" i="1"/>
  <c r="Z98" i="1"/>
  <c r="AA98" i="1"/>
  <c r="AB98" i="1"/>
  <c r="AC98" i="1"/>
  <c r="T1055" i="1"/>
  <c r="U1055" i="1"/>
  <c r="V1055" i="1"/>
  <c r="W1055" i="1"/>
  <c r="X1055" i="1"/>
  <c r="Y1055" i="1"/>
  <c r="Z1055" i="1"/>
  <c r="AA1055" i="1"/>
  <c r="AB1055" i="1"/>
  <c r="AC1055" i="1"/>
  <c r="T33" i="1"/>
  <c r="U33" i="1"/>
  <c r="V33" i="1"/>
  <c r="W33" i="1"/>
  <c r="X33" i="1"/>
  <c r="Y33" i="1"/>
  <c r="Z33" i="1"/>
  <c r="AA33" i="1"/>
  <c r="AB33" i="1"/>
  <c r="AC33" i="1"/>
  <c r="T373" i="1"/>
  <c r="U373" i="1"/>
  <c r="V373" i="1"/>
  <c r="W373" i="1"/>
  <c r="X373" i="1"/>
  <c r="Y373" i="1"/>
  <c r="Z373" i="1"/>
  <c r="AA373" i="1"/>
  <c r="AB373" i="1"/>
  <c r="AC373" i="1"/>
  <c r="T779" i="1"/>
  <c r="U779" i="1"/>
  <c r="V779" i="1"/>
  <c r="W779" i="1"/>
  <c r="X779" i="1"/>
  <c r="Y779" i="1"/>
  <c r="Z779" i="1"/>
  <c r="AA779" i="1"/>
  <c r="AB779" i="1"/>
  <c r="AC779" i="1"/>
  <c r="T922" i="1"/>
  <c r="U922" i="1"/>
  <c r="V922" i="1"/>
  <c r="W922" i="1"/>
  <c r="X922" i="1"/>
  <c r="Y922" i="1"/>
  <c r="Z922" i="1"/>
  <c r="AA922" i="1"/>
  <c r="AB922" i="1"/>
  <c r="AC922" i="1"/>
  <c r="T105" i="1"/>
  <c r="U105" i="1"/>
  <c r="V105" i="1"/>
  <c r="W105" i="1"/>
  <c r="X105" i="1"/>
  <c r="Y105" i="1"/>
  <c r="Z105" i="1"/>
  <c r="AA105" i="1"/>
  <c r="AB105" i="1"/>
  <c r="AC105" i="1"/>
  <c r="T100" i="1"/>
  <c r="U100" i="1"/>
  <c r="V100" i="1"/>
  <c r="W100" i="1"/>
  <c r="X100" i="1"/>
  <c r="Y100" i="1"/>
  <c r="Z100" i="1"/>
  <c r="AA100" i="1"/>
  <c r="AB100" i="1"/>
  <c r="AC100" i="1"/>
  <c r="T152" i="1"/>
  <c r="U152" i="1"/>
  <c r="V152" i="1"/>
  <c r="W152" i="1"/>
  <c r="X152" i="1"/>
  <c r="Y152" i="1"/>
  <c r="Z152" i="1"/>
  <c r="AA152" i="1"/>
  <c r="AB152" i="1"/>
  <c r="AC152" i="1"/>
  <c r="T1075" i="1"/>
  <c r="U1075" i="1"/>
  <c r="V1075" i="1"/>
  <c r="W1075" i="1"/>
  <c r="X1075" i="1"/>
  <c r="Y1075" i="1"/>
  <c r="Z1075" i="1"/>
  <c r="AA1075" i="1"/>
  <c r="AB1075" i="1"/>
  <c r="AC1075" i="1"/>
  <c r="T693" i="1"/>
  <c r="U693" i="1"/>
  <c r="V693" i="1"/>
  <c r="W693" i="1"/>
  <c r="X693" i="1"/>
  <c r="Y693" i="1"/>
  <c r="Z693" i="1"/>
  <c r="AA693" i="1"/>
  <c r="AB693" i="1"/>
  <c r="AC693" i="1"/>
  <c r="T380" i="1"/>
  <c r="U380" i="1"/>
  <c r="V380" i="1"/>
  <c r="W380" i="1"/>
  <c r="X380" i="1"/>
  <c r="Y380" i="1"/>
  <c r="Z380" i="1"/>
  <c r="AA380" i="1"/>
  <c r="AB380" i="1"/>
  <c r="AC380" i="1"/>
  <c r="T588" i="1"/>
  <c r="U588" i="1"/>
  <c r="V588" i="1"/>
  <c r="W588" i="1"/>
  <c r="X588" i="1"/>
  <c r="Y588" i="1"/>
  <c r="Z588" i="1"/>
  <c r="AA588" i="1"/>
  <c r="AB588" i="1"/>
  <c r="AC588" i="1"/>
  <c r="T128" i="1"/>
  <c r="U128" i="1"/>
  <c r="V128" i="1"/>
  <c r="W128" i="1"/>
  <c r="X128" i="1"/>
  <c r="Y128" i="1"/>
  <c r="Z128" i="1"/>
  <c r="AA128" i="1"/>
  <c r="AB128" i="1"/>
  <c r="AC128" i="1"/>
  <c r="T776" i="1"/>
  <c r="U776" i="1"/>
  <c r="V776" i="1"/>
  <c r="W776" i="1"/>
  <c r="X776" i="1"/>
  <c r="Y776" i="1"/>
  <c r="Z776" i="1"/>
  <c r="AA776" i="1"/>
  <c r="AB776" i="1"/>
  <c r="AC776" i="1"/>
  <c r="T1056" i="1"/>
  <c r="U1056" i="1"/>
  <c r="V1056" i="1"/>
  <c r="W1056" i="1"/>
  <c r="X1056" i="1"/>
  <c r="Y1056" i="1"/>
  <c r="Z1056" i="1"/>
  <c r="AA1056" i="1"/>
  <c r="AB1056" i="1"/>
  <c r="AC1056" i="1"/>
  <c r="T122" i="1"/>
  <c r="U122" i="1"/>
  <c r="V122" i="1"/>
  <c r="W122" i="1"/>
  <c r="X122" i="1"/>
  <c r="Y122" i="1"/>
  <c r="Z122" i="1"/>
  <c r="AA122" i="1"/>
  <c r="AB122" i="1"/>
  <c r="AC122" i="1"/>
  <c r="T653" i="1"/>
  <c r="U653" i="1"/>
  <c r="V653" i="1"/>
  <c r="W653" i="1"/>
  <c r="X653" i="1"/>
  <c r="Y653" i="1"/>
  <c r="Z653" i="1"/>
  <c r="AA653" i="1"/>
  <c r="AB653" i="1"/>
  <c r="AC653" i="1"/>
  <c r="T1018" i="1"/>
  <c r="U1018" i="1"/>
  <c r="V1018" i="1"/>
  <c r="W1018" i="1"/>
  <c r="X1018" i="1"/>
  <c r="Y1018" i="1"/>
  <c r="Z1018" i="1"/>
  <c r="AA1018" i="1"/>
  <c r="AB1018" i="1"/>
  <c r="AC1018" i="1"/>
  <c r="T999" i="1"/>
  <c r="U999" i="1"/>
  <c r="V999" i="1"/>
  <c r="W999" i="1"/>
  <c r="X999" i="1"/>
  <c r="Y999" i="1"/>
  <c r="Z999" i="1"/>
  <c r="AA999" i="1"/>
  <c r="AB999" i="1"/>
  <c r="AC999" i="1"/>
  <c r="T1102" i="1"/>
  <c r="U1102" i="1"/>
  <c r="V1102" i="1"/>
  <c r="W1102" i="1"/>
  <c r="X1102" i="1"/>
  <c r="Y1102" i="1"/>
  <c r="Z1102" i="1"/>
  <c r="AA1102" i="1"/>
  <c r="AB1102" i="1"/>
  <c r="AC1102" i="1"/>
  <c r="T211" i="1"/>
  <c r="U211" i="1"/>
  <c r="V211" i="1"/>
  <c r="W211" i="1"/>
  <c r="X211" i="1"/>
  <c r="Y211" i="1"/>
  <c r="Z211" i="1"/>
  <c r="AA211" i="1"/>
  <c r="AB211" i="1"/>
  <c r="AC211" i="1"/>
  <c r="T106" i="1"/>
  <c r="U106" i="1"/>
  <c r="V106" i="1"/>
  <c r="W106" i="1"/>
  <c r="X106" i="1"/>
  <c r="Y106" i="1"/>
  <c r="Z106" i="1"/>
  <c r="AA106" i="1"/>
  <c r="AB106" i="1"/>
  <c r="AC106" i="1"/>
  <c r="T87" i="1"/>
  <c r="U87" i="1"/>
  <c r="V87" i="1"/>
  <c r="W87" i="1"/>
  <c r="X87" i="1"/>
  <c r="Y87" i="1"/>
  <c r="Z87" i="1"/>
  <c r="AA87" i="1"/>
  <c r="AB87" i="1"/>
  <c r="AC87" i="1"/>
  <c r="T941" i="1"/>
  <c r="U941" i="1"/>
  <c r="V941" i="1"/>
  <c r="W941" i="1"/>
  <c r="X941" i="1"/>
  <c r="Y941" i="1"/>
  <c r="Z941" i="1"/>
  <c r="AA941" i="1"/>
  <c r="AB941" i="1"/>
  <c r="AC941" i="1"/>
  <c r="T662" i="1"/>
  <c r="U662" i="1"/>
  <c r="V662" i="1"/>
  <c r="W662" i="1"/>
  <c r="X662" i="1"/>
  <c r="Y662" i="1"/>
  <c r="Z662" i="1"/>
  <c r="AA662" i="1"/>
  <c r="AB662" i="1"/>
  <c r="AC662" i="1"/>
  <c r="T490" i="1"/>
  <c r="U490" i="1"/>
  <c r="V490" i="1"/>
  <c r="W490" i="1"/>
  <c r="X490" i="1"/>
  <c r="Y490" i="1"/>
  <c r="Z490" i="1"/>
  <c r="AA490" i="1"/>
  <c r="AB490" i="1"/>
  <c r="AC490" i="1"/>
  <c r="T1059" i="1"/>
  <c r="U1059" i="1"/>
  <c r="V1059" i="1"/>
  <c r="W1059" i="1"/>
  <c r="X1059" i="1"/>
  <c r="Y1059" i="1"/>
  <c r="Z1059" i="1"/>
  <c r="AA1059" i="1"/>
  <c r="AB1059" i="1"/>
  <c r="AC1059" i="1"/>
  <c r="T18" i="1"/>
  <c r="U18" i="1"/>
  <c r="V18" i="1"/>
  <c r="W18" i="1"/>
  <c r="X18" i="1"/>
  <c r="Y18" i="1"/>
  <c r="Z18" i="1"/>
  <c r="AA18" i="1"/>
  <c r="AB18" i="1"/>
  <c r="AC18" i="1"/>
  <c r="T573" i="1"/>
  <c r="U573" i="1"/>
  <c r="V573" i="1"/>
  <c r="W573" i="1"/>
  <c r="X573" i="1"/>
  <c r="Y573" i="1"/>
  <c r="Z573" i="1"/>
  <c r="AA573" i="1"/>
  <c r="AB573" i="1"/>
  <c r="AC573" i="1"/>
  <c r="T450" i="1"/>
  <c r="U450" i="1"/>
  <c r="V450" i="1"/>
  <c r="W450" i="1"/>
  <c r="X450" i="1"/>
  <c r="Y450" i="1"/>
  <c r="Z450" i="1"/>
  <c r="AA450" i="1"/>
  <c r="AB450" i="1"/>
  <c r="AC450" i="1"/>
  <c r="T572" i="1"/>
  <c r="U572" i="1"/>
  <c r="V572" i="1"/>
  <c r="W572" i="1"/>
  <c r="X572" i="1"/>
  <c r="Y572" i="1"/>
  <c r="Z572" i="1"/>
  <c r="AA572" i="1"/>
  <c r="AB572" i="1"/>
  <c r="AC572" i="1"/>
  <c r="T688" i="1"/>
  <c r="U688" i="1"/>
  <c r="V688" i="1"/>
  <c r="W688" i="1"/>
  <c r="X688" i="1"/>
  <c r="Y688" i="1"/>
  <c r="Z688" i="1"/>
  <c r="AA688" i="1"/>
  <c r="AB688" i="1"/>
  <c r="AC688" i="1"/>
  <c r="T990" i="1"/>
  <c r="U990" i="1"/>
  <c r="V990" i="1"/>
  <c r="W990" i="1"/>
  <c r="X990" i="1"/>
  <c r="Y990" i="1"/>
  <c r="Z990" i="1"/>
  <c r="AA990" i="1"/>
  <c r="AB990" i="1"/>
  <c r="AC990" i="1"/>
  <c r="T254" i="1"/>
  <c r="U254" i="1"/>
  <c r="V254" i="1"/>
  <c r="W254" i="1"/>
  <c r="X254" i="1"/>
  <c r="Y254" i="1"/>
  <c r="Z254" i="1"/>
  <c r="AA254" i="1"/>
  <c r="AB254" i="1"/>
  <c r="AC254" i="1"/>
  <c r="T3" i="1"/>
  <c r="U3" i="1"/>
  <c r="V3" i="1"/>
  <c r="W3" i="1"/>
  <c r="X3" i="1"/>
  <c r="Y3" i="1"/>
  <c r="Z3" i="1"/>
  <c r="AA3" i="1"/>
  <c r="AB3" i="1"/>
  <c r="AC3" i="1"/>
  <c r="T787" i="1"/>
  <c r="U787" i="1"/>
  <c r="V787" i="1"/>
  <c r="W787" i="1"/>
  <c r="X787" i="1"/>
  <c r="Y787" i="1"/>
  <c r="Z787" i="1"/>
  <c r="AA787" i="1"/>
  <c r="AB787" i="1"/>
  <c r="AC787" i="1"/>
  <c r="T45" i="1"/>
  <c r="U45" i="1"/>
  <c r="V45" i="1"/>
  <c r="W45" i="1"/>
  <c r="X45" i="1"/>
  <c r="Y45" i="1"/>
  <c r="Z45" i="1"/>
  <c r="AA45" i="1"/>
  <c r="AB45" i="1"/>
  <c r="AC45" i="1"/>
  <c r="T433" i="1"/>
  <c r="U433" i="1"/>
  <c r="V433" i="1"/>
  <c r="W433" i="1"/>
  <c r="X433" i="1"/>
  <c r="Y433" i="1"/>
  <c r="Z433" i="1"/>
  <c r="AA433" i="1"/>
  <c r="AB433" i="1"/>
  <c r="AC433" i="1"/>
  <c r="T474" i="1"/>
  <c r="U474" i="1"/>
  <c r="V474" i="1"/>
  <c r="W474" i="1"/>
  <c r="X474" i="1"/>
  <c r="Y474" i="1"/>
  <c r="Z474" i="1"/>
  <c r="AA474" i="1"/>
  <c r="AB474" i="1"/>
  <c r="AC474" i="1"/>
  <c r="T361" i="1"/>
  <c r="U361" i="1"/>
  <c r="V361" i="1"/>
  <c r="W361" i="1"/>
  <c r="X361" i="1"/>
  <c r="Y361" i="1"/>
  <c r="Z361" i="1"/>
  <c r="AA361" i="1"/>
  <c r="AB361" i="1"/>
  <c r="AC361" i="1"/>
  <c r="T759" i="1"/>
  <c r="U759" i="1"/>
  <c r="V759" i="1"/>
  <c r="W759" i="1"/>
  <c r="X759" i="1"/>
  <c r="Y759" i="1"/>
  <c r="Z759" i="1"/>
  <c r="AA759" i="1"/>
  <c r="AB759" i="1"/>
  <c r="AC759" i="1"/>
  <c r="T817" i="1"/>
  <c r="U817" i="1"/>
  <c r="V817" i="1"/>
  <c r="W817" i="1"/>
  <c r="X817" i="1"/>
  <c r="Y817" i="1"/>
  <c r="Z817" i="1"/>
  <c r="AA817" i="1"/>
  <c r="AB817" i="1"/>
  <c r="AC817" i="1"/>
  <c r="T678" i="1"/>
  <c r="U678" i="1"/>
  <c r="V678" i="1"/>
  <c r="W678" i="1"/>
  <c r="X678" i="1"/>
  <c r="Y678" i="1"/>
  <c r="Z678" i="1"/>
  <c r="AA678" i="1"/>
  <c r="AB678" i="1"/>
  <c r="AC678" i="1"/>
  <c r="T457" i="1"/>
  <c r="U457" i="1"/>
  <c r="V457" i="1"/>
  <c r="W457" i="1"/>
  <c r="X457" i="1"/>
  <c r="Y457" i="1"/>
  <c r="Z457" i="1"/>
  <c r="AA457" i="1"/>
  <c r="AB457" i="1"/>
  <c r="AC457" i="1"/>
  <c r="T38" i="1"/>
  <c r="U38" i="1"/>
  <c r="V38" i="1"/>
  <c r="W38" i="1"/>
  <c r="X38" i="1"/>
  <c r="Y38" i="1"/>
  <c r="Z38" i="1"/>
  <c r="AA38" i="1"/>
  <c r="AB38" i="1"/>
  <c r="AC38" i="1"/>
  <c r="T1026" i="1"/>
  <c r="U1026" i="1"/>
  <c r="V1026" i="1"/>
  <c r="W1026" i="1"/>
  <c r="X1026" i="1"/>
  <c r="Y1026" i="1"/>
  <c r="Z1026" i="1"/>
  <c r="AA1026" i="1"/>
  <c r="AB1026" i="1"/>
  <c r="AC1026" i="1"/>
  <c r="T210" i="1"/>
  <c r="U210" i="1"/>
  <c r="V210" i="1"/>
  <c r="W210" i="1"/>
  <c r="X210" i="1"/>
  <c r="Y210" i="1"/>
  <c r="Z210" i="1"/>
  <c r="AA210" i="1"/>
  <c r="AB210" i="1"/>
  <c r="AC210" i="1"/>
  <c r="T325" i="1"/>
  <c r="U325" i="1"/>
  <c r="V325" i="1"/>
  <c r="W325" i="1"/>
  <c r="X325" i="1"/>
  <c r="Y325" i="1"/>
  <c r="Z325" i="1"/>
  <c r="AA325" i="1"/>
  <c r="AB325" i="1"/>
  <c r="AC325" i="1"/>
  <c r="T235" i="1"/>
  <c r="U235" i="1"/>
  <c r="V235" i="1"/>
  <c r="W235" i="1"/>
  <c r="X235" i="1"/>
  <c r="Y235" i="1"/>
  <c r="Z235" i="1"/>
  <c r="AA235" i="1"/>
  <c r="AB235" i="1"/>
  <c r="AC235" i="1"/>
  <c r="T1077" i="1"/>
  <c r="U1077" i="1"/>
  <c r="V1077" i="1"/>
  <c r="W1077" i="1"/>
  <c r="X1077" i="1"/>
  <c r="Y1077" i="1"/>
  <c r="Z1077" i="1"/>
  <c r="AA1077" i="1"/>
  <c r="AB1077" i="1"/>
  <c r="AC1077" i="1"/>
  <c r="T259" i="1"/>
  <c r="U259" i="1"/>
  <c r="V259" i="1"/>
  <c r="W259" i="1"/>
  <c r="X259" i="1"/>
  <c r="Y259" i="1"/>
  <c r="Z259" i="1"/>
  <c r="AA259" i="1"/>
  <c r="AB259" i="1"/>
  <c r="AC259" i="1"/>
  <c r="T1040" i="1"/>
  <c r="U1040" i="1"/>
  <c r="V1040" i="1"/>
  <c r="W1040" i="1"/>
  <c r="X1040" i="1"/>
  <c r="Y1040" i="1"/>
  <c r="Z1040" i="1"/>
  <c r="AA1040" i="1"/>
  <c r="AB1040" i="1"/>
  <c r="AC1040" i="1"/>
  <c r="T178" i="1"/>
  <c r="U178" i="1"/>
  <c r="V178" i="1"/>
  <c r="W178" i="1"/>
  <c r="X178" i="1"/>
  <c r="Y178" i="1"/>
  <c r="Z178" i="1"/>
  <c r="AA178" i="1"/>
  <c r="AB178" i="1"/>
  <c r="AC178" i="1"/>
  <c r="T165" i="1"/>
  <c r="U165" i="1"/>
  <c r="V165" i="1"/>
  <c r="W165" i="1"/>
  <c r="X165" i="1"/>
  <c r="Y165" i="1"/>
  <c r="Z165" i="1"/>
  <c r="AA165" i="1"/>
  <c r="AB165" i="1"/>
  <c r="AC165" i="1"/>
  <c r="T145" i="1"/>
  <c r="U145" i="1"/>
  <c r="V145" i="1"/>
  <c r="W145" i="1"/>
  <c r="X145" i="1"/>
  <c r="Y145" i="1"/>
  <c r="Z145" i="1"/>
  <c r="AA145" i="1"/>
  <c r="AB145" i="1"/>
  <c r="AC145" i="1"/>
  <c r="T524" i="1"/>
  <c r="U524" i="1"/>
  <c r="V524" i="1"/>
  <c r="W524" i="1"/>
  <c r="X524" i="1"/>
  <c r="Y524" i="1"/>
  <c r="Z524" i="1"/>
  <c r="AA524" i="1"/>
  <c r="AB524" i="1"/>
  <c r="AC524" i="1"/>
  <c r="T528" i="1"/>
  <c r="U528" i="1"/>
  <c r="V528" i="1"/>
  <c r="W528" i="1"/>
  <c r="X528" i="1"/>
  <c r="Y528" i="1"/>
  <c r="Z528" i="1"/>
  <c r="AA528" i="1"/>
  <c r="AB528" i="1"/>
  <c r="AC528" i="1"/>
  <c r="T744" i="1"/>
  <c r="U744" i="1"/>
  <c r="V744" i="1"/>
  <c r="W744" i="1"/>
  <c r="X744" i="1"/>
  <c r="Y744" i="1"/>
  <c r="Z744" i="1"/>
  <c r="AA744" i="1"/>
  <c r="AB744" i="1"/>
  <c r="AC744" i="1"/>
  <c r="T887" i="1"/>
  <c r="U887" i="1"/>
  <c r="V887" i="1"/>
  <c r="W887" i="1"/>
  <c r="X887" i="1"/>
  <c r="Y887" i="1"/>
  <c r="Z887" i="1"/>
  <c r="AA887" i="1"/>
  <c r="AB887" i="1"/>
  <c r="AC887" i="1"/>
  <c r="T892" i="1"/>
  <c r="U892" i="1"/>
  <c r="V892" i="1"/>
  <c r="W892" i="1"/>
  <c r="X892" i="1"/>
  <c r="Y892" i="1"/>
  <c r="Z892" i="1"/>
  <c r="AA892" i="1"/>
  <c r="AB892" i="1"/>
  <c r="AC892" i="1"/>
  <c r="T571" i="1"/>
  <c r="U571" i="1"/>
  <c r="V571" i="1"/>
  <c r="W571" i="1"/>
  <c r="X571" i="1"/>
  <c r="Y571" i="1"/>
  <c r="Z571" i="1"/>
  <c r="AA571" i="1"/>
  <c r="AB571" i="1"/>
  <c r="AC571" i="1"/>
  <c r="T330" i="1"/>
  <c r="U330" i="1"/>
  <c r="V330" i="1"/>
  <c r="W330" i="1"/>
  <c r="X330" i="1"/>
  <c r="Y330" i="1"/>
  <c r="Z330" i="1"/>
  <c r="AA330" i="1"/>
  <c r="AB330" i="1"/>
  <c r="AC330" i="1"/>
  <c r="T401" i="1"/>
  <c r="U401" i="1"/>
  <c r="V401" i="1"/>
  <c r="W401" i="1"/>
  <c r="X401" i="1"/>
  <c r="Y401" i="1"/>
  <c r="Z401" i="1"/>
  <c r="AA401" i="1"/>
  <c r="AB401" i="1"/>
  <c r="AC401" i="1"/>
  <c r="T627" i="1"/>
  <c r="U627" i="1"/>
  <c r="V627" i="1"/>
  <c r="W627" i="1"/>
  <c r="X627" i="1"/>
  <c r="Y627" i="1"/>
  <c r="Z627" i="1"/>
  <c r="AA627" i="1"/>
  <c r="AB627" i="1"/>
  <c r="AC627" i="1"/>
  <c r="T71" i="1"/>
  <c r="U71" i="1"/>
  <c r="V71" i="1"/>
  <c r="W71" i="1"/>
  <c r="X71" i="1"/>
  <c r="Y71" i="1"/>
  <c r="Z71" i="1"/>
  <c r="AA71" i="1"/>
  <c r="AB71" i="1"/>
  <c r="AC71" i="1"/>
  <c r="T657" i="1"/>
  <c r="U657" i="1"/>
  <c r="V657" i="1"/>
  <c r="W657" i="1"/>
  <c r="X657" i="1"/>
  <c r="Y657" i="1"/>
  <c r="Z657" i="1"/>
  <c r="AA657" i="1"/>
  <c r="AB657" i="1"/>
  <c r="AC657" i="1"/>
  <c r="T1116" i="1"/>
  <c r="U1116" i="1"/>
  <c r="V1116" i="1"/>
  <c r="W1116" i="1"/>
  <c r="X1116" i="1"/>
  <c r="Y1116" i="1"/>
  <c r="Z1116" i="1"/>
  <c r="AA1116" i="1"/>
  <c r="AB1116" i="1"/>
  <c r="AC1116" i="1"/>
  <c r="T785" i="1"/>
  <c r="U785" i="1"/>
  <c r="V785" i="1"/>
  <c r="W785" i="1"/>
  <c r="X785" i="1"/>
  <c r="Y785" i="1"/>
  <c r="Z785" i="1"/>
  <c r="AA785" i="1"/>
  <c r="AB785" i="1"/>
  <c r="AC785" i="1"/>
  <c r="T281" i="1"/>
  <c r="U281" i="1"/>
  <c r="V281" i="1"/>
  <c r="W281" i="1"/>
  <c r="X281" i="1"/>
  <c r="Y281" i="1"/>
  <c r="Z281" i="1"/>
  <c r="AA281" i="1"/>
  <c r="AB281" i="1"/>
  <c r="AC281" i="1"/>
  <c r="T1093" i="1"/>
  <c r="U1093" i="1"/>
  <c r="V1093" i="1"/>
  <c r="W1093" i="1"/>
  <c r="X1093" i="1"/>
  <c r="Y1093" i="1"/>
  <c r="Z1093" i="1"/>
  <c r="AA1093" i="1"/>
  <c r="AB1093" i="1"/>
  <c r="AC1093" i="1"/>
  <c r="T943" i="1"/>
  <c r="U943" i="1"/>
  <c r="V943" i="1"/>
  <c r="W943" i="1"/>
  <c r="X943" i="1"/>
  <c r="Y943" i="1"/>
  <c r="Z943" i="1"/>
  <c r="AA943" i="1"/>
  <c r="AB943" i="1"/>
  <c r="AC943" i="1"/>
  <c r="T441" i="1"/>
  <c r="U441" i="1"/>
  <c r="V441" i="1"/>
  <c r="W441" i="1"/>
  <c r="X441" i="1"/>
  <c r="Y441" i="1"/>
  <c r="Z441" i="1"/>
  <c r="AA441" i="1"/>
  <c r="AB441" i="1"/>
  <c r="AC441" i="1"/>
  <c r="T780" i="1"/>
  <c r="U780" i="1"/>
  <c r="V780" i="1"/>
  <c r="W780" i="1"/>
  <c r="X780" i="1"/>
  <c r="Y780" i="1"/>
  <c r="Z780" i="1"/>
  <c r="AA780" i="1"/>
  <c r="AB780" i="1"/>
  <c r="AC780" i="1"/>
  <c r="T272" i="1"/>
  <c r="U272" i="1"/>
  <c r="V272" i="1"/>
  <c r="W272" i="1"/>
  <c r="X272" i="1"/>
  <c r="Y272" i="1"/>
  <c r="Z272" i="1"/>
  <c r="AA272" i="1"/>
  <c r="AB272" i="1"/>
  <c r="AC272" i="1"/>
  <c r="T269" i="1"/>
  <c r="U269" i="1"/>
  <c r="V269" i="1"/>
  <c r="W269" i="1"/>
  <c r="X269" i="1"/>
  <c r="Y269" i="1"/>
  <c r="Z269" i="1"/>
  <c r="AA269" i="1"/>
  <c r="AB269" i="1"/>
  <c r="AC269" i="1"/>
  <c r="T814" i="1"/>
  <c r="U814" i="1"/>
  <c r="V814" i="1"/>
  <c r="W814" i="1"/>
  <c r="X814" i="1"/>
  <c r="Y814" i="1"/>
  <c r="Z814" i="1"/>
  <c r="AA814" i="1"/>
  <c r="AB814" i="1"/>
  <c r="AC814" i="1"/>
  <c r="T192" i="1"/>
  <c r="U192" i="1"/>
  <c r="V192" i="1"/>
  <c r="W192" i="1"/>
  <c r="X192" i="1"/>
  <c r="Y192" i="1"/>
  <c r="Z192" i="1"/>
  <c r="AA192" i="1"/>
  <c r="AB192" i="1"/>
  <c r="AC192" i="1"/>
  <c r="T342" i="1"/>
  <c r="U342" i="1"/>
  <c r="V342" i="1"/>
  <c r="W342" i="1"/>
  <c r="X342" i="1"/>
  <c r="Y342" i="1"/>
  <c r="Z342" i="1"/>
  <c r="AA342" i="1"/>
  <c r="AB342" i="1"/>
  <c r="AC342" i="1"/>
  <c r="T453" i="1"/>
  <c r="U453" i="1"/>
  <c r="V453" i="1"/>
  <c r="W453" i="1"/>
  <c r="X453" i="1"/>
  <c r="Y453" i="1"/>
  <c r="Z453" i="1"/>
  <c r="AA453" i="1"/>
  <c r="AB453" i="1"/>
  <c r="AC453" i="1"/>
  <c r="T17" i="1"/>
  <c r="U17" i="1"/>
  <c r="V17" i="1"/>
  <c r="W17" i="1"/>
  <c r="X17" i="1"/>
  <c r="Y17" i="1"/>
  <c r="Z17" i="1"/>
  <c r="AA17" i="1"/>
  <c r="AB17" i="1"/>
  <c r="AC17" i="1"/>
  <c r="T116" i="1"/>
  <c r="U116" i="1"/>
  <c r="V116" i="1"/>
  <c r="W116" i="1"/>
  <c r="X116" i="1"/>
  <c r="Y116" i="1"/>
  <c r="Z116" i="1"/>
  <c r="AA116" i="1"/>
  <c r="AB116" i="1"/>
  <c r="AC116" i="1"/>
  <c r="T150" i="1"/>
  <c r="U150" i="1"/>
  <c r="V150" i="1"/>
  <c r="W150" i="1"/>
  <c r="X150" i="1"/>
  <c r="Y150" i="1"/>
  <c r="Z150" i="1"/>
  <c r="AA150" i="1"/>
  <c r="AB150" i="1"/>
  <c r="AC150" i="1"/>
  <c r="T195" i="1"/>
  <c r="U195" i="1"/>
  <c r="V195" i="1"/>
  <c r="W195" i="1"/>
  <c r="X195" i="1"/>
  <c r="Y195" i="1"/>
  <c r="Z195" i="1"/>
  <c r="AA195" i="1"/>
  <c r="AB195" i="1"/>
  <c r="AC195" i="1"/>
  <c r="T388" i="1"/>
  <c r="U388" i="1"/>
  <c r="V388" i="1"/>
  <c r="W388" i="1"/>
  <c r="X388" i="1"/>
  <c r="Y388" i="1"/>
  <c r="Z388" i="1"/>
  <c r="AA388" i="1"/>
  <c r="AB388" i="1"/>
  <c r="AC388" i="1"/>
  <c r="T248" i="1"/>
  <c r="U248" i="1"/>
  <c r="V248" i="1"/>
  <c r="W248" i="1"/>
  <c r="X248" i="1"/>
  <c r="Y248" i="1"/>
  <c r="Z248" i="1"/>
  <c r="AA248" i="1"/>
  <c r="AB248" i="1"/>
  <c r="AC248" i="1"/>
  <c r="T596" i="1"/>
  <c r="U596" i="1"/>
  <c r="V596" i="1"/>
  <c r="W596" i="1"/>
  <c r="X596" i="1"/>
  <c r="Y596" i="1"/>
  <c r="Z596" i="1"/>
  <c r="AA596" i="1"/>
  <c r="AB596" i="1"/>
  <c r="AC596" i="1"/>
  <c r="T338" i="1"/>
  <c r="U338" i="1"/>
  <c r="V338" i="1"/>
  <c r="W338" i="1"/>
  <c r="X338" i="1"/>
  <c r="Y338" i="1"/>
  <c r="Z338" i="1"/>
  <c r="AA338" i="1"/>
  <c r="AB338" i="1"/>
  <c r="AC338" i="1"/>
  <c r="T855" i="1"/>
  <c r="U855" i="1"/>
  <c r="V855" i="1"/>
  <c r="W855" i="1"/>
  <c r="X855" i="1"/>
  <c r="Y855" i="1"/>
  <c r="Z855" i="1"/>
  <c r="AA855" i="1"/>
  <c r="AB855" i="1"/>
  <c r="AC855" i="1"/>
  <c r="T452" i="1"/>
  <c r="U452" i="1"/>
  <c r="V452" i="1"/>
  <c r="W452" i="1"/>
  <c r="X452" i="1"/>
  <c r="Y452" i="1"/>
  <c r="Z452" i="1"/>
  <c r="AA452" i="1"/>
  <c r="AB452" i="1"/>
  <c r="AC452" i="1"/>
  <c r="T108" i="1"/>
  <c r="U108" i="1"/>
  <c r="V108" i="1"/>
  <c r="W108" i="1"/>
  <c r="X108" i="1"/>
  <c r="Y108" i="1"/>
  <c r="Z108" i="1"/>
  <c r="AA108" i="1"/>
  <c r="AB108" i="1"/>
  <c r="AC108" i="1"/>
  <c r="T1118" i="1"/>
  <c r="U1118" i="1"/>
  <c r="V1118" i="1"/>
  <c r="W1118" i="1"/>
  <c r="X1118" i="1"/>
  <c r="Y1118" i="1"/>
  <c r="Z1118" i="1"/>
  <c r="AA1118" i="1"/>
  <c r="AB1118" i="1"/>
  <c r="AC1118" i="1"/>
  <c r="T289" i="1"/>
  <c r="U289" i="1"/>
  <c r="V289" i="1"/>
  <c r="W289" i="1"/>
  <c r="X289" i="1"/>
  <c r="Y289" i="1"/>
  <c r="Z289" i="1"/>
  <c r="AA289" i="1"/>
  <c r="AB289" i="1"/>
  <c r="AC289" i="1"/>
  <c r="T1043" i="1"/>
  <c r="U1043" i="1"/>
  <c r="V1043" i="1"/>
  <c r="W1043" i="1"/>
  <c r="X1043" i="1"/>
  <c r="Y1043" i="1"/>
  <c r="Z1043" i="1"/>
  <c r="AA1043" i="1"/>
  <c r="AB1043" i="1"/>
  <c r="AC1043" i="1"/>
  <c r="T554" i="1"/>
  <c r="U554" i="1"/>
  <c r="V554" i="1"/>
  <c r="W554" i="1"/>
  <c r="X554" i="1"/>
  <c r="Y554" i="1"/>
  <c r="Z554" i="1"/>
  <c r="AA554" i="1"/>
  <c r="AB554" i="1"/>
  <c r="AC554" i="1"/>
  <c r="T917" i="1"/>
  <c r="U917" i="1"/>
  <c r="V917" i="1"/>
  <c r="W917" i="1"/>
  <c r="X917" i="1"/>
  <c r="Y917" i="1"/>
  <c r="Z917" i="1"/>
  <c r="AA917" i="1"/>
  <c r="AB917" i="1"/>
  <c r="AC917" i="1"/>
  <c r="T209" i="1"/>
  <c r="U209" i="1"/>
  <c r="V209" i="1"/>
  <c r="W209" i="1"/>
  <c r="X209" i="1"/>
  <c r="Y209" i="1"/>
  <c r="Z209" i="1"/>
  <c r="AA209" i="1"/>
  <c r="AB209" i="1"/>
  <c r="AC209" i="1"/>
  <c r="T606" i="1"/>
  <c r="U606" i="1"/>
  <c r="V606" i="1"/>
  <c r="W606" i="1"/>
  <c r="X606" i="1"/>
  <c r="Y606" i="1"/>
  <c r="Z606" i="1"/>
  <c r="AA606" i="1"/>
  <c r="AB606" i="1"/>
  <c r="AC606" i="1"/>
  <c r="T982" i="1"/>
  <c r="U982" i="1"/>
  <c r="V982" i="1"/>
  <c r="W982" i="1"/>
  <c r="X982" i="1"/>
  <c r="Y982" i="1"/>
  <c r="Z982" i="1"/>
  <c r="AA982" i="1"/>
  <c r="AB982" i="1"/>
  <c r="AC982" i="1"/>
  <c r="T15" i="1"/>
  <c r="U15" i="1"/>
  <c r="V15" i="1"/>
  <c r="W15" i="1"/>
  <c r="X15" i="1"/>
  <c r="Y15" i="1"/>
  <c r="Z15" i="1"/>
  <c r="AA15" i="1"/>
  <c r="AB15" i="1"/>
  <c r="AC15" i="1"/>
  <c r="T1047" i="1"/>
  <c r="U1047" i="1"/>
  <c r="V1047" i="1"/>
  <c r="W1047" i="1"/>
  <c r="X1047" i="1"/>
  <c r="Y1047" i="1"/>
  <c r="Z1047" i="1"/>
  <c r="AA1047" i="1"/>
  <c r="AB1047" i="1"/>
  <c r="AC1047" i="1"/>
  <c r="T710" i="1"/>
  <c r="U710" i="1"/>
  <c r="V710" i="1"/>
  <c r="W710" i="1"/>
  <c r="X710" i="1"/>
  <c r="Y710" i="1"/>
  <c r="Z710" i="1"/>
  <c r="AA710" i="1"/>
  <c r="AB710" i="1"/>
  <c r="AC710" i="1"/>
  <c r="T21" i="1"/>
  <c r="U21" i="1"/>
  <c r="V21" i="1"/>
  <c r="W21" i="1"/>
  <c r="X21" i="1"/>
  <c r="Y21" i="1"/>
  <c r="Z21" i="1"/>
  <c r="AA21" i="1"/>
  <c r="AB21" i="1"/>
  <c r="AC21" i="1"/>
  <c r="T300" i="1"/>
  <c r="U300" i="1"/>
  <c r="V300" i="1"/>
  <c r="W300" i="1"/>
  <c r="X300" i="1"/>
  <c r="Y300" i="1"/>
  <c r="Z300" i="1"/>
  <c r="AA300" i="1"/>
  <c r="AB300" i="1"/>
  <c r="AC300" i="1"/>
  <c r="T633" i="1"/>
  <c r="U633" i="1"/>
  <c r="V633" i="1"/>
  <c r="W633" i="1"/>
  <c r="X633" i="1"/>
  <c r="Y633" i="1"/>
  <c r="Z633" i="1"/>
  <c r="AA633" i="1"/>
  <c r="AB633" i="1"/>
  <c r="AC633" i="1"/>
  <c r="T1081" i="1"/>
  <c r="U1081" i="1"/>
  <c r="V1081" i="1"/>
  <c r="W1081" i="1"/>
  <c r="X1081" i="1"/>
  <c r="Y1081" i="1"/>
  <c r="Z1081" i="1"/>
  <c r="AA1081" i="1"/>
  <c r="AB1081" i="1"/>
  <c r="AC1081" i="1"/>
  <c r="T912" i="1"/>
  <c r="U912" i="1"/>
  <c r="V912" i="1"/>
  <c r="W912" i="1"/>
  <c r="X912" i="1"/>
  <c r="Y912" i="1"/>
  <c r="Z912" i="1"/>
  <c r="AA912" i="1"/>
  <c r="AB912" i="1"/>
  <c r="AC912" i="1"/>
  <c r="T736" i="1"/>
  <c r="U736" i="1"/>
  <c r="V736" i="1"/>
  <c r="W736" i="1"/>
  <c r="X736" i="1"/>
  <c r="Y736" i="1"/>
  <c r="Z736" i="1"/>
  <c r="AA736" i="1"/>
  <c r="AB736" i="1"/>
  <c r="AC736" i="1"/>
  <c r="T402" i="1"/>
  <c r="U402" i="1"/>
  <c r="V402" i="1"/>
  <c r="W402" i="1"/>
  <c r="X402" i="1"/>
  <c r="Y402" i="1"/>
  <c r="Z402" i="1"/>
  <c r="AA402" i="1"/>
  <c r="AB402" i="1"/>
  <c r="AC402" i="1"/>
  <c r="T854" i="1"/>
  <c r="U854" i="1"/>
  <c r="V854" i="1"/>
  <c r="W854" i="1"/>
  <c r="X854" i="1"/>
  <c r="Y854" i="1"/>
  <c r="Z854" i="1"/>
  <c r="AA854" i="1"/>
  <c r="AB854" i="1"/>
  <c r="AC854" i="1"/>
  <c r="T203" i="1"/>
  <c r="U203" i="1"/>
  <c r="V203" i="1"/>
  <c r="W203" i="1"/>
  <c r="X203" i="1"/>
  <c r="Y203" i="1"/>
  <c r="Z203" i="1"/>
  <c r="AA203" i="1"/>
  <c r="AB203" i="1"/>
  <c r="AC203" i="1"/>
  <c r="T989" i="1"/>
  <c r="U989" i="1"/>
  <c r="V989" i="1"/>
  <c r="W989" i="1"/>
  <c r="X989" i="1"/>
  <c r="Y989" i="1"/>
  <c r="Z989" i="1"/>
  <c r="AA989" i="1"/>
  <c r="AB989" i="1"/>
  <c r="AC989" i="1"/>
  <c r="T419" i="1"/>
  <c r="U419" i="1"/>
  <c r="V419" i="1"/>
  <c r="W419" i="1"/>
  <c r="X419" i="1"/>
  <c r="Y419" i="1"/>
  <c r="Z419" i="1"/>
  <c r="AA419" i="1"/>
  <c r="AB419" i="1"/>
  <c r="AC419" i="1"/>
  <c r="T939" i="1"/>
  <c r="U939" i="1"/>
  <c r="V939" i="1"/>
  <c r="W939" i="1"/>
  <c r="X939" i="1"/>
  <c r="Y939" i="1"/>
  <c r="Z939" i="1"/>
  <c r="AA939" i="1"/>
  <c r="AB939" i="1"/>
  <c r="AC939" i="1"/>
  <c r="T301" i="1"/>
  <c r="U301" i="1"/>
  <c r="V301" i="1"/>
  <c r="W301" i="1"/>
  <c r="X301" i="1"/>
  <c r="Y301" i="1"/>
  <c r="Z301" i="1"/>
  <c r="AA301" i="1"/>
  <c r="AB301" i="1"/>
  <c r="AC301" i="1"/>
  <c r="T220" i="1"/>
  <c r="U220" i="1"/>
  <c r="V220" i="1"/>
  <c r="W220" i="1"/>
  <c r="X220" i="1"/>
  <c r="Y220" i="1"/>
  <c r="Z220" i="1"/>
  <c r="AA220" i="1"/>
  <c r="AB220" i="1"/>
  <c r="AC220" i="1"/>
  <c r="T897" i="1"/>
  <c r="U897" i="1"/>
  <c r="V897" i="1"/>
  <c r="W897" i="1"/>
  <c r="X897" i="1"/>
  <c r="Y897" i="1"/>
  <c r="Z897" i="1"/>
  <c r="AA897" i="1"/>
  <c r="AB897" i="1"/>
  <c r="AC897" i="1"/>
  <c r="T742" i="1"/>
  <c r="U742" i="1"/>
  <c r="V742" i="1"/>
  <c r="W742" i="1"/>
  <c r="X742" i="1"/>
  <c r="Y742" i="1"/>
  <c r="Z742" i="1"/>
  <c r="AA742" i="1"/>
  <c r="AB742" i="1"/>
  <c r="AC742" i="1"/>
  <c r="T363" i="1"/>
  <c r="U363" i="1"/>
  <c r="V363" i="1"/>
  <c r="W363" i="1"/>
  <c r="X363" i="1"/>
  <c r="Y363" i="1"/>
  <c r="Z363" i="1"/>
  <c r="AA363" i="1"/>
  <c r="AB363" i="1"/>
  <c r="AC363" i="1"/>
  <c r="T163" i="1"/>
  <c r="U163" i="1"/>
  <c r="V163" i="1"/>
  <c r="W163" i="1"/>
  <c r="X163" i="1"/>
  <c r="Y163" i="1"/>
  <c r="Z163" i="1"/>
  <c r="AA163" i="1"/>
  <c r="AB163" i="1"/>
  <c r="AC163" i="1"/>
  <c r="T180" i="1"/>
  <c r="U180" i="1"/>
  <c r="V180" i="1"/>
  <c r="W180" i="1"/>
  <c r="X180" i="1"/>
  <c r="Y180" i="1"/>
  <c r="Z180" i="1"/>
  <c r="AA180" i="1"/>
  <c r="AB180" i="1"/>
  <c r="AC180" i="1"/>
  <c r="T872" i="1"/>
  <c r="U872" i="1"/>
  <c r="V872" i="1"/>
  <c r="W872" i="1"/>
  <c r="X872" i="1"/>
  <c r="Y872" i="1"/>
  <c r="Z872" i="1"/>
  <c r="AA872" i="1"/>
  <c r="AB872" i="1"/>
  <c r="AC872" i="1"/>
  <c r="T276" i="1"/>
  <c r="U276" i="1"/>
  <c r="V276" i="1"/>
  <c r="W276" i="1"/>
  <c r="X276" i="1"/>
  <c r="Y276" i="1"/>
  <c r="Z276" i="1"/>
  <c r="AA276" i="1"/>
  <c r="AB276" i="1"/>
  <c r="AC276" i="1"/>
  <c r="T938" i="1"/>
  <c r="U938" i="1"/>
  <c r="V938" i="1"/>
  <c r="W938" i="1"/>
  <c r="X938" i="1"/>
  <c r="Y938" i="1"/>
  <c r="Z938" i="1"/>
  <c r="AA938" i="1"/>
  <c r="AB938" i="1"/>
  <c r="AC938" i="1"/>
  <c r="T311" i="1"/>
  <c r="U311" i="1"/>
  <c r="V311" i="1"/>
  <c r="W311" i="1"/>
  <c r="X311" i="1"/>
  <c r="Y311" i="1"/>
  <c r="Z311" i="1"/>
  <c r="AA311" i="1"/>
  <c r="AB311" i="1"/>
  <c r="AC311" i="1"/>
  <c r="T1053" i="1"/>
  <c r="U1053" i="1"/>
  <c r="V1053" i="1"/>
  <c r="W1053" i="1"/>
  <c r="X1053" i="1"/>
  <c r="Y1053" i="1"/>
  <c r="Z1053" i="1"/>
  <c r="AA1053" i="1"/>
  <c r="AB1053" i="1"/>
  <c r="AC1053" i="1"/>
  <c r="T751" i="1"/>
  <c r="U751" i="1"/>
  <c r="V751" i="1"/>
  <c r="W751" i="1"/>
  <c r="X751" i="1"/>
  <c r="Y751" i="1"/>
  <c r="Z751" i="1"/>
  <c r="AA751" i="1"/>
  <c r="AB751" i="1"/>
  <c r="AC751" i="1"/>
  <c r="T112" i="1"/>
  <c r="U112" i="1"/>
  <c r="V112" i="1"/>
  <c r="W112" i="1"/>
  <c r="X112" i="1"/>
  <c r="Y112" i="1"/>
  <c r="Z112" i="1"/>
  <c r="AA112" i="1"/>
  <c r="AB112" i="1"/>
  <c r="AC112" i="1"/>
  <c r="T576" i="1"/>
  <c r="U576" i="1"/>
  <c r="V576" i="1"/>
  <c r="W576" i="1"/>
  <c r="X576" i="1"/>
  <c r="Y576" i="1"/>
  <c r="Z576" i="1"/>
  <c r="AA576" i="1"/>
  <c r="AB576" i="1"/>
  <c r="AC576" i="1"/>
  <c r="T113" i="1"/>
  <c r="U113" i="1"/>
  <c r="V113" i="1"/>
  <c r="W113" i="1"/>
  <c r="X113" i="1"/>
  <c r="Y113" i="1"/>
  <c r="Z113" i="1"/>
  <c r="AA113" i="1"/>
  <c r="AB113" i="1"/>
  <c r="AC113" i="1"/>
  <c r="T719" i="1"/>
  <c r="U719" i="1"/>
  <c r="V719" i="1"/>
  <c r="W719" i="1"/>
  <c r="X719" i="1"/>
  <c r="Y719" i="1"/>
  <c r="Z719" i="1"/>
  <c r="AA719" i="1"/>
  <c r="AB719" i="1"/>
  <c r="AC719" i="1"/>
  <c r="T97" i="1"/>
  <c r="U97" i="1"/>
  <c r="V97" i="1"/>
  <c r="W97" i="1"/>
  <c r="X97" i="1"/>
  <c r="Y97" i="1"/>
  <c r="Z97" i="1"/>
  <c r="AA97" i="1"/>
  <c r="AB97" i="1"/>
  <c r="AC97" i="1"/>
  <c r="T747" i="1"/>
  <c r="U747" i="1"/>
  <c r="V747" i="1"/>
  <c r="W747" i="1"/>
  <c r="X747" i="1"/>
  <c r="Y747" i="1"/>
  <c r="Z747" i="1"/>
  <c r="AA747" i="1"/>
  <c r="AB747" i="1"/>
  <c r="AC747" i="1"/>
  <c r="T1115" i="1"/>
  <c r="U1115" i="1"/>
  <c r="V1115" i="1"/>
  <c r="W1115" i="1"/>
  <c r="X1115" i="1"/>
  <c r="Y1115" i="1"/>
  <c r="Z1115" i="1"/>
  <c r="AA1115" i="1"/>
  <c r="AB1115" i="1"/>
  <c r="AC1115" i="1"/>
  <c r="T1114" i="1"/>
  <c r="U1114" i="1"/>
  <c r="V1114" i="1"/>
  <c r="W1114" i="1"/>
  <c r="X1114" i="1"/>
  <c r="Y1114" i="1"/>
  <c r="Z1114" i="1"/>
  <c r="AA1114" i="1"/>
  <c r="AB1114" i="1"/>
  <c r="AC1114" i="1"/>
  <c r="T78" i="1"/>
  <c r="U78" i="1"/>
  <c r="V78" i="1"/>
  <c r="W78" i="1"/>
  <c r="X78" i="1"/>
  <c r="Y78" i="1"/>
  <c r="Z78" i="1"/>
  <c r="AA78" i="1"/>
  <c r="AB78" i="1"/>
  <c r="AC78" i="1"/>
  <c r="T816" i="1"/>
  <c r="U816" i="1"/>
  <c r="V816" i="1"/>
  <c r="W816" i="1"/>
  <c r="X816" i="1"/>
  <c r="Y816" i="1"/>
  <c r="Z816" i="1"/>
  <c r="AA816" i="1"/>
  <c r="AB816" i="1"/>
  <c r="AC816" i="1"/>
  <c r="T833" i="1"/>
  <c r="U833" i="1"/>
  <c r="V833" i="1"/>
  <c r="W833" i="1"/>
  <c r="X833" i="1"/>
  <c r="Y833" i="1"/>
  <c r="Z833" i="1"/>
  <c r="AA833" i="1"/>
  <c r="AB833" i="1"/>
  <c r="AC833" i="1"/>
  <c r="T981" i="1"/>
  <c r="U981" i="1"/>
  <c r="V981" i="1"/>
  <c r="W981" i="1"/>
  <c r="X981" i="1"/>
  <c r="Y981" i="1"/>
  <c r="Z981" i="1"/>
  <c r="AA981" i="1"/>
  <c r="AB981" i="1"/>
  <c r="AC981" i="1"/>
  <c r="T496" i="1"/>
  <c r="U496" i="1"/>
  <c r="V496" i="1"/>
  <c r="W496" i="1"/>
  <c r="X496" i="1"/>
  <c r="Y496" i="1"/>
  <c r="Z496" i="1"/>
  <c r="AA496" i="1"/>
  <c r="AB496" i="1"/>
  <c r="AC496" i="1"/>
  <c r="T261" i="1"/>
  <c r="U261" i="1"/>
  <c r="V261" i="1"/>
  <c r="W261" i="1"/>
  <c r="X261" i="1"/>
  <c r="Y261" i="1"/>
  <c r="Z261" i="1"/>
  <c r="AA261" i="1"/>
  <c r="AB261" i="1"/>
  <c r="AC261" i="1"/>
  <c r="T767" i="1"/>
  <c r="U767" i="1"/>
  <c r="V767" i="1"/>
  <c r="W767" i="1"/>
  <c r="X767" i="1"/>
  <c r="Y767" i="1"/>
  <c r="Z767" i="1"/>
  <c r="AA767" i="1"/>
  <c r="AB767" i="1"/>
  <c r="AC767" i="1"/>
  <c r="T13" i="1"/>
  <c r="U13" i="1"/>
  <c r="V13" i="1"/>
  <c r="W13" i="1"/>
  <c r="X13" i="1"/>
  <c r="Y13" i="1"/>
  <c r="Z13" i="1"/>
  <c r="AA13" i="1"/>
  <c r="AB13" i="1"/>
  <c r="AC13" i="1"/>
  <c r="T199" i="1"/>
  <c r="U199" i="1"/>
  <c r="V199" i="1"/>
  <c r="W199" i="1"/>
  <c r="X199" i="1"/>
  <c r="Y199" i="1"/>
  <c r="Z199" i="1"/>
  <c r="AA199" i="1"/>
  <c r="AB199" i="1"/>
  <c r="AC199" i="1"/>
  <c r="T230" i="1"/>
  <c r="U230" i="1"/>
  <c r="V230" i="1"/>
  <c r="W230" i="1"/>
  <c r="X230" i="1"/>
  <c r="Y230" i="1"/>
  <c r="Z230" i="1"/>
  <c r="AA230" i="1"/>
  <c r="AB230" i="1"/>
  <c r="AC230" i="1"/>
  <c r="T96" i="1"/>
  <c r="U96" i="1"/>
  <c r="V96" i="1"/>
  <c r="W96" i="1"/>
  <c r="X96" i="1"/>
  <c r="Y96" i="1"/>
  <c r="Z96" i="1"/>
  <c r="AA96" i="1"/>
  <c r="AB96" i="1"/>
  <c r="AC96" i="1"/>
  <c r="T109" i="1"/>
  <c r="U109" i="1"/>
  <c r="V109" i="1"/>
  <c r="W109" i="1"/>
  <c r="X109" i="1"/>
  <c r="Y109" i="1"/>
  <c r="Z109" i="1"/>
  <c r="AA109" i="1"/>
  <c r="AB109" i="1"/>
  <c r="AC109" i="1"/>
  <c r="T232" i="1"/>
  <c r="U232" i="1"/>
  <c r="V232" i="1"/>
  <c r="W232" i="1"/>
  <c r="X232" i="1"/>
  <c r="Y232" i="1"/>
  <c r="Z232" i="1"/>
  <c r="AA232" i="1"/>
  <c r="AB232" i="1"/>
  <c r="AC232" i="1"/>
  <c r="T390" i="1"/>
  <c r="U390" i="1"/>
  <c r="V390" i="1"/>
  <c r="W390" i="1"/>
  <c r="X390" i="1"/>
  <c r="Y390" i="1"/>
  <c r="Z390" i="1"/>
  <c r="AA390" i="1"/>
  <c r="AB390" i="1"/>
  <c r="AC390" i="1"/>
  <c r="T53" i="1"/>
  <c r="U53" i="1"/>
  <c r="V53" i="1"/>
  <c r="W53" i="1"/>
  <c r="X53" i="1"/>
  <c r="Y53" i="1"/>
  <c r="Z53" i="1"/>
  <c r="AA53" i="1"/>
  <c r="AB53" i="1"/>
  <c r="AC53" i="1"/>
  <c r="T494" i="1"/>
  <c r="U494" i="1"/>
  <c r="V494" i="1"/>
  <c r="W494" i="1"/>
  <c r="X494" i="1"/>
  <c r="Y494" i="1"/>
  <c r="Z494" i="1"/>
  <c r="AA494" i="1"/>
  <c r="AB494" i="1"/>
  <c r="AC494" i="1"/>
  <c r="T916" i="1"/>
  <c r="U916" i="1"/>
  <c r="V916" i="1"/>
  <c r="W916" i="1"/>
  <c r="X916" i="1"/>
  <c r="Y916" i="1"/>
  <c r="Z916" i="1"/>
  <c r="AA916" i="1"/>
  <c r="AB916" i="1"/>
  <c r="AC916" i="1"/>
  <c r="T906" i="1"/>
  <c r="U906" i="1"/>
  <c r="V906" i="1"/>
  <c r="W906" i="1"/>
  <c r="X906" i="1"/>
  <c r="Y906" i="1"/>
  <c r="Z906" i="1"/>
  <c r="AA906" i="1"/>
  <c r="AB906" i="1"/>
  <c r="AC906" i="1"/>
  <c r="T35" i="1"/>
  <c r="U35" i="1"/>
  <c r="V35" i="1"/>
  <c r="W35" i="1"/>
  <c r="X35" i="1"/>
  <c r="Y35" i="1"/>
  <c r="Z35" i="1"/>
  <c r="AA35" i="1"/>
  <c r="AB35" i="1"/>
  <c r="AC35" i="1"/>
  <c r="T929" i="1"/>
  <c r="U929" i="1"/>
  <c r="V929" i="1"/>
  <c r="W929" i="1"/>
  <c r="X929" i="1"/>
  <c r="Y929" i="1"/>
  <c r="Z929" i="1"/>
  <c r="AA929" i="1"/>
  <c r="AB929" i="1"/>
  <c r="AC929" i="1"/>
  <c r="T200" i="1"/>
  <c r="U200" i="1"/>
  <c r="V200" i="1"/>
  <c r="W200" i="1"/>
  <c r="X200" i="1"/>
  <c r="Y200" i="1"/>
  <c r="Z200" i="1"/>
  <c r="AA200" i="1"/>
  <c r="AB200" i="1"/>
  <c r="AC200" i="1"/>
  <c r="T691" i="1"/>
  <c r="U691" i="1"/>
  <c r="V691" i="1"/>
  <c r="W691" i="1"/>
  <c r="X691" i="1"/>
  <c r="Y691" i="1"/>
  <c r="Z691" i="1"/>
  <c r="AA691" i="1"/>
  <c r="AB691" i="1"/>
  <c r="AC691" i="1"/>
  <c r="T908" i="1"/>
  <c r="U908" i="1"/>
  <c r="V908" i="1"/>
  <c r="W908" i="1"/>
  <c r="X908" i="1"/>
  <c r="Y908" i="1"/>
  <c r="Z908" i="1"/>
  <c r="AA908" i="1"/>
  <c r="AB908" i="1"/>
  <c r="AC908" i="1"/>
  <c r="T975" i="1"/>
  <c r="U975" i="1"/>
  <c r="V975" i="1"/>
  <c r="W975" i="1"/>
  <c r="X975" i="1"/>
  <c r="Y975" i="1"/>
  <c r="Z975" i="1"/>
  <c r="AA975" i="1"/>
  <c r="AB975" i="1"/>
  <c r="AC975" i="1"/>
  <c r="T252" i="1"/>
  <c r="U252" i="1"/>
  <c r="V252" i="1"/>
  <c r="W252" i="1"/>
  <c r="X252" i="1"/>
  <c r="Y252" i="1"/>
  <c r="Z252" i="1"/>
  <c r="AA252" i="1"/>
  <c r="AB252" i="1"/>
  <c r="AC252" i="1"/>
  <c r="T1109" i="1"/>
  <c r="U1109" i="1"/>
  <c r="V1109" i="1"/>
  <c r="W1109" i="1"/>
  <c r="X1109" i="1"/>
  <c r="Y1109" i="1"/>
  <c r="Z1109" i="1"/>
  <c r="AA1109" i="1"/>
  <c r="AB1109" i="1"/>
  <c r="AC1109" i="1"/>
  <c r="T1098" i="1"/>
  <c r="U1098" i="1"/>
  <c r="V1098" i="1"/>
  <c r="W1098" i="1"/>
  <c r="X1098" i="1"/>
  <c r="Y1098" i="1"/>
  <c r="Z1098" i="1"/>
  <c r="AA1098" i="1"/>
  <c r="AB1098" i="1"/>
  <c r="AC1098" i="1"/>
  <c r="T321" i="1"/>
  <c r="U321" i="1"/>
  <c r="V321" i="1"/>
  <c r="W321" i="1"/>
  <c r="X321" i="1"/>
  <c r="Y321" i="1"/>
  <c r="Z321" i="1"/>
  <c r="AA321" i="1"/>
  <c r="AB321" i="1"/>
  <c r="AC321" i="1"/>
  <c r="T324" i="1"/>
  <c r="U324" i="1"/>
  <c r="V324" i="1"/>
  <c r="W324" i="1"/>
  <c r="X324" i="1"/>
  <c r="Y324" i="1"/>
  <c r="Z324" i="1"/>
  <c r="AA324" i="1"/>
  <c r="AB324" i="1"/>
  <c r="AC324" i="1"/>
  <c r="T591" i="1"/>
  <c r="U591" i="1"/>
  <c r="V591" i="1"/>
  <c r="W591" i="1"/>
  <c r="X591" i="1"/>
  <c r="Y591" i="1"/>
  <c r="Z591" i="1"/>
  <c r="AA591" i="1"/>
  <c r="AB591" i="1"/>
  <c r="AC591" i="1"/>
  <c r="T79" i="1"/>
  <c r="U79" i="1"/>
  <c r="V79" i="1"/>
  <c r="W79" i="1"/>
  <c r="X79" i="1"/>
  <c r="Y79" i="1"/>
  <c r="Z79" i="1"/>
  <c r="AA79" i="1"/>
  <c r="AB79" i="1"/>
  <c r="AC79" i="1"/>
  <c r="T582" i="1"/>
  <c r="U582" i="1"/>
  <c r="V582" i="1"/>
  <c r="W582" i="1"/>
  <c r="X582" i="1"/>
  <c r="Y582" i="1"/>
  <c r="Z582" i="1"/>
  <c r="AA582" i="1"/>
  <c r="AB582" i="1"/>
  <c r="AC582" i="1"/>
  <c r="T446" i="1"/>
  <c r="U446" i="1"/>
  <c r="V446" i="1"/>
  <c r="W446" i="1"/>
  <c r="X446" i="1"/>
  <c r="Y446" i="1"/>
  <c r="Z446" i="1"/>
  <c r="AA446" i="1"/>
  <c r="AB446" i="1"/>
  <c r="AC446" i="1"/>
  <c r="T4" i="1"/>
  <c r="U4" i="1"/>
  <c r="V4" i="1"/>
  <c r="W4" i="1"/>
  <c r="X4" i="1"/>
  <c r="Y4" i="1"/>
  <c r="Z4" i="1"/>
  <c r="AA4" i="1"/>
  <c r="AB4" i="1"/>
  <c r="AC4" i="1"/>
  <c r="T902" i="1"/>
  <c r="U902" i="1"/>
  <c r="V902" i="1"/>
  <c r="W902" i="1"/>
  <c r="X902" i="1"/>
  <c r="Y902" i="1"/>
  <c r="Z902" i="1"/>
  <c r="AA902" i="1"/>
  <c r="AB902" i="1"/>
  <c r="AC902" i="1"/>
  <c r="T137" i="1"/>
  <c r="U137" i="1"/>
  <c r="V137" i="1"/>
  <c r="W137" i="1"/>
  <c r="X137" i="1"/>
  <c r="Y137" i="1"/>
  <c r="Z137" i="1"/>
  <c r="AA137" i="1"/>
  <c r="AB137" i="1"/>
  <c r="AC137" i="1"/>
  <c r="T54" i="1"/>
  <c r="U54" i="1"/>
  <c r="V54" i="1"/>
  <c r="W54" i="1"/>
  <c r="X54" i="1"/>
  <c r="Y54" i="1"/>
  <c r="Z54" i="1"/>
  <c r="AA54" i="1"/>
  <c r="AB54" i="1"/>
  <c r="AC54" i="1"/>
  <c r="T601" i="1"/>
  <c r="U601" i="1"/>
  <c r="V601" i="1"/>
  <c r="W601" i="1"/>
  <c r="X601" i="1"/>
  <c r="Y601" i="1"/>
  <c r="Z601" i="1"/>
  <c r="AA601" i="1"/>
  <c r="AB601" i="1"/>
  <c r="AC601" i="1"/>
  <c r="T983" i="1"/>
  <c r="U983" i="1"/>
  <c r="V983" i="1"/>
  <c r="W983" i="1"/>
  <c r="X983" i="1"/>
  <c r="Y983" i="1"/>
  <c r="Z983" i="1"/>
  <c r="AA983" i="1"/>
  <c r="AB983" i="1"/>
  <c r="AC983" i="1"/>
  <c r="T460" i="1"/>
  <c r="U460" i="1"/>
  <c r="V460" i="1"/>
  <c r="W460" i="1"/>
  <c r="X460" i="1"/>
  <c r="Y460" i="1"/>
  <c r="Z460" i="1"/>
  <c r="AA460" i="1"/>
  <c r="AB460" i="1"/>
  <c r="AC460" i="1"/>
  <c r="T1084" i="1"/>
  <c r="U1084" i="1"/>
  <c r="V1084" i="1"/>
  <c r="W1084" i="1"/>
  <c r="X1084" i="1"/>
  <c r="Y1084" i="1"/>
  <c r="Z1084" i="1"/>
  <c r="AA1084" i="1"/>
  <c r="AB1084" i="1"/>
  <c r="AC1084" i="1"/>
  <c r="T840" i="1"/>
  <c r="U840" i="1"/>
  <c r="V840" i="1"/>
  <c r="W840" i="1"/>
  <c r="X840" i="1"/>
  <c r="Y840" i="1"/>
  <c r="Z840" i="1"/>
  <c r="AA840" i="1"/>
  <c r="AB840" i="1"/>
  <c r="AC840" i="1"/>
  <c r="T898" i="1"/>
  <c r="U898" i="1"/>
  <c r="V898" i="1"/>
  <c r="W898" i="1"/>
  <c r="X898" i="1"/>
  <c r="Y898" i="1"/>
  <c r="Z898" i="1"/>
  <c r="AA898" i="1"/>
  <c r="AB898" i="1"/>
  <c r="AC898" i="1"/>
  <c r="T774" i="1"/>
  <c r="U774" i="1"/>
  <c r="V774" i="1"/>
  <c r="W774" i="1"/>
  <c r="X774" i="1"/>
  <c r="Y774" i="1"/>
  <c r="Z774" i="1"/>
  <c r="AA774" i="1"/>
  <c r="AB774" i="1"/>
  <c r="AC774" i="1"/>
  <c r="T196" i="1"/>
  <c r="U196" i="1"/>
  <c r="V196" i="1"/>
  <c r="W196" i="1"/>
  <c r="X196" i="1"/>
  <c r="Y196" i="1"/>
  <c r="Z196" i="1"/>
  <c r="AA196" i="1"/>
  <c r="AB196" i="1"/>
  <c r="AC196" i="1"/>
  <c r="T233" i="1"/>
  <c r="U233" i="1"/>
  <c r="V233" i="1"/>
  <c r="W233" i="1"/>
  <c r="X233" i="1"/>
  <c r="Y233" i="1"/>
  <c r="Z233" i="1"/>
  <c r="AA233" i="1"/>
  <c r="AB233" i="1"/>
  <c r="AC233" i="1"/>
  <c r="T205" i="1"/>
  <c r="U205" i="1"/>
  <c r="V205" i="1"/>
  <c r="W205" i="1"/>
  <c r="X205" i="1"/>
  <c r="Y205" i="1"/>
  <c r="Z205" i="1"/>
  <c r="AA205" i="1"/>
  <c r="AB205" i="1"/>
  <c r="AC205" i="1"/>
  <c r="T83" i="1"/>
  <c r="U83" i="1"/>
  <c r="V83" i="1"/>
  <c r="W83" i="1"/>
  <c r="X83" i="1"/>
  <c r="Y83" i="1"/>
  <c r="Z83" i="1"/>
  <c r="AA83" i="1"/>
  <c r="AB83" i="1"/>
  <c r="AC83" i="1"/>
  <c r="T427" i="1"/>
  <c r="U427" i="1"/>
  <c r="V427" i="1"/>
  <c r="W427" i="1"/>
  <c r="X427" i="1"/>
  <c r="Y427" i="1"/>
  <c r="Z427" i="1"/>
  <c r="AA427" i="1"/>
  <c r="AB427" i="1"/>
  <c r="AC427" i="1"/>
  <c r="T611" i="1"/>
  <c r="U611" i="1"/>
  <c r="V611" i="1"/>
  <c r="W611" i="1"/>
  <c r="X611" i="1"/>
  <c r="Y611" i="1"/>
  <c r="Z611" i="1"/>
  <c r="AA611" i="1"/>
  <c r="AB611" i="1"/>
  <c r="AC611" i="1"/>
  <c r="T133" i="1"/>
  <c r="U133" i="1"/>
  <c r="V133" i="1"/>
  <c r="W133" i="1"/>
  <c r="X133" i="1"/>
  <c r="Y133" i="1"/>
  <c r="Z133" i="1"/>
  <c r="AA133" i="1"/>
  <c r="AB133" i="1"/>
  <c r="AC133" i="1"/>
  <c r="T500" i="1"/>
  <c r="U500" i="1"/>
  <c r="V500" i="1"/>
  <c r="W500" i="1"/>
  <c r="X500" i="1"/>
  <c r="Y500" i="1"/>
  <c r="Z500" i="1"/>
  <c r="AA500" i="1"/>
  <c r="AB500" i="1"/>
  <c r="AC500" i="1"/>
  <c r="T685" i="1"/>
  <c r="U685" i="1"/>
  <c r="V685" i="1"/>
  <c r="W685" i="1"/>
  <c r="X685" i="1"/>
  <c r="Y685" i="1"/>
  <c r="Z685" i="1"/>
  <c r="AA685" i="1"/>
  <c r="AB685" i="1"/>
  <c r="AC685" i="1"/>
  <c r="T486" i="1"/>
  <c r="U486" i="1"/>
  <c r="V486" i="1"/>
  <c r="W486" i="1"/>
  <c r="X486" i="1"/>
  <c r="Y486" i="1"/>
  <c r="Z486" i="1"/>
  <c r="AA486" i="1"/>
  <c r="AB486" i="1"/>
  <c r="AC486" i="1"/>
  <c r="T315" i="1"/>
  <c r="U315" i="1"/>
  <c r="V315" i="1"/>
  <c r="W315" i="1"/>
  <c r="X315" i="1"/>
  <c r="Y315" i="1"/>
  <c r="Z315" i="1"/>
  <c r="AA315" i="1"/>
  <c r="AB315" i="1"/>
  <c r="AC315" i="1"/>
  <c r="T295" i="1"/>
  <c r="U295" i="1"/>
  <c r="V295" i="1"/>
  <c r="W295" i="1"/>
  <c r="X295" i="1"/>
  <c r="Y295" i="1"/>
  <c r="Z295" i="1"/>
  <c r="AA295" i="1"/>
  <c r="AB295" i="1"/>
  <c r="AC295" i="1"/>
  <c r="T454" i="1"/>
  <c r="U454" i="1"/>
  <c r="V454" i="1"/>
  <c r="W454" i="1"/>
  <c r="X454" i="1"/>
  <c r="Y454" i="1"/>
  <c r="Z454" i="1"/>
  <c r="AA454" i="1"/>
  <c r="AB454" i="1"/>
  <c r="AC454" i="1"/>
  <c r="T963" i="1"/>
  <c r="U963" i="1"/>
  <c r="V963" i="1"/>
  <c r="W963" i="1"/>
  <c r="X963" i="1"/>
  <c r="Y963" i="1"/>
  <c r="Z963" i="1"/>
  <c r="AA963" i="1"/>
  <c r="AB963" i="1"/>
  <c r="AC963" i="1"/>
  <c r="T1060" i="1"/>
  <c r="U1060" i="1"/>
  <c r="V1060" i="1"/>
  <c r="W1060" i="1"/>
  <c r="X1060" i="1"/>
  <c r="Y1060" i="1"/>
  <c r="Z1060" i="1"/>
  <c r="AA1060" i="1"/>
  <c r="AB1060" i="1"/>
  <c r="AC1060" i="1"/>
  <c r="T61" i="1"/>
  <c r="U61" i="1"/>
  <c r="V61" i="1"/>
  <c r="W61" i="1"/>
  <c r="X61" i="1"/>
  <c r="Y61" i="1"/>
  <c r="Z61" i="1"/>
  <c r="AA61" i="1"/>
  <c r="AB61" i="1"/>
  <c r="AC61" i="1"/>
  <c r="T357" i="1"/>
  <c r="U357" i="1"/>
  <c r="V357" i="1"/>
  <c r="W357" i="1"/>
  <c r="X357" i="1"/>
  <c r="Y357" i="1"/>
  <c r="Z357" i="1"/>
  <c r="AA357" i="1"/>
  <c r="AB357" i="1"/>
  <c r="AC357" i="1"/>
  <c r="T623" i="1"/>
  <c r="U623" i="1"/>
  <c r="V623" i="1"/>
  <c r="W623" i="1"/>
  <c r="X623" i="1"/>
  <c r="Y623" i="1"/>
  <c r="Z623" i="1"/>
  <c r="AA623" i="1"/>
  <c r="AB623" i="1"/>
  <c r="AC623" i="1"/>
  <c r="T333" i="1"/>
  <c r="U333" i="1"/>
  <c r="V333" i="1"/>
  <c r="W333" i="1"/>
  <c r="X333" i="1"/>
  <c r="Y333" i="1"/>
  <c r="Z333" i="1"/>
  <c r="AA333" i="1"/>
  <c r="AB333" i="1"/>
  <c r="AC333" i="1"/>
  <c r="T275" i="1"/>
  <c r="U275" i="1"/>
  <c r="V275" i="1"/>
  <c r="W275" i="1"/>
  <c r="X275" i="1"/>
  <c r="Y275" i="1"/>
  <c r="Z275" i="1"/>
  <c r="AA275" i="1"/>
  <c r="AB275" i="1"/>
  <c r="AC275" i="1"/>
  <c r="T186" i="1"/>
  <c r="U186" i="1"/>
  <c r="V186" i="1"/>
  <c r="W186" i="1"/>
  <c r="X186" i="1"/>
  <c r="Y186" i="1"/>
  <c r="Z186" i="1"/>
  <c r="AA186" i="1"/>
  <c r="AB186" i="1"/>
  <c r="AC186" i="1"/>
  <c r="T697" i="1"/>
  <c r="U697" i="1"/>
  <c r="V697" i="1"/>
  <c r="W697" i="1"/>
  <c r="X697" i="1"/>
  <c r="Y697" i="1"/>
  <c r="Z697" i="1"/>
  <c r="AA697" i="1"/>
  <c r="AB697" i="1"/>
  <c r="AC697" i="1"/>
  <c r="T318" i="1"/>
  <c r="U318" i="1"/>
  <c r="V318" i="1"/>
  <c r="W318" i="1"/>
  <c r="X318" i="1"/>
  <c r="Y318" i="1"/>
  <c r="Z318" i="1"/>
  <c r="AA318" i="1"/>
  <c r="AB318" i="1"/>
  <c r="AC318" i="1"/>
  <c r="T612" i="1"/>
  <c r="U612" i="1"/>
  <c r="V612" i="1"/>
  <c r="W612" i="1"/>
  <c r="X612" i="1"/>
  <c r="Y612" i="1"/>
  <c r="Z612" i="1"/>
  <c r="AA612" i="1"/>
  <c r="AB612" i="1"/>
  <c r="AC612" i="1"/>
  <c r="T404" i="1"/>
  <c r="U404" i="1"/>
  <c r="V404" i="1"/>
  <c r="W404" i="1"/>
  <c r="X404" i="1"/>
  <c r="Y404" i="1"/>
  <c r="Z404" i="1"/>
  <c r="AA404" i="1"/>
  <c r="AB404" i="1"/>
  <c r="AC404" i="1"/>
  <c r="T81" i="1"/>
  <c r="U81" i="1"/>
  <c r="V81" i="1"/>
  <c r="W81" i="1"/>
  <c r="X81" i="1"/>
  <c r="Y81" i="1"/>
  <c r="Z81" i="1"/>
  <c r="AA81" i="1"/>
  <c r="AB81" i="1"/>
  <c r="AC81" i="1"/>
  <c r="T537" i="1"/>
  <c r="U537" i="1"/>
  <c r="V537" i="1"/>
  <c r="W537" i="1"/>
  <c r="X537" i="1"/>
  <c r="Y537" i="1"/>
  <c r="Z537" i="1"/>
  <c r="AA537" i="1"/>
  <c r="AB537" i="1"/>
  <c r="AC537" i="1"/>
  <c r="T172" i="1"/>
  <c r="U172" i="1"/>
  <c r="V172" i="1"/>
  <c r="W172" i="1"/>
  <c r="X172" i="1"/>
  <c r="Y172" i="1"/>
  <c r="Z172" i="1"/>
  <c r="AA172" i="1"/>
  <c r="AB172" i="1"/>
  <c r="AC172" i="1"/>
  <c r="T164" i="1"/>
  <c r="U164" i="1"/>
  <c r="V164" i="1"/>
  <c r="W164" i="1"/>
  <c r="X164" i="1"/>
  <c r="Y164" i="1"/>
  <c r="Z164" i="1"/>
  <c r="AA164" i="1"/>
  <c r="AB164" i="1"/>
  <c r="AC164" i="1"/>
  <c r="T344" i="1"/>
  <c r="U344" i="1"/>
  <c r="V344" i="1"/>
  <c r="W344" i="1"/>
  <c r="X344" i="1"/>
  <c r="Y344" i="1"/>
  <c r="Z344" i="1"/>
  <c r="AA344" i="1"/>
  <c r="AB344" i="1"/>
  <c r="AC344" i="1"/>
  <c r="T362" i="1"/>
  <c r="U362" i="1"/>
  <c r="V362" i="1"/>
  <c r="W362" i="1"/>
  <c r="X362" i="1"/>
  <c r="Y362" i="1"/>
  <c r="Z362" i="1"/>
  <c r="AA362" i="1"/>
  <c r="AB362" i="1"/>
  <c r="AC362" i="1"/>
  <c r="T331" i="1"/>
  <c r="U331" i="1"/>
  <c r="V331" i="1"/>
  <c r="W331" i="1"/>
  <c r="X331" i="1"/>
  <c r="Y331" i="1"/>
  <c r="Z331" i="1"/>
  <c r="AA331" i="1"/>
  <c r="AB331" i="1"/>
  <c r="AC331" i="1"/>
  <c r="T523" i="1"/>
  <c r="U523" i="1"/>
  <c r="V523" i="1"/>
  <c r="W523" i="1"/>
  <c r="X523" i="1"/>
  <c r="Y523" i="1"/>
  <c r="Z523" i="1"/>
  <c r="AA523" i="1"/>
  <c r="AB523" i="1"/>
  <c r="AC523" i="1"/>
  <c r="T278" i="1"/>
  <c r="U278" i="1"/>
  <c r="V278" i="1"/>
  <c r="W278" i="1"/>
  <c r="X278" i="1"/>
  <c r="Y278" i="1"/>
  <c r="Z278" i="1"/>
  <c r="AA278" i="1"/>
  <c r="AB278" i="1"/>
  <c r="AC278" i="1"/>
  <c r="T974" i="1"/>
  <c r="U974" i="1"/>
  <c r="V974" i="1"/>
  <c r="W974" i="1"/>
  <c r="X974" i="1"/>
  <c r="Y974" i="1"/>
  <c r="Z974" i="1"/>
  <c r="AA974" i="1"/>
  <c r="AB974" i="1"/>
  <c r="AC974" i="1"/>
  <c r="T593" i="1"/>
  <c r="U593" i="1"/>
  <c r="V593" i="1"/>
  <c r="W593" i="1"/>
  <c r="X593" i="1"/>
  <c r="Y593" i="1"/>
  <c r="Z593" i="1"/>
  <c r="AA593" i="1"/>
  <c r="AB593" i="1"/>
  <c r="AC593" i="1"/>
  <c r="T247" i="1"/>
  <c r="U247" i="1"/>
  <c r="V247" i="1"/>
  <c r="W247" i="1"/>
  <c r="X247" i="1"/>
  <c r="Y247" i="1"/>
  <c r="Z247" i="1"/>
  <c r="AA247" i="1"/>
  <c r="AB247" i="1"/>
  <c r="AC247" i="1"/>
  <c r="T70" i="1"/>
  <c r="U70" i="1"/>
  <c r="V70" i="1"/>
  <c r="W70" i="1"/>
  <c r="X70" i="1"/>
  <c r="Y70" i="1"/>
  <c r="Z70" i="1"/>
  <c r="AA70" i="1"/>
  <c r="AB70" i="1"/>
  <c r="AC70" i="1"/>
  <c r="T393" i="1"/>
  <c r="U393" i="1"/>
  <c r="V393" i="1"/>
  <c r="W393" i="1"/>
  <c r="X393" i="1"/>
  <c r="Y393" i="1"/>
  <c r="Z393" i="1"/>
  <c r="AA393" i="1"/>
  <c r="AB393" i="1"/>
  <c r="AC393" i="1"/>
  <c r="T212" i="1"/>
  <c r="U212" i="1"/>
  <c r="V212" i="1"/>
  <c r="W212" i="1"/>
  <c r="X212" i="1"/>
  <c r="Y212" i="1"/>
  <c r="Z212" i="1"/>
  <c r="AA212" i="1"/>
  <c r="AB212" i="1"/>
  <c r="AC212" i="1"/>
  <c r="T93" i="1"/>
  <c r="U93" i="1"/>
  <c r="V93" i="1"/>
  <c r="W93" i="1"/>
  <c r="X93" i="1"/>
  <c r="Y93" i="1"/>
  <c r="Z93" i="1"/>
  <c r="AA93" i="1"/>
  <c r="AB93" i="1"/>
  <c r="AC93" i="1"/>
  <c r="T671" i="1"/>
  <c r="U671" i="1"/>
  <c r="V671" i="1"/>
  <c r="W671" i="1"/>
  <c r="X671" i="1"/>
  <c r="Y671" i="1"/>
  <c r="Z671" i="1"/>
  <c r="AA671" i="1"/>
  <c r="AB671" i="1"/>
  <c r="AC671" i="1"/>
  <c r="T204" i="1"/>
  <c r="U204" i="1"/>
  <c r="V204" i="1"/>
  <c r="W204" i="1"/>
  <c r="X204" i="1"/>
  <c r="Y204" i="1"/>
  <c r="Z204" i="1"/>
  <c r="AA204" i="1"/>
  <c r="AB204" i="1"/>
  <c r="AC204" i="1"/>
  <c r="T359" i="1"/>
  <c r="U359" i="1"/>
  <c r="V359" i="1"/>
  <c r="W359" i="1"/>
  <c r="X359" i="1"/>
  <c r="Y359" i="1"/>
  <c r="Z359" i="1"/>
  <c r="AA359" i="1"/>
  <c r="AB359" i="1"/>
  <c r="AC359" i="1"/>
  <c r="T339" i="1"/>
  <c r="U339" i="1"/>
  <c r="V339" i="1"/>
  <c r="W339" i="1"/>
  <c r="X339" i="1"/>
  <c r="Y339" i="1"/>
  <c r="Z339" i="1"/>
  <c r="AA339" i="1"/>
  <c r="AB339" i="1"/>
  <c r="AC339" i="1"/>
  <c r="T613" i="1"/>
  <c r="U613" i="1"/>
  <c r="V613" i="1"/>
  <c r="W613" i="1"/>
  <c r="X613" i="1"/>
  <c r="Y613" i="1"/>
  <c r="Z613" i="1"/>
  <c r="AA613" i="1"/>
  <c r="AB613" i="1"/>
  <c r="AC613" i="1"/>
  <c r="T538" i="1"/>
  <c r="U538" i="1"/>
  <c r="V538" i="1"/>
  <c r="W538" i="1"/>
  <c r="X538" i="1"/>
  <c r="Y538" i="1"/>
  <c r="Z538" i="1"/>
  <c r="AA538" i="1"/>
  <c r="AB538" i="1"/>
  <c r="AC538" i="1"/>
  <c r="T979" i="1"/>
  <c r="U979" i="1"/>
  <c r="V979" i="1"/>
  <c r="W979" i="1"/>
  <c r="X979" i="1"/>
  <c r="Y979" i="1"/>
  <c r="Z979" i="1"/>
  <c r="AA979" i="1"/>
  <c r="AB979" i="1"/>
  <c r="AC979" i="1"/>
  <c r="T756" i="1"/>
  <c r="U756" i="1"/>
  <c r="V756" i="1"/>
  <c r="W756" i="1"/>
  <c r="X756" i="1"/>
  <c r="Y756" i="1"/>
  <c r="Z756" i="1"/>
  <c r="AA756" i="1"/>
  <c r="AB756" i="1"/>
  <c r="AC756" i="1"/>
  <c r="T66" i="1"/>
  <c r="U66" i="1"/>
  <c r="V66" i="1"/>
  <c r="W66" i="1"/>
  <c r="X66" i="1"/>
  <c r="Y66" i="1"/>
  <c r="Z66" i="1"/>
  <c r="AA66" i="1"/>
  <c r="AB66" i="1"/>
  <c r="AC66" i="1"/>
  <c r="T971" i="1"/>
  <c r="U971" i="1"/>
  <c r="V971" i="1"/>
  <c r="W971" i="1"/>
  <c r="X971" i="1"/>
  <c r="Y971" i="1"/>
  <c r="Z971" i="1"/>
  <c r="AA971" i="1"/>
  <c r="AB971" i="1"/>
  <c r="AC971" i="1"/>
  <c r="T567" i="1"/>
  <c r="U567" i="1"/>
  <c r="V567" i="1"/>
  <c r="W567" i="1"/>
  <c r="X567" i="1"/>
  <c r="Y567" i="1"/>
  <c r="Z567" i="1"/>
  <c r="AA567" i="1"/>
  <c r="AB567" i="1"/>
  <c r="AC567" i="1"/>
  <c r="T543" i="1"/>
  <c r="U543" i="1"/>
  <c r="V543" i="1"/>
  <c r="W543" i="1"/>
  <c r="X543" i="1"/>
  <c r="Y543" i="1"/>
  <c r="Z543" i="1"/>
  <c r="AA543" i="1"/>
  <c r="AB543" i="1"/>
  <c r="AC543" i="1"/>
  <c r="T946" i="1"/>
  <c r="U946" i="1"/>
  <c r="V946" i="1"/>
  <c r="W946" i="1"/>
  <c r="X946" i="1"/>
  <c r="Y946" i="1"/>
  <c r="Z946" i="1"/>
  <c r="AA946" i="1"/>
  <c r="AB946" i="1"/>
  <c r="AC946" i="1"/>
  <c r="T763" i="1"/>
  <c r="U763" i="1"/>
  <c r="V763" i="1"/>
  <c r="W763" i="1"/>
  <c r="X763" i="1"/>
  <c r="Y763" i="1"/>
  <c r="Z763" i="1"/>
  <c r="AA763" i="1"/>
  <c r="AB763" i="1"/>
  <c r="AC763" i="1"/>
  <c r="T708" i="1"/>
  <c r="U708" i="1"/>
  <c r="V708" i="1"/>
  <c r="W708" i="1"/>
  <c r="X708" i="1"/>
  <c r="Y708" i="1"/>
  <c r="Z708" i="1"/>
  <c r="AA708" i="1"/>
  <c r="AB708" i="1"/>
  <c r="AC708" i="1"/>
  <c r="T940" i="1"/>
  <c r="U940" i="1"/>
  <c r="V940" i="1"/>
  <c r="W940" i="1"/>
  <c r="X940" i="1"/>
  <c r="Y940" i="1"/>
  <c r="Z940" i="1"/>
  <c r="AA940" i="1"/>
  <c r="AB940" i="1"/>
  <c r="AC940" i="1"/>
  <c r="T622" i="1"/>
  <c r="U622" i="1"/>
  <c r="V622" i="1"/>
  <c r="W622" i="1"/>
  <c r="X622" i="1"/>
  <c r="Y622" i="1"/>
  <c r="Z622" i="1"/>
  <c r="AA622" i="1"/>
  <c r="AB622" i="1"/>
  <c r="AC622" i="1"/>
  <c r="T968" i="1"/>
  <c r="U968" i="1"/>
  <c r="V968" i="1"/>
  <c r="W968" i="1"/>
  <c r="X968" i="1"/>
  <c r="Y968" i="1"/>
  <c r="Z968" i="1"/>
  <c r="AA968" i="1"/>
  <c r="AB968" i="1"/>
  <c r="AC968" i="1"/>
  <c r="T860" i="1"/>
  <c r="U860" i="1"/>
  <c r="V860" i="1"/>
  <c r="W860" i="1"/>
  <c r="X860" i="1"/>
  <c r="Y860" i="1"/>
  <c r="Z860" i="1"/>
  <c r="AA860" i="1"/>
  <c r="AB860" i="1"/>
  <c r="AC860" i="1"/>
  <c r="T1072" i="1"/>
  <c r="U1072" i="1"/>
  <c r="V1072" i="1"/>
  <c r="W1072" i="1"/>
  <c r="X1072" i="1"/>
  <c r="Y1072" i="1"/>
  <c r="Z1072" i="1"/>
  <c r="AA1072" i="1"/>
  <c r="AB1072" i="1"/>
  <c r="AC1072" i="1"/>
  <c r="T972" i="1"/>
  <c r="U972" i="1"/>
  <c r="V972" i="1"/>
  <c r="W972" i="1"/>
  <c r="X972" i="1"/>
  <c r="Y972" i="1"/>
  <c r="Z972" i="1"/>
  <c r="AA972" i="1"/>
  <c r="AB972" i="1"/>
  <c r="AC972" i="1"/>
  <c r="T730" i="1"/>
  <c r="U730" i="1"/>
  <c r="V730" i="1"/>
  <c r="W730" i="1"/>
  <c r="X730" i="1"/>
  <c r="Y730" i="1"/>
  <c r="Z730" i="1"/>
  <c r="AA730" i="1"/>
  <c r="AB730" i="1"/>
  <c r="AC730" i="1"/>
  <c r="T845" i="1"/>
  <c r="U845" i="1"/>
  <c r="V845" i="1"/>
  <c r="W845" i="1"/>
  <c r="X845" i="1"/>
  <c r="Y845" i="1"/>
  <c r="Z845" i="1"/>
  <c r="AA845" i="1"/>
  <c r="AB845" i="1"/>
  <c r="AC845" i="1"/>
  <c r="T923" i="1"/>
  <c r="U923" i="1"/>
  <c r="V923" i="1"/>
  <c r="W923" i="1"/>
  <c r="X923" i="1"/>
  <c r="Y923" i="1"/>
  <c r="Z923" i="1"/>
  <c r="AA923" i="1"/>
  <c r="AB923" i="1"/>
  <c r="AC923" i="1"/>
  <c r="T692" i="1"/>
  <c r="U692" i="1"/>
  <c r="V692" i="1"/>
  <c r="W692" i="1"/>
  <c r="X692" i="1"/>
  <c r="Y692" i="1"/>
  <c r="Z692" i="1"/>
  <c r="AA692" i="1"/>
  <c r="AB692" i="1"/>
  <c r="AC692" i="1"/>
  <c r="T821" i="1"/>
  <c r="U821" i="1"/>
  <c r="V821" i="1"/>
  <c r="W821" i="1"/>
  <c r="X821" i="1"/>
  <c r="Y821" i="1"/>
  <c r="Z821" i="1"/>
  <c r="AA821" i="1"/>
  <c r="AB821" i="1"/>
  <c r="AC821" i="1"/>
  <c r="T799" i="1"/>
  <c r="U799" i="1"/>
  <c r="V799" i="1"/>
  <c r="W799" i="1"/>
  <c r="X799" i="1"/>
  <c r="Y799" i="1"/>
  <c r="Z799" i="1"/>
  <c r="AA799" i="1"/>
  <c r="AB799" i="1"/>
  <c r="AC799" i="1"/>
  <c r="T643" i="1"/>
  <c r="U643" i="1"/>
  <c r="V643" i="1"/>
  <c r="W643" i="1"/>
  <c r="X643" i="1"/>
  <c r="Y643" i="1"/>
  <c r="Z643" i="1"/>
  <c r="AA643" i="1"/>
  <c r="AB643" i="1"/>
  <c r="AC643" i="1"/>
  <c r="T625" i="1"/>
  <c r="U625" i="1"/>
  <c r="V625" i="1"/>
  <c r="W625" i="1"/>
  <c r="X625" i="1"/>
  <c r="Y625" i="1"/>
  <c r="Z625" i="1"/>
  <c r="AA625" i="1"/>
  <c r="AB625" i="1"/>
  <c r="AC625" i="1"/>
  <c r="T950" i="1"/>
  <c r="U950" i="1"/>
  <c r="V950" i="1"/>
  <c r="W950" i="1"/>
  <c r="X950" i="1"/>
  <c r="Y950" i="1"/>
  <c r="Z950" i="1"/>
  <c r="AA950" i="1"/>
  <c r="AB950" i="1"/>
  <c r="AC950" i="1"/>
  <c r="T1037" i="1"/>
  <c r="U1037" i="1"/>
  <c r="V1037" i="1"/>
  <c r="W1037" i="1"/>
  <c r="X1037" i="1"/>
  <c r="Y1037" i="1"/>
  <c r="Z1037" i="1"/>
  <c r="AA1037" i="1"/>
  <c r="AB1037" i="1"/>
  <c r="AC1037" i="1"/>
  <c r="T919" i="1"/>
  <c r="U919" i="1"/>
  <c r="V919" i="1"/>
  <c r="W919" i="1"/>
  <c r="X919" i="1"/>
  <c r="Y919" i="1"/>
  <c r="Z919" i="1"/>
  <c r="AA919" i="1"/>
  <c r="AB919" i="1"/>
  <c r="AC919" i="1"/>
  <c r="T1063" i="1"/>
  <c r="U1063" i="1"/>
  <c r="V1063" i="1"/>
  <c r="W1063" i="1"/>
  <c r="X1063" i="1"/>
  <c r="Y1063" i="1"/>
  <c r="Z1063" i="1"/>
  <c r="AA1063" i="1"/>
  <c r="AB1063" i="1"/>
  <c r="AC1063" i="1"/>
  <c r="T135" i="1"/>
  <c r="U135" i="1"/>
  <c r="V135" i="1"/>
  <c r="W135" i="1"/>
  <c r="X135" i="1"/>
  <c r="Y135" i="1"/>
  <c r="Z135" i="1"/>
  <c r="AA135" i="1"/>
  <c r="AB135" i="1"/>
  <c r="AC135" i="1"/>
  <c r="T850" i="1"/>
  <c r="U850" i="1"/>
  <c r="V850" i="1"/>
  <c r="W850" i="1"/>
  <c r="X850" i="1"/>
  <c r="Y850" i="1"/>
  <c r="Z850" i="1"/>
  <c r="AA850" i="1"/>
  <c r="AB850" i="1"/>
  <c r="AC850" i="1"/>
  <c r="T430" i="1"/>
  <c r="U430" i="1"/>
  <c r="V430" i="1"/>
  <c r="W430" i="1"/>
  <c r="X430" i="1"/>
  <c r="Y430" i="1"/>
  <c r="Z430" i="1"/>
  <c r="AA430" i="1"/>
  <c r="AB430" i="1"/>
  <c r="AC430" i="1"/>
  <c r="T287" i="1"/>
  <c r="U287" i="1"/>
  <c r="V287" i="1"/>
  <c r="W287" i="1"/>
  <c r="X287" i="1"/>
  <c r="Y287" i="1"/>
  <c r="Z287" i="1"/>
  <c r="AA287" i="1"/>
  <c r="AB287" i="1"/>
  <c r="AC287" i="1"/>
  <c r="T536" i="1"/>
  <c r="U536" i="1"/>
  <c r="V536" i="1"/>
  <c r="W536" i="1"/>
  <c r="X536" i="1"/>
  <c r="Y536" i="1"/>
  <c r="Z536" i="1"/>
  <c r="AA536" i="1"/>
  <c r="AB536" i="1"/>
  <c r="AC536" i="1"/>
  <c r="T158" i="1"/>
  <c r="U158" i="1"/>
  <c r="V158" i="1"/>
  <c r="W158" i="1"/>
  <c r="X158" i="1"/>
  <c r="Y158" i="1"/>
  <c r="Z158" i="1"/>
  <c r="AA158" i="1"/>
  <c r="AB158" i="1"/>
  <c r="AC158" i="1"/>
  <c r="T786" i="1"/>
  <c r="U786" i="1"/>
  <c r="V786" i="1"/>
  <c r="W786" i="1"/>
  <c r="X786" i="1"/>
  <c r="Y786" i="1"/>
  <c r="Z786" i="1"/>
  <c r="AA786" i="1"/>
  <c r="AB786" i="1"/>
  <c r="AC786" i="1"/>
  <c r="T307" i="1"/>
  <c r="U307" i="1"/>
  <c r="V307" i="1"/>
  <c r="W307" i="1"/>
  <c r="X307" i="1"/>
  <c r="Y307" i="1"/>
  <c r="Z307" i="1"/>
  <c r="AA307" i="1"/>
  <c r="AB307" i="1"/>
  <c r="AC307" i="1"/>
  <c r="T552" i="1"/>
  <c r="U552" i="1"/>
  <c r="V552" i="1"/>
  <c r="W552" i="1"/>
  <c r="X552" i="1"/>
  <c r="Y552" i="1"/>
  <c r="Z552" i="1"/>
  <c r="AA552" i="1"/>
  <c r="AB552" i="1"/>
  <c r="AC552" i="1"/>
  <c r="T556" i="1"/>
  <c r="U556" i="1"/>
  <c r="V556" i="1"/>
  <c r="W556" i="1"/>
  <c r="X556" i="1"/>
  <c r="Y556" i="1"/>
  <c r="Z556" i="1"/>
  <c r="AA556" i="1"/>
  <c r="AB556" i="1"/>
  <c r="AC556" i="1"/>
  <c r="T630" i="1"/>
  <c r="U630" i="1"/>
  <c r="V630" i="1"/>
  <c r="W630" i="1"/>
  <c r="X630" i="1"/>
  <c r="Y630" i="1"/>
  <c r="Z630" i="1"/>
  <c r="AA630" i="1"/>
  <c r="AB630" i="1"/>
  <c r="AC630" i="1"/>
  <c r="T169" i="1"/>
  <c r="U169" i="1"/>
  <c r="V169" i="1"/>
  <c r="W169" i="1"/>
  <c r="X169" i="1"/>
  <c r="Y169" i="1"/>
  <c r="Z169" i="1"/>
  <c r="AA169" i="1"/>
  <c r="AB169" i="1"/>
  <c r="AC169" i="1"/>
  <c r="T1013" i="1"/>
  <c r="U1013" i="1"/>
  <c r="V1013" i="1"/>
  <c r="W1013" i="1"/>
  <c r="X1013" i="1"/>
  <c r="Y1013" i="1"/>
  <c r="Z1013" i="1"/>
  <c r="AA1013" i="1"/>
  <c r="AB1013" i="1"/>
  <c r="AC1013" i="1"/>
  <c r="T43" i="1"/>
  <c r="U43" i="1"/>
  <c r="V43" i="1"/>
  <c r="W43" i="1"/>
  <c r="X43" i="1"/>
  <c r="Y43" i="1"/>
  <c r="Z43" i="1"/>
  <c r="AA43" i="1"/>
  <c r="AB43" i="1"/>
  <c r="AC43" i="1"/>
  <c r="T129" i="1"/>
  <c r="U129" i="1"/>
  <c r="V129" i="1"/>
  <c r="W129" i="1"/>
  <c r="X129" i="1"/>
  <c r="Y129" i="1"/>
  <c r="Z129" i="1"/>
  <c r="AA129" i="1"/>
  <c r="AB129" i="1"/>
  <c r="AC129" i="1"/>
  <c r="T511" i="1"/>
  <c r="U511" i="1"/>
  <c r="V511" i="1"/>
  <c r="W511" i="1"/>
  <c r="X511" i="1"/>
  <c r="Y511" i="1"/>
  <c r="Z511" i="1"/>
  <c r="AA511" i="1"/>
  <c r="AB511" i="1"/>
  <c r="AC511" i="1"/>
  <c r="T171" i="1"/>
  <c r="U171" i="1"/>
  <c r="V171" i="1"/>
  <c r="W171" i="1"/>
  <c r="X171" i="1"/>
  <c r="Y171" i="1"/>
  <c r="Z171" i="1"/>
  <c r="AA171" i="1"/>
  <c r="AB171" i="1"/>
  <c r="AC171" i="1"/>
  <c r="T468" i="1"/>
  <c r="U468" i="1"/>
  <c r="V468" i="1"/>
  <c r="W468" i="1"/>
  <c r="X468" i="1"/>
  <c r="Y468" i="1"/>
  <c r="Z468" i="1"/>
  <c r="AA468" i="1"/>
  <c r="AB468" i="1"/>
  <c r="AC468" i="1"/>
  <c r="T298" i="1"/>
  <c r="U298" i="1"/>
  <c r="V298" i="1"/>
  <c r="W298" i="1"/>
  <c r="X298" i="1"/>
  <c r="Y298" i="1"/>
  <c r="Z298" i="1"/>
  <c r="AA298" i="1"/>
  <c r="AB298" i="1"/>
  <c r="AC298" i="1"/>
  <c r="T48" i="1"/>
  <c r="U48" i="1"/>
  <c r="V48" i="1"/>
  <c r="W48" i="1"/>
  <c r="X48" i="1"/>
  <c r="Y48" i="1"/>
  <c r="Z48" i="1"/>
  <c r="AA48" i="1"/>
  <c r="AB48" i="1"/>
  <c r="AC48" i="1"/>
  <c r="T904" i="1"/>
  <c r="U904" i="1"/>
  <c r="V904" i="1"/>
  <c r="W904" i="1"/>
  <c r="X904" i="1"/>
  <c r="Y904" i="1"/>
  <c r="Z904" i="1"/>
  <c r="AA904" i="1"/>
  <c r="AB904" i="1"/>
  <c r="AC904" i="1"/>
  <c r="T1016" i="1"/>
  <c r="U1016" i="1"/>
  <c r="V1016" i="1"/>
  <c r="W1016" i="1"/>
  <c r="X1016" i="1"/>
  <c r="Y1016" i="1"/>
  <c r="Z1016" i="1"/>
  <c r="AA1016" i="1"/>
  <c r="AB1016" i="1"/>
  <c r="AC1016" i="1"/>
  <c r="T1089" i="1"/>
  <c r="U1089" i="1"/>
  <c r="V1089" i="1"/>
  <c r="W1089" i="1"/>
  <c r="X1089" i="1"/>
  <c r="Y1089" i="1"/>
  <c r="Z1089" i="1"/>
  <c r="AA1089" i="1"/>
  <c r="AB1089" i="1"/>
  <c r="AC1089" i="1"/>
  <c r="T734" i="1"/>
  <c r="U734" i="1"/>
  <c r="V734" i="1"/>
  <c r="W734" i="1"/>
  <c r="X734" i="1"/>
  <c r="Y734" i="1"/>
  <c r="Z734" i="1"/>
  <c r="AA734" i="1"/>
  <c r="AB734" i="1"/>
  <c r="AC734" i="1"/>
  <c r="T184" i="1"/>
  <c r="U184" i="1"/>
  <c r="V184" i="1"/>
  <c r="W184" i="1"/>
  <c r="X184" i="1"/>
  <c r="Y184" i="1"/>
  <c r="Z184" i="1"/>
  <c r="AA184" i="1"/>
  <c r="AB184" i="1"/>
  <c r="AC184" i="1"/>
  <c r="T36" i="1"/>
  <c r="U36" i="1"/>
  <c r="V36" i="1"/>
  <c r="W36" i="1"/>
  <c r="X36" i="1"/>
  <c r="Y36" i="1"/>
  <c r="Z36" i="1"/>
  <c r="AA36" i="1"/>
  <c r="AB36" i="1"/>
  <c r="AC36" i="1"/>
  <c r="T42" i="1"/>
  <c r="U42" i="1"/>
  <c r="V42" i="1"/>
  <c r="W42" i="1"/>
  <c r="X42" i="1"/>
  <c r="Y42" i="1"/>
  <c r="Z42" i="1"/>
  <c r="AA42" i="1"/>
  <c r="AB42" i="1"/>
  <c r="AC42" i="1"/>
  <c r="T345" i="1"/>
  <c r="U345" i="1"/>
  <c r="V345" i="1"/>
  <c r="W345" i="1"/>
  <c r="X345" i="1"/>
  <c r="Y345" i="1"/>
  <c r="Z345" i="1"/>
  <c r="AA345" i="1"/>
  <c r="AB345" i="1"/>
  <c r="AC345" i="1"/>
  <c r="T383" i="1"/>
  <c r="U383" i="1"/>
  <c r="V383" i="1"/>
  <c r="W383" i="1"/>
  <c r="X383" i="1"/>
  <c r="Y383" i="1"/>
  <c r="Z383" i="1"/>
  <c r="AA383" i="1"/>
  <c r="AB383" i="1"/>
  <c r="AC383" i="1"/>
  <c r="T530" i="1"/>
  <c r="U530" i="1"/>
  <c r="V530" i="1"/>
  <c r="W530" i="1"/>
  <c r="X530" i="1"/>
  <c r="Y530" i="1"/>
  <c r="Z530" i="1"/>
  <c r="AA530" i="1"/>
  <c r="AB530" i="1"/>
  <c r="AC530" i="1"/>
  <c r="AM729" i="1"/>
  <c r="E865" i="1"/>
  <c r="E181" i="1"/>
  <c r="E317" i="1"/>
  <c r="E283" i="1"/>
  <c r="E322" i="1"/>
  <c r="E732" i="1"/>
  <c r="E40" i="1"/>
  <c r="E824" i="1"/>
  <c r="E514" i="1"/>
  <c r="E1010" i="1"/>
  <c r="E896" i="1"/>
  <c r="E835" i="1"/>
  <c r="E668" i="1"/>
  <c r="E800" i="1"/>
  <c r="E183" i="1"/>
  <c r="E714" i="1"/>
  <c r="E809" i="1"/>
  <c r="E223" i="1"/>
  <c r="E506" i="1"/>
  <c r="E934" i="1"/>
  <c r="E286" i="1"/>
  <c r="E535" i="1"/>
  <c r="E1048" i="1"/>
  <c r="E578" i="1"/>
  <c r="E253" i="1"/>
  <c r="E998" i="1"/>
  <c r="E836" i="1"/>
  <c r="E516" i="1"/>
  <c r="E138" i="1"/>
  <c r="E475" i="1"/>
  <c r="E663" i="1"/>
  <c r="E569" i="1"/>
  <c r="E834" i="1"/>
  <c r="E587" i="1"/>
  <c r="E895" i="1"/>
  <c r="E949" i="1"/>
  <c r="E741" i="1"/>
  <c r="E1066" i="1"/>
  <c r="E769" i="1"/>
  <c r="E1092" i="1"/>
  <c r="E504" i="1"/>
  <c r="E1036" i="1"/>
  <c r="E660" i="1"/>
  <c r="E585" i="1"/>
  <c r="E863" i="1"/>
  <c r="E1006" i="1"/>
  <c r="E352" i="1"/>
  <c r="E864" i="1"/>
  <c r="E642" i="1"/>
  <c r="E34" i="1"/>
  <c r="E927" i="1"/>
  <c r="E856" i="1"/>
  <c r="E501" i="1"/>
  <c r="E224" i="1"/>
  <c r="E153" i="1"/>
  <c r="E174" i="1"/>
  <c r="E476" i="1"/>
  <c r="E563" i="1"/>
  <c r="E823" i="1"/>
  <c r="E830" i="1"/>
  <c r="E284" i="1"/>
  <c r="E480" i="1"/>
  <c r="E320" i="1"/>
  <c r="E19" i="1"/>
  <c r="E354" i="1"/>
  <c r="E795" i="1"/>
  <c r="E426" i="1"/>
  <c r="E144" i="1"/>
  <c r="E959" i="1"/>
  <c r="E491" i="1"/>
  <c r="E120" i="1"/>
  <c r="E168" i="1"/>
  <c r="E394" i="1"/>
  <c r="E729" i="1"/>
  <c r="E1019" i="1"/>
  <c r="E995" i="1"/>
  <c r="E412" i="1"/>
  <c r="E1068" i="1"/>
  <c r="E945" i="1"/>
  <c r="E820" i="1"/>
  <c r="E1041" i="1"/>
  <c r="E648" i="1"/>
  <c r="E754" i="1"/>
  <c r="E615" i="1"/>
  <c r="E117" i="1"/>
  <c r="E758" i="1"/>
  <c r="E997" i="1"/>
  <c r="E294" i="1"/>
  <c r="E720" i="1"/>
  <c r="E583" i="1"/>
  <c r="E124" i="1"/>
  <c r="E190" i="1"/>
  <c r="E1009" i="1"/>
  <c r="E866" i="1"/>
  <c r="E894" i="1"/>
  <c r="E1076" i="1"/>
  <c r="E1030" i="1"/>
  <c r="E382" i="1"/>
  <c r="E604" i="1"/>
  <c r="E636" i="1"/>
  <c r="E316" i="1"/>
  <c r="E884" i="1"/>
  <c r="E297" i="1"/>
  <c r="E870" i="1"/>
  <c r="E914" i="1"/>
  <c r="E111" i="1"/>
  <c r="E67" i="1"/>
  <c r="E909" i="1"/>
  <c r="E991" i="1"/>
  <c r="E948" i="1"/>
  <c r="E464" i="1"/>
  <c r="E913" i="1"/>
  <c r="E131" i="1"/>
  <c r="E1074" i="1"/>
  <c r="E819" i="1"/>
  <c r="E1071" i="1"/>
  <c r="E682" i="1"/>
  <c r="E1042" i="1"/>
  <c r="E933" i="1"/>
  <c r="E598" i="1"/>
  <c r="E267" i="1"/>
  <c r="E843" i="1"/>
  <c r="E602" i="1"/>
  <c r="E954" i="1"/>
  <c r="E1038" i="1"/>
  <c r="E793" i="1"/>
  <c r="E263" i="1"/>
  <c r="E329" i="1"/>
  <c r="E712" i="1"/>
  <c r="E208" i="1"/>
  <c r="E102" i="1"/>
  <c r="E50" i="1"/>
  <c r="E664" i="1"/>
  <c r="E546" i="1"/>
  <c r="E367" i="1"/>
  <c r="E444" i="1"/>
  <c r="E694" i="1"/>
  <c r="E907" i="1"/>
  <c r="E1073" i="1"/>
  <c r="E716" i="1"/>
  <c r="E644" i="1"/>
  <c r="E711" i="1"/>
  <c r="E57" i="1"/>
  <c r="E88" i="1"/>
  <c r="E25" i="1"/>
  <c r="E595" i="1"/>
  <c r="E867" i="1"/>
  <c r="E900" i="1"/>
  <c r="E696" i="1"/>
  <c r="E148" i="1"/>
  <c r="E624" i="1"/>
  <c r="E654" i="1"/>
  <c r="E327" i="1"/>
  <c r="E937" i="1"/>
  <c r="E777" i="1"/>
  <c r="E592" i="1"/>
  <c r="E314" i="1"/>
  <c r="E579" i="1"/>
  <c r="E957" i="1"/>
  <c r="E686" i="1"/>
  <c r="E955" i="1"/>
  <c r="E400" i="1"/>
  <c r="E521" i="1"/>
  <c r="E798" i="1"/>
  <c r="E784" i="1"/>
  <c r="E984" i="1"/>
  <c r="E242" i="1"/>
  <c r="E227" i="1"/>
  <c r="E243" i="1"/>
  <c r="E739" i="1"/>
  <c r="E417" i="1"/>
  <c r="E570" i="1"/>
  <c r="E701" i="1"/>
  <c r="E564" i="1"/>
  <c r="E874" i="1"/>
  <c r="E807" i="1"/>
  <c r="E282" i="1"/>
  <c r="E794" i="1"/>
  <c r="E1062" i="1"/>
  <c r="E925" i="1"/>
  <c r="E2" i="1"/>
  <c r="E905" i="1"/>
  <c r="E533" i="1"/>
  <c r="E9" i="1"/>
  <c r="E110" i="1"/>
  <c r="E1082" i="1"/>
  <c r="E608" i="1"/>
  <c r="E953" i="1"/>
  <c r="E519" i="1"/>
  <c r="E956" i="1"/>
  <c r="E899" i="1"/>
  <c r="E566" i="1"/>
  <c r="E952" i="1"/>
  <c r="E717" i="1"/>
  <c r="E24" i="1"/>
  <c r="E1070" i="1"/>
  <c r="E837" i="1"/>
  <c r="E581" i="1"/>
  <c r="E783" i="1"/>
  <c r="E1039" i="1"/>
  <c r="E842" i="1"/>
  <c r="E1087" i="1"/>
  <c r="E752" i="1"/>
  <c r="E101" i="1"/>
  <c r="E652" i="1"/>
  <c r="E815" i="1"/>
  <c r="E1014" i="1"/>
  <c r="E724" i="1"/>
  <c r="E387" i="1"/>
  <c r="E32" i="1"/>
  <c r="E639" i="1"/>
  <c r="E425" i="1"/>
  <c r="E336" i="1"/>
  <c r="E936" i="1"/>
  <c r="E413" i="1"/>
  <c r="E517" i="1"/>
  <c r="E614" i="1"/>
  <c r="E722" i="1"/>
  <c r="E26" i="1"/>
  <c r="E869" i="1"/>
  <c r="E640" i="1"/>
  <c r="E326" i="1"/>
  <c r="E723" i="1"/>
  <c r="E761" i="1"/>
  <c r="E240" i="1"/>
  <c r="E857" i="1"/>
  <c r="E1085" i="1"/>
  <c r="E727" i="1"/>
  <c r="E781" i="1"/>
  <c r="E737" i="1"/>
  <c r="E610" i="1"/>
  <c r="E515" i="1"/>
  <c r="E877" i="1"/>
  <c r="E257" i="1"/>
  <c r="E709" i="1"/>
  <c r="E1020" i="1"/>
  <c r="E391" i="1"/>
  <c r="E641" i="1"/>
  <c r="E484" i="1"/>
  <c r="E753" i="1"/>
  <c r="E270" i="1"/>
  <c r="E268" i="1"/>
  <c r="E883" i="1"/>
  <c r="E992" i="1"/>
  <c r="E1002" i="1"/>
  <c r="E651" i="1"/>
  <c r="E1052" i="1"/>
  <c r="E609" i="1"/>
  <c r="E871" i="1"/>
  <c r="E726" i="1"/>
  <c r="E740" i="1"/>
  <c r="E399" i="1"/>
  <c r="E406" i="1"/>
  <c r="E285" i="1"/>
  <c r="E1001" i="1"/>
  <c r="E947" i="1"/>
  <c r="E827" i="1"/>
  <c r="E1064" i="1"/>
  <c r="E1069" i="1"/>
  <c r="E513" i="1"/>
  <c r="E95" i="1"/>
  <c r="E346" i="1"/>
  <c r="E549" i="1"/>
  <c r="E246" i="1"/>
  <c r="E561" i="1"/>
  <c r="E503" i="1"/>
  <c r="E385" i="1"/>
  <c r="E782" i="1"/>
  <c r="E1067" i="1"/>
  <c r="E343" i="1"/>
  <c r="E149" i="1"/>
  <c r="E30" i="1"/>
  <c r="E488" i="1"/>
  <c r="E226" i="1"/>
  <c r="E27" i="1"/>
  <c r="E1011" i="1"/>
  <c r="E29" i="1"/>
  <c r="E994" i="1"/>
  <c r="E374" i="1"/>
  <c r="E198" i="1"/>
  <c r="E618" i="1"/>
  <c r="E647" i="1"/>
  <c r="E673" i="1"/>
  <c r="E1012" i="1"/>
  <c r="E313" i="1"/>
  <c r="E832" i="1"/>
  <c r="E545" i="1"/>
  <c r="E160" i="1"/>
  <c r="E646" i="1"/>
  <c r="E658" i="1"/>
  <c r="E681" i="1"/>
  <c r="E477" i="1"/>
  <c r="E802" i="1"/>
  <c r="E844" i="1"/>
  <c r="E255" i="1"/>
  <c r="E851" i="1"/>
  <c r="E63" i="1"/>
  <c r="E743" i="1"/>
  <c r="E7" i="1"/>
  <c r="E1004" i="1"/>
  <c r="E788" i="1"/>
  <c r="E74" i="1"/>
  <c r="E847" i="1"/>
  <c r="E202" i="1"/>
  <c r="E931" i="1"/>
  <c r="E360" i="1"/>
  <c r="E264" i="1"/>
  <c r="E310" i="1"/>
  <c r="E810" i="1"/>
  <c r="E1108" i="1"/>
  <c r="E225" i="1"/>
  <c r="E334" i="1"/>
  <c r="E502" i="1"/>
  <c r="E274" i="1"/>
  <c r="E256" i="1"/>
  <c r="E597" i="1"/>
  <c r="E115" i="1"/>
  <c r="E437" i="1"/>
  <c r="E207" i="1"/>
  <c r="E846" i="1"/>
  <c r="E193" i="1"/>
  <c r="E1079" i="1"/>
  <c r="E162" i="1"/>
  <c r="E64" i="1"/>
  <c r="E189" i="1"/>
  <c r="E771" i="1"/>
  <c r="E14" i="1"/>
  <c r="E155" i="1"/>
  <c r="E505" i="1"/>
  <c r="E350" i="1"/>
  <c r="E415" i="1"/>
  <c r="E1117" i="1"/>
  <c r="E75" i="1"/>
  <c r="E735" i="1"/>
  <c r="E473" i="1"/>
  <c r="E1015" i="1"/>
  <c r="E1083" i="1"/>
  <c r="E58" i="1"/>
  <c r="E875" i="1"/>
  <c r="E358" i="1"/>
  <c r="E28" i="1"/>
  <c r="E62" i="1"/>
  <c r="E560" i="1"/>
  <c r="E878" i="1"/>
  <c r="E5" i="1"/>
  <c r="E520" i="1"/>
  <c r="E104" i="1"/>
  <c r="E167" i="1"/>
  <c r="E930" i="1"/>
  <c r="E853" i="1"/>
  <c r="E808" i="1"/>
  <c r="E725" i="1"/>
  <c r="E403" i="1"/>
  <c r="E848" i="1"/>
  <c r="E813" i="1"/>
  <c r="E841" i="1"/>
  <c r="E544" i="1"/>
  <c r="E299" i="1"/>
  <c r="E672" i="1"/>
  <c r="E407" i="1"/>
  <c r="E791" i="1"/>
  <c r="E485" i="1"/>
  <c r="E245" i="1"/>
  <c r="E451" i="1"/>
  <c r="E748" i="1"/>
  <c r="E265" i="1"/>
  <c r="E645" i="1"/>
  <c r="E16" i="1"/>
  <c r="E915" i="1"/>
  <c r="E368" i="1"/>
  <c r="E154" i="1"/>
  <c r="E114" i="1"/>
  <c r="E376" i="1"/>
  <c r="E136" i="1"/>
  <c r="E684" i="1"/>
  <c r="E372" i="1"/>
  <c r="E440" i="1"/>
  <c r="E157" i="1"/>
  <c r="E250" i="1"/>
  <c r="E679" i="1"/>
  <c r="E472" i="1"/>
  <c r="E216" i="1"/>
  <c r="E52" i="1"/>
  <c r="E1111" i="1"/>
  <c r="E218" i="1"/>
  <c r="E1034" i="1"/>
  <c r="E978" i="1"/>
  <c r="E675" i="1"/>
  <c r="E303" i="1"/>
  <c r="E617" i="1"/>
  <c r="E234" i="1"/>
  <c r="E829" i="1"/>
  <c r="E323" i="1"/>
  <c r="E942" i="1"/>
  <c r="E960" i="1"/>
  <c r="E958" i="1"/>
  <c r="E197" i="1"/>
  <c r="E792" i="1"/>
  <c r="E134" i="1"/>
  <c r="E280" i="1"/>
  <c r="E605" i="1"/>
  <c r="E392" i="1"/>
  <c r="E882" i="1"/>
  <c r="E59" i="1"/>
  <c r="E1003" i="1"/>
  <c r="E1099" i="1"/>
  <c r="E107" i="1"/>
  <c r="E1000" i="1"/>
  <c r="E126" i="1"/>
  <c r="E677" i="1"/>
  <c r="E828" i="1"/>
  <c r="E498" i="1"/>
  <c r="E499" i="1"/>
  <c r="E1065" i="1"/>
  <c r="E665" i="1"/>
  <c r="E951" i="1"/>
  <c r="E366" i="1"/>
  <c r="E876" i="1"/>
  <c r="E349" i="1"/>
  <c r="E377" i="1"/>
  <c r="E796" i="1"/>
  <c r="E731" i="1"/>
  <c r="E1091" i="1"/>
  <c r="E702" i="1"/>
  <c r="E976" i="1"/>
  <c r="E356" i="1"/>
  <c r="E434" i="1"/>
  <c r="E676" i="1"/>
  <c r="E39" i="1"/>
  <c r="E72" i="1"/>
  <c r="E718" i="1"/>
  <c r="E738" i="1"/>
  <c r="E1090" i="1"/>
  <c r="E879" i="1"/>
  <c r="E55" i="1"/>
  <c r="E293" i="1"/>
  <c r="E90" i="1"/>
  <c r="E306" i="1"/>
  <c r="E838" i="1"/>
  <c r="E986" i="1"/>
  <c r="E580" i="1"/>
  <c r="E397" i="1"/>
  <c r="E849" i="1"/>
  <c r="E421" i="1"/>
  <c r="E859" i="1"/>
  <c r="E44" i="1"/>
  <c r="E970" i="1"/>
  <c r="E370" i="1"/>
  <c r="E182" i="1"/>
  <c r="E312" i="1"/>
  <c r="E562" i="1"/>
  <c r="E76" i="1"/>
  <c r="E620" i="1"/>
  <c r="E789" i="1"/>
  <c r="E478" i="1"/>
  <c r="E260" i="1"/>
  <c r="E347" i="1"/>
  <c r="E699" i="1"/>
  <c r="E156" i="1"/>
  <c r="E191" i="1"/>
  <c r="E831" i="1"/>
  <c r="E532" i="1"/>
  <c r="E86" i="1"/>
  <c r="E801" i="1"/>
  <c r="E130" i="1"/>
  <c r="E332" i="1"/>
  <c r="E746" i="1"/>
  <c r="E670" i="1"/>
  <c r="E277" i="1"/>
  <c r="E812" i="1"/>
  <c r="E436" i="1"/>
  <c r="E1050" i="1"/>
  <c r="E918" i="1"/>
  <c r="E348" i="1"/>
  <c r="E47" i="1"/>
  <c r="E707" i="1"/>
  <c r="E977" i="1"/>
  <c r="E911" i="1"/>
  <c r="E91" i="1"/>
  <c r="E534" i="1"/>
  <c r="E706" i="1"/>
  <c r="E449" i="1"/>
  <c r="E249" i="1"/>
  <c r="E251" i="1"/>
  <c r="E886" i="1"/>
  <c r="E89" i="1"/>
  <c r="E365" i="1"/>
  <c r="E492" i="1"/>
  <c r="E1107" i="1"/>
  <c r="E993" i="1"/>
  <c r="E527" i="1"/>
  <c r="E351" i="1"/>
  <c r="E206" i="1"/>
  <c r="E405" i="1"/>
  <c r="E92" i="1"/>
  <c r="E980" i="1"/>
  <c r="E542" i="1"/>
  <c r="E698" i="1"/>
  <c r="E973" i="1"/>
  <c r="E221" i="1"/>
  <c r="E217" i="1"/>
  <c r="E858" i="1"/>
  <c r="E395" i="1"/>
  <c r="E435" i="1"/>
  <c r="E628" i="1"/>
  <c r="E1088" i="1"/>
  <c r="E634" i="1"/>
  <c r="E379" i="1"/>
  <c r="E396" i="1"/>
  <c r="E557" i="1"/>
  <c r="E669" i="1"/>
  <c r="E555" i="1"/>
  <c r="E495" i="1"/>
  <c r="E768" i="1"/>
  <c r="E700" i="1"/>
  <c r="E626" i="1"/>
  <c r="E967" i="1"/>
  <c r="E241" i="1"/>
  <c r="E760" i="1"/>
  <c r="E22" i="1"/>
  <c r="E818" i="1"/>
  <c r="E1022" i="1"/>
  <c r="E461" i="1"/>
  <c r="E410" i="1"/>
  <c r="E166" i="1"/>
  <c r="E600" i="1"/>
  <c r="E568" i="1"/>
  <c r="E1021" i="1"/>
  <c r="E589" i="1"/>
  <c r="E891" i="1"/>
  <c r="E962" i="1"/>
  <c r="E778" i="1"/>
  <c r="E770" i="1"/>
  <c r="E458" i="1"/>
  <c r="E1029" i="1"/>
  <c r="E416" i="1"/>
  <c r="E337" i="1"/>
  <c r="E988" i="1"/>
  <c r="E507" i="1"/>
  <c r="E23" i="1"/>
  <c r="E31" i="1"/>
  <c r="E547" i="1"/>
  <c r="E910" i="1"/>
  <c r="E291" i="1"/>
  <c r="E944" i="1"/>
  <c r="E928" i="1"/>
  <c r="E159" i="1"/>
  <c r="E635" i="1"/>
  <c r="E757" i="1"/>
  <c r="E889" i="1"/>
  <c r="E667" i="1"/>
  <c r="E398" i="1"/>
  <c r="E422" i="1"/>
  <c r="E447" i="1"/>
  <c r="E674" i="1"/>
  <c r="E806" i="1"/>
  <c r="E683" i="1"/>
  <c r="E584" i="1"/>
  <c r="E638" i="1"/>
  <c r="E666" i="1"/>
  <c r="E340" i="1"/>
  <c r="E308" i="1"/>
  <c r="E862" i="1"/>
  <c r="E805" i="1"/>
  <c r="E518" i="1"/>
  <c r="E1058" i="1"/>
  <c r="E924" i="1"/>
  <c r="E20" i="1"/>
  <c r="E1061" i="1"/>
  <c r="E1049" i="1"/>
  <c r="E439" i="1"/>
  <c r="E455" i="1"/>
  <c r="E408" i="1"/>
  <c r="E790" i="1"/>
  <c r="E1005" i="1"/>
  <c r="E885" i="1"/>
  <c r="E868" i="1"/>
  <c r="E1094" i="1"/>
  <c r="E467" i="1"/>
  <c r="E565" i="1"/>
  <c r="E637" i="1"/>
  <c r="E631" i="1"/>
  <c r="E1024" i="1"/>
  <c r="E228" i="1"/>
  <c r="E881" i="1"/>
  <c r="E429" i="1"/>
  <c r="E1031" i="1"/>
  <c r="E1027" i="1"/>
  <c r="E1057" i="1"/>
  <c r="E1105" i="1"/>
  <c r="E1103" i="1"/>
  <c r="E1106" i="1"/>
  <c r="E1104" i="1"/>
  <c r="E880" i="1"/>
  <c r="E762" i="1"/>
  <c r="E364" i="1"/>
  <c r="E1028" i="1"/>
  <c r="E539" i="1"/>
  <c r="E378" i="1"/>
  <c r="E94" i="1"/>
  <c r="E574" i="1"/>
  <c r="E764" i="1"/>
  <c r="E1086" i="1"/>
  <c r="E443" i="1"/>
  <c r="E386" i="1"/>
  <c r="E655" i="1"/>
  <c r="E125" i="1"/>
  <c r="E69" i="1"/>
  <c r="E271" i="1"/>
  <c r="E201" i="1"/>
  <c r="E650" i="1"/>
  <c r="E384" i="1"/>
  <c r="E142" i="1"/>
  <c r="E118" i="1"/>
  <c r="E996" i="1"/>
  <c r="E68" i="1"/>
  <c r="E1008" i="1"/>
  <c r="E1046" i="1"/>
  <c r="E341" i="1"/>
  <c r="E920" i="1"/>
  <c r="E258" i="1"/>
  <c r="E680" i="1"/>
  <c r="E575" i="1"/>
  <c r="E687" i="1"/>
  <c r="E428" i="1"/>
  <c r="E621" i="1"/>
  <c r="E279" i="1"/>
  <c r="E479" i="1"/>
  <c r="E594" i="1"/>
  <c r="E616" i="1"/>
  <c r="E649" i="1"/>
  <c r="E80" i="1"/>
  <c r="E319" i="1"/>
  <c r="E237" i="1"/>
  <c r="E244" i="1"/>
  <c r="E409" i="1"/>
  <c r="E985" i="1"/>
  <c r="E599" i="1"/>
  <c r="E586" i="1"/>
  <c r="E304" i="1"/>
  <c r="E185" i="1"/>
  <c r="E229" i="1"/>
  <c r="E489" i="1"/>
  <c r="E961" i="1"/>
  <c r="E1032" i="1"/>
  <c r="E266" i="1"/>
  <c r="E466" i="1"/>
  <c r="E695" i="1"/>
  <c r="E839" i="1"/>
  <c r="E822" i="1"/>
  <c r="E411" i="1"/>
  <c r="E371" i="1"/>
  <c r="E424" i="1"/>
  <c r="E690" i="1"/>
  <c r="E577" i="1"/>
  <c r="E607" i="1"/>
  <c r="E82" i="1"/>
  <c r="E721" i="1"/>
  <c r="E526" i="1"/>
  <c r="E935" i="1"/>
  <c r="E389" i="1"/>
  <c r="E481" i="1"/>
  <c r="E465" i="1"/>
  <c r="E51" i="1"/>
  <c r="E65" i="1"/>
  <c r="E292" i="1"/>
  <c r="E335" i="1"/>
  <c r="E147" i="1"/>
  <c r="E296" i="1"/>
  <c r="E469" i="1"/>
  <c r="E1033" i="1"/>
  <c r="E811" i="1"/>
  <c r="E728" i="1"/>
  <c r="E529" i="1"/>
  <c r="E1023" i="1"/>
  <c r="E46" i="1"/>
  <c r="E932" i="1"/>
  <c r="E750" i="1"/>
  <c r="E85" i="1"/>
  <c r="E231" i="1"/>
  <c r="E11" i="1"/>
  <c r="E1100" i="1"/>
  <c r="E420" i="1"/>
  <c r="E146" i="1"/>
  <c r="E238" i="1"/>
  <c r="E1080" i="1"/>
  <c r="E290" i="1"/>
  <c r="E1054" i="1"/>
  <c r="E381" i="1"/>
  <c r="E632" i="1"/>
  <c r="E123" i="1"/>
  <c r="E548" i="1"/>
  <c r="E194" i="1"/>
  <c r="E775" i="1"/>
  <c r="E772" i="1"/>
  <c r="E493" i="1"/>
  <c r="E239" i="1"/>
  <c r="E926" i="1"/>
  <c r="E733" i="1"/>
  <c r="E143" i="1"/>
  <c r="E888" i="1"/>
  <c r="E103" i="1"/>
  <c r="E41" i="1"/>
  <c r="E375" i="1"/>
  <c r="E826" i="1"/>
  <c r="E1095" i="1"/>
  <c r="E497" i="1"/>
  <c r="E619" i="1"/>
  <c r="E873" i="1"/>
  <c r="E713" i="1"/>
  <c r="E969" i="1"/>
  <c r="E508" i="1"/>
  <c r="E219" i="1"/>
  <c r="E179" i="1"/>
  <c r="E1007" i="1"/>
  <c r="E765" i="1"/>
  <c r="E1025" i="1"/>
  <c r="E77" i="1"/>
  <c r="E755" i="1"/>
  <c r="E84" i="1"/>
  <c r="E745" i="1"/>
  <c r="E431" i="1"/>
  <c r="E273" i="1"/>
  <c r="E1017" i="1"/>
  <c r="E445" i="1"/>
  <c r="E140" i="1"/>
  <c r="E901" i="1"/>
  <c r="E442" i="1"/>
  <c r="E1112" i="1"/>
  <c r="E56" i="1"/>
  <c r="E531" i="1"/>
  <c r="E369" i="1"/>
  <c r="E749" i="1"/>
  <c r="E151" i="1"/>
  <c r="E483" i="1"/>
  <c r="E262" i="1"/>
  <c r="E661" i="1"/>
  <c r="E689" i="1"/>
  <c r="E861" i="1"/>
  <c r="E73" i="1"/>
  <c r="E121" i="1"/>
  <c r="E432" i="1"/>
  <c r="E423" i="1"/>
  <c r="E132" i="1"/>
  <c r="E550" i="1"/>
  <c r="E553" i="1"/>
  <c r="E119" i="1"/>
  <c r="E773" i="1"/>
  <c r="E8" i="1"/>
  <c r="E1078" i="1"/>
  <c r="E462" i="1"/>
  <c r="E459" i="1"/>
  <c r="E98" i="1"/>
  <c r="E1055" i="1"/>
  <c r="E33" i="1"/>
  <c r="E373" i="1"/>
  <c r="E779" i="1"/>
  <c r="E922" i="1"/>
  <c r="E105" i="1"/>
  <c r="E100" i="1"/>
  <c r="E152" i="1"/>
  <c r="E1075" i="1"/>
  <c r="E693" i="1"/>
  <c r="E380" i="1"/>
  <c r="E588" i="1"/>
  <c r="E128" i="1"/>
  <c r="E776" i="1"/>
  <c r="E1056" i="1"/>
  <c r="E122" i="1"/>
  <c r="E653" i="1"/>
  <c r="E1018" i="1"/>
  <c r="E999" i="1"/>
  <c r="E1102" i="1"/>
  <c r="E211" i="1"/>
  <c r="E106" i="1"/>
  <c r="E87" i="1"/>
  <c r="E941" i="1"/>
  <c r="E662" i="1"/>
  <c r="E490" i="1"/>
  <c r="E1059" i="1"/>
  <c r="E18" i="1"/>
  <c r="E573" i="1"/>
  <c r="E450" i="1"/>
  <c r="E572" i="1"/>
  <c r="E688" i="1"/>
  <c r="E990" i="1"/>
  <c r="E254" i="1"/>
  <c r="E3" i="1"/>
  <c r="E787" i="1"/>
  <c r="E45" i="1"/>
  <c r="E433" i="1"/>
  <c r="E474" i="1"/>
  <c r="E361" i="1"/>
  <c r="E759" i="1"/>
  <c r="E817" i="1"/>
  <c r="E678" i="1"/>
  <c r="E457" i="1"/>
  <c r="E38" i="1"/>
  <c r="E1026" i="1"/>
  <c r="E210" i="1"/>
  <c r="E325" i="1"/>
  <c r="E235" i="1"/>
  <c r="E1077" i="1"/>
  <c r="E259" i="1"/>
  <c r="E1040" i="1"/>
  <c r="E178" i="1"/>
  <c r="E165" i="1"/>
  <c r="E145" i="1"/>
  <c r="E524" i="1"/>
  <c r="E528" i="1"/>
  <c r="E744" i="1"/>
  <c r="E887" i="1"/>
  <c r="E892" i="1"/>
  <c r="E571" i="1"/>
  <c r="E330" i="1"/>
  <c r="E401" i="1"/>
  <c r="E627" i="1"/>
  <c r="E71" i="1"/>
  <c r="E657" i="1"/>
  <c r="E1116" i="1"/>
  <c r="E785" i="1"/>
  <c r="E281" i="1"/>
  <c r="E1093" i="1"/>
  <c r="E943" i="1"/>
  <c r="E441" i="1"/>
  <c r="E780" i="1"/>
  <c r="E272" i="1"/>
  <c r="E269" i="1"/>
  <c r="E814" i="1"/>
  <c r="E192" i="1"/>
  <c r="E342" i="1"/>
  <c r="E453" i="1"/>
  <c r="E17" i="1"/>
  <c r="E116" i="1"/>
  <c r="E150" i="1"/>
  <c r="E195" i="1"/>
  <c r="E388" i="1"/>
  <c r="E248" i="1"/>
  <c r="E596" i="1"/>
  <c r="E338" i="1"/>
  <c r="E855" i="1"/>
  <c r="E452" i="1"/>
  <c r="E108" i="1"/>
  <c r="E1118" i="1"/>
  <c r="E289" i="1"/>
  <c r="E1043" i="1"/>
  <c r="E554" i="1"/>
  <c r="E917" i="1"/>
  <c r="E209" i="1"/>
  <c r="E606" i="1"/>
  <c r="E982" i="1"/>
  <c r="E15" i="1"/>
  <c r="E1047" i="1"/>
  <c r="E710" i="1"/>
  <c r="E21" i="1"/>
  <c r="E300" i="1"/>
  <c r="E633" i="1"/>
  <c r="E1081" i="1"/>
  <c r="E912" i="1"/>
  <c r="E736" i="1"/>
  <c r="E402" i="1"/>
  <c r="E854" i="1"/>
  <c r="E203" i="1"/>
  <c r="E989" i="1"/>
  <c r="E419" i="1"/>
  <c r="E939" i="1"/>
  <c r="E301" i="1"/>
  <c r="E220" i="1"/>
  <c r="E897" i="1"/>
  <c r="E742" i="1"/>
  <c r="E363" i="1"/>
  <c r="E163" i="1"/>
  <c r="E180" i="1"/>
  <c r="E872" i="1"/>
  <c r="E276" i="1"/>
  <c r="E938" i="1"/>
  <c r="E311" i="1"/>
  <c r="E1053" i="1"/>
  <c r="E751" i="1"/>
  <c r="E112" i="1"/>
  <c r="E576" i="1"/>
  <c r="E113" i="1"/>
  <c r="E719" i="1"/>
  <c r="E97" i="1"/>
  <c r="E747" i="1"/>
  <c r="E1115" i="1"/>
  <c r="E1114" i="1"/>
  <c r="E78" i="1"/>
  <c r="E816" i="1"/>
  <c r="E833" i="1"/>
  <c r="E981" i="1"/>
  <c r="E496" i="1"/>
  <c r="E261" i="1"/>
  <c r="E767" i="1"/>
  <c r="E13" i="1"/>
  <c r="E199" i="1"/>
  <c r="E230" i="1"/>
  <c r="E96" i="1"/>
  <c r="E109" i="1"/>
  <c r="E232" i="1"/>
  <c r="E390" i="1"/>
  <c r="E53" i="1"/>
  <c r="E494" i="1"/>
  <c r="E916" i="1"/>
  <c r="E906" i="1"/>
  <c r="E35" i="1"/>
  <c r="E929" i="1"/>
  <c r="E200" i="1"/>
  <c r="E691" i="1"/>
  <c r="E908" i="1"/>
  <c r="E975" i="1"/>
  <c r="E252" i="1"/>
  <c r="E1109" i="1"/>
  <c r="E1098" i="1"/>
  <c r="E321" i="1"/>
  <c r="E324" i="1"/>
  <c r="E591" i="1"/>
  <c r="E79" i="1"/>
  <c r="E582" i="1"/>
  <c r="E446" i="1"/>
  <c r="E4" i="1"/>
  <c r="E902" i="1"/>
  <c r="E137" i="1"/>
  <c r="E54" i="1"/>
  <c r="E601" i="1"/>
  <c r="E983" i="1"/>
  <c r="E460" i="1"/>
  <c r="E1084" i="1"/>
  <c r="E840" i="1"/>
  <c r="E898" i="1"/>
  <c r="E774" i="1"/>
  <c r="E196" i="1"/>
  <c r="E233" i="1"/>
  <c r="E205" i="1"/>
  <c r="E83" i="1"/>
  <c r="E427" i="1"/>
  <c r="E611" i="1"/>
  <c r="E133" i="1"/>
  <c r="E500" i="1"/>
  <c r="E685" i="1"/>
  <c r="E486" i="1"/>
  <c r="E315" i="1"/>
  <c r="E295" i="1"/>
  <c r="E454" i="1"/>
  <c r="E963" i="1"/>
  <c r="E1060" i="1"/>
  <c r="E61" i="1"/>
  <c r="E357" i="1"/>
  <c r="E623" i="1"/>
  <c r="E333" i="1"/>
  <c r="E275" i="1"/>
  <c r="E186" i="1"/>
  <c r="E697" i="1"/>
  <c r="E318" i="1"/>
  <c r="E612" i="1"/>
  <c r="E404" i="1"/>
  <c r="E81" i="1"/>
  <c r="E537" i="1"/>
  <c r="E172" i="1"/>
  <c r="E164" i="1"/>
  <c r="E344" i="1"/>
  <c r="E362" i="1"/>
  <c r="E331" i="1"/>
  <c r="E523" i="1"/>
  <c r="E278" i="1"/>
  <c r="E974" i="1"/>
  <c r="E593" i="1"/>
  <c r="E247" i="1"/>
  <c r="E70" i="1"/>
  <c r="E393" i="1"/>
  <c r="E212" i="1"/>
  <c r="E93" i="1"/>
  <c r="E671" i="1"/>
  <c r="E204" i="1"/>
  <c r="E359" i="1"/>
  <c r="E339" i="1"/>
  <c r="E613" i="1"/>
  <c r="E538" i="1"/>
  <c r="E979" i="1"/>
  <c r="E756" i="1"/>
  <c r="E66" i="1"/>
  <c r="E971" i="1"/>
  <c r="E567" i="1"/>
  <c r="E543" i="1"/>
  <c r="E946" i="1"/>
  <c r="E763" i="1"/>
  <c r="E708" i="1"/>
  <c r="E940" i="1"/>
  <c r="E622" i="1"/>
  <c r="E968" i="1"/>
  <c r="E860" i="1"/>
  <c r="E1072" i="1"/>
  <c r="E972" i="1"/>
  <c r="E730" i="1"/>
  <c r="E845" i="1"/>
  <c r="E923" i="1"/>
  <c r="E692" i="1"/>
  <c r="E821" i="1"/>
  <c r="E799" i="1"/>
  <c r="E643" i="1"/>
  <c r="E625" i="1"/>
  <c r="E950" i="1"/>
  <c r="E1037" i="1"/>
  <c r="E919" i="1"/>
  <c r="E1063" i="1"/>
  <c r="E135" i="1"/>
  <c r="E850" i="1"/>
  <c r="E430" i="1"/>
  <c r="E287" i="1"/>
  <c r="E536" i="1"/>
  <c r="E158" i="1"/>
  <c r="E786" i="1"/>
  <c r="E307" i="1"/>
  <c r="E552" i="1"/>
  <c r="E556" i="1"/>
  <c r="E630" i="1"/>
  <c r="E169" i="1"/>
  <c r="E1013" i="1"/>
  <c r="E43" i="1"/>
  <c r="E129" i="1"/>
  <c r="E511" i="1"/>
  <c r="E171" i="1"/>
  <c r="E904" i="1"/>
  <c r="E1016" i="1"/>
  <c r="E1089" i="1"/>
  <c r="E734" i="1"/>
  <c r="E184" i="1"/>
  <c r="E36" i="1"/>
  <c r="E42" i="1"/>
  <c r="E345" i="1"/>
  <c r="E383" i="1"/>
  <c r="E530" i="1"/>
  <c r="E890" i="1"/>
  <c r="AG511" i="1" l="1"/>
  <c r="AG171" i="1"/>
  <c r="AG468" i="1"/>
  <c r="AG298" i="1"/>
  <c r="AG48" i="1"/>
  <c r="AG904" i="1"/>
  <c r="AG1016" i="1"/>
  <c r="AG1089" i="1"/>
  <c r="AG734" i="1"/>
  <c r="AG184" i="1"/>
  <c r="AG36" i="1"/>
  <c r="AG42" i="1"/>
  <c r="AG345" i="1"/>
  <c r="AG383" i="1"/>
  <c r="AG530" i="1"/>
  <c r="S171" i="1"/>
  <c r="S468" i="1"/>
  <c r="S298" i="1"/>
  <c r="S48" i="1"/>
  <c r="S904" i="1"/>
  <c r="S1016" i="1"/>
  <c r="S1089" i="1"/>
  <c r="S734" i="1"/>
  <c r="S184" i="1"/>
  <c r="S36" i="1"/>
  <c r="S42" i="1"/>
  <c r="S345" i="1"/>
  <c r="S383" i="1"/>
  <c r="S530" i="1"/>
  <c r="R171" i="1"/>
  <c r="R468" i="1"/>
  <c r="R298" i="1"/>
  <c r="R48" i="1"/>
  <c r="R904" i="1"/>
  <c r="R1016" i="1"/>
  <c r="R1089" i="1"/>
  <c r="R734" i="1"/>
  <c r="R184" i="1"/>
  <c r="R36" i="1"/>
  <c r="R42" i="1"/>
  <c r="R345" i="1"/>
  <c r="R383" i="1"/>
  <c r="R530" i="1"/>
  <c r="K171" i="1"/>
  <c r="K468" i="1"/>
  <c r="K298" i="1"/>
  <c r="K48" i="1"/>
  <c r="K904" i="1"/>
  <c r="K1016" i="1"/>
  <c r="K1089" i="1"/>
  <c r="K734" i="1"/>
  <c r="K184" i="1"/>
  <c r="K36" i="1"/>
  <c r="K42" i="1"/>
  <c r="K345" i="1"/>
  <c r="K383" i="1"/>
  <c r="K530" i="1"/>
  <c r="L171" i="1"/>
  <c r="L468" i="1"/>
  <c r="L298" i="1"/>
  <c r="L48" i="1"/>
  <c r="L904" i="1"/>
  <c r="L1016" i="1"/>
  <c r="L1089" i="1"/>
  <c r="L734" i="1"/>
  <c r="L184" i="1"/>
  <c r="L36" i="1"/>
  <c r="L42" i="1"/>
  <c r="L345" i="1"/>
  <c r="L383" i="1"/>
  <c r="L530" i="1"/>
  <c r="N171" i="1"/>
  <c r="N468" i="1"/>
  <c r="N298" i="1"/>
  <c r="N48" i="1"/>
  <c r="N904" i="1"/>
  <c r="N1016" i="1"/>
  <c r="N1089" i="1"/>
  <c r="N734" i="1"/>
  <c r="N184" i="1"/>
  <c r="N36" i="1"/>
  <c r="N42" i="1"/>
  <c r="N345" i="1"/>
  <c r="N383" i="1"/>
  <c r="N530" i="1"/>
  <c r="AF171" i="1"/>
  <c r="AF468" i="1"/>
  <c r="AF298" i="1"/>
  <c r="AF48" i="1"/>
  <c r="AF904" i="1"/>
  <c r="AF1016" i="1"/>
  <c r="AF1089" i="1"/>
  <c r="AF734" i="1"/>
  <c r="AF184" i="1"/>
  <c r="AF36" i="1"/>
  <c r="AF42" i="1"/>
  <c r="AF345" i="1"/>
  <c r="AF383" i="1"/>
  <c r="AF530" i="1"/>
  <c r="AO171" i="1"/>
  <c r="AO468" i="1"/>
  <c r="AO298" i="1"/>
  <c r="AO48" i="1"/>
  <c r="AO904" i="1"/>
  <c r="AO1016" i="1"/>
  <c r="AO1089" i="1"/>
  <c r="AO734" i="1"/>
  <c r="AO184" i="1"/>
  <c r="AO36" i="1"/>
  <c r="AO42" i="1"/>
  <c r="AO345" i="1"/>
  <c r="AO383" i="1"/>
  <c r="AO530" i="1"/>
  <c r="AQ171" i="1"/>
  <c r="AQ468" i="1"/>
  <c r="AQ298" i="1"/>
  <c r="AQ48" i="1"/>
  <c r="AQ904" i="1"/>
  <c r="AQ1016" i="1"/>
  <c r="AQ1089" i="1"/>
  <c r="AQ734" i="1"/>
  <c r="AQ184" i="1"/>
  <c r="AQ36" i="1"/>
  <c r="AQ42" i="1"/>
  <c r="AQ345" i="1"/>
  <c r="AQ383" i="1"/>
  <c r="AQ530" i="1"/>
  <c r="AO890" i="1" l="1"/>
  <c r="AO865" i="1"/>
  <c r="AO181" i="1"/>
  <c r="AO317" i="1"/>
  <c r="AO283" i="1"/>
  <c r="AO322" i="1"/>
  <c r="AO732" i="1"/>
  <c r="AO40" i="1"/>
  <c r="AO824" i="1"/>
  <c r="AO514" i="1"/>
  <c r="AO1010" i="1"/>
  <c r="AO896" i="1"/>
  <c r="AO835" i="1"/>
  <c r="AO668" i="1"/>
  <c r="AO800" i="1"/>
  <c r="AO183" i="1"/>
  <c r="AO714" i="1"/>
  <c r="AO809" i="1"/>
  <c r="AO223" i="1"/>
  <c r="AO506" i="1"/>
  <c r="AO934" i="1"/>
  <c r="AO286" i="1"/>
  <c r="AO535" i="1"/>
  <c r="AO1048" i="1"/>
  <c r="AO578" i="1"/>
  <c r="AO253" i="1"/>
  <c r="AO998" i="1"/>
  <c r="AO836" i="1"/>
  <c r="AO516" i="1"/>
  <c r="AO138" i="1"/>
  <c r="AO475" i="1"/>
  <c r="AO663" i="1"/>
  <c r="AO569" i="1"/>
  <c r="AO834" i="1"/>
  <c r="AO587" i="1"/>
  <c r="AO895" i="1"/>
  <c r="AO949" i="1"/>
  <c r="AO741" i="1"/>
  <c r="AO1066" i="1"/>
  <c r="AO769" i="1"/>
  <c r="AO1092" i="1"/>
  <c r="AO504" i="1"/>
  <c r="AO1036" i="1"/>
  <c r="AO660" i="1"/>
  <c r="AO585" i="1"/>
  <c r="AO863" i="1"/>
  <c r="AO1006" i="1"/>
  <c r="AO352" i="1"/>
  <c r="AO864" i="1"/>
  <c r="AO642" i="1"/>
  <c r="AO34" i="1"/>
  <c r="AO927" i="1"/>
  <c r="AO856" i="1"/>
  <c r="AO501" i="1"/>
  <c r="AO224" i="1"/>
  <c r="AO153" i="1"/>
  <c r="AO174" i="1"/>
  <c r="AO476" i="1"/>
  <c r="AO563" i="1"/>
  <c r="AO823" i="1"/>
  <c r="AO830" i="1"/>
  <c r="AO284" i="1"/>
  <c r="AO480" i="1"/>
  <c r="AO320" i="1"/>
  <c r="AO19" i="1"/>
  <c r="AO354" i="1"/>
  <c r="AO795" i="1"/>
  <c r="AO426" i="1"/>
  <c r="AO144" i="1"/>
  <c r="AO959" i="1"/>
  <c r="AO491" i="1"/>
  <c r="AO120" i="1"/>
  <c r="AO168" i="1"/>
  <c r="AO394" i="1"/>
  <c r="AO729" i="1"/>
  <c r="AO1019" i="1"/>
  <c r="AO995" i="1"/>
  <c r="AO412" i="1"/>
  <c r="AO1068" i="1"/>
  <c r="AO945" i="1"/>
  <c r="AO820" i="1"/>
  <c r="AO1041" i="1"/>
  <c r="AO648" i="1"/>
  <c r="AO754" i="1"/>
  <c r="AO615" i="1"/>
  <c r="AO117" i="1"/>
  <c r="AO758" i="1"/>
  <c r="AO997" i="1"/>
  <c r="AO294" i="1"/>
  <c r="AO720" i="1"/>
  <c r="AO583" i="1"/>
  <c r="AO124" i="1"/>
  <c r="AO190" i="1"/>
  <c r="AO1009" i="1"/>
  <c r="AO866" i="1"/>
  <c r="AO894" i="1"/>
  <c r="AO1076" i="1"/>
  <c r="AO1030" i="1"/>
  <c r="AO382" i="1"/>
  <c r="AO604" i="1"/>
  <c r="AO636" i="1"/>
  <c r="AO316" i="1"/>
  <c r="AO884" i="1"/>
  <c r="AO297" i="1"/>
  <c r="AO870" i="1"/>
  <c r="AO914" i="1"/>
  <c r="AO111" i="1"/>
  <c r="AO67" i="1"/>
  <c r="AO909" i="1"/>
  <c r="AO991" i="1"/>
  <c r="AO948" i="1"/>
  <c r="AO464" i="1"/>
  <c r="AO913" i="1"/>
  <c r="AO131" i="1"/>
  <c r="AO1074" i="1"/>
  <c r="AO819" i="1"/>
  <c r="AO1071" i="1"/>
  <c r="AO682" i="1"/>
  <c r="AO1042" i="1"/>
  <c r="AO933" i="1"/>
  <c r="AO598" i="1"/>
  <c r="AO267" i="1"/>
  <c r="AO843" i="1"/>
  <c r="AO602" i="1"/>
  <c r="AO954" i="1"/>
  <c r="AO1038" i="1"/>
  <c r="AO793" i="1"/>
  <c r="AO263" i="1"/>
  <c r="AO329" i="1"/>
  <c r="AO712" i="1"/>
  <c r="AO208" i="1"/>
  <c r="AO102" i="1"/>
  <c r="AO50" i="1"/>
  <c r="AO664" i="1"/>
  <c r="AO546" i="1"/>
  <c r="AO367" i="1"/>
  <c r="AO444" i="1"/>
  <c r="AO694" i="1"/>
  <c r="AO907" i="1"/>
  <c r="AO1073" i="1"/>
  <c r="AO716" i="1"/>
  <c r="AO644" i="1"/>
  <c r="AO711" i="1"/>
  <c r="AO57" i="1"/>
  <c r="AO88" i="1"/>
  <c r="AO25" i="1"/>
  <c r="AO595" i="1"/>
  <c r="AO867" i="1"/>
  <c r="AO900" i="1"/>
  <c r="AO696" i="1"/>
  <c r="AO148" i="1"/>
  <c r="AO624" i="1"/>
  <c r="AO654" i="1"/>
  <c r="AO327" i="1"/>
  <c r="AO937" i="1"/>
  <c r="AO777" i="1"/>
  <c r="AO592" i="1"/>
  <c r="AO314" i="1"/>
  <c r="AO579" i="1"/>
  <c r="AO957" i="1"/>
  <c r="AO686" i="1"/>
  <c r="AO955" i="1"/>
  <c r="AO400" i="1"/>
  <c r="AO521" i="1"/>
  <c r="AO798" i="1"/>
  <c r="AO784" i="1"/>
  <c r="AO984" i="1"/>
  <c r="AO242" i="1"/>
  <c r="AO227" i="1"/>
  <c r="AO243" i="1"/>
  <c r="AO739" i="1"/>
  <c r="AO417" i="1"/>
  <c r="AO570" i="1"/>
  <c r="AO701" i="1"/>
  <c r="AO564" i="1"/>
  <c r="AO874" i="1"/>
  <c r="AO807" i="1"/>
  <c r="AO282" i="1"/>
  <c r="AO794" i="1"/>
  <c r="AO1062" i="1"/>
  <c r="AO925" i="1"/>
  <c r="AO2" i="1"/>
  <c r="AO905" i="1"/>
  <c r="AO533" i="1"/>
  <c r="AO9" i="1"/>
  <c r="AO110" i="1"/>
  <c r="AO1082" i="1"/>
  <c r="AO608" i="1"/>
  <c r="AO953" i="1"/>
  <c r="AO519" i="1"/>
  <c r="AO956" i="1"/>
  <c r="AO899" i="1"/>
  <c r="AO566" i="1"/>
  <c r="AO952" i="1"/>
  <c r="AO717" i="1"/>
  <c r="AO24" i="1"/>
  <c r="AO1070" i="1"/>
  <c r="AO837" i="1"/>
  <c r="AO581" i="1"/>
  <c r="AO783" i="1"/>
  <c r="AO1039" i="1"/>
  <c r="AO842" i="1"/>
  <c r="AO1087" i="1"/>
  <c r="AO752" i="1"/>
  <c r="AO101" i="1"/>
  <c r="AO652" i="1"/>
  <c r="AO815" i="1"/>
  <c r="AO1014" i="1"/>
  <c r="AO724" i="1"/>
  <c r="AO387" i="1"/>
  <c r="AO32" i="1"/>
  <c r="AO639" i="1"/>
  <c r="AO425" i="1"/>
  <c r="AO336" i="1"/>
  <c r="AO936" i="1"/>
  <c r="AO413" i="1"/>
  <c r="AO517" i="1"/>
  <c r="AO614" i="1"/>
  <c r="AO722" i="1"/>
  <c r="AO26" i="1"/>
  <c r="AO869" i="1"/>
  <c r="AO640" i="1"/>
  <c r="AO326" i="1"/>
  <c r="AO723" i="1"/>
  <c r="AO761" i="1"/>
  <c r="AO240" i="1"/>
  <c r="AO857" i="1"/>
  <c r="AO1085" i="1"/>
  <c r="AO727" i="1"/>
  <c r="AO781" i="1"/>
  <c r="AO737" i="1"/>
  <c r="AO610" i="1"/>
  <c r="AO515" i="1"/>
  <c r="AO877" i="1"/>
  <c r="AO257" i="1"/>
  <c r="AO709" i="1"/>
  <c r="AO1020" i="1"/>
  <c r="AO391" i="1"/>
  <c r="AO641" i="1"/>
  <c r="AO484" i="1"/>
  <c r="AO753" i="1"/>
  <c r="AO270" i="1"/>
  <c r="AO268" i="1"/>
  <c r="AO883" i="1"/>
  <c r="AO992" i="1"/>
  <c r="AO1002" i="1"/>
  <c r="AO651" i="1"/>
  <c r="AO1052" i="1"/>
  <c r="AO609" i="1"/>
  <c r="AO871" i="1"/>
  <c r="AO726" i="1"/>
  <c r="AO740" i="1"/>
  <c r="AO399" i="1"/>
  <c r="AO406" i="1"/>
  <c r="AO285" i="1"/>
  <c r="AO1001" i="1"/>
  <c r="AO947" i="1"/>
  <c r="AO827" i="1"/>
  <c r="AO1064" i="1"/>
  <c r="AO1069" i="1"/>
  <c r="AO513" i="1"/>
  <c r="AO95" i="1"/>
  <c r="AO346" i="1"/>
  <c r="AO549" i="1"/>
  <c r="AO246" i="1"/>
  <c r="AO561" i="1"/>
  <c r="AO503" i="1"/>
  <c r="AO385" i="1"/>
  <c r="AO782" i="1"/>
  <c r="AO1067" i="1"/>
  <c r="AO343" i="1"/>
  <c r="AO149" i="1"/>
  <c r="AO30" i="1"/>
  <c r="AO488" i="1"/>
  <c r="AO226" i="1"/>
  <c r="AO27" i="1"/>
  <c r="AO1011" i="1"/>
  <c r="AO29" i="1"/>
  <c r="AO994" i="1"/>
  <c r="AO374" i="1"/>
  <c r="AO198" i="1"/>
  <c r="AO618" i="1"/>
  <c r="AO647" i="1"/>
  <c r="AO673" i="1"/>
  <c r="AO1012" i="1"/>
  <c r="AO313" i="1"/>
  <c r="AO832" i="1"/>
  <c r="AO545" i="1"/>
  <c r="AO160" i="1"/>
  <c r="AO646" i="1"/>
  <c r="AO658" i="1"/>
  <c r="AO681" i="1"/>
  <c r="AO477" i="1"/>
  <c r="AO802" i="1"/>
  <c r="AO844" i="1"/>
  <c r="AO255" i="1"/>
  <c r="AO851" i="1"/>
  <c r="AO63" i="1"/>
  <c r="AO743" i="1"/>
  <c r="AO7" i="1"/>
  <c r="AO1004" i="1"/>
  <c r="AO788" i="1"/>
  <c r="AO74" i="1"/>
  <c r="AO847" i="1"/>
  <c r="AO202" i="1"/>
  <c r="AO931" i="1"/>
  <c r="AO360" i="1"/>
  <c r="AO264" i="1"/>
  <c r="AO310" i="1"/>
  <c r="AO810" i="1"/>
  <c r="AO1108" i="1"/>
  <c r="AO225" i="1"/>
  <c r="AO334" i="1"/>
  <c r="AO502" i="1"/>
  <c r="AO274" i="1"/>
  <c r="AO256" i="1"/>
  <c r="AO597" i="1"/>
  <c r="AO115" i="1"/>
  <c r="AO437" i="1"/>
  <c r="AO207" i="1"/>
  <c r="AO846" i="1"/>
  <c r="AO193" i="1"/>
  <c r="AO1079" i="1"/>
  <c r="AO162" i="1"/>
  <c r="AO64" i="1"/>
  <c r="AO189" i="1"/>
  <c r="AO771" i="1"/>
  <c r="AO14" i="1"/>
  <c r="AO155" i="1"/>
  <c r="AO505" i="1"/>
  <c r="AO350" i="1"/>
  <c r="AO415" i="1"/>
  <c r="AO1117" i="1"/>
  <c r="AO75" i="1"/>
  <c r="AO735" i="1"/>
  <c r="AO473" i="1"/>
  <c r="AO1015" i="1"/>
  <c r="AO1083" i="1"/>
  <c r="AO58" i="1"/>
  <c r="AO875" i="1"/>
  <c r="AO358" i="1"/>
  <c r="AO28" i="1"/>
  <c r="AO62" i="1"/>
  <c r="AO560" i="1"/>
  <c r="AO878" i="1"/>
  <c r="AO5" i="1"/>
  <c r="AO520" i="1"/>
  <c r="AO104" i="1"/>
  <c r="AO167" i="1"/>
  <c r="AO930" i="1"/>
  <c r="AO853" i="1"/>
  <c r="AO808" i="1"/>
  <c r="AO725" i="1"/>
  <c r="AO403" i="1"/>
  <c r="AO848" i="1"/>
  <c r="AO813" i="1"/>
  <c r="AO841" i="1"/>
  <c r="AO544" i="1"/>
  <c r="AO299" i="1"/>
  <c r="AO672" i="1"/>
  <c r="AO407" i="1"/>
  <c r="AO791" i="1"/>
  <c r="AO485" i="1"/>
  <c r="AO245" i="1"/>
  <c r="AO451" i="1"/>
  <c r="AO748" i="1"/>
  <c r="AO265" i="1"/>
  <c r="AO645" i="1"/>
  <c r="AO16" i="1"/>
  <c r="AO915" i="1"/>
  <c r="AO368" i="1"/>
  <c r="AO154" i="1"/>
  <c r="AO114" i="1"/>
  <c r="AO376" i="1"/>
  <c r="AO136" i="1"/>
  <c r="AO684" i="1"/>
  <c r="AO372" i="1"/>
  <c r="AO440" i="1"/>
  <c r="AO157" i="1"/>
  <c r="AO250" i="1"/>
  <c r="AO679" i="1"/>
  <c r="AO472" i="1"/>
  <c r="AO216" i="1"/>
  <c r="AO52" i="1"/>
  <c r="AO1111" i="1"/>
  <c r="AO218" i="1"/>
  <c r="AO1034" i="1"/>
  <c r="AO978" i="1"/>
  <c r="AO675" i="1"/>
  <c r="AO303" i="1"/>
  <c r="AO617" i="1"/>
  <c r="AO234" i="1"/>
  <c r="AO829" i="1"/>
  <c r="AO323" i="1"/>
  <c r="AO942" i="1"/>
  <c r="AO960" i="1"/>
  <c r="AO958" i="1"/>
  <c r="AO197" i="1"/>
  <c r="AO792" i="1"/>
  <c r="AO134" i="1"/>
  <c r="AO280" i="1"/>
  <c r="AO605" i="1"/>
  <c r="AO392" i="1"/>
  <c r="AO882" i="1"/>
  <c r="AO59" i="1"/>
  <c r="AO1003" i="1"/>
  <c r="AO1099" i="1"/>
  <c r="AO107" i="1"/>
  <c r="AO1000" i="1"/>
  <c r="AO126" i="1"/>
  <c r="AO677" i="1"/>
  <c r="AO828" i="1"/>
  <c r="AO498" i="1"/>
  <c r="AO499" i="1"/>
  <c r="AO1065" i="1"/>
  <c r="AO665" i="1"/>
  <c r="AO951" i="1"/>
  <c r="AO366" i="1"/>
  <c r="AO876" i="1"/>
  <c r="AO349" i="1"/>
  <c r="AO377" i="1"/>
  <c r="AO796" i="1"/>
  <c r="AO731" i="1"/>
  <c r="AO1091" i="1"/>
  <c r="AO702" i="1"/>
  <c r="AO976" i="1"/>
  <c r="AO356" i="1"/>
  <c r="AO434" i="1"/>
  <c r="AO676" i="1"/>
  <c r="AO39" i="1"/>
  <c r="AO72" i="1"/>
  <c r="AO718" i="1"/>
  <c r="AO738" i="1"/>
  <c r="AO1090" i="1"/>
  <c r="AO879" i="1"/>
  <c r="AO55" i="1"/>
  <c r="AO293" i="1"/>
  <c r="AO90" i="1"/>
  <c r="AO306" i="1"/>
  <c r="AO838" i="1"/>
  <c r="AO986" i="1"/>
  <c r="AO580" i="1"/>
  <c r="AO397" i="1"/>
  <c r="AO849" i="1"/>
  <c r="AO421" i="1"/>
  <c r="AO859" i="1"/>
  <c r="AO44" i="1"/>
  <c r="AO970" i="1"/>
  <c r="AO370" i="1"/>
  <c r="AO182" i="1"/>
  <c r="AO312" i="1"/>
  <c r="AO562" i="1"/>
  <c r="AO76" i="1"/>
  <c r="AO620" i="1"/>
  <c r="AO789" i="1"/>
  <c r="AO478" i="1"/>
  <c r="AO260" i="1"/>
  <c r="AO347" i="1"/>
  <c r="AO699" i="1"/>
  <c r="AO156" i="1"/>
  <c r="AO191" i="1"/>
  <c r="AO831" i="1"/>
  <c r="AO532" i="1"/>
  <c r="AO86" i="1"/>
  <c r="AO801" i="1"/>
  <c r="AO130" i="1"/>
  <c r="AO332" i="1"/>
  <c r="AO746" i="1"/>
  <c r="AO670" i="1"/>
  <c r="AO277" i="1"/>
  <c r="AO812" i="1"/>
  <c r="AO436" i="1"/>
  <c r="AO1050" i="1"/>
  <c r="AO918" i="1"/>
  <c r="AO348" i="1"/>
  <c r="AO47" i="1"/>
  <c r="AO707" i="1"/>
  <c r="AO977" i="1"/>
  <c r="AO911" i="1"/>
  <c r="AO91" i="1"/>
  <c r="AO534" i="1"/>
  <c r="AO706" i="1"/>
  <c r="AO449" i="1"/>
  <c r="AO249" i="1"/>
  <c r="AO251" i="1"/>
  <c r="AO886" i="1"/>
  <c r="AO89" i="1"/>
  <c r="AO365" i="1"/>
  <c r="AO492" i="1"/>
  <c r="AO1107" i="1"/>
  <c r="AO993" i="1"/>
  <c r="AO527" i="1"/>
  <c r="AO351" i="1"/>
  <c r="AO206" i="1"/>
  <c r="AO405" i="1"/>
  <c r="AO92" i="1"/>
  <c r="AO980" i="1"/>
  <c r="AO542" i="1"/>
  <c r="AO698" i="1"/>
  <c r="AO973" i="1"/>
  <c r="AO221" i="1"/>
  <c r="AO217" i="1"/>
  <c r="AO858" i="1"/>
  <c r="AO395" i="1"/>
  <c r="AO435" i="1"/>
  <c r="AO628" i="1"/>
  <c r="AO1088" i="1"/>
  <c r="AO634" i="1"/>
  <c r="AO379" i="1"/>
  <c r="AO396" i="1"/>
  <c r="AO557" i="1"/>
  <c r="AO669" i="1"/>
  <c r="AO555" i="1"/>
  <c r="AO495" i="1"/>
  <c r="AO768" i="1"/>
  <c r="AO700" i="1"/>
  <c r="AO626" i="1"/>
  <c r="AO967" i="1"/>
  <c r="AO241" i="1"/>
  <c r="AO760" i="1"/>
  <c r="AO22" i="1"/>
  <c r="AO818" i="1"/>
  <c r="AO1022" i="1"/>
  <c r="AO461" i="1"/>
  <c r="AO410" i="1"/>
  <c r="AO166" i="1"/>
  <c r="AO600" i="1"/>
  <c r="AO568" i="1"/>
  <c r="AO1021" i="1"/>
  <c r="AO589" i="1"/>
  <c r="AO891" i="1"/>
  <c r="AO962" i="1"/>
  <c r="AO778" i="1"/>
  <c r="AO770" i="1"/>
  <c r="AO458" i="1"/>
  <c r="AO1029" i="1"/>
  <c r="AO416" i="1"/>
  <c r="AO337" i="1"/>
  <c r="AO988" i="1"/>
  <c r="AO507" i="1"/>
  <c r="AO23" i="1"/>
  <c r="AO31" i="1"/>
  <c r="AO547" i="1"/>
  <c r="AO910" i="1"/>
  <c r="AO291" i="1"/>
  <c r="AO944" i="1"/>
  <c r="AO928" i="1"/>
  <c r="AO159" i="1"/>
  <c r="AO635" i="1"/>
  <c r="AO757" i="1"/>
  <c r="AO889" i="1"/>
  <c r="AO667" i="1"/>
  <c r="AO398" i="1"/>
  <c r="AO422" i="1"/>
  <c r="AO447" i="1"/>
  <c r="AO674" i="1"/>
  <c r="AO806" i="1"/>
  <c r="AO683" i="1"/>
  <c r="AO584" i="1"/>
  <c r="AO638" i="1"/>
  <c r="AO666" i="1"/>
  <c r="AO340" i="1"/>
  <c r="AO308" i="1"/>
  <c r="AO862" i="1"/>
  <c r="AO805" i="1"/>
  <c r="AO518" i="1"/>
  <c r="AO1058" i="1"/>
  <c r="AO924" i="1"/>
  <c r="AO20" i="1"/>
  <c r="AO1061" i="1"/>
  <c r="AO1049" i="1"/>
  <c r="AO439" i="1"/>
  <c r="AO455" i="1"/>
  <c r="AO408" i="1"/>
  <c r="AO790" i="1"/>
  <c r="AO1005" i="1"/>
  <c r="AO885" i="1"/>
  <c r="AO868" i="1"/>
  <c r="AO1094" i="1"/>
  <c r="AO467" i="1"/>
  <c r="AO565" i="1"/>
  <c r="AO637" i="1"/>
  <c r="AO631" i="1"/>
  <c r="AO1024" i="1"/>
  <c r="AO228" i="1"/>
  <c r="AO881" i="1"/>
  <c r="AO429" i="1"/>
  <c r="AO1031" i="1"/>
  <c r="AO1027" i="1"/>
  <c r="AO1057" i="1"/>
  <c r="AO1105" i="1"/>
  <c r="AO1103" i="1"/>
  <c r="AO1106" i="1"/>
  <c r="AO1104" i="1"/>
  <c r="AO880" i="1"/>
  <c r="AO762" i="1"/>
  <c r="AO364" i="1"/>
  <c r="AO1028" i="1"/>
  <c r="AO539" i="1"/>
  <c r="AO378" i="1"/>
  <c r="AO94" i="1"/>
  <c r="AO574" i="1"/>
  <c r="AO764" i="1"/>
  <c r="AO1086" i="1"/>
  <c r="AO443" i="1"/>
  <c r="AO386" i="1"/>
  <c r="AO655" i="1"/>
  <c r="AO125" i="1"/>
  <c r="AO69" i="1"/>
  <c r="AO271" i="1"/>
  <c r="AO201" i="1"/>
  <c r="AO650" i="1"/>
  <c r="AO384" i="1"/>
  <c r="AO142" i="1"/>
  <c r="AO118" i="1"/>
  <c r="AO996" i="1"/>
  <c r="AO68" i="1"/>
  <c r="AO1008" i="1"/>
  <c r="AO1046" i="1"/>
  <c r="AO341" i="1"/>
  <c r="AO920" i="1"/>
  <c r="AO258" i="1"/>
  <c r="AO680" i="1"/>
  <c r="AO575" i="1"/>
  <c r="AO687" i="1"/>
  <c r="AO428" i="1"/>
  <c r="AO621" i="1"/>
  <c r="AO279" i="1"/>
  <c r="AO479" i="1"/>
  <c r="AO594" i="1"/>
  <c r="AO616" i="1"/>
  <c r="AO649" i="1"/>
  <c r="AO80" i="1"/>
  <c r="AO319" i="1"/>
  <c r="AO237" i="1"/>
  <c r="AO244" i="1"/>
  <c r="AO409" i="1"/>
  <c r="AO985" i="1"/>
  <c r="AO599" i="1"/>
  <c r="AO586" i="1"/>
  <c r="AO304" i="1"/>
  <c r="AO185" i="1"/>
  <c r="AO229" i="1"/>
  <c r="AO489" i="1"/>
  <c r="AO961" i="1"/>
  <c r="AO1032" i="1"/>
  <c r="AO266" i="1"/>
  <c r="AO466" i="1"/>
  <c r="AO695" i="1"/>
  <c r="AO839" i="1"/>
  <c r="AO822" i="1"/>
  <c r="AO411" i="1"/>
  <c r="AO371" i="1"/>
  <c r="AO424" i="1"/>
  <c r="AO690" i="1"/>
  <c r="AO577" i="1"/>
  <c r="AO607" i="1"/>
  <c r="AO82" i="1"/>
  <c r="AO721" i="1"/>
  <c r="AO526" i="1"/>
  <c r="AO935" i="1"/>
  <c r="AO389" i="1"/>
  <c r="AO481" i="1"/>
  <c r="AO465" i="1"/>
  <c r="AO51" i="1"/>
  <c r="AO65" i="1"/>
  <c r="AO292" i="1"/>
  <c r="AO335" i="1"/>
  <c r="AO147" i="1"/>
  <c r="AO296" i="1"/>
  <c r="AO469" i="1"/>
  <c r="AO1033" i="1"/>
  <c r="AO811" i="1"/>
  <c r="AO728" i="1"/>
  <c r="AO529" i="1"/>
  <c r="AO1023" i="1"/>
  <c r="AO46" i="1"/>
  <c r="AO932" i="1"/>
  <c r="AO750" i="1"/>
  <c r="AO85" i="1"/>
  <c r="AO231" i="1"/>
  <c r="AO11" i="1"/>
  <c r="AO1100" i="1"/>
  <c r="AO420" i="1"/>
  <c r="AO146" i="1"/>
  <c r="AO238" i="1"/>
  <c r="AO1080" i="1"/>
  <c r="AO290" i="1"/>
  <c r="AO1054" i="1"/>
  <c r="AO381" i="1"/>
  <c r="AO632" i="1"/>
  <c r="AO123" i="1"/>
  <c r="AO548" i="1"/>
  <c r="AO194" i="1"/>
  <c r="AO775" i="1"/>
  <c r="AO772" i="1"/>
  <c r="AO493" i="1"/>
  <c r="AO239" i="1"/>
  <c r="AO926" i="1"/>
  <c r="AO733" i="1"/>
  <c r="AO143" i="1"/>
  <c r="AO888" i="1"/>
  <c r="AO103" i="1"/>
  <c r="AO41" i="1"/>
  <c r="AO375" i="1"/>
  <c r="AO826" i="1"/>
  <c r="AO1095" i="1"/>
  <c r="AO497" i="1"/>
  <c r="AO619" i="1"/>
  <c r="AO873" i="1"/>
  <c r="AO713" i="1"/>
  <c r="AO969" i="1"/>
  <c r="AO508" i="1"/>
  <c r="AO219" i="1"/>
  <c r="AO179" i="1"/>
  <c r="AO1007" i="1"/>
  <c r="AO765" i="1"/>
  <c r="AO1025" i="1"/>
  <c r="AO77" i="1"/>
  <c r="AO755" i="1"/>
  <c r="AO84" i="1"/>
  <c r="AO745" i="1"/>
  <c r="AO431" i="1"/>
  <c r="AO273" i="1"/>
  <c r="AO1017" i="1"/>
  <c r="AO445" i="1"/>
  <c r="AO140" i="1"/>
  <c r="AO901" i="1"/>
  <c r="AO442" i="1"/>
  <c r="AO1112" i="1"/>
  <c r="AO56" i="1"/>
  <c r="AO531" i="1"/>
  <c r="AO369" i="1"/>
  <c r="AO749" i="1"/>
  <c r="AO151" i="1"/>
  <c r="AO483" i="1"/>
  <c r="AO262" i="1"/>
  <c r="AO661" i="1"/>
  <c r="AO689" i="1"/>
  <c r="AO861" i="1"/>
  <c r="AO73" i="1"/>
  <c r="AO121" i="1"/>
  <c r="AO432" i="1"/>
  <c r="AO423" i="1"/>
  <c r="AO132" i="1"/>
  <c r="AO550" i="1"/>
  <c r="AO553" i="1"/>
  <c r="AO119" i="1"/>
  <c r="AO773" i="1"/>
  <c r="AO8" i="1"/>
  <c r="AO1078" i="1"/>
  <c r="AO462" i="1"/>
  <c r="AO459" i="1"/>
  <c r="AO98" i="1"/>
  <c r="AO1055" i="1"/>
  <c r="AO33" i="1"/>
  <c r="AO373" i="1"/>
  <c r="AO779" i="1"/>
  <c r="AO922" i="1"/>
  <c r="AO105" i="1"/>
  <c r="AO100" i="1"/>
  <c r="AO152" i="1"/>
  <c r="AO1075" i="1"/>
  <c r="AO693" i="1"/>
  <c r="AO380" i="1"/>
  <c r="AO588" i="1"/>
  <c r="AO128" i="1"/>
  <c r="AO776" i="1"/>
  <c r="AO1056" i="1"/>
  <c r="AO122" i="1"/>
  <c r="AO653" i="1"/>
  <c r="AO1018" i="1"/>
  <c r="AO999" i="1"/>
  <c r="AO1102" i="1"/>
  <c r="AO211" i="1"/>
  <c r="AO106" i="1"/>
  <c r="AO87" i="1"/>
  <c r="AO941" i="1"/>
  <c r="AO662" i="1"/>
  <c r="AO490" i="1"/>
  <c r="AO1059" i="1"/>
  <c r="AO18" i="1"/>
  <c r="AO573" i="1"/>
  <c r="AO450" i="1"/>
  <c r="AO572" i="1"/>
  <c r="AO688" i="1"/>
  <c r="AO990" i="1"/>
  <c r="AO254" i="1"/>
  <c r="AO3" i="1"/>
  <c r="AO787" i="1"/>
  <c r="AO45" i="1"/>
  <c r="AO433" i="1"/>
  <c r="AO474" i="1"/>
  <c r="AO361" i="1"/>
  <c r="AO759" i="1"/>
  <c r="AO817" i="1"/>
  <c r="AO678" i="1"/>
  <c r="AO457" i="1"/>
  <c r="AO38" i="1"/>
  <c r="AO1026" i="1"/>
  <c r="AO210" i="1"/>
  <c r="AO325" i="1"/>
  <c r="AO235" i="1"/>
  <c r="AO1077" i="1"/>
  <c r="AO259" i="1"/>
  <c r="AO1040" i="1"/>
  <c r="AO178" i="1"/>
  <c r="AO165" i="1"/>
  <c r="AO145" i="1"/>
  <c r="AO524" i="1"/>
  <c r="AO528" i="1"/>
  <c r="AO744" i="1"/>
  <c r="AO887" i="1"/>
  <c r="AO892" i="1"/>
  <c r="AO571" i="1"/>
  <c r="AO330" i="1"/>
  <c r="AO401" i="1"/>
  <c r="AO627" i="1"/>
  <c r="AO71" i="1"/>
  <c r="AO657" i="1"/>
  <c r="AO1116" i="1"/>
  <c r="AO785" i="1"/>
  <c r="AO281" i="1"/>
  <c r="AO1093" i="1"/>
  <c r="AO943" i="1"/>
  <c r="AO441" i="1"/>
  <c r="AO780" i="1"/>
  <c r="AO272" i="1"/>
  <c r="AO269" i="1"/>
  <c r="AO814" i="1"/>
  <c r="AO192" i="1"/>
  <c r="AO342" i="1"/>
  <c r="AO453" i="1"/>
  <c r="AO17" i="1"/>
  <c r="AO116" i="1"/>
  <c r="AO150" i="1"/>
  <c r="AO195" i="1"/>
  <c r="AO388" i="1"/>
  <c r="AO248" i="1"/>
  <c r="AO596" i="1"/>
  <c r="AO338" i="1"/>
  <c r="AO855" i="1"/>
  <c r="AO452" i="1"/>
  <c r="AO108" i="1"/>
  <c r="AO1118" i="1"/>
  <c r="AO289" i="1"/>
  <c r="AO1043" i="1"/>
  <c r="AO554" i="1"/>
  <c r="AO917" i="1"/>
  <c r="AO209" i="1"/>
  <c r="AO606" i="1"/>
  <c r="AO982" i="1"/>
  <c r="AO15" i="1"/>
  <c r="AO1047" i="1"/>
  <c r="AO710" i="1"/>
  <c r="AO21" i="1"/>
  <c r="AO300" i="1"/>
  <c r="AO633" i="1"/>
  <c r="AO1081" i="1"/>
  <c r="AO912" i="1"/>
  <c r="AO736" i="1"/>
  <c r="AO402" i="1"/>
  <c r="AO854" i="1"/>
  <c r="AO203" i="1"/>
  <c r="AO989" i="1"/>
  <c r="AO419" i="1"/>
  <c r="AO939" i="1"/>
  <c r="AO301" i="1"/>
  <c r="AO220" i="1"/>
  <c r="AO897" i="1"/>
  <c r="AO742" i="1"/>
  <c r="AO363" i="1"/>
  <c r="AO163" i="1"/>
  <c r="AO180" i="1"/>
  <c r="AO872" i="1"/>
  <c r="AO276" i="1"/>
  <c r="AO938" i="1"/>
  <c r="AO311" i="1"/>
  <c r="AO1053" i="1"/>
  <c r="AO751" i="1"/>
  <c r="AO112" i="1"/>
  <c r="AO576" i="1"/>
  <c r="AO113" i="1"/>
  <c r="AO719" i="1"/>
  <c r="AO97" i="1"/>
  <c r="AO747" i="1"/>
  <c r="AO1115" i="1"/>
  <c r="AO1114" i="1"/>
  <c r="AO78" i="1"/>
  <c r="AO816" i="1"/>
  <c r="AO833" i="1"/>
  <c r="AO981" i="1"/>
  <c r="AO496" i="1"/>
  <c r="AO261" i="1"/>
  <c r="AO767" i="1"/>
  <c r="AO13" i="1"/>
  <c r="AO199" i="1"/>
  <c r="AO230" i="1"/>
  <c r="AO96" i="1"/>
  <c r="AO109" i="1"/>
  <c r="AO232" i="1"/>
  <c r="AO390" i="1"/>
  <c r="AO53" i="1"/>
  <c r="AO494" i="1"/>
  <c r="AO916" i="1"/>
  <c r="AO906" i="1"/>
  <c r="AO35" i="1"/>
  <c r="AO929" i="1"/>
  <c r="AO200" i="1"/>
  <c r="AO691" i="1"/>
  <c r="AO908" i="1"/>
  <c r="AO975" i="1"/>
  <c r="AO252" i="1"/>
  <c r="AO1109" i="1"/>
  <c r="AO1098" i="1"/>
  <c r="AO321" i="1"/>
  <c r="AO324" i="1"/>
  <c r="AO591" i="1"/>
  <c r="AO79" i="1"/>
  <c r="AO582" i="1"/>
  <c r="AO446" i="1"/>
  <c r="AO4" i="1"/>
  <c r="AO902" i="1"/>
  <c r="AO137" i="1"/>
  <c r="AO54" i="1"/>
  <c r="AO601" i="1"/>
  <c r="AO983" i="1"/>
  <c r="AO460" i="1"/>
  <c r="AO1084" i="1"/>
  <c r="AO840" i="1"/>
  <c r="AO898" i="1"/>
  <c r="AO774" i="1"/>
  <c r="AO196" i="1"/>
  <c r="AO233" i="1"/>
  <c r="AO205" i="1"/>
  <c r="AO83" i="1"/>
  <c r="AO427" i="1"/>
  <c r="AO611" i="1"/>
  <c r="AO133" i="1"/>
  <c r="AO500" i="1"/>
  <c r="AO685" i="1"/>
  <c r="AO486" i="1"/>
  <c r="AO315" i="1"/>
  <c r="AO295" i="1"/>
  <c r="AO454" i="1"/>
  <c r="AO963" i="1"/>
  <c r="AO1060" i="1"/>
  <c r="AO61" i="1"/>
  <c r="AO357" i="1"/>
  <c r="AO623" i="1"/>
  <c r="AO333" i="1"/>
  <c r="AO275" i="1"/>
  <c r="AO186" i="1"/>
  <c r="AO697" i="1"/>
  <c r="AO318" i="1"/>
  <c r="AO612" i="1"/>
  <c r="AO404" i="1"/>
  <c r="AO81" i="1"/>
  <c r="AO537" i="1"/>
  <c r="AO172" i="1"/>
  <c r="AO164" i="1"/>
  <c r="AO344" i="1"/>
  <c r="AO362" i="1"/>
  <c r="AO331" i="1"/>
  <c r="AO523" i="1"/>
  <c r="AO278" i="1"/>
  <c r="AO974" i="1"/>
  <c r="AO593" i="1"/>
  <c r="AO247" i="1"/>
  <c r="AO70" i="1"/>
  <c r="AO393" i="1"/>
  <c r="AO212" i="1"/>
  <c r="AO93" i="1"/>
  <c r="AO671" i="1"/>
  <c r="AO204" i="1"/>
  <c r="AO359" i="1"/>
  <c r="AO339" i="1"/>
  <c r="AO613" i="1"/>
  <c r="AO538" i="1"/>
  <c r="AO979" i="1"/>
  <c r="AO756" i="1"/>
  <c r="AO66" i="1"/>
  <c r="AO971" i="1"/>
  <c r="AO567" i="1"/>
  <c r="AO543" i="1"/>
  <c r="AO946" i="1"/>
  <c r="AO763" i="1"/>
  <c r="AO708" i="1"/>
  <c r="AO940" i="1"/>
  <c r="AO622" i="1"/>
  <c r="AO968" i="1"/>
  <c r="AO860" i="1"/>
  <c r="AO1072" i="1"/>
  <c r="AO972" i="1"/>
  <c r="AO730" i="1"/>
  <c r="AO845" i="1"/>
  <c r="AO923" i="1"/>
  <c r="AO692" i="1"/>
  <c r="AO821" i="1"/>
  <c r="AO799" i="1"/>
  <c r="AO643" i="1"/>
  <c r="AO625" i="1"/>
  <c r="AO950" i="1"/>
  <c r="AO1037" i="1"/>
  <c r="AO919" i="1"/>
  <c r="AO1063" i="1"/>
  <c r="AO135" i="1"/>
  <c r="AO850" i="1"/>
  <c r="AO430" i="1"/>
  <c r="AO287" i="1"/>
  <c r="AO536" i="1"/>
  <c r="AO158" i="1"/>
  <c r="AO786" i="1"/>
  <c r="AO307" i="1"/>
  <c r="AO552" i="1"/>
  <c r="AO556" i="1"/>
  <c r="AO630" i="1"/>
  <c r="AO169" i="1"/>
  <c r="AO1013" i="1"/>
  <c r="AO43" i="1"/>
  <c r="AO129" i="1"/>
  <c r="AO511" i="1"/>
  <c r="AG692" i="1" l="1"/>
  <c r="AG821" i="1"/>
  <c r="AG799" i="1"/>
  <c r="AG643" i="1"/>
  <c r="AG625" i="1"/>
  <c r="AG950" i="1"/>
  <c r="AG1037" i="1"/>
  <c r="AG919" i="1"/>
  <c r="AG1063" i="1"/>
  <c r="AG135" i="1"/>
  <c r="AG850" i="1"/>
  <c r="AG430" i="1"/>
  <c r="AG287" i="1"/>
  <c r="AG536" i="1"/>
  <c r="AG158" i="1"/>
  <c r="AG786" i="1"/>
  <c r="AG307" i="1"/>
  <c r="AG552" i="1"/>
  <c r="AG556" i="1"/>
  <c r="AG630" i="1"/>
  <c r="AG169" i="1"/>
  <c r="AG1013" i="1"/>
  <c r="AG43" i="1"/>
  <c r="AG129" i="1"/>
  <c r="R511" i="1"/>
  <c r="S511" i="1"/>
  <c r="K511" i="1"/>
  <c r="L511" i="1"/>
  <c r="N511" i="1"/>
  <c r="AF511" i="1"/>
  <c r="AQ511" i="1"/>
  <c r="L890" i="1" l="1"/>
  <c r="L865" i="1"/>
  <c r="L181" i="1"/>
  <c r="L317" i="1"/>
  <c r="L283" i="1"/>
  <c r="N890" i="1"/>
  <c r="N865" i="1"/>
  <c r="N181" i="1"/>
  <c r="N317" i="1"/>
  <c r="N283" i="1"/>
  <c r="N322" i="1"/>
  <c r="N732" i="1"/>
  <c r="N40" i="1"/>
  <c r="N824" i="1"/>
  <c r="N514" i="1"/>
  <c r="N1010" i="1"/>
  <c r="N896" i="1"/>
  <c r="N835" i="1"/>
  <c r="N668" i="1"/>
  <c r="N800" i="1"/>
  <c r="N183" i="1"/>
  <c r="N714" i="1"/>
  <c r="N809" i="1"/>
  <c r="N223" i="1"/>
  <c r="N506" i="1"/>
  <c r="N934" i="1"/>
  <c r="N286" i="1"/>
  <c r="N535" i="1"/>
  <c r="N1048" i="1"/>
  <c r="N578" i="1"/>
  <c r="N253" i="1"/>
  <c r="N998" i="1"/>
  <c r="N836" i="1"/>
  <c r="N516" i="1"/>
  <c r="N138" i="1"/>
  <c r="N475" i="1"/>
  <c r="N663" i="1"/>
  <c r="N569" i="1"/>
  <c r="N834" i="1"/>
  <c r="N587" i="1"/>
  <c r="N895" i="1"/>
  <c r="N949" i="1"/>
  <c r="N741" i="1"/>
  <c r="N1066" i="1"/>
  <c r="N769" i="1"/>
  <c r="N1092" i="1"/>
  <c r="N504" i="1"/>
  <c r="N1036" i="1"/>
  <c r="N660" i="1"/>
  <c r="N585" i="1"/>
  <c r="N863" i="1"/>
  <c r="N1006" i="1"/>
  <c r="N352" i="1"/>
  <c r="N864" i="1"/>
  <c r="N642" i="1"/>
  <c r="N34" i="1"/>
  <c r="N927" i="1"/>
  <c r="N856" i="1"/>
  <c r="N501" i="1"/>
  <c r="N224" i="1"/>
  <c r="N153" i="1"/>
  <c r="N174" i="1"/>
  <c r="N476" i="1"/>
  <c r="N563" i="1"/>
  <c r="N823" i="1"/>
  <c r="N830" i="1"/>
  <c r="N284" i="1"/>
  <c r="N480" i="1"/>
  <c r="N320" i="1"/>
  <c r="N19" i="1"/>
  <c r="N354" i="1"/>
  <c r="N795" i="1"/>
  <c r="N426" i="1"/>
  <c r="N144" i="1"/>
  <c r="N959" i="1"/>
  <c r="N491" i="1"/>
  <c r="N120" i="1"/>
  <c r="N168" i="1"/>
  <c r="N394" i="1"/>
  <c r="N729" i="1"/>
  <c r="N1019" i="1"/>
  <c r="N995" i="1"/>
  <c r="N412" i="1"/>
  <c r="N1068" i="1"/>
  <c r="N945" i="1"/>
  <c r="N820" i="1"/>
  <c r="N1041" i="1"/>
  <c r="N648" i="1"/>
  <c r="N754" i="1"/>
  <c r="N615" i="1"/>
  <c r="N117" i="1"/>
  <c r="N758" i="1"/>
  <c r="N997" i="1"/>
  <c r="N294" i="1"/>
  <c r="N720" i="1"/>
  <c r="N583" i="1"/>
  <c r="N124" i="1"/>
  <c r="N190" i="1"/>
  <c r="N1009" i="1"/>
  <c r="N866" i="1"/>
  <c r="N894" i="1"/>
  <c r="N1076" i="1"/>
  <c r="N1030" i="1"/>
  <c r="N382" i="1"/>
  <c r="N604" i="1"/>
  <c r="N636" i="1"/>
  <c r="N316" i="1"/>
  <c r="N884" i="1"/>
  <c r="N297" i="1"/>
  <c r="N870" i="1"/>
  <c r="N914" i="1"/>
  <c r="N111" i="1"/>
  <c r="N67" i="1"/>
  <c r="N909" i="1"/>
  <c r="N991" i="1"/>
  <c r="N948" i="1"/>
  <c r="N464" i="1"/>
  <c r="N913" i="1"/>
  <c r="N131" i="1"/>
  <c r="N1074" i="1"/>
  <c r="N819" i="1"/>
  <c r="N1071" i="1"/>
  <c r="N682" i="1"/>
  <c r="N1042" i="1"/>
  <c r="N933" i="1"/>
  <c r="N598" i="1"/>
  <c r="N267" i="1"/>
  <c r="N843" i="1"/>
  <c r="N602" i="1"/>
  <c r="N954" i="1"/>
  <c r="N1038" i="1"/>
  <c r="N793" i="1"/>
  <c r="N263" i="1"/>
  <c r="N329" i="1"/>
  <c r="N712" i="1"/>
  <c r="N208" i="1"/>
  <c r="N102" i="1"/>
  <c r="N50" i="1"/>
  <c r="N664" i="1"/>
  <c r="N546" i="1"/>
  <c r="N367" i="1"/>
  <c r="N444" i="1"/>
  <c r="N694" i="1"/>
  <c r="N907" i="1"/>
  <c r="N1073" i="1"/>
  <c r="N716" i="1"/>
  <c r="N644" i="1"/>
  <c r="N711" i="1"/>
  <c r="N57" i="1"/>
  <c r="N88" i="1"/>
  <c r="N25" i="1"/>
  <c r="N595" i="1"/>
  <c r="N867" i="1"/>
  <c r="N900" i="1"/>
  <c r="N696" i="1"/>
  <c r="N148" i="1"/>
  <c r="N624" i="1"/>
  <c r="N654" i="1"/>
  <c r="N327" i="1"/>
  <c r="N937" i="1"/>
  <c r="N777" i="1"/>
  <c r="N592" i="1"/>
  <c r="N314" i="1"/>
  <c r="N579" i="1"/>
  <c r="N957" i="1"/>
  <c r="N686" i="1"/>
  <c r="N955" i="1"/>
  <c r="N400" i="1"/>
  <c r="N521" i="1"/>
  <c r="N798" i="1"/>
  <c r="N784" i="1"/>
  <c r="N984" i="1"/>
  <c r="N242" i="1"/>
  <c r="N227" i="1"/>
  <c r="N243" i="1"/>
  <c r="N739" i="1"/>
  <c r="N417" i="1"/>
  <c r="N570" i="1"/>
  <c r="N701" i="1"/>
  <c r="N564" i="1"/>
  <c r="N874" i="1"/>
  <c r="N807" i="1"/>
  <c r="N282" i="1"/>
  <c r="N794" i="1"/>
  <c r="N1062" i="1"/>
  <c r="N925" i="1"/>
  <c r="N2" i="1"/>
  <c r="N905" i="1"/>
  <c r="N533" i="1"/>
  <c r="N9" i="1"/>
  <c r="N110" i="1"/>
  <c r="N1082" i="1"/>
  <c r="N608" i="1"/>
  <c r="N953" i="1"/>
  <c r="N519" i="1"/>
  <c r="N956" i="1"/>
  <c r="N899" i="1"/>
  <c r="N566" i="1"/>
  <c r="N952" i="1"/>
  <c r="N717" i="1"/>
  <c r="N24" i="1"/>
  <c r="N1070" i="1"/>
  <c r="N837" i="1"/>
  <c r="N581" i="1"/>
  <c r="N783" i="1"/>
  <c r="N1039" i="1"/>
  <c r="N842" i="1"/>
  <c r="N1087" i="1"/>
  <c r="N752" i="1"/>
  <c r="N101" i="1"/>
  <c r="N652" i="1"/>
  <c r="N815" i="1"/>
  <c r="N1014" i="1"/>
  <c r="N724" i="1"/>
  <c r="N387" i="1"/>
  <c r="N32" i="1"/>
  <c r="N639" i="1"/>
  <c r="N425" i="1"/>
  <c r="N336" i="1"/>
  <c r="N936" i="1"/>
  <c r="N413" i="1"/>
  <c r="N517" i="1"/>
  <c r="N614" i="1"/>
  <c r="N722" i="1"/>
  <c r="N26" i="1"/>
  <c r="N869" i="1"/>
  <c r="N640" i="1"/>
  <c r="N326" i="1"/>
  <c r="N723" i="1"/>
  <c r="N761" i="1"/>
  <c r="N240" i="1"/>
  <c r="N857" i="1"/>
  <c r="N1085" i="1"/>
  <c r="N727" i="1"/>
  <c r="N781" i="1"/>
  <c r="N737" i="1"/>
  <c r="N610" i="1"/>
  <c r="N515" i="1"/>
  <c r="N877" i="1"/>
  <c r="N257" i="1"/>
  <c r="N709" i="1"/>
  <c r="N1020" i="1"/>
  <c r="N391" i="1"/>
  <c r="N641" i="1"/>
  <c r="N484" i="1"/>
  <c r="N753" i="1"/>
  <c r="N270" i="1"/>
  <c r="N268" i="1"/>
  <c r="N883" i="1"/>
  <c r="N992" i="1"/>
  <c r="N1002" i="1"/>
  <c r="N651" i="1"/>
  <c r="N1052" i="1"/>
  <c r="N609" i="1"/>
  <c r="N871" i="1"/>
  <c r="N726" i="1"/>
  <c r="N740" i="1"/>
  <c r="N399" i="1"/>
  <c r="N406" i="1"/>
  <c r="N285" i="1"/>
  <c r="N1001" i="1"/>
  <c r="N947" i="1"/>
  <c r="N827" i="1"/>
  <c r="N1064" i="1"/>
  <c r="N1069" i="1"/>
  <c r="N513" i="1"/>
  <c r="N95" i="1"/>
  <c r="N346" i="1"/>
  <c r="N549" i="1"/>
  <c r="N246" i="1"/>
  <c r="N561" i="1"/>
  <c r="N503" i="1"/>
  <c r="N385" i="1"/>
  <c r="N782" i="1"/>
  <c r="N1067" i="1"/>
  <c r="N343" i="1"/>
  <c r="N149" i="1"/>
  <c r="N30" i="1"/>
  <c r="N488" i="1"/>
  <c r="N226" i="1"/>
  <c r="N27" i="1"/>
  <c r="N1011" i="1"/>
  <c r="N29" i="1"/>
  <c r="N994" i="1"/>
  <c r="N374" i="1"/>
  <c r="N198" i="1"/>
  <c r="N618" i="1"/>
  <c r="N647" i="1"/>
  <c r="N673" i="1"/>
  <c r="N1012" i="1"/>
  <c r="N313" i="1"/>
  <c r="N832" i="1"/>
  <c r="N545" i="1"/>
  <c r="N160" i="1"/>
  <c r="N646" i="1"/>
  <c r="N658" i="1"/>
  <c r="N681" i="1"/>
  <c r="N477" i="1"/>
  <c r="N802" i="1"/>
  <c r="N844" i="1"/>
  <c r="N255" i="1"/>
  <c r="N851" i="1"/>
  <c r="N63" i="1"/>
  <c r="N743" i="1"/>
  <c r="N7" i="1"/>
  <c r="N1004" i="1"/>
  <c r="N788" i="1"/>
  <c r="N74" i="1"/>
  <c r="N847" i="1"/>
  <c r="N202" i="1"/>
  <c r="N931" i="1"/>
  <c r="N360" i="1"/>
  <c r="N264" i="1"/>
  <c r="N310" i="1"/>
  <c r="N810" i="1"/>
  <c r="N1108" i="1"/>
  <c r="N225" i="1"/>
  <c r="N334" i="1"/>
  <c r="N502" i="1"/>
  <c r="N274" i="1"/>
  <c r="N256" i="1"/>
  <c r="N597" i="1"/>
  <c r="N115" i="1"/>
  <c r="N437" i="1"/>
  <c r="N207" i="1"/>
  <c r="N846" i="1"/>
  <c r="N193" i="1"/>
  <c r="N1079" i="1"/>
  <c r="N162" i="1"/>
  <c r="N64" i="1"/>
  <c r="N189" i="1"/>
  <c r="N771" i="1"/>
  <c r="N14" i="1"/>
  <c r="N155" i="1"/>
  <c r="N505" i="1"/>
  <c r="N350" i="1"/>
  <c r="N415" i="1"/>
  <c r="N1117" i="1"/>
  <c r="N75" i="1"/>
  <c r="N735" i="1"/>
  <c r="N473" i="1"/>
  <c r="N1015" i="1"/>
  <c r="N1083" i="1"/>
  <c r="N58" i="1"/>
  <c r="N875" i="1"/>
  <c r="N358" i="1"/>
  <c r="N28" i="1"/>
  <c r="N62" i="1"/>
  <c r="N560" i="1"/>
  <c r="N878" i="1"/>
  <c r="N5" i="1"/>
  <c r="N520" i="1"/>
  <c r="N104" i="1"/>
  <c r="N167" i="1"/>
  <c r="N930" i="1"/>
  <c r="N853" i="1"/>
  <c r="N808" i="1"/>
  <c r="N725" i="1"/>
  <c r="N403" i="1"/>
  <c r="N848" i="1"/>
  <c r="N813" i="1"/>
  <c r="N841" i="1"/>
  <c r="N544" i="1"/>
  <c r="N299" i="1"/>
  <c r="N672" i="1"/>
  <c r="N407" i="1"/>
  <c r="N791" i="1"/>
  <c r="N485" i="1"/>
  <c r="N245" i="1"/>
  <c r="N451" i="1"/>
  <c r="N748" i="1"/>
  <c r="N265" i="1"/>
  <c r="N645" i="1"/>
  <c r="N16" i="1"/>
  <c r="N915" i="1"/>
  <c r="N368" i="1"/>
  <c r="N154" i="1"/>
  <c r="N114" i="1"/>
  <c r="N376" i="1"/>
  <c r="N136" i="1"/>
  <c r="N684" i="1"/>
  <c r="N372" i="1"/>
  <c r="N440" i="1"/>
  <c r="N157" i="1"/>
  <c r="N250" i="1"/>
  <c r="N679" i="1"/>
  <c r="N472" i="1"/>
  <c r="N216" i="1"/>
  <c r="N52" i="1"/>
  <c r="N1111" i="1"/>
  <c r="N218" i="1"/>
  <c r="N1034" i="1"/>
  <c r="N978" i="1"/>
  <c r="N675" i="1"/>
  <c r="N303" i="1"/>
  <c r="N617" i="1"/>
  <c r="N234" i="1"/>
  <c r="N829" i="1"/>
  <c r="N323" i="1"/>
  <c r="N942" i="1"/>
  <c r="N960" i="1"/>
  <c r="N958" i="1"/>
  <c r="N197" i="1"/>
  <c r="N792" i="1"/>
  <c r="N134" i="1"/>
  <c r="N280" i="1"/>
  <c r="N605" i="1"/>
  <c r="N392" i="1"/>
  <c r="N882" i="1"/>
  <c r="N59" i="1"/>
  <c r="N1003" i="1"/>
  <c r="N1099" i="1"/>
  <c r="N107" i="1"/>
  <c r="N1000" i="1"/>
  <c r="N126" i="1"/>
  <c r="N677" i="1"/>
  <c r="N828" i="1"/>
  <c r="N498" i="1"/>
  <c r="N499" i="1"/>
  <c r="N1065" i="1"/>
  <c r="N665" i="1"/>
  <c r="N951" i="1"/>
  <c r="N366" i="1"/>
  <c r="N876" i="1"/>
  <c r="N349" i="1"/>
  <c r="N377" i="1"/>
  <c r="N796" i="1"/>
  <c r="N731" i="1"/>
  <c r="N1091" i="1"/>
  <c r="N702" i="1"/>
  <c r="N976" i="1"/>
  <c r="N356" i="1"/>
  <c r="N434" i="1"/>
  <c r="N676" i="1"/>
  <c r="N39" i="1"/>
  <c r="N72" i="1"/>
  <c r="N718" i="1"/>
  <c r="N738" i="1"/>
  <c r="N1090" i="1"/>
  <c r="N879" i="1"/>
  <c r="N55" i="1"/>
  <c r="N293" i="1"/>
  <c r="N90" i="1"/>
  <c r="N306" i="1"/>
  <c r="N838" i="1"/>
  <c r="N986" i="1"/>
  <c r="N580" i="1"/>
  <c r="N397" i="1"/>
  <c r="N849" i="1"/>
  <c r="N421" i="1"/>
  <c r="N859" i="1"/>
  <c r="N44" i="1"/>
  <c r="N970" i="1"/>
  <c r="N370" i="1"/>
  <c r="N182" i="1"/>
  <c r="N312" i="1"/>
  <c r="N562" i="1"/>
  <c r="N76" i="1"/>
  <c r="N620" i="1"/>
  <c r="N789" i="1"/>
  <c r="N478" i="1"/>
  <c r="N260" i="1"/>
  <c r="N347" i="1"/>
  <c r="N699" i="1"/>
  <c r="N156" i="1"/>
  <c r="N191" i="1"/>
  <c r="N831" i="1"/>
  <c r="N532" i="1"/>
  <c r="N86" i="1"/>
  <c r="N801" i="1"/>
  <c r="N130" i="1"/>
  <c r="N332" i="1"/>
  <c r="N746" i="1"/>
  <c r="N670" i="1"/>
  <c r="N277" i="1"/>
  <c r="N812" i="1"/>
  <c r="N436" i="1"/>
  <c r="N1050" i="1"/>
  <c r="N918" i="1"/>
  <c r="N348" i="1"/>
  <c r="N47" i="1"/>
  <c r="N707" i="1"/>
  <c r="N977" i="1"/>
  <c r="N911" i="1"/>
  <c r="N91" i="1"/>
  <c r="N534" i="1"/>
  <c r="N706" i="1"/>
  <c r="N449" i="1"/>
  <c r="N249" i="1"/>
  <c r="N251" i="1"/>
  <c r="N886" i="1"/>
  <c r="N89" i="1"/>
  <c r="N365" i="1"/>
  <c r="N492" i="1"/>
  <c r="N1107" i="1"/>
  <c r="N993" i="1"/>
  <c r="N527" i="1"/>
  <c r="N351" i="1"/>
  <c r="N206" i="1"/>
  <c r="N405" i="1"/>
  <c r="N92" i="1"/>
  <c r="N980" i="1"/>
  <c r="N542" i="1"/>
  <c r="N698" i="1"/>
  <c r="N973" i="1"/>
  <c r="N221" i="1"/>
  <c r="N217" i="1"/>
  <c r="N858" i="1"/>
  <c r="N395" i="1"/>
  <c r="N435" i="1"/>
  <c r="N628" i="1"/>
  <c r="N1088" i="1"/>
  <c r="N634" i="1"/>
  <c r="N379" i="1"/>
  <c r="N396" i="1"/>
  <c r="N557" i="1"/>
  <c r="N669" i="1"/>
  <c r="N555" i="1"/>
  <c r="N495" i="1"/>
  <c r="N768" i="1"/>
  <c r="N700" i="1"/>
  <c r="N626" i="1"/>
  <c r="N967" i="1"/>
  <c r="N241" i="1"/>
  <c r="N760" i="1"/>
  <c r="N22" i="1"/>
  <c r="N818" i="1"/>
  <c r="N1022" i="1"/>
  <c r="N461" i="1"/>
  <c r="N410" i="1"/>
  <c r="N166" i="1"/>
  <c r="N600" i="1"/>
  <c r="N568" i="1"/>
  <c r="N1021" i="1"/>
  <c r="N589" i="1"/>
  <c r="N891" i="1"/>
  <c r="N962" i="1"/>
  <c r="N778" i="1"/>
  <c r="N770" i="1"/>
  <c r="N458" i="1"/>
  <c r="N1029" i="1"/>
  <c r="N416" i="1"/>
  <c r="N337" i="1"/>
  <c r="N988" i="1"/>
  <c r="N507" i="1"/>
  <c r="N23" i="1"/>
  <c r="N31" i="1"/>
  <c r="N547" i="1"/>
  <c r="N910" i="1"/>
  <c r="N291" i="1"/>
  <c r="N944" i="1"/>
  <c r="N928" i="1"/>
  <c r="N159" i="1"/>
  <c r="N635" i="1"/>
  <c r="N757" i="1"/>
  <c r="N889" i="1"/>
  <c r="N667" i="1"/>
  <c r="N398" i="1"/>
  <c r="N422" i="1"/>
  <c r="N447" i="1"/>
  <c r="N674" i="1"/>
  <c r="N806" i="1"/>
  <c r="N683" i="1"/>
  <c r="N584" i="1"/>
  <c r="N638" i="1"/>
  <c r="N666" i="1"/>
  <c r="N340" i="1"/>
  <c r="N308" i="1"/>
  <c r="N862" i="1"/>
  <c r="N805" i="1"/>
  <c r="N518" i="1"/>
  <c r="N1058" i="1"/>
  <c r="N924" i="1"/>
  <c r="N20" i="1"/>
  <c r="N1061" i="1"/>
  <c r="N1049" i="1"/>
  <c r="N439" i="1"/>
  <c r="N455" i="1"/>
  <c r="N408" i="1"/>
  <c r="N790" i="1"/>
  <c r="N1005" i="1"/>
  <c r="N885" i="1"/>
  <c r="N868" i="1"/>
  <c r="N1094" i="1"/>
  <c r="N467" i="1"/>
  <c r="N565" i="1"/>
  <c r="N637" i="1"/>
  <c r="N631" i="1"/>
  <c r="N1024" i="1"/>
  <c r="N228" i="1"/>
  <c r="N881" i="1"/>
  <c r="N429" i="1"/>
  <c r="N1031" i="1"/>
  <c r="N1027" i="1"/>
  <c r="N1057" i="1"/>
  <c r="N1105" i="1"/>
  <c r="N1103" i="1"/>
  <c r="N1106" i="1"/>
  <c r="N1104" i="1"/>
  <c r="N880" i="1"/>
  <c r="N762" i="1"/>
  <c r="N364" i="1"/>
  <c r="N1028" i="1"/>
  <c r="N539" i="1"/>
  <c r="N378" i="1"/>
  <c r="N94" i="1"/>
  <c r="N574" i="1"/>
  <c r="N764" i="1"/>
  <c r="N1086" i="1"/>
  <c r="N443" i="1"/>
  <c r="N386" i="1"/>
  <c r="N655" i="1"/>
  <c r="N125" i="1"/>
  <c r="N69" i="1"/>
  <c r="N271" i="1"/>
  <c r="N201" i="1"/>
  <c r="N650" i="1"/>
  <c r="N384" i="1"/>
  <c r="N142" i="1"/>
  <c r="N118" i="1"/>
  <c r="N996" i="1"/>
  <c r="N68" i="1"/>
  <c r="N1008" i="1"/>
  <c r="N1046" i="1"/>
  <c r="N341" i="1"/>
  <c r="N920" i="1"/>
  <c r="N258" i="1"/>
  <c r="N680" i="1"/>
  <c r="N575" i="1"/>
  <c r="N687" i="1"/>
  <c r="N428" i="1"/>
  <c r="N621" i="1"/>
  <c r="N279" i="1"/>
  <c r="N479" i="1"/>
  <c r="N594" i="1"/>
  <c r="N616" i="1"/>
  <c r="N649" i="1"/>
  <c r="N80" i="1"/>
  <c r="N319" i="1"/>
  <c r="N237" i="1"/>
  <c r="N244" i="1"/>
  <c r="N409" i="1"/>
  <c r="N985" i="1"/>
  <c r="N599" i="1"/>
  <c r="N586" i="1"/>
  <c r="N304" i="1"/>
  <c r="N185" i="1"/>
  <c r="N229" i="1"/>
  <c r="N489" i="1"/>
  <c r="N961" i="1"/>
  <c r="N1032" i="1"/>
  <c r="N266" i="1"/>
  <c r="N466" i="1"/>
  <c r="N695" i="1"/>
  <c r="N839" i="1"/>
  <c r="N822" i="1"/>
  <c r="N411" i="1"/>
  <c r="N371" i="1"/>
  <c r="N424" i="1"/>
  <c r="N690" i="1"/>
  <c r="N577" i="1"/>
  <c r="N607" i="1"/>
  <c r="N82" i="1"/>
  <c r="N721" i="1"/>
  <c r="N526" i="1"/>
  <c r="N935" i="1"/>
  <c r="N389" i="1"/>
  <c r="N481" i="1"/>
  <c r="N465" i="1"/>
  <c r="N51" i="1"/>
  <c r="N65" i="1"/>
  <c r="N292" i="1"/>
  <c r="N335" i="1"/>
  <c r="N147" i="1"/>
  <c r="N296" i="1"/>
  <c r="N469" i="1"/>
  <c r="N1033" i="1"/>
  <c r="N811" i="1"/>
  <c r="N728" i="1"/>
  <c r="N529" i="1"/>
  <c r="N1023" i="1"/>
  <c r="N46" i="1"/>
  <c r="N932" i="1"/>
  <c r="N750" i="1"/>
  <c r="N85" i="1"/>
  <c r="N231" i="1"/>
  <c r="N11" i="1"/>
  <c r="N1100" i="1"/>
  <c r="N420" i="1"/>
  <c r="N146" i="1"/>
  <c r="N238" i="1"/>
  <c r="N1080" i="1"/>
  <c r="N290" i="1"/>
  <c r="N1054" i="1"/>
  <c r="N381" i="1"/>
  <c r="N632" i="1"/>
  <c r="N123" i="1"/>
  <c r="N548" i="1"/>
  <c r="N194" i="1"/>
  <c r="N775" i="1"/>
  <c r="N772" i="1"/>
  <c r="N493" i="1"/>
  <c r="N239" i="1"/>
  <c r="N926" i="1"/>
  <c r="N733" i="1"/>
  <c r="N143" i="1"/>
  <c r="N888" i="1"/>
  <c r="N103" i="1"/>
  <c r="N41" i="1"/>
  <c r="N375" i="1"/>
  <c r="N826" i="1"/>
  <c r="N1095" i="1"/>
  <c r="N497" i="1"/>
  <c r="N619" i="1"/>
  <c r="N873" i="1"/>
  <c r="N713" i="1"/>
  <c r="N969" i="1"/>
  <c r="N508" i="1"/>
  <c r="N219" i="1"/>
  <c r="N179" i="1"/>
  <c r="N1007" i="1"/>
  <c r="N765" i="1"/>
  <c r="N1025" i="1"/>
  <c r="N77" i="1"/>
  <c r="N755" i="1"/>
  <c r="N84" i="1"/>
  <c r="N745" i="1"/>
  <c r="N431" i="1"/>
  <c r="N273" i="1"/>
  <c r="N1017" i="1"/>
  <c r="N445" i="1"/>
  <c r="N140" i="1"/>
  <c r="N901" i="1"/>
  <c r="N442" i="1"/>
  <c r="N1112" i="1"/>
  <c r="N56" i="1"/>
  <c r="N531" i="1"/>
  <c r="N369" i="1"/>
  <c r="N749" i="1"/>
  <c r="N151" i="1"/>
  <c r="N483" i="1"/>
  <c r="N262" i="1"/>
  <c r="N661" i="1"/>
  <c r="N689" i="1"/>
  <c r="N861" i="1"/>
  <c r="N73" i="1"/>
  <c r="N121" i="1"/>
  <c r="N432" i="1"/>
  <c r="N423" i="1"/>
  <c r="N132" i="1"/>
  <c r="N550" i="1"/>
  <c r="N553" i="1"/>
  <c r="N119" i="1"/>
  <c r="N773" i="1"/>
  <c r="N8" i="1"/>
  <c r="N1078" i="1"/>
  <c r="N462" i="1"/>
  <c r="N459" i="1"/>
  <c r="N98" i="1"/>
  <c r="N1055" i="1"/>
  <c r="N33" i="1"/>
  <c r="N373" i="1"/>
  <c r="N779" i="1"/>
  <c r="N922" i="1"/>
  <c r="N105" i="1"/>
  <c r="N100" i="1"/>
  <c r="N152" i="1"/>
  <c r="N1075" i="1"/>
  <c r="N693" i="1"/>
  <c r="N380" i="1"/>
  <c r="N588" i="1"/>
  <c r="N128" i="1"/>
  <c r="N776" i="1"/>
  <c r="N1056" i="1"/>
  <c r="N122" i="1"/>
  <c r="N653" i="1"/>
  <c r="N1018" i="1"/>
  <c r="N999" i="1"/>
  <c r="N1102" i="1"/>
  <c r="N211" i="1"/>
  <c r="N106" i="1"/>
  <c r="N87" i="1"/>
  <c r="N941" i="1"/>
  <c r="N662" i="1"/>
  <c r="N490" i="1"/>
  <c r="N1059" i="1"/>
  <c r="N18" i="1"/>
  <c r="N573" i="1"/>
  <c r="N450" i="1"/>
  <c r="N572" i="1"/>
  <c r="N688" i="1"/>
  <c r="N990" i="1"/>
  <c r="N254" i="1"/>
  <c r="N3" i="1"/>
  <c r="N787" i="1"/>
  <c r="N45" i="1"/>
  <c r="N433" i="1"/>
  <c r="N474" i="1"/>
  <c r="N361" i="1"/>
  <c r="N759" i="1"/>
  <c r="N817" i="1"/>
  <c r="N678" i="1"/>
  <c r="N457" i="1"/>
  <c r="N38" i="1"/>
  <c r="N1026" i="1"/>
  <c r="N210" i="1"/>
  <c r="N325" i="1"/>
  <c r="N235" i="1"/>
  <c r="N1077" i="1"/>
  <c r="N259" i="1"/>
  <c r="N1040" i="1"/>
  <c r="N178" i="1"/>
  <c r="N165" i="1"/>
  <c r="N145" i="1"/>
  <c r="N524" i="1"/>
  <c r="N528" i="1"/>
  <c r="N744" i="1"/>
  <c r="N887" i="1"/>
  <c r="N892" i="1"/>
  <c r="N571" i="1"/>
  <c r="N330" i="1"/>
  <c r="N401" i="1"/>
  <c r="N627" i="1"/>
  <c r="N71" i="1"/>
  <c r="N657" i="1"/>
  <c r="N1116" i="1"/>
  <c r="N785" i="1"/>
  <c r="N281" i="1"/>
  <c r="N1093" i="1"/>
  <c r="N943" i="1"/>
  <c r="N441" i="1"/>
  <c r="N780" i="1"/>
  <c r="N272" i="1"/>
  <c r="N269" i="1"/>
  <c r="N814" i="1"/>
  <c r="N192" i="1"/>
  <c r="N342" i="1"/>
  <c r="N453" i="1"/>
  <c r="N17" i="1"/>
  <c r="N116" i="1"/>
  <c r="N150" i="1"/>
  <c r="N195" i="1"/>
  <c r="N388" i="1"/>
  <c r="N248" i="1"/>
  <c r="N596" i="1"/>
  <c r="N338" i="1"/>
  <c r="N855" i="1"/>
  <c r="N452" i="1"/>
  <c r="N108" i="1"/>
  <c r="N1118" i="1"/>
  <c r="N289" i="1"/>
  <c r="N1043" i="1"/>
  <c r="N554" i="1"/>
  <c r="N917" i="1"/>
  <c r="N209" i="1"/>
  <c r="N606" i="1"/>
  <c r="N982" i="1"/>
  <c r="N15" i="1"/>
  <c r="N1047" i="1"/>
  <c r="N710" i="1"/>
  <c r="N21" i="1"/>
  <c r="N300" i="1"/>
  <c r="N633" i="1"/>
  <c r="N1081" i="1"/>
  <c r="N912" i="1"/>
  <c r="N736" i="1"/>
  <c r="N402" i="1"/>
  <c r="N854" i="1"/>
  <c r="N203" i="1"/>
  <c r="N989" i="1"/>
  <c r="N419" i="1"/>
  <c r="N939" i="1"/>
  <c r="N301" i="1"/>
  <c r="N220" i="1"/>
  <c r="N897" i="1"/>
  <c r="N742" i="1"/>
  <c r="N363" i="1"/>
  <c r="N163" i="1"/>
  <c r="N180" i="1"/>
  <c r="N872" i="1"/>
  <c r="N276" i="1"/>
  <c r="N938" i="1"/>
  <c r="N311" i="1"/>
  <c r="N1053" i="1"/>
  <c r="N751" i="1"/>
  <c r="N112" i="1"/>
  <c r="N576" i="1"/>
  <c r="N113" i="1"/>
  <c r="N719" i="1"/>
  <c r="N97" i="1"/>
  <c r="N747" i="1"/>
  <c r="N1115" i="1"/>
  <c r="N1114" i="1"/>
  <c r="N78" i="1"/>
  <c r="N816" i="1"/>
  <c r="N833" i="1"/>
  <c r="N981" i="1"/>
  <c r="N496" i="1"/>
  <c r="N261" i="1"/>
  <c r="N767" i="1"/>
  <c r="N13" i="1"/>
  <c r="N199" i="1"/>
  <c r="N230" i="1"/>
  <c r="N96" i="1"/>
  <c r="N109" i="1"/>
  <c r="N232" i="1"/>
  <c r="N390" i="1"/>
  <c r="N53" i="1"/>
  <c r="N494" i="1"/>
  <c r="N916" i="1"/>
  <c r="N906" i="1"/>
  <c r="N35" i="1"/>
  <c r="N929" i="1"/>
  <c r="N200" i="1"/>
  <c r="N691" i="1"/>
  <c r="N908" i="1"/>
  <c r="N975" i="1"/>
  <c r="N252" i="1"/>
  <c r="N1109" i="1"/>
  <c r="N1098" i="1"/>
  <c r="N321" i="1"/>
  <c r="N324" i="1"/>
  <c r="N591" i="1"/>
  <c r="N79" i="1"/>
  <c r="N582" i="1"/>
  <c r="N446" i="1"/>
  <c r="N4" i="1"/>
  <c r="N902" i="1"/>
  <c r="N137" i="1"/>
  <c r="N54" i="1"/>
  <c r="N601" i="1"/>
  <c r="N983" i="1"/>
  <c r="N460" i="1"/>
  <c r="N1084" i="1"/>
  <c r="N840" i="1"/>
  <c r="N898" i="1"/>
  <c r="N774" i="1"/>
  <c r="N196" i="1"/>
  <c r="N233" i="1"/>
  <c r="N205" i="1"/>
  <c r="N83" i="1"/>
  <c r="N427" i="1"/>
  <c r="N611" i="1"/>
  <c r="N133" i="1"/>
  <c r="N500" i="1"/>
  <c r="N685" i="1"/>
  <c r="N486" i="1"/>
  <c r="N315" i="1"/>
  <c r="N295" i="1"/>
  <c r="N454" i="1"/>
  <c r="N963" i="1"/>
  <c r="N1060" i="1"/>
  <c r="N61" i="1"/>
  <c r="N357" i="1"/>
  <c r="N623" i="1"/>
  <c r="N333" i="1"/>
  <c r="N275" i="1"/>
  <c r="N186" i="1"/>
  <c r="N697" i="1"/>
  <c r="N318" i="1"/>
  <c r="N612" i="1"/>
  <c r="N404" i="1"/>
  <c r="N81" i="1"/>
  <c r="N537" i="1"/>
  <c r="N172" i="1"/>
  <c r="N164" i="1"/>
  <c r="N344" i="1"/>
  <c r="N362" i="1"/>
  <c r="N331" i="1"/>
  <c r="N523" i="1"/>
  <c r="N278" i="1"/>
  <c r="N974" i="1"/>
  <c r="N593" i="1"/>
  <c r="N247" i="1"/>
  <c r="N70" i="1"/>
  <c r="N393" i="1"/>
  <c r="N212" i="1"/>
  <c r="N93" i="1"/>
  <c r="N671" i="1"/>
  <c r="L322" i="1"/>
  <c r="L732" i="1"/>
  <c r="L40" i="1"/>
  <c r="L824" i="1"/>
  <c r="L514" i="1"/>
  <c r="L1010" i="1"/>
  <c r="L896" i="1"/>
  <c r="L835" i="1"/>
  <c r="L668" i="1"/>
  <c r="L800" i="1"/>
  <c r="L183" i="1"/>
  <c r="L714" i="1"/>
  <c r="L809" i="1"/>
  <c r="L223" i="1"/>
  <c r="L506" i="1"/>
  <c r="L934" i="1"/>
  <c r="L286" i="1"/>
  <c r="L535" i="1"/>
  <c r="L1048" i="1"/>
  <c r="L578" i="1"/>
  <c r="L253" i="1"/>
  <c r="L998" i="1"/>
  <c r="L836" i="1"/>
  <c r="L516" i="1"/>
  <c r="L138" i="1"/>
  <c r="L475" i="1"/>
  <c r="L663" i="1"/>
  <c r="L569" i="1"/>
  <c r="L834" i="1"/>
  <c r="L587" i="1"/>
  <c r="L895" i="1"/>
  <c r="L949" i="1"/>
  <c r="L741" i="1"/>
  <c r="L1066" i="1"/>
  <c r="L769" i="1"/>
  <c r="L1092" i="1"/>
  <c r="L504" i="1"/>
  <c r="L1036" i="1"/>
  <c r="L660" i="1"/>
  <c r="L585" i="1"/>
  <c r="L863" i="1"/>
  <c r="L1006" i="1"/>
  <c r="L352" i="1"/>
  <c r="L864" i="1"/>
  <c r="L642" i="1"/>
  <c r="L34" i="1"/>
  <c r="L927" i="1"/>
  <c r="L856" i="1"/>
  <c r="L501" i="1"/>
  <c r="L224" i="1"/>
  <c r="L153" i="1"/>
  <c r="L174" i="1"/>
  <c r="L476" i="1"/>
  <c r="L563" i="1"/>
  <c r="L823" i="1"/>
  <c r="L830" i="1"/>
  <c r="L284" i="1"/>
  <c r="L480" i="1"/>
  <c r="L320" i="1"/>
  <c r="L19" i="1"/>
  <c r="L354" i="1"/>
  <c r="L795" i="1"/>
  <c r="L426" i="1"/>
  <c r="L144" i="1"/>
  <c r="L959" i="1"/>
  <c r="L491" i="1"/>
  <c r="L120" i="1"/>
  <c r="L168" i="1"/>
  <c r="L394" i="1"/>
  <c r="L729" i="1"/>
  <c r="L1019" i="1"/>
  <c r="L995" i="1"/>
  <c r="L412" i="1"/>
  <c r="L1068" i="1"/>
  <c r="L945" i="1"/>
  <c r="L820" i="1"/>
  <c r="L1041" i="1"/>
  <c r="L648" i="1"/>
  <c r="L754" i="1"/>
  <c r="L615" i="1"/>
  <c r="L117" i="1"/>
  <c r="L758" i="1"/>
  <c r="L997" i="1"/>
  <c r="L294" i="1"/>
  <c r="L720" i="1"/>
  <c r="L583" i="1"/>
  <c r="L124" i="1"/>
  <c r="L190" i="1"/>
  <c r="L1009" i="1"/>
  <c r="L866" i="1"/>
  <c r="L894" i="1"/>
  <c r="L1076" i="1"/>
  <c r="L1030" i="1"/>
  <c r="L382" i="1"/>
  <c r="L604" i="1"/>
  <c r="L636" i="1"/>
  <c r="L316" i="1"/>
  <c r="L884" i="1"/>
  <c r="L297" i="1"/>
  <c r="L870" i="1"/>
  <c r="L914" i="1"/>
  <c r="L111" i="1"/>
  <c r="L67" i="1"/>
  <c r="L909" i="1"/>
  <c r="L991" i="1"/>
  <c r="L948" i="1"/>
  <c r="L464" i="1"/>
  <c r="L913" i="1"/>
  <c r="L131" i="1"/>
  <c r="L1074" i="1"/>
  <c r="L819" i="1"/>
  <c r="L1071" i="1"/>
  <c r="L682" i="1"/>
  <c r="L1042" i="1"/>
  <c r="L933" i="1"/>
  <c r="L598" i="1"/>
  <c r="L267" i="1"/>
  <c r="L843" i="1"/>
  <c r="L602" i="1"/>
  <c r="L954" i="1"/>
  <c r="L1038" i="1"/>
  <c r="L793" i="1"/>
  <c r="L263" i="1"/>
  <c r="L329" i="1"/>
  <c r="L712" i="1"/>
  <c r="L208" i="1"/>
  <c r="L102" i="1"/>
  <c r="L50" i="1"/>
  <c r="L664" i="1"/>
  <c r="L546" i="1"/>
  <c r="L367" i="1"/>
  <c r="L444" i="1"/>
  <c r="L694" i="1"/>
  <c r="L907" i="1"/>
  <c r="L1073" i="1"/>
  <c r="L716" i="1"/>
  <c r="L644" i="1"/>
  <c r="L711" i="1"/>
  <c r="L57" i="1"/>
  <c r="L88" i="1"/>
  <c r="L25" i="1"/>
  <c r="L595" i="1"/>
  <c r="L867" i="1"/>
  <c r="L900" i="1"/>
  <c r="L696" i="1"/>
  <c r="L148" i="1"/>
  <c r="L624" i="1"/>
  <c r="L654" i="1"/>
  <c r="L327" i="1"/>
  <c r="L937" i="1"/>
  <c r="L777" i="1"/>
  <c r="L592" i="1"/>
  <c r="L314" i="1"/>
  <c r="L579" i="1"/>
  <c r="L957" i="1"/>
  <c r="L686" i="1"/>
  <c r="L955" i="1"/>
  <c r="L400" i="1"/>
  <c r="L521" i="1"/>
  <c r="L798" i="1"/>
  <c r="L784" i="1"/>
  <c r="L984" i="1"/>
  <c r="L242" i="1"/>
  <c r="L227" i="1"/>
  <c r="L243" i="1"/>
  <c r="L739" i="1"/>
  <c r="L417" i="1"/>
  <c r="L570" i="1"/>
  <c r="L701" i="1"/>
  <c r="L564" i="1"/>
  <c r="L874" i="1"/>
  <c r="L807" i="1"/>
  <c r="L282" i="1"/>
  <c r="L794" i="1"/>
  <c r="L1062" i="1"/>
  <c r="L925" i="1"/>
  <c r="L2" i="1"/>
  <c r="L905" i="1"/>
  <c r="L533" i="1"/>
  <c r="L9" i="1"/>
  <c r="L110" i="1"/>
  <c r="L1082" i="1"/>
  <c r="L608" i="1"/>
  <c r="L953" i="1"/>
  <c r="L519" i="1"/>
  <c r="L956" i="1"/>
  <c r="L899" i="1"/>
  <c r="L566" i="1"/>
  <c r="L952" i="1"/>
  <c r="L717" i="1"/>
  <c r="L24" i="1"/>
  <c r="L1070" i="1"/>
  <c r="L837" i="1"/>
  <c r="L581" i="1"/>
  <c r="L783" i="1"/>
  <c r="L1039" i="1"/>
  <c r="L842" i="1"/>
  <c r="L1087" i="1"/>
  <c r="L752" i="1"/>
  <c r="L101" i="1"/>
  <c r="L652" i="1"/>
  <c r="L815" i="1"/>
  <c r="L1014" i="1"/>
  <c r="L724" i="1"/>
  <c r="L387" i="1"/>
  <c r="L32" i="1"/>
  <c r="L639" i="1"/>
  <c r="L425" i="1"/>
  <c r="L336" i="1"/>
  <c r="L936" i="1"/>
  <c r="L413" i="1"/>
  <c r="L517" i="1"/>
  <c r="L614" i="1"/>
  <c r="L722" i="1"/>
  <c r="L26" i="1"/>
  <c r="L869" i="1"/>
  <c r="L640" i="1"/>
  <c r="L326" i="1"/>
  <c r="L723" i="1"/>
  <c r="L761" i="1"/>
  <c r="L240" i="1"/>
  <c r="L857" i="1"/>
  <c r="L1085" i="1"/>
  <c r="L727" i="1"/>
  <c r="L781" i="1"/>
  <c r="L737" i="1"/>
  <c r="L610" i="1"/>
  <c r="L515" i="1"/>
  <c r="L877" i="1"/>
  <c r="L257" i="1"/>
  <c r="L709" i="1"/>
  <c r="L1020" i="1"/>
  <c r="L391" i="1"/>
  <c r="L641" i="1"/>
  <c r="L484" i="1"/>
  <c r="L753" i="1"/>
  <c r="L270" i="1"/>
  <c r="L268" i="1"/>
  <c r="L883" i="1"/>
  <c r="L992" i="1"/>
  <c r="L1002" i="1"/>
  <c r="L651" i="1"/>
  <c r="L1052" i="1"/>
  <c r="L609" i="1"/>
  <c r="L871" i="1"/>
  <c r="L726" i="1"/>
  <c r="L740" i="1"/>
  <c r="L399" i="1"/>
  <c r="L406" i="1"/>
  <c r="L285" i="1"/>
  <c r="L1001" i="1"/>
  <c r="L947" i="1"/>
  <c r="L827" i="1"/>
  <c r="L1064" i="1"/>
  <c r="L1069" i="1"/>
  <c r="L513" i="1"/>
  <c r="L95" i="1"/>
  <c r="L346" i="1"/>
  <c r="L549" i="1"/>
  <c r="L246" i="1"/>
  <c r="L561" i="1"/>
  <c r="L503" i="1"/>
  <c r="L385" i="1"/>
  <c r="L782" i="1"/>
  <c r="L1067" i="1"/>
  <c r="L343" i="1"/>
  <c r="L149" i="1"/>
  <c r="L30" i="1"/>
  <c r="L488" i="1"/>
  <c r="L226" i="1"/>
  <c r="L27" i="1"/>
  <c r="L1011" i="1"/>
  <c r="L29" i="1"/>
  <c r="L994" i="1"/>
  <c r="L374" i="1"/>
  <c r="L198" i="1"/>
  <c r="L618" i="1"/>
  <c r="L647" i="1"/>
  <c r="L673" i="1"/>
  <c r="L1012" i="1"/>
  <c r="L313" i="1"/>
  <c r="L832" i="1"/>
  <c r="L545" i="1"/>
  <c r="L160" i="1"/>
  <c r="L646" i="1"/>
  <c r="L658" i="1"/>
  <c r="L681" i="1"/>
  <c r="L477" i="1"/>
  <c r="L802" i="1"/>
  <c r="L844" i="1"/>
  <c r="L255" i="1"/>
  <c r="L851" i="1"/>
  <c r="L63" i="1"/>
  <c r="L743" i="1"/>
  <c r="L7" i="1"/>
  <c r="L1004" i="1"/>
  <c r="L788" i="1"/>
  <c r="L74" i="1"/>
  <c r="L847" i="1"/>
  <c r="L202" i="1"/>
  <c r="L931" i="1"/>
  <c r="L360" i="1"/>
  <c r="L264" i="1"/>
  <c r="L310" i="1"/>
  <c r="L810" i="1"/>
  <c r="L1108" i="1"/>
  <c r="L225" i="1"/>
  <c r="L334" i="1"/>
  <c r="L502" i="1"/>
  <c r="L274" i="1"/>
  <c r="L256" i="1"/>
  <c r="L597" i="1"/>
  <c r="L115" i="1"/>
  <c r="L437" i="1"/>
  <c r="L207" i="1"/>
  <c r="L846" i="1"/>
  <c r="L193" i="1"/>
  <c r="L1079" i="1"/>
  <c r="L162" i="1"/>
  <c r="L64" i="1"/>
  <c r="L189" i="1"/>
  <c r="L771" i="1"/>
  <c r="L14" i="1"/>
  <c r="L155" i="1"/>
  <c r="L505" i="1"/>
  <c r="L350" i="1"/>
  <c r="L415" i="1"/>
  <c r="L1117" i="1"/>
  <c r="L75" i="1"/>
  <c r="L735" i="1"/>
  <c r="L473" i="1"/>
  <c r="L1015" i="1"/>
  <c r="L1083" i="1"/>
  <c r="L58" i="1"/>
  <c r="L875" i="1"/>
  <c r="L358" i="1"/>
  <c r="L28" i="1"/>
  <c r="L62" i="1"/>
  <c r="L560" i="1"/>
  <c r="L878" i="1"/>
  <c r="L5" i="1"/>
  <c r="L520" i="1"/>
  <c r="L104" i="1"/>
  <c r="L167" i="1"/>
  <c r="L930" i="1"/>
  <c r="L853" i="1"/>
  <c r="L808" i="1"/>
  <c r="L725" i="1"/>
  <c r="L403" i="1"/>
  <c r="L848" i="1"/>
  <c r="L813" i="1"/>
  <c r="L841" i="1"/>
  <c r="L544" i="1"/>
  <c r="L299" i="1"/>
  <c r="L672" i="1"/>
  <c r="L407" i="1"/>
  <c r="L791" i="1"/>
  <c r="L485" i="1"/>
  <c r="L245" i="1"/>
  <c r="L451" i="1"/>
  <c r="L748" i="1"/>
  <c r="L265" i="1"/>
  <c r="L645" i="1"/>
  <c r="L16" i="1"/>
  <c r="L915" i="1"/>
  <c r="L368" i="1"/>
  <c r="L154" i="1"/>
  <c r="L114" i="1"/>
  <c r="L376" i="1"/>
  <c r="L136" i="1"/>
  <c r="L684" i="1"/>
  <c r="L372" i="1"/>
  <c r="L440" i="1"/>
  <c r="L157" i="1"/>
  <c r="L250" i="1"/>
  <c r="L679" i="1"/>
  <c r="L472" i="1"/>
  <c r="L216" i="1"/>
  <c r="L52" i="1"/>
  <c r="L1111" i="1"/>
  <c r="L218" i="1"/>
  <c r="L1034" i="1"/>
  <c r="L978" i="1"/>
  <c r="L675" i="1"/>
  <c r="L303" i="1"/>
  <c r="L617" i="1"/>
  <c r="L234" i="1"/>
  <c r="L829" i="1"/>
  <c r="L323" i="1"/>
  <c r="L942" i="1"/>
  <c r="L960" i="1"/>
  <c r="L958" i="1"/>
  <c r="L197" i="1"/>
  <c r="L792" i="1"/>
  <c r="L134" i="1"/>
  <c r="L280" i="1"/>
  <c r="L605" i="1"/>
  <c r="L392" i="1"/>
  <c r="L882" i="1"/>
  <c r="L59" i="1"/>
  <c r="L1003" i="1"/>
  <c r="L1099" i="1"/>
  <c r="L107" i="1"/>
  <c r="L1000" i="1"/>
  <c r="L126" i="1"/>
  <c r="L677" i="1"/>
  <c r="L828" i="1"/>
  <c r="L498" i="1"/>
  <c r="L499" i="1"/>
  <c r="L1065" i="1"/>
  <c r="L665" i="1"/>
  <c r="L951" i="1"/>
  <c r="L366" i="1"/>
  <c r="L876" i="1"/>
  <c r="L349" i="1"/>
  <c r="L377" i="1"/>
  <c r="L796" i="1"/>
  <c r="L731" i="1"/>
  <c r="L1091" i="1"/>
  <c r="L702" i="1"/>
  <c r="L976" i="1"/>
  <c r="L356" i="1"/>
  <c r="L434" i="1"/>
  <c r="L676" i="1"/>
  <c r="L39" i="1"/>
  <c r="L72" i="1"/>
  <c r="L718" i="1"/>
  <c r="L738" i="1"/>
  <c r="L1090" i="1"/>
  <c r="L879" i="1"/>
  <c r="L55" i="1"/>
  <c r="L293" i="1"/>
  <c r="L90" i="1"/>
  <c r="L306" i="1"/>
  <c r="L838" i="1"/>
  <c r="L986" i="1"/>
  <c r="L580" i="1"/>
  <c r="L397" i="1"/>
  <c r="L849" i="1"/>
  <c r="L421" i="1"/>
  <c r="L859" i="1"/>
  <c r="L44" i="1"/>
  <c r="L970" i="1"/>
  <c r="L370" i="1"/>
  <c r="L182" i="1"/>
  <c r="L312" i="1"/>
  <c r="L562" i="1"/>
  <c r="L76" i="1"/>
  <c r="L620" i="1"/>
  <c r="L789" i="1"/>
  <c r="L478" i="1"/>
  <c r="L260" i="1"/>
  <c r="L347" i="1"/>
  <c r="L699" i="1"/>
  <c r="L156" i="1"/>
  <c r="L191" i="1"/>
  <c r="L831" i="1"/>
  <c r="L532" i="1"/>
  <c r="L86" i="1"/>
  <c r="L801" i="1"/>
  <c r="L130" i="1"/>
  <c r="L332" i="1"/>
  <c r="L746" i="1"/>
  <c r="L670" i="1"/>
  <c r="L277" i="1"/>
  <c r="L812" i="1"/>
  <c r="L436" i="1"/>
  <c r="L1050" i="1"/>
  <c r="L918" i="1"/>
  <c r="L348" i="1"/>
  <c r="L47" i="1"/>
  <c r="L707" i="1"/>
  <c r="L977" i="1"/>
  <c r="L911" i="1"/>
  <c r="L91" i="1"/>
  <c r="L534" i="1"/>
  <c r="L706" i="1"/>
  <c r="L449" i="1"/>
  <c r="L249" i="1"/>
  <c r="L251" i="1"/>
  <c r="L886" i="1"/>
  <c r="L89" i="1"/>
  <c r="L365" i="1"/>
  <c r="L492" i="1"/>
  <c r="L1107" i="1"/>
  <c r="L993" i="1"/>
  <c r="L527" i="1"/>
  <c r="L351" i="1"/>
  <c r="L206" i="1"/>
  <c r="L405" i="1"/>
  <c r="L92" i="1"/>
  <c r="L980" i="1"/>
  <c r="L542" i="1"/>
  <c r="L698" i="1"/>
  <c r="L973" i="1"/>
  <c r="L221" i="1"/>
  <c r="L217" i="1"/>
  <c r="L858" i="1"/>
  <c r="L395" i="1"/>
  <c r="L435" i="1"/>
  <c r="L628" i="1"/>
  <c r="L1088" i="1"/>
  <c r="L634" i="1"/>
  <c r="L379" i="1"/>
  <c r="L396" i="1"/>
  <c r="L557" i="1"/>
  <c r="L669" i="1"/>
  <c r="L555" i="1"/>
  <c r="L495" i="1"/>
  <c r="L768" i="1"/>
  <c r="L700" i="1"/>
  <c r="L626" i="1"/>
  <c r="L967" i="1"/>
  <c r="L241" i="1"/>
  <c r="L760" i="1"/>
  <c r="L22" i="1"/>
  <c r="L818" i="1"/>
  <c r="L1022" i="1"/>
  <c r="L461" i="1"/>
  <c r="L410" i="1"/>
  <c r="L166" i="1"/>
  <c r="L600" i="1"/>
  <c r="L568" i="1"/>
  <c r="L1021" i="1"/>
  <c r="L589" i="1"/>
  <c r="L891" i="1"/>
  <c r="L962" i="1"/>
  <c r="L778" i="1"/>
  <c r="L770" i="1"/>
  <c r="L458" i="1"/>
  <c r="L1029" i="1"/>
  <c r="L416" i="1"/>
  <c r="L337" i="1"/>
  <c r="L988" i="1"/>
  <c r="L507" i="1"/>
  <c r="L23" i="1"/>
  <c r="L31" i="1"/>
  <c r="L547" i="1"/>
  <c r="L910" i="1"/>
  <c r="L291" i="1"/>
  <c r="L944" i="1"/>
  <c r="L928" i="1"/>
  <c r="L159" i="1"/>
  <c r="L635" i="1"/>
  <c r="L757" i="1"/>
  <c r="L889" i="1"/>
  <c r="L667" i="1"/>
  <c r="L398" i="1"/>
  <c r="L422" i="1"/>
  <c r="L447" i="1"/>
  <c r="L674" i="1"/>
  <c r="L806" i="1"/>
  <c r="L683" i="1"/>
  <c r="L584" i="1"/>
  <c r="L638" i="1"/>
  <c r="L666" i="1"/>
  <c r="L340" i="1"/>
  <c r="L308" i="1"/>
  <c r="L862" i="1"/>
  <c r="L805" i="1"/>
  <c r="L518" i="1"/>
  <c r="L1058" i="1"/>
  <c r="L924" i="1"/>
  <c r="L20" i="1"/>
  <c r="L1061" i="1"/>
  <c r="L1049" i="1"/>
  <c r="L439" i="1"/>
  <c r="L455" i="1"/>
  <c r="L408" i="1"/>
  <c r="L790" i="1"/>
  <c r="L1005" i="1"/>
  <c r="L885" i="1"/>
  <c r="L868" i="1"/>
  <c r="L1094" i="1"/>
  <c r="L467" i="1"/>
  <c r="L565" i="1"/>
  <c r="L637" i="1"/>
  <c r="L631" i="1"/>
  <c r="L1024" i="1"/>
  <c r="L228" i="1"/>
  <c r="L881" i="1"/>
  <c r="L429" i="1"/>
  <c r="L1031" i="1"/>
  <c r="L1027" i="1"/>
  <c r="L1057" i="1"/>
  <c r="L1105" i="1"/>
  <c r="L1103" i="1"/>
  <c r="L1106" i="1"/>
  <c r="L1104" i="1"/>
  <c r="L880" i="1"/>
  <c r="L762" i="1"/>
  <c r="L364" i="1"/>
  <c r="L1028" i="1"/>
  <c r="L539" i="1"/>
  <c r="L378" i="1"/>
  <c r="L94" i="1"/>
  <c r="L574" i="1"/>
  <c r="L764" i="1"/>
  <c r="L1086" i="1"/>
  <c r="L443" i="1"/>
  <c r="L386" i="1"/>
  <c r="L655" i="1"/>
  <c r="L125" i="1"/>
  <c r="L69" i="1"/>
  <c r="L271" i="1"/>
  <c r="L201" i="1"/>
  <c r="L650" i="1"/>
  <c r="L384" i="1"/>
  <c r="L142" i="1"/>
  <c r="L118" i="1"/>
  <c r="L996" i="1"/>
  <c r="L68" i="1"/>
  <c r="L1008" i="1"/>
  <c r="L1046" i="1"/>
  <c r="L341" i="1"/>
  <c r="L920" i="1"/>
  <c r="L258" i="1"/>
  <c r="L680" i="1"/>
  <c r="L575" i="1"/>
  <c r="L687" i="1"/>
  <c r="L428" i="1"/>
  <c r="L621" i="1"/>
  <c r="L279" i="1"/>
  <c r="L479" i="1"/>
  <c r="L594" i="1"/>
  <c r="L616" i="1"/>
  <c r="L649" i="1"/>
  <c r="L80" i="1"/>
  <c r="L319" i="1"/>
  <c r="L237" i="1"/>
  <c r="L244" i="1"/>
  <c r="L409" i="1"/>
  <c r="L985" i="1"/>
  <c r="L599" i="1"/>
  <c r="L586" i="1"/>
  <c r="L304" i="1"/>
  <c r="L185" i="1"/>
  <c r="L229" i="1"/>
  <c r="L489" i="1"/>
  <c r="L961" i="1"/>
  <c r="L1032" i="1"/>
  <c r="L266" i="1"/>
  <c r="L466" i="1"/>
  <c r="L695" i="1"/>
  <c r="L839" i="1"/>
  <c r="L822" i="1"/>
  <c r="L411" i="1"/>
  <c r="L371" i="1"/>
  <c r="L424" i="1"/>
  <c r="L690" i="1"/>
  <c r="L577" i="1"/>
  <c r="L607" i="1"/>
  <c r="L82" i="1"/>
  <c r="L721" i="1"/>
  <c r="L526" i="1"/>
  <c r="L935" i="1"/>
  <c r="L389" i="1"/>
  <c r="L481" i="1"/>
  <c r="L465" i="1"/>
  <c r="L51" i="1"/>
  <c r="L65" i="1"/>
  <c r="L292" i="1"/>
  <c r="L335" i="1"/>
  <c r="L147" i="1"/>
  <c r="L296" i="1"/>
  <c r="L469" i="1"/>
  <c r="L1033" i="1"/>
  <c r="L811" i="1"/>
  <c r="L728" i="1"/>
  <c r="L529" i="1"/>
  <c r="L1023" i="1"/>
  <c r="L46" i="1"/>
  <c r="L932" i="1"/>
  <c r="L750" i="1"/>
  <c r="L85" i="1"/>
  <c r="L231" i="1"/>
  <c r="L11" i="1"/>
  <c r="L1100" i="1"/>
  <c r="L420" i="1"/>
  <c r="L146" i="1"/>
  <c r="L238" i="1"/>
  <c r="L1080" i="1"/>
  <c r="L290" i="1"/>
  <c r="L1054" i="1"/>
  <c r="L381" i="1"/>
  <c r="L632" i="1"/>
  <c r="L123" i="1"/>
  <c r="L548" i="1"/>
  <c r="L194" i="1"/>
  <c r="L775" i="1"/>
  <c r="L772" i="1"/>
  <c r="L493" i="1"/>
  <c r="L239" i="1"/>
  <c r="L926" i="1"/>
  <c r="L733" i="1"/>
  <c r="L143" i="1"/>
  <c r="L888" i="1"/>
  <c r="L103" i="1"/>
  <c r="L41" i="1"/>
  <c r="L375" i="1"/>
  <c r="L826" i="1"/>
  <c r="L1095" i="1"/>
  <c r="L497" i="1"/>
  <c r="L619" i="1"/>
  <c r="L873" i="1"/>
  <c r="L713" i="1"/>
  <c r="L969" i="1"/>
  <c r="L508" i="1"/>
  <c r="L219" i="1"/>
  <c r="L179" i="1"/>
  <c r="L1007" i="1"/>
  <c r="L765" i="1"/>
  <c r="L1025" i="1"/>
  <c r="L77" i="1"/>
  <c r="L755" i="1"/>
  <c r="L84" i="1"/>
  <c r="L745" i="1"/>
  <c r="L431" i="1"/>
  <c r="L273" i="1"/>
  <c r="L1017" i="1"/>
  <c r="L445" i="1"/>
  <c r="L140" i="1"/>
  <c r="L901" i="1"/>
  <c r="L442" i="1"/>
  <c r="L1112" i="1"/>
  <c r="L56" i="1"/>
  <c r="L531" i="1"/>
  <c r="L369" i="1"/>
  <c r="L749" i="1"/>
  <c r="L151" i="1"/>
  <c r="L483" i="1"/>
  <c r="L262" i="1"/>
  <c r="L661" i="1"/>
  <c r="L689" i="1"/>
  <c r="L861" i="1"/>
  <c r="L73" i="1"/>
  <c r="L121" i="1"/>
  <c r="L432" i="1"/>
  <c r="L423" i="1"/>
  <c r="L132" i="1"/>
  <c r="L550" i="1"/>
  <c r="L553" i="1"/>
  <c r="L119" i="1"/>
  <c r="L773" i="1"/>
  <c r="L8" i="1"/>
  <c r="L1078" i="1"/>
  <c r="L462" i="1"/>
  <c r="L459" i="1"/>
  <c r="L98" i="1"/>
  <c r="L1055" i="1"/>
  <c r="L33" i="1"/>
  <c r="L373" i="1"/>
  <c r="L779" i="1"/>
  <c r="L922" i="1"/>
  <c r="L105" i="1"/>
  <c r="L100" i="1"/>
  <c r="L152" i="1"/>
  <c r="L1075" i="1"/>
  <c r="L693" i="1"/>
  <c r="L380" i="1"/>
  <c r="L588" i="1"/>
  <c r="L128" i="1"/>
  <c r="L776" i="1"/>
  <c r="L1056" i="1"/>
  <c r="L122" i="1"/>
  <c r="L653" i="1"/>
  <c r="L1018" i="1"/>
  <c r="L999" i="1"/>
  <c r="L1102" i="1"/>
  <c r="L211" i="1"/>
  <c r="L106" i="1"/>
  <c r="L87" i="1"/>
  <c r="L941" i="1"/>
  <c r="L662" i="1"/>
  <c r="L490" i="1"/>
  <c r="L1059" i="1"/>
  <c r="L18" i="1"/>
  <c r="L573" i="1"/>
  <c r="L450" i="1"/>
  <c r="L572" i="1"/>
  <c r="L688" i="1"/>
  <c r="L990" i="1"/>
  <c r="L254" i="1"/>
  <c r="L3" i="1"/>
  <c r="L787" i="1"/>
  <c r="L45" i="1"/>
  <c r="L433" i="1"/>
  <c r="L474" i="1"/>
  <c r="L361" i="1"/>
  <c r="L759" i="1"/>
  <c r="L817" i="1"/>
  <c r="L678" i="1"/>
  <c r="L457" i="1"/>
  <c r="L38" i="1"/>
  <c r="L1026" i="1"/>
  <c r="L210" i="1"/>
  <c r="L325" i="1"/>
  <c r="L235" i="1"/>
  <c r="L1077" i="1"/>
  <c r="L259" i="1"/>
  <c r="L1040" i="1"/>
  <c r="L178" i="1"/>
  <c r="L165" i="1"/>
  <c r="L145" i="1"/>
  <c r="L524" i="1"/>
  <c r="L528" i="1"/>
  <c r="L744" i="1"/>
  <c r="L887" i="1"/>
  <c r="L892" i="1"/>
  <c r="L571" i="1"/>
  <c r="L330" i="1"/>
  <c r="L401" i="1"/>
  <c r="L627" i="1"/>
  <c r="L71" i="1"/>
  <c r="L657" i="1"/>
  <c r="L1116" i="1"/>
  <c r="L785" i="1"/>
  <c r="L281" i="1"/>
  <c r="L1093" i="1"/>
  <c r="L943" i="1"/>
  <c r="L441" i="1"/>
  <c r="L780" i="1"/>
  <c r="L272" i="1"/>
  <c r="L269" i="1"/>
  <c r="L814" i="1"/>
  <c r="L192" i="1"/>
  <c r="L342" i="1"/>
  <c r="L453" i="1"/>
  <c r="L17" i="1"/>
  <c r="L116" i="1"/>
  <c r="L150" i="1"/>
  <c r="L195" i="1"/>
  <c r="L388" i="1"/>
  <c r="L248" i="1"/>
  <c r="L596" i="1"/>
  <c r="L338" i="1"/>
  <c r="L855" i="1"/>
  <c r="L452" i="1"/>
  <c r="L108" i="1"/>
  <c r="L1118" i="1"/>
  <c r="L289" i="1"/>
  <c r="L1043" i="1"/>
  <c r="L554" i="1"/>
  <c r="L917" i="1"/>
  <c r="L209" i="1"/>
  <c r="L606" i="1"/>
  <c r="L982" i="1"/>
  <c r="L15" i="1"/>
  <c r="L1047" i="1"/>
  <c r="L710" i="1"/>
  <c r="L21" i="1"/>
  <c r="L300" i="1"/>
  <c r="L633" i="1"/>
  <c r="L1081" i="1"/>
  <c r="L912" i="1"/>
  <c r="L736" i="1"/>
  <c r="L402" i="1"/>
  <c r="L854" i="1"/>
  <c r="L203" i="1"/>
  <c r="L989" i="1"/>
  <c r="L419" i="1"/>
  <c r="L939" i="1"/>
  <c r="L301" i="1"/>
  <c r="L220" i="1"/>
  <c r="L897" i="1"/>
  <c r="L742" i="1"/>
  <c r="L363" i="1"/>
  <c r="L163" i="1"/>
  <c r="L180" i="1"/>
  <c r="L872" i="1"/>
  <c r="L276" i="1"/>
  <c r="L938" i="1"/>
  <c r="L311" i="1"/>
  <c r="L1053" i="1"/>
  <c r="L751" i="1"/>
  <c r="L112" i="1"/>
  <c r="L576" i="1"/>
  <c r="L113" i="1"/>
  <c r="L719" i="1"/>
  <c r="L97" i="1"/>
  <c r="L747" i="1"/>
  <c r="L1115" i="1"/>
  <c r="L1114" i="1"/>
  <c r="L78" i="1"/>
  <c r="L816" i="1"/>
  <c r="L833" i="1"/>
  <c r="L981" i="1"/>
  <c r="L496" i="1"/>
  <c r="L261" i="1"/>
  <c r="L767" i="1"/>
  <c r="L13" i="1"/>
  <c r="L199" i="1"/>
  <c r="L230" i="1"/>
  <c r="L96" i="1"/>
  <c r="L109" i="1"/>
  <c r="L232" i="1"/>
  <c r="L390" i="1"/>
  <c r="L53" i="1"/>
  <c r="L494" i="1"/>
  <c r="L916" i="1"/>
  <c r="L906" i="1"/>
  <c r="L35" i="1"/>
  <c r="L929" i="1"/>
  <c r="L200" i="1"/>
  <c r="L691" i="1"/>
  <c r="L908" i="1"/>
  <c r="L975" i="1"/>
  <c r="L252" i="1"/>
  <c r="L1109" i="1"/>
  <c r="L1098" i="1"/>
  <c r="L321" i="1"/>
  <c r="L324" i="1"/>
  <c r="L591" i="1"/>
  <c r="L79" i="1"/>
  <c r="L582" i="1"/>
  <c r="L446" i="1"/>
  <c r="L4" i="1"/>
  <c r="L902" i="1"/>
  <c r="L137" i="1"/>
  <c r="L54" i="1"/>
  <c r="L601" i="1"/>
  <c r="L983" i="1"/>
  <c r="L460" i="1"/>
  <c r="L1084" i="1"/>
  <c r="L840" i="1"/>
  <c r="L898" i="1"/>
  <c r="L774" i="1"/>
  <c r="L196" i="1"/>
  <c r="L233" i="1"/>
  <c r="L205" i="1"/>
  <c r="L83" i="1"/>
  <c r="L427" i="1"/>
  <c r="L611" i="1"/>
  <c r="L133" i="1"/>
  <c r="L500" i="1"/>
  <c r="L685" i="1"/>
  <c r="L486" i="1"/>
  <c r="L315" i="1"/>
  <c r="L295" i="1"/>
  <c r="L454" i="1"/>
  <c r="L963" i="1"/>
  <c r="L1060" i="1"/>
  <c r="L61" i="1"/>
  <c r="L357" i="1"/>
  <c r="L623" i="1"/>
  <c r="L333" i="1"/>
  <c r="L275" i="1"/>
  <c r="L186" i="1"/>
  <c r="L697" i="1"/>
  <c r="L318" i="1"/>
  <c r="L612" i="1"/>
  <c r="L404" i="1"/>
  <c r="L81" i="1"/>
  <c r="L537" i="1"/>
  <c r="L172" i="1"/>
  <c r="L164" i="1"/>
  <c r="L344" i="1"/>
  <c r="L362" i="1"/>
  <c r="L331" i="1"/>
  <c r="L523" i="1"/>
  <c r="L278" i="1"/>
  <c r="L974" i="1"/>
  <c r="L593" i="1"/>
  <c r="L247" i="1"/>
  <c r="L70" i="1"/>
  <c r="L393" i="1"/>
  <c r="L212" i="1"/>
  <c r="L93" i="1"/>
  <c r="L671" i="1"/>
  <c r="K890" i="1"/>
  <c r="K865" i="1"/>
  <c r="K181" i="1"/>
  <c r="K317" i="1"/>
  <c r="K283" i="1"/>
  <c r="K322" i="1"/>
  <c r="K732" i="1"/>
  <c r="K40" i="1"/>
  <c r="K824" i="1"/>
  <c r="K514" i="1"/>
  <c r="K1010" i="1"/>
  <c r="K896" i="1"/>
  <c r="K835" i="1"/>
  <c r="K668" i="1"/>
  <c r="K800" i="1"/>
  <c r="K183" i="1"/>
  <c r="K714" i="1"/>
  <c r="K809" i="1"/>
  <c r="K223" i="1"/>
  <c r="K506" i="1"/>
  <c r="K934" i="1"/>
  <c r="K286" i="1"/>
  <c r="K535" i="1"/>
  <c r="K1048" i="1"/>
  <c r="K578" i="1"/>
  <c r="K253" i="1"/>
  <c r="K998" i="1"/>
  <c r="K836" i="1"/>
  <c r="K516" i="1"/>
  <c r="K138" i="1"/>
  <c r="K475" i="1"/>
  <c r="K663" i="1"/>
  <c r="K569" i="1"/>
  <c r="K834" i="1"/>
  <c r="K587" i="1"/>
  <c r="K895" i="1"/>
  <c r="K949" i="1"/>
  <c r="K741" i="1"/>
  <c r="K1066" i="1"/>
  <c r="K769" i="1"/>
  <c r="K1092" i="1"/>
  <c r="K504" i="1"/>
  <c r="K1036" i="1"/>
  <c r="K660" i="1"/>
  <c r="K585" i="1"/>
  <c r="K863" i="1"/>
  <c r="K1006" i="1"/>
  <c r="K352" i="1"/>
  <c r="K864" i="1"/>
  <c r="K642" i="1"/>
  <c r="K34" i="1"/>
  <c r="K927" i="1"/>
  <c r="K856" i="1"/>
  <c r="K501" i="1"/>
  <c r="K224" i="1"/>
  <c r="K153" i="1"/>
  <c r="K174" i="1"/>
  <c r="K476" i="1"/>
  <c r="K563" i="1"/>
  <c r="K823" i="1"/>
  <c r="K830" i="1"/>
  <c r="K284" i="1"/>
  <c r="K480" i="1"/>
  <c r="K320" i="1"/>
  <c r="K19" i="1"/>
  <c r="K354" i="1"/>
  <c r="K795" i="1"/>
  <c r="K426" i="1"/>
  <c r="K144" i="1"/>
  <c r="K959" i="1"/>
  <c r="K491" i="1"/>
  <c r="K120" i="1"/>
  <c r="K168" i="1"/>
  <c r="K394" i="1"/>
  <c r="K729" i="1"/>
  <c r="K1019" i="1"/>
  <c r="K995" i="1"/>
  <c r="K412" i="1"/>
  <c r="K1068" i="1"/>
  <c r="K945" i="1"/>
  <c r="K820" i="1"/>
  <c r="K1041" i="1"/>
  <c r="K648" i="1"/>
  <c r="K754" i="1"/>
  <c r="K615" i="1"/>
  <c r="K117" i="1"/>
  <c r="K758" i="1"/>
  <c r="K997" i="1"/>
  <c r="K294" i="1"/>
  <c r="K720" i="1"/>
  <c r="K583" i="1"/>
  <c r="K124" i="1"/>
  <c r="K190" i="1"/>
  <c r="K1009" i="1"/>
  <c r="K866" i="1"/>
  <c r="K894" i="1"/>
  <c r="K1076" i="1"/>
  <c r="K1030" i="1"/>
  <c r="K382" i="1"/>
  <c r="K604" i="1"/>
  <c r="K636" i="1"/>
  <c r="K316" i="1"/>
  <c r="K884" i="1"/>
  <c r="K297" i="1"/>
  <c r="K870" i="1"/>
  <c r="K914" i="1"/>
  <c r="K111" i="1"/>
  <c r="K67" i="1"/>
  <c r="K909" i="1"/>
  <c r="K991" i="1"/>
  <c r="K948" i="1"/>
  <c r="K464" i="1"/>
  <c r="K913" i="1"/>
  <c r="K131" i="1"/>
  <c r="K1074" i="1"/>
  <c r="K819" i="1"/>
  <c r="K1071" i="1"/>
  <c r="K682" i="1"/>
  <c r="K1042" i="1"/>
  <c r="K933" i="1"/>
  <c r="K598" i="1"/>
  <c r="K267" i="1"/>
  <c r="K843" i="1"/>
  <c r="K602" i="1"/>
  <c r="K954" i="1"/>
  <c r="K1038" i="1"/>
  <c r="K793" i="1"/>
  <c r="K263" i="1"/>
  <c r="K329" i="1"/>
  <c r="K712" i="1"/>
  <c r="K208" i="1"/>
  <c r="K102" i="1"/>
  <c r="K50" i="1"/>
  <c r="K664" i="1"/>
  <c r="K546" i="1"/>
  <c r="K367" i="1"/>
  <c r="K444" i="1"/>
  <c r="K694" i="1"/>
  <c r="K907" i="1"/>
  <c r="K1073" i="1"/>
  <c r="K716" i="1"/>
  <c r="K644" i="1"/>
  <c r="K711" i="1"/>
  <c r="K57" i="1"/>
  <c r="K88" i="1"/>
  <c r="K25" i="1"/>
  <c r="K595" i="1"/>
  <c r="K867" i="1"/>
  <c r="K900" i="1"/>
  <c r="K696" i="1"/>
  <c r="K148" i="1"/>
  <c r="K624" i="1"/>
  <c r="K654" i="1"/>
  <c r="K327" i="1"/>
  <c r="K937" i="1"/>
  <c r="K777" i="1"/>
  <c r="K592" i="1"/>
  <c r="K314" i="1"/>
  <c r="K579" i="1"/>
  <c r="K957" i="1"/>
  <c r="K686" i="1"/>
  <c r="K955" i="1"/>
  <c r="K400" i="1"/>
  <c r="K521" i="1"/>
  <c r="K798" i="1"/>
  <c r="K784" i="1"/>
  <c r="K984" i="1"/>
  <c r="K242" i="1"/>
  <c r="K227" i="1"/>
  <c r="K243" i="1"/>
  <c r="K739" i="1"/>
  <c r="K417" i="1"/>
  <c r="K570" i="1"/>
  <c r="K701" i="1"/>
  <c r="K564" i="1"/>
  <c r="K874" i="1"/>
  <c r="K807" i="1"/>
  <c r="K282" i="1"/>
  <c r="K794" i="1"/>
  <c r="K1062" i="1"/>
  <c r="K925" i="1"/>
  <c r="K2" i="1"/>
  <c r="K905" i="1"/>
  <c r="K533" i="1"/>
  <c r="K9" i="1"/>
  <c r="K110" i="1"/>
  <c r="K1082" i="1"/>
  <c r="K608" i="1"/>
  <c r="K953" i="1"/>
  <c r="K519" i="1"/>
  <c r="K956" i="1"/>
  <c r="K899" i="1"/>
  <c r="K566" i="1"/>
  <c r="K952" i="1"/>
  <c r="K717" i="1"/>
  <c r="K24" i="1"/>
  <c r="K1070" i="1"/>
  <c r="K837" i="1"/>
  <c r="K581" i="1"/>
  <c r="K783" i="1"/>
  <c r="K1039" i="1"/>
  <c r="K842" i="1"/>
  <c r="K1087" i="1"/>
  <c r="K752" i="1"/>
  <c r="K101" i="1"/>
  <c r="K652" i="1"/>
  <c r="K815" i="1"/>
  <c r="K1014" i="1"/>
  <c r="K724" i="1"/>
  <c r="K387" i="1"/>
  <c r="K32" i="1"/>
  <c r="K639" i="1"/>
  <c r="K425" i="1"/>
  <c r="K336" i="1"/>
  <c r="K936" i="1"/>
  <c r="K413" i="1"/>
  <c r="K517" i="1"/>
  <c r="K614" i="1"/>
  <c r="K722" i="1"/>
  <c r="K26" i="1"/>
  <c r="K869" i="1"/>
  <c r="K640" i="1"/>
  <c r="K326" i="1"/>
  <c r="K723" i="1"/>
  <c r="K761" i="1"/>
  <c r="K240" i="1"/>
  <c r="K857" i="1"/>
  <c r="K1085" i="1"/>
  <c r="K727" i="1"/>
  <c r="K781" i="1"/>
  <c r="K737" i="1"/>
  <c r="K610" i="1"/>
  <c r="K515" i="1"/>
  <c r="K877" i="1"/>
  <c r="K257" i="1"/>
  <c r="K709" i="1"/>
  <c r="K1020" i="1"/>
  <c r="K391" i="1"/>
  <c r="K641" i="1"/>
  <c r="K484" i="1"/>
  <c r="K753" i="1"/>
  <c r="K270" i="1"/>
  <c r="K268" i="1"/>
  <c r="K883" i="1"/>
  <c r="K992" i="1"/>
  <c r="K1002" i="1"/>
  <c r="K651" i="1"/>
  <c r="K1052" i="1"/>
  <c r="K609" i="1"/>
  <c r="K871" i="1"/>
  <c r="K726" i="1"/>
  <c r="K740" i="1"/>
  <c r="K399" i="1"/>
  <c r="K406" i="1"/>
  <c r="K285" i="1"/>
  <c r="K1001" i="1"/>
  <c r="K947" i="1"/>
  <c r="K827" i="1"/>
  <c r="K1064" i="1"/>
  <c r="K1069" i="1"/>
  <c r="K513" i="1"/>
  <c r="K95" i="1"/>
  <c r="K346" i="1"/>
  <c r="K549" i="1"/>
  <c r="K246" i="1"/>
  <c r="K561" i="1"/>
  <c r="K503" i="1"/>
  <c r="K385" i="1"/>
  <c r="K782" i="1"/>
  <c r="K1067" i="1"/>
  <c r="K343" i="1"/>
  <c r="K149" i="1"/>
  <c r="K30" i="1"/>
  <c r="K488" i="1"/>
  <c r="K226" i="1"/>
  <c r="K27" i="1"/>
  <c r="K1011" i="1"/>
  <c r="K29" i="1"/>
  <c r="K994" i="1"/>
  <c r="K374" i="1"/>
  <c r="K198" i="1"/>
  <c r="K618" i="1"/>
  <c r="K647" i="1"/>
  <c r="K673" i="1"/>
  <c r="K1012" i="1"/>
  <c r="K313" i="1"/>
  <c r="K832" i="1"/>
  <c r="K545" i="1"/>
  <c r="K160" i="1"/>
  <c r="K646" i="1"/>
  <c r="K658" i="1"/>
  <c r="K681" i="1"/>
  <c r="K477" i="1"/>
  <c r="K802" i="1"/>
  <c r="K844" i="1"/>
  <c r="K255" i="1"/>
  <c r="K851" i="1"/>
  <c r="K63" i="1"/>
  <c r="K743" i="1"/>
  <c r="K7" i="1"/>
  <c r="K1004" i="1"/>
  <c r="K788" i="1"/>
  <c r="K74" i="1"/>
  <c r="K847" i="1"/>
  <c r="K202" i="1"/>
  <c r="K931" i="1"/>
  <c r="K360" i="1"/>
  <c r="K264" i="1"/>
  <c r="K310" i="1"/>
  <c r="K810" i="1"/>
  <c r="K1108" i="1"/>
  <c r="K225" i="1"/>
  <c r="K334" i="1"/>
  <c r="K502" i="1"/>
  <c r="K274" i="1"/>
  <c r="K256" i="1"/>
  <c r="K597" i="1"/>
  <c r="K115" i="1"/>
  <c r="K437" i="1"/>
  <c r="K207" i="1"/>
  <c r="K846" i="1"/>
  <c r="K193" i="1"/>
  <c r="K1079" i="1"/>
  <c r="K162" i="1"/>
  <c r="K64" i="1"/>
  <c r="K189" i="1"/>
  <c r="K771" i="1"/>
  <c r="K14" i="1"/>
  <c r="K155" i="1"/>
  <c r="K505" i="1"/>
  <c r="K350" i="1"/>
  <c r="K415" i="1"/>
  <c r="K1117" i="1"/>
  <c r="K75" i="1"/>
  <c r="K735" i="1"/>
  <c r="K473" i="1"/>
  <c r="K1015" i="1"/>
  <c r="K1083" i="1"/>
  <c r="K58" i="1"/>
  <c r="K875" i="1"/>
  <c r="K358" i="1"/>
  <c r="K28" i="1"/>
  <c r="K62" i="1"/>
  <c r="K560" i="1"/>
  <c r="K878" i="1"/>
  <c r="K5" i="1"/>
  <c r="K520" i="1"/>
  <c r="K104" i="1"/>
  <c r="K167" i="1"/>
  <c r="K930" i="1"/>
  <c r="K853" i="1"/>
  <c r="K808" i="1"/>
  <c r="K725" i="1"/>
  <c r="K403" i="1"/>
  <c r="K848" i="1"/>
  <c r="K813" i="1"/>
  <c r="K841" i="1"/>
  <c r="K544" i="1"/>
  <c r="K299" i="1"/>
  <c r="K672" i="1"/>
  <c r="K407" i="1"/>
  <c r="K791" i="1"/>
  <c r="K485" i="1"/>
  <c r="K245" i="1"/>
  <c r="K451" i="1"/>
  <c r="K748" i="1"/>
  <c r="K265" i="1"/>
  <c r="K645" i="1"/>
  <c r="K16" i="1"/>
  <c r="K915" i="1"/>
  <c r="K368" i="1"/>
  <c r="K154" i="1"/>
  <c r="K114" i="1"/>
  <c r="K376" i="1"/>
  <c r="K136" i="1"/>
  <c r="K684" i="1"/>
  <c r="K372" i="1"/>
  <c r="K440" i="1"/>
  <c r="K157" i="1"/>
  <c r="K250" i="1"/>
  <c r="K679" i="1"/>
  <c r="K472" i="1"/>
  <c r="K216" i="1"/>
  <c r="K52" i="1"/>
  <c r="K1111" i="1"/>
  <c r="K218" i="1"/>
  <c r="K1034" i="1"/>
  <c r="K978" i="1"/>
  <c r="K675" i="1"/>
  <c r="K303" i="1"/>
  <c r="K617" i="1"/>
  <c r="K234" i="1"/>
  <c r="K829" i="1"/>
  <c r="K323" i="1"/>
  <c r="K942" i="1"/>
  <c r="K960" i="1"/>
  <c r="K958" i="1"/>
  <c r="K197" i="1"/>
  <c r="K792" i="1"/>
  <c r="K134" i="1"/>
  <c r="K280" i="1"/>
  <c r="K605" i="1"/>
  <c r="K392" i="1"/>
  <c r="K882" i="1"/>
  <c r="K59" i="1"/>
  <c r="K1003" i="1"/>
  <c r="K1099" i="1"/>
  <c r="K107" i="1"/>
  <c r="K1000" i="1"/>
  <c r="K126" i="1"/>
  <c r="K677" i="1"/>
  <c r="K828" i="1"/>
  <c r="K498" i="1"/>
  <c r="K499" i="1"/>
  <c r="K1065" i="1"/>
  <c r="K665" i="1"/>
  <c r="K951" i="1"/>
  <c r="K366" i="1"/>
  <c r="K876" i="1"/>
  <c r="K349" i="1"/>
  <c r="K377" i="1"/>
  <c r="K796" i="1"/>
  <c r="K731" i="1"/>
  <c r="K1091" i="1"/>
  <c r="K702" i="1"/>
  <c r="K976" i="1"/>
  <c r="K356" i="1"/>
  <c r="K434" i="1"/>
  <c r="K676" i="1"/>
  <c r="K39" i="1"/>
  <c r="K72" i="1"/>
  <c r="K718" i="1"/>
  <c r="K738" i="1"/>
  <c r="K1090" i="1"/>
  <c r="K879" i="1"/>
  <c r="K55" i="1"/>
  <c r="K293" i="1"/>
  <c r="K90" i="1"/>
  <c r="K306" i="1"/>
  <c r="K838" i="1"/>
  <c r="K986" i="1"/>
  <c r="K580" i="1"/>
  <c r="K397" i="1"/>
  <c r="K849" i="1"/>
  <c r="K421" i="1"/>
  <c r="K859" i="1"/>
  <c r="K44" i="1"/>
  <c r="K970" i="1"/>
  <c r="K370" i="1"/>
  <c r="K182" i="1"/>
  <c r="K312" i="1"/>
  <c r="K562" i="1"/>
  <c r="K76" i="1"/>
  <c r="K620" i="1"/>
  <c r="K789" i="1"/>
  <c r="K478" i="1"/>
  <c r="K260" i="1"/>
  <c r="K347" i="1"/>
  <c r="K699" i="1"/>
  <c r="K156" i="1"/>
  <c r="K191" i="1"/>
  <c r="K831" i="1"/>
  <c r="K532" i="1"/>
  <c r="K86" i="1"/>
  <c r="K801" i="1"/>
  <c r="K130" i="1"/>
  <c r="K332" i="1"/>
  <c r="K746" i="1"/>
  <c r="K670" i="1"/>
  <c r="K277" i="1"/>
  <c r="K812" i="1"/>
  <c r="K436" i="1"/>
  <c r="K1050" i="1"/>
  <c r="K918" i="1"/>
  <c r="K348" i="1"/>
  <c r="K47" i="1"/>
  <c r="K707" i="1"/>
  <c r="K977" i="1"/>
  <c r="K911" i="1"/>
  <c r="K91" i="1"/>
  <c r="K534" i="1"/>
  <c r="K706" i="1"/>
  <c r="K449" i="1"/>
  <c r="K249" i="1"/>
  <c r="K251" i="1"/>
  <c r="K886" i="1"/>
  <c r="K89" i="1"/>
  <c r="K365" i="1"/>
  <c r="K492" i="1"/>
  <c r="K1107" i="1"/>
  <c r="K993" i="1"/>
  <c r="K527" i="1"/>
  <c r="K351" i="1"/>
  <c r="K206" i="1"/>
  <c r="K405" i="1"/>
  <c r="K92" i="1"/>
  <c r="K980" i="1"/>
  <c r="K542" i="1"/>
  <c r="K698" i="1"/>
  <c r="K973" i="1"/>
  <c r="K221" i="1"/>
  <c r="K217" i="1"/>
  <c r="K858" i="1"/>
  <c r="K395" i="1"/>
  <c r="K435" i="1"/>
  <c r="K628" i="1"/>
  <c r="K1088" i="1"/>
  <c r="K634" i="1"/>
  <c r="K379" i="1"/>
  <c r="K396" i="1"/>
  <c r="K557" i="1"/>
  <c r="K669" i="1"/>
  <c r="K555" i="1"/>
  <c r="K495" i="1"/>
  <c r="K768" i="1"/>
  <c r="K700" i="1"/>
  <c r="K626" i="1"/>
  <c r="K967" i="1"/>
  <c r="K241" i="1"/>
  <c r="K760" i="1"/>
  <c r="K22" i="1"/>
  <c r="K818" i="1"/>
  <c r="K1022" i="1"/>
  <c r="K461" i="1"/>
  <c r="K410" i="1"/>
  <c r="K166" i="1"/>
  <c r="K600" i="1"/>
  <c r="K568" i="1"/>
  <c r="K1021" i="1"/>
  <c r="K589" i="1"/>
  <c r="K891" i="1"/>
  <c r="K962" i="1"/>
  <c r="K778" i="1"/>
  <c r="K770" i="1"/>
  <c r="K458" i="1"/>
  <c r="K1029" i="1"/>
  <c r="K416" i="1"/>
  <c r="K337" i="1"/>
  <c r="K988" i="1"/>
  <c r="K507" i="1"/>
  <c r="K23" i="1"/>
  <c r="K31" i="1"/>
  <c r="K547" i="1"/>
  <c r="K910" i="1"/>
  <c r="K291" i="1"/>
  <c r="K944" i="1"/>
  <c r="K928" i="1"/>
  <c r="K159" i="1"/>
  <c r="K635" i="1"/>
  <c r="K757" i="1"/>
  <c r="K889" i="1"/>
  <c r="K667" i="1"/>
  <c r="K398" i="1"/>
  <c r="K422" i="1"/>
  <c r="K447" i="1"/>
  <c r="K674" i="1"/>
  <c r="K806" i="1"/>
  <c r="K683" i="1"/>
  <c r="K584" i="1"/>
  <c r="K638" i="1"/>
  <c r="K666" i="1"/>
  <c r="K340" i="1"/>
  <c r="K308" i="1"/>
  <c r="K862" i="1"/>
  <c r="K805" i="1"/>
  <c r="K518" i="1"/>
  <c r="K1058" i="1"/>
  <c r="K924" i="1"/>
  <c r="K20" i="1"/>
  <c r="K1061" i="1"/>
  <c r="K1049" i="1"/>
  <c r="K439" i="1"/>
  <c r="K455" i="1"/>
  <c r="K408" i="1"/>
  <c r="K790" i="1"/>
  <c r="K1005" i="1"/>
  <c r="K885" i="1"/>
  <c r="K868" i="1"/>
  <c r="K1094" i="1"/>
  <c r="K467" i="1"/>
  <c r="K565" i="1"/>
  <c r="K637" i="1"/>
  <c r="K631" i="1"/>
  <c r="K1024" i="1"/>
  <c r="K228" i="1"/>
  <c r="K881" i="1"/>
  <c r="K429" i="1"/>
  <c r="K1031" i="1"/>
  <c r="K1027" i="1"/>
  <c r="K1057" i="1"/>
  <c r="K1105" i="1"/>
  <c r="K1103" i="1"/>
  <c r="K1106" i="1"/>
  <c r="K1104" i="1"/>
  <c r="K880" i="1"/>
  <c r="K762" i="1"/>
  <c r="K364" i="1"/>
  <c r="K1028" i="1"/>
  <c r="K539" i="1"/>
  <c r="K378" i="1"/>
  <c r="K94" i="1"/>
  <c r="K574" i="1"/>
  <c r="K764" i="1"/>
  <c r="K1086" i="1"/>
  <c r="K443" i="1"/>
  <c r="K386" i="1"/>
  <c r="K655" i="1"/>
  <c r="K125" i="1"/>
  <c r="K69" i="1"/>
  <c r="K271" i="1"/>
  <c r="K201" i="1"/>
  <c r="K650" i="1"/>
  <c r="K384" i="1"/>
  <c r="K142" i="1"/>
  <c r="K118" i="1"/>
  <c r="K996" i="1"/>
  <c r="K68" i="1"/>
  <c r="K1008" i="1"/>
  <c r="K1046" i="1"/>
  <c r="K341" i="1"/>
  <c r="K920" i="1"/>
  <c r="K258" i="1"/>
  <c r="K680" i="1"/>
  <c r="K575" i="1"/>
  <c r="K687" i="1"/>
  <c r="K428" i="1"/>
  <c r="K621" i="1"/>
  <c r="K279" i="1"/>
  <c r="K479" i="1"/>
  <c r="K594" i="1"/>
  <c r="K616" i="1"/>
  <c r="K649" i="1"/>
  <c r="K80" i="1"/>
  <c r="K319" i="1"/>
  <c r="K237" i="1"/>
  <c r="K244" i="1"/>
  <c r="K409" i="1"/>
  <c r="K985" i="1"/>
  <c r="K599" i="1"/>
  <c r="K586" i="1"/>
  <c r="K304" i="1"/>
  <c r="K185" i="1"/>
  <c r="K229" i="1"/>
  <c r="K489" i="1"/>
  <c r="K961" i="1"/>
  <c r="K1032" i="1"/>
  <c r="K266" i="1"/>
  <c r="K466" i="1"/>
  <c r="K695" i="1"/>
  <c r="K839" i="1"/>
  <c r="K822" i="1"/>
  <c r="K411" i="1"/>
  <c r="K371" i="1"/>
  <c r="K424" i="1"/>
  <c r="K690" i="1"/>
  <c r="K577" i="1"/>
  <c r="K607" i="1"/>
  <c r="K82" i="1"/>
  <c r="K721" i="1"/>
  <c r="K526" i="1"/>
  <c r="K935" i="1"/>
  <c r="K389" i="1"/>
  <c r="K481" i="1"/>
  <c r="K465" i="1"/>
  <c r="K51" i="1"/>
  <c r="K65" i="1"/>
  <c r="K292" i="1"/>
  <c r="K335" i="1"/>
  <c r="K147" i="1"/>
  <c r="K296" i="1"/>
  <c r="K469" i="1"/>
  <c r="K1033" i="1"/>
  <c r="K811" i="1"/>
  <c r="K728" i="1"/>
  <c r="K529" i="1"/>
  <c r="K1023" i="1"/>
  <c r="K46" i="1"/>
  <c r="K932" i="1"/>
  <c r="K750" i="1"/>
  <c r="K85" i="1"/>
  <c r="K231" i="1"/>
  <c r="K11" i="1"/>
  <c r="K1100" i="1"/>
  <c r="K420" i="1"/>
  <c r="K146" i="1"/>
  <c r="K238" i="1"/>
  <c r="K1080" i="1"/>
  <c r="K290" i="1"/>
  <c r="K1054" i="1"/>
  <c r="K381" i="1"/>
  <c r="K632" i="1"/>
  <c r="K123" i="1"/>
  <c r="K548" i="1"/>
  <c r="K194" i="1"/>
  <c r="K775" i="1"/>
  <c r="K772" i="1"/>
  <c r="K493" i="1"/>
  <c r="K239" i="1"/>
  <c r="K926" i="1"/>
  <c r="K733" i="1"/>
  <c r="K143" i="1"/>
  <c r="K888" i="1"/>
  <c r="K103" i="1"/>
  <c r="K41" i="1"/>
  <c r="K375" i="1"/>
  <c r="K826" i="1"/>
  <c r="K1095" i="1"/>
  <c r="K497" i="1"/>
  <c r="K619" i="1"/>
  <c r="K873" i="1"/>
  <c r="K713" i="1"/>
  <c r="K969" i="1"/>
  <c r="K508" i="1"/>
  <c r="K219" i="1"/>
  <c r="K179" i="1"/>
  <c r="K1007" i="1"/>
  <c r="K765" i="1"/>
  <c r="K1025" i="1"/>
  <c r="K77" i="1"/>
  <c r="K755" i="1"/>
  <c r="K84" i="1"/>
  <c r="K745" i="1"/>
  <c r="K431" i="1"/>
  <c r="K273" i="1"/>
  <c r="K1017" i="1"/>
  <c r="K445" i="1"/>
  <c r="K140" i="1"/>
  <c r="K901" i="1"/>
  <c r="K442" i="1"/>
  <c r="K1112" i="1"/>
  <c r="K56" i="1"/>
  <c r="K531" i="1"/>
  <c r="K369" i="1"/>
  <c r="K749" i="1"/>
  <c r="K151" i="1"/>
  <c r="K483" i="1"/>
  <c r="K262" i="1"/>
  <c r="K661" i="1"/>
  <c r="K689" i="1"/>
  <c r="K861" i="1"/>
  <c r="K73" i="1"/>
  <c r="K121" i="1"/>
  <c r="K432" i="1"/>
  <c r="K423" i="1"/>
  <c r="K132" i="1"/>
  <c r="K550" i="1"/>
  <c r="K553" i="1"/>
  <c r="K119" i="1"/>
  <c r="K773" i="1"/>
  <c r="K8" i="1"/>
  <c r="K1078" i="1"/>
  <c r="K462" i="1"/>
  <c r="K459" i="1"/>
  <c r="K98" i="1"/>
  <c r="K1055" i="1"/>
  <c r="K33" i="1"/>
  <c r="K373" i="1"/>
  <c r="K779" i="1"/>
  <c r="K922" i="1"/>
  <c r="K105" i="1"/>
  <c r="K100" i="1"/>
  <c r="K152" i="1"/>
  <c r="K1075" i="1"/>
  <c r="K693" i="1"/>
  <c r="K380" i="1"/>
  <c r="K588" i="1"/>
  <c r="K128" i="1"/>
  <c r="K776" i="1"/>
  <c r="K1056" i="1"/>
  <c r="K122" i="1"/>
  <c r="K653" i="1"/>
  <c r="K1018" i="1"/>
  <c r="K999" i="1"/>
  <c r="K1102" i="1"/>
  <c r="K211" i="1"/>
  <c r="K106" i="1"/>
  <c r="K87" i="1"/>
  <c r="K941" i="1"/>
  <c r="K662" i="1"/>
  <c r="K490" i="1"/>
  <c r="K1059" i="1"/>
  <c r="K18" i="1"/>
  <c r="K573" i="1"/>
  <c r="K450" i="1"/>
  <c r="K572" i="1"/>
  <c r="K688" i="1"/>
  <c r="K990" i="1"/>
  <c r="K254" i="1"/>
  <c r="K3" i="1"/>
  <c r="K787" i="1"/>
  <c r="K45" i="1"/>
  <c r="K433" i="1"/>
  <c r="K474" i="1"/>
  <c r="K361" i="1"/>
  <c r="K759" i="1"/>
  <c r="K817" i="1"/>
  <c r="K678" i="1"/>
  <c r="K457" i="1"/>
  <c r="K38" i="1"/>
  <c r="K1026" i="1"/>
  <c r="K210" i="1"/>
  <c r="K325" i="1"/>
  <c r="K235" i="1"/>
  <c r="K1077" i="1"/>
  <c r="K259" i="1"/>
  <c r="K1040" i="1"/>
  <c r="K178" i="1"/>
  <c r="K165" i="1"/>
  <c r="K145" i="1"/>
  <c r="K524" i="1"/>
  <c r="K528" i="1"/>
  <c r="K744" i="1"/>
  <c r="K887" i="1"/>
  <c r="K892" i="1"/>
  <c r="K571" i="1"/>
  <c r="K330" i="1"/>
  <c r="K401" i="1"/>
  <c r="K627" i="1"/>
  <c r="K71" i="1"/>
  <c r="K657" i="1"/>
  <c r="K1116" i="1"/>
  <c r="K785" i="1"/>
  <c r="K281" i="1"/>
  <c r="K1093" i="1"/>
  <c r="K943" i="1"/>
  <c r="K441" i="1"/>
  <c r="K780" i="1"/>
  <c r="K272" i="1"/>
  <c r="K269" i="1"/>
  <c r="K814" i="1"/>
  <c r="K192" i="1"/>
  <c r="K342" i="1"/>
  <c r="K453" i="1"/>
  <c r="K17" i="1"/>
  <c r="K116" i="1"/>
  <c r="K150" i="1"/>
  <c r="K195" i="1"/>
  <c r="K388" i="1"/>
  <c r="K248" i="1"/>
  <c r="K596" i="1"/>
  <c r="K338" i="1"/>
  <c r="K855" i="1"/>
  <c r="K452" i="1"/>
  <c r="K108" i="1"/>
  <c r="K1118" i="1"/>
  <c r="K289" i="1"/>
  <c r="K1043" i="1"/>
  <c r="K554" i="1"/>
  <c r="K917" i="1"/>
  <c r="K209" i="1"/>
  <c r="K606" i="1"/>
  <c r="K982" i="1"/>
  <c r="K15" i="1"/>
  <c r="K1047" i="1"/>
  <c r="K710" i="1"/>
  <c r="K21" i="1"/>
  <c r="K300" i="1"/>
  <c r="K633" i="1"/>
  <c r="K1081" i="1"/>
  <c r="K912" i="1"/>
  <c r="K736" i="1"/>
  <c r="K402" i="1"/>
  <c r="K854" i="1"/>
  <c r="K203" i="1"/>
  <c r="K989" i="1"/>
  <c r="K419" i="1"/>
  <c r="K939" i="1"/>
  <c r="K301" i="1"/>
  <c r="K220" i="1"/>
  <c r="K897" i="1"/>
  <c r="K742" i="1"/>
  <c r="K363" i="1"/>
  <c r="K163" i="1"/>
  <c r="K180" i="1"/>
  <c r="K872" i="1"/>
  <c r="K276" i="1"/>
  <c r="K938" i="1"/>
  <c r="K311" i="1"/>
  <c r="K1053" i="1"/>
  <c r="K751" i="1"/>
  <c r="K112" i="1"/>
  <c r="K576" i="1"/>
  <c r="K113" i="1"/>
  <c r="K719" i="1"/>
  <c r="K97" i="1"/>
  <c r="K747" i="1"/>
  <c r="K1115" i="1"/>
  <c r="K1114" i="1"/>
  <c r="K78" i="1"/>
  <c r="K816" i="1"/>
  <c r="K833" i="1"/>
  <c r="K981" i="1"/>
  <c r="K496" i="1"/>
  <c r="K261" i="1"/>
  <c r="K767" i="1"/>
  <c r="K13" i="1"/>
  <c r="K199" i="1"/>
  <c r="K230" i="1"/>
  <c r="K96" i="1"/>
  <c r="K109" i="1"/>
  <c r="K232" i="1"/>
  <c r="K390" i="1"/>
  <c r="K53" i="1"/>
  <c r="K494" i="1"/>
  <c r="K916" i="1"/>
  <c r="K906" i="1"/>
  <c r="K35" i="1"/>
  <c r="K929" i="1"/>
  <c r="K200" i="1"/>
  <c r="K691" i="1"/>
  <c r="K908" i="1"/>
  <c r="K975" i="1"/>
  <c r="K252" i="1"/>
  <c r="K1109" i="1"/>
  <c r="K1098" i="1"/>
  <c r="K321" i="1"/>
  <c r="K324" i="1"/>
  <c r="K591" i="1"/>
  <c r="K79" i="1"/>
  <c r="K582" i="1"/>
  <c r="K446" i="1"/>
  <c r="K4" i="1"/>
  <c r="K902" i="1"/>
  <c r="K137" i="1"/>
  <c r="K54" i="1"/>
  <c r="K601" i="1"/>
  <c r="K983" i="1"/>
  <c r="K460" i="1"/>
  <c r="K1084" i="1"/>
  <c r="K840" i="1"/>
  <c r="K898" i="1"/>
  <c r="K774" i="1"/>
  <c r="K196" i="1"/>
  <c r="K233" i="1"/>
  <c r="K205" i="1"/>
  <c r="K83" i="1"/>
  <c r="K427" i="1"/>
  <c r="K611" i="1"/>
  <c r="K133" i="1"/>
  <c r="K500" i="1"/>
  <c r="K685" i="1"/>
  <c r="K486" i="1"/>
  <c r="K315" i="1"/>
  <c r="K295" i="1"/>
  <c r="K454" i="1"/>
  <c r="K963" i="1"/>
  <c r="K1060" i="1"/>
  <c r="K61" i="1"/>
  <c r="K357" i="1"/>
  <c r="K623" i="1"/>
  <c r="K333" i="1"/>
  <c r="K275" i="1"/>
  <c r="K186" i="1"/>
  <c r="K697" i="1"/>
  <c r="K318" i="1"/>
  <c r="K612" i="1"/>
  <c r="K404" i="1"/>
  <c r="K81" i="1"/>
  <c r="K537" i="1"/>
  <c r="K172" i="1"/>
  <c r="K164" i="1"/>
  <c r="K344" i="1"/>
  <c r="K362" i="1"/>
  <c r="K331" i="1"/>
  <c r="K523" i="1"/>
  <c r="K278" i="1"/>
  <c r="K974" i="1"/>
  <c r="K593" i="1"/>
  <c r="K247" i="1"/>
  <c r="K70" i="1"/>
  <c r="K393" i="1"/>
  <c r="K212" i="1"/>
  <c r="K93" i="1"/>
  <c r="K671" i="1"/>
  <c r="R650" i="1"/>
  <c r="S650" i="1"/>
  <c r="R384" i="1"/>
  <c r="S384" i="1"/>
  <c r="R142" i="1"/>
  <c r="S142" i="1"/>
  <c r="R118" i="1"/>
  <c r="S118" i="1"/>
  <c r="R996" i="1"/>
  <c r="S996" i="1"/>
  <c r="R68" i="1"/>
  <c r="S68" i="1"/>
  <c r="R1008" i="1"/>
  <c r="S1008" i="1"/>
  <c r="R1046" i="1"/>
  <c r="S1046" i="1"/>
  <c r="R341" i="1"/>
  <c r="S341" i="1"/>
  <c r="R920" i="1"/>
  <c r="S920" i="1"/>
  <c r="R258" i="1"/>
  <c r="S258" i="1"/>
  <c r="R680" i="1"/>
  <c r="S680" i="1"/>
  <c r="R575" i="1"/>
  <c r="S575" i="1"/>
  <c r="R687" i="1"/>
  <c r="S687" i="1"/>
  <c r="R428" i="1"/>
  <c r="S428" i="1"/>
  <c r="R621" i="1"/>
  <c r="S621" i="1"/>
  <c r="R279" i="1"/>
  <c r="S279" i="1"/>
  <c r="R479" i="1"/>
  <c r="S479" i="1"/>
  <c r="R594" i="1"/>
  <c r="S594" i="1"/>
  <c r="R616" i="1"/>
  <c r="S616" i="1"/>
  <c r="R649" i="1"/>
  <c r="S649" i="1"/>
  <c r="R80" i="1"/>
  <c r="S80" i="1"/>
  <c r="R319" i="1"/>
  <c r="S319" i="1"/>
  <c r="R237" i="1"/>
  <c r="S237" i="1"/>
  <c r="R244" i="1"/>
  <c r="S244" i="1"/>
  <c r="R409" i="1"/>
  <c r="S409" i="1"/>
  <c r="R985" i="1"/>
  <c r="S985" i="1"/>
  <c r="R599" i="1"/>
  <c r="S599" i="1"/>
  <c r="R586" i="1"/>
  <c r="S586" i="1"/>
  <c r="R304" i="1"/>
  <c r="S304" i="1"/>
  <c r="R185" i="1"/>
  <c r="S185" i="1"/>
  <c r="R229" i="1"/>
  <c r="S229" i="1"/>
  <c r="R489" i="1"/>
  <c r="S489" i="1"/>
  <c r="R961" i="1"/>
  <c r="S961" i="1"/>
  <c r="R1032" i="1"/>
  <c r="S1032" i="1"/>
  <c r="R266" i="1"/>
  <c r="S266" i="1"/>
  <c r="R466" i="1"/>
  <c r="S466" i="1"/>
  <c r="R695" i="1"/>
  <c r="S695" i="1"/>
  <c r="R839" i="1"/>
  <c r="S839" i="1"/>
  <c r="R822" i="1"/>
  <c r="S822" i="1"/>
  <c r="R411" i="1"/>
  <c r="S411" i="1"/>
  <c r="R371" i="1"/>
  <c r="S371" i="1"/>
  <c r="R424" i="1"/>
  <c r="S424" i="1"/>
  <c r="R690" i="1"/>
  <c r="S690" i="1"/>
  <c r="R577" i="1"/>
  <c r="S577" i="1"/>
  <c r="R607" i="1"/>
  <c r="S607" i="1"/>
  <c r="R82" i="1"/>
  <c r="S82" i="1"/>
  <c r="R721" i="1"/>
  <c r="S721" i="1"/>
  <c r="R526" i="1"/>
  <c r="S526" i="1"/>
  <c r="R935" i="1"/>
  <c r="S935" i="1"/>
  <c r="R389" i="1"/>
  <c r="S389" i="1"/>
  <c r="R481" i="1"/>
  <c r="S481" i="1"/>
  <c r="R465" i="1"/>
  <c r="S465" i="1"/>
  <c r="R51" i="1"/>
  <c r="S51" i="1"/>
  <c r="R65" i="1"/>
  <c r="S65" i="1"/>
  <c r="R292" i="1"/>
  <c r="S292" i="1"/>
  <c r="R335" i="1"/>
  <c r="S335" i="1"/>
  <c r="R147" i="1"/>
  <c r="S147" i="1"/>
  <c r="R296" i="1"/>
  <c r="S296" i="1"/>
  <c r="R469" i="1"/>
  <c r="S469" i="1"/>
  <c r="R1033" i="1"/>
  <c r="S1033" i="1"/>
  <c r="R811" i="1"/>
  <c r="S811" i="1"/>
  <c r="R728" i="1"/>
  <c r="S728" i="1"/>
  <c r="R529" i="1"/>
  <c r="S529" i="1"/>
  <c r="R1023" i="1"/>
  <c r="S1023" i="1"/>
  <c r="R46" i="1"/>
  <c r="S46" i="1"/>
  <c r="R932" i="1"/>
  <c r="S932" i="1"/>
  <c r="R750" i="1"/>
  <c r="S750" i="1"/>
  <c r="R85" i="1"/>
  <c r="S85" i="1"/>
  <c r="R231" i="1"/>
  <c r="S231" i="1"/>
  <c r="R11" i="1"/>
  <c r="S11" i="1"/>
  <c r="R1100" i="1"/>
  <c r="S1100" i="1"/>
  <c r="R420" i="1"/>
  <c r="S420" i="1"/>
  <c r="R146" i="1"/>
  <c r="S146" i="1"/>
  <c r="R238" i="1"/>
  <c r="S238" i="1"/>
  <c r="R1080" i="1"/>
  <c r="S1080" i="1"/>
  <c r="R290" i="1"/>
  <c r="S290" i="1"/>
  <c r="R1054" i="1"/>
  <c r="S1054" i="1"/>
  <c r="R381" i="1"/>
  <c r="S381" i="1"/>
  <c r="R632" i="1"/>
  <c r="S632" i="1"/>
  <c r="R123" i="1"/>
  <c r="S123" i="1"/>
  <c r="R548" i="1"/>
  <c r="S548" i="1"/>
  <c r="R194" i="1"/>
  <c r="S194" i="1"/>
  <c r="R775" i="1"/>
  <c r="S775" i="1"/>
  <c r="R772" i="1"/>
  <c r="S772" i="1"/>
  <c r="R493" i="1"/>
  <c r="S493" i="1"/>
  <c r="R239" i="1"/>
  <c r="S239" i="1"/>
  <c r="R926" i="1"/>
  <c r="S926" i="1"/>
  <c r="R733" i="1"/>
  <c r="S733" i="1"/>
  <c r="R143" i="1"/>
  <c r="S143" i="1"/>
  <c r="R888" i="1"/>
  <c r="S888" i="1"/>
  <c r="R103" i="1"/>
  <c r="S103" i="1"/>
  <c r="R41" i="1"/>
  <c r="S41" i="1"/>
  <c r="R375" i="1"/>
  <c r="S375" i="1"/>
  <c r="R826" i="1"/>
  <c r="S826" i="1"/>
  <c r="R1095" i="1"/>
  <c r="S1095" i="1"/>
  <c r="R497" i="1"/>
  <c r="S497" i="1"/>
  <c r="R619" i="1"/>
  <c r="S619" i="1"/>
  <c r="R873" i="1"/>
  <c r="S873" i="1"/>
  <c r="R713" i="1"/>
  <c r="S713" i="1"/>
  <c r="R969" i="1"/>
  <c r="S969" i="1"/>
  <c r="R508" i="1"/>
  <c r="S508" i="1"/>
  <c r="R219" i="1"/>
  <c r="S219" i="1"/>
  <c r="R179" i="1"/>
  <c r="S179" i="1"/>
  <c r="R1007" i="1"/>
  <c r="S1007" i="1"/>
  <c r="R765" i="1"/>
  <c r="S765" i="1"/>
  <c r="R1025" i="1"/>
  <c r="S1025" i="1"/>
  <c r="R77" i="1"/>
  <c r="S77" i="1"/>
  <c r="R755" i="1"/>
  <c r="S755" i="1"/>
  <c r="R84" i="1"/>
  <c r="S84" i="1"/>
  <c r="R745" i="1"/>
  <c r="S745" i="1"/>
  <c r="R431" i="1"/>
  <c r="S431" i="1"/>
  <c r="R273" i="1"/>
  <c r="S273" i="1"/>
  <c r="R1017" i="1"/>
  <c r="S1017" i="1"/>
  <c r="R445" i="1"/>
  <c r="S445" i="1"/>
  <c r="R140" i="1"/>
  <c r="S140" i="1"/>
  <c r="R901" i="1"/>
  <c r="S901" i="1"/>
  <c r="R442" i="1"/>
  <c r="S442" i="1"/>
  <c r="R1112" i="1"/>
  <c r="S1112" i="1"/>
  <c r="R56" i="1"/>
  <c r="S56" i="1"/>
  <c r="R531" i="1"/>
  <c r="S531" i="1"/>
  <c r="R369" i="1"/>
  <c r="S369" i="1"/>
  <c r="R749" i="1"/>
  <c r="S749" i="1"/>
  <c r="R151" i="1"/>
  <c r="S151" i="1"/>
  <c r="R483" i="1"/>
  <c r="S483" i="1"/>
  <c r="R262" i="1"/>
  <c r="S262" i="1"/>
  <c r="R661" i="1"/>
  <c r="S661" i="1"/>
  <c r="R689" i="1"/>
  <c r="S689" i="1"/>
  <c r="R861" i="1"/>
  <c r="S861" i="1"/>
  <c r="R73" i="1"/>
  <c r="S73" i="1"/>
  <c r="R121" i="1"/>
  <c r="S121" i="1"/>
  <c r="R432" i="1"/>
  <c r="S432" i="1"/>
  <c r="R423" i="1"/>
  <c r="S423" i="1"/>
  <c r="R132" i="1"/>
  <c r="S132" i="1"/>
  <c r="R550" i="1"/>
  <c r="S550" i="1"/>
  <c r="R553" i="1"/>
  <c r="S553" i="1"/>
  <c r="R119" i="1"/>
  <c r="S119" i="1"/>
  <c r="R773" i="1"/>
  <c r="S773" i="1"/>
  <c r="R8" i="1"/>
  <c r="S8" i="1"/>
  <c r="R1078" i="1"/>
  <c r="S1078" i="1"/>
  <c r="R462" i="1"/>
  <c r="S462" i="1"/>
  <c r="R459" i="1"/>
  <c r="S459" i="1"/>
  <c r="R98" i="1"/>
  <c r="S98" i="1"/>
  <c r="R1055" i="1"/>
  <c r="S1055" i="1"/>
  <c r="R33" i="1"/>
  <c r="S33" i="1"/>
  <c r="R373" i="1"/>
  <c r="S373" i="1"/>
  <c r="R779" i="1"/>
  <c r="S779" i="1"/>
  <c r="R922" i="1"/>
  <c r="S922" i="1"/>
  <c r="R105" i="1"/>
  <c r="S105" i="1"/>
  <c r="R100" i="1"/>
  <c r="S100" i="1"/>
  <c r="R152" i="1"/>
  <c r="S152" i="1"/>
  <c r="R1075" i="1"/>
  <c r="S1075" i="1"/>
  <c r="R693" i="1"/>
  <c r="S693" i="1"/>
  <c r="R380" i="1"/>
  <c r="S380" i="1"/>
  <c r="R588" i="1"/>
  <c r="S588" i="1"/>
  <c r="R128" i="1"/>
  <c r="S128" i="1"/>
  <c r="R776" i="1"/>
  <c r="S776" i="1"/>
  <c r="R1056" i="1"/>
  <c r="S1056" i="1"/>
  <c r="R122" i="1"/>
  <c r="S122" i="1"/>
  <c r="R653" i="1"/>
  <c r="S653" i="1"/>
  <c r="R1018" i="1"/>
  <c r="S1018" i="1"/>
  <c r="R999" i="1"/>
  <c r="S999" i="1"/>
  <c r="R1102" i="1"/>
  <c r="S1102" i="1"/>
  <c r="R211" i="1"/>
  <c r="S211" i="1"/>
  <c r="R106" i="1"/>
  <c r="S106" i="1"/>
  <c r="R87" i="1"/>
  <c r="S87" i="1"/>
  <c r="R941" i="1"/>
  <c r="S941" i="1"/>
  <c r="R662" i="1"/>
  <c r="S662" i="1"/>
  <c r="R490" i="1"/>
  <c r="S490" i="1"/>
  <c r="R1059" i="1"/>
  <c r="S1059" i="1"/>
  <c r="R18" i="1"/>
  <c r="S18" i="1"/>
  <c r="R573" i="1"/>
  <c r="S573" i="1"/>
  <c r="R450" i="1"/>
  <c r="S450" i="1"/>
  <c r="R572" i="1"/>
  <c r="S572" i="1"/>
  <c r="R688" i="1"/>
  <c r="S688" i="1"/>
  <c r="R990" i="1"/>
  <c r="S990" i="1"/>
  <c r="R254" i="1"/>
  <c r="S254" i="1"/>
  <c r="R3" i="1"/>
  <c r="S3" i="1"/>
  <c r="R787" i="1"/>
  <c r="S787" i="1"/>
  <c r="R45" i="1"/>
  <c r="S45" i="1"/>
  <c r="R433" i="1"/>
  <c r="S433" i="1"/>
  <c r="R474" i="1"/>
  <c r="S474" i="1"/>
  <c r="R361" i="1"/>
  <c r="S361" i="1"/>
  <c r="R759" i="1"/>
  <c r="S759" i="1"/>
  <c r="R817" i="1"/>
  <c r="S817" i="1"/>
  <c r="R678" i="1"/>
  <c r="S678" i="1"/>
  <c r="R457" i="1"/>
  <c r="S457" i="1"/>
  <c r="R38" i="1"/>
  <c r="S38" i="1"/>
  <c r="R1026" i="1"/>
  <c r="S1026" i="1"/>
  <c r="R210" i="1"/>
  <c r="S210" i="1"/>
  <c r="R325" i="1"/>
  <c r="S325" i="1"/>
  <c r="R235" i="1"/>
  <c r="S235" i="1"/>
  <c r="R1077" i="1"/>
  <c r="S1077" i="1"/>
  <c r="R259" i="1"/>
  <c r="S259" i="1"/>
  <c r="R1040" i="1"/>
  <c r="S1040" i="1"/>
  <c r="R178" i="1"/>
  <c r="S178" i="1"/>
  <c r="R165" i="1"/>
  <c r="S165" i="1"/>
  <c r="R145" i="1"/>
  <c r="S145" i="1"/>
  <c r="R524" i="1"/>
  <c r="S524" i="1"/>
  <c r="R528" i="1"/>
  <c r="S528" i="1"/>
  <c r="R744" i="1"/>
  <c r="S744" i="1"/>
  <c r="R887" i="1"/>
  <c r="S887" i="1"/>
  <c r="R892" i="1"/>
  <c r="S892" i="1"/>
  <c r="R571" i="1"/>
  <c r="S571" i="1"/>
  <c r="R330" i="1"/>
  <c r="S330" i="1"/>
  <c r="R401" i="1"/>
  <c r="S401" i="1"/>
  <c r="R627" i="1"/>
  <c r="S627" i="1"/>
  <c r="R71" i="1"/>
  <c r="S71" i="1"/>
  <c r="R657" i="1"/>
  <c r="S657" i="1"/>
  <c r="R1116" i="1"/>
  <c r="S1116" i="1"/>
  <c r="R785" i="1"/>
  <c r="S785" i="1"/>
  <c r="R281" i="1"/>
  <c r="S281" i="1"/>
  <c r="R1093" i="1"/>
  <c r="S1093" i="1"/>
  <c r="R943" i="1"/>
  <c r="S943" i="1"/>
  <c r="R441" i="1"/>
  <c r="S441" i="1"/>
  <c r="R780" i="1"/>
  <c r="S780" i="1"/>
  <c r="R272" i="1"/>
  <c r="S272" i="1"/>
  <c r="R269" i="1"/>
  <c r="S269" i="1"/>
  <c r="R814" i="1"/>
  <c r="S814" i="1"/>
  <c r="R192" i="1"/>
  <c r="S192" i="1"/>
  <c r="R342" i="1"/>
  <c r="S342" i="1"/>
  <c r="R453" i="1"/>
  <c r="S453" i="1"/>
  <c r="R17" i="1"/>
  <c r="S17" i="1"/>
  <c r="R116" i="1"/>
  <c r="S116" i="1"/>
  <c r="R150" i="1"/>
  <c r="S150" i="1"/>
  <c r="R195" i="1"/>
  <c r="S195" i="1"/>
  <c r="R388" i="1"/>
  <c r="S388" i="1"/>
  <c r="R248" i="1"/>
  <c r="S248" i="1"/>
  <c r="R596" i="1"/>
  <c r="S596" i="1"/>
  <c r="R338" i="1"/>
  <c r="S338" i="1"/>
  <c r="R855" i="1"/>
  <c r="S855" i="1"/>
  <c r="R452" i="1"/>
  <c r="S452" i="1"/>
  <c r="R108" i="1"/>
  <c r="S108" i="1"/>
  <c r="R1118" i="1"/>
  <c r="S1118" i="1"/>
  <c r="R289" i="1"/>
  <c r="S289" i="1"/>
  <c r="R1043" i="1"/>
  <c r="S1043" i="1"/>
  <c r="R554" i="1"/>
  <c r="S554" i="1"/>
  <c r="R917" i="1"/>
  <c r="S917" i="1"/>
  <c r="R209" i="1"/>
  <c r="S209" i="1"/>
  <c r="R606" i="1"/>
  <c r="S606" i="1"/>
  <c r="R982" i="1"/>
  <c r="S982" i="1"/>
  <c r="R15" i="1"/>
  <c r="S15" i="1"/>
  <c r="R1047" i="1"/>
  <c r="S1047" i="1"/>
  <c r="R710" i="1"/>
  <c r="S710" i="1"/>
  <c r="R21" i="1"/>
  <c r="S21" i="1"/>
  <c r="R300" i="1"/>
  <c r="S300" i="1"/>
  <c r="R633" i="1"/>
  <c r="S633" i="1"/>
  <c r="R1081" i="1"/>
  <c r="S1081" i="1"/>
  <c r="R912" i="1"/>
  <c r="S912" i="1"/>
  <c r="R736" i="1"/>
  <c r="S736" i="1"/>
  <c r="R402" i="1"/>
  <c r="S402" i="1"/>
  <c r="R854" i="1"/>
  <c r="S854" i="1"/>
  <c r="R203" i="1"/>
  <c r="S203" i="1"/>
  <c r="R989" i="1"/>
  <c r="S989" i="1"/>
  <c r="R419" i="1"/>
  <c r="S419" i="1"/>
  <c r="R939" i="1"/>
  <c r="S939" i="1"/>
  <c r="R301" i="1"/>
  <c r="S301" i="1"/>
  <c r="R220" i="1"/>
  <c r="S220" i="1"/>
  <c r="R897" i="1"/>
  <c r="S897" i="1"/>
  <c r="R742" i="1"/>
  <c r="S742" i="1"/>
  <c r="R363" i="1"/>
  <c r="S363" i="1"/>
  <c r="R163" i="1"/>
  <c r="S163" i="1"/>
  <c r="R180" i="1"/>
  <c r="S180" i="1"/>
  <c r="R872" i="1"/>
  <c r="S872" i="1"/>
  <c r="R276" i="1"/>
  <c r="S276" i="1"/>
  <c r="R938" i="1"/>
  <c r="S938" i="1"/>
  <c r="R311" i="1"/>
  <c r="S311" i="1"/>
  <c r="R1053" i="1"/>
  <c r="S1053" i="1"/>
  <c r="R751" i="1"/>
  <c r="S751" i="1"/>
  <c r="R112" i="1"/>
  <c r="S112" i="1"/>
  <c r="R576" i="1"/>
  <c r="S576" i="1"/>
  <c r="R113" i="1"/>
  <c r="S113" i="1"/>
  <c r="R719" i="1"/>
  <c r="S719" i="1"/>
  <c r="R97" i="1"/>
  <c r="S97" i="1"/>
  <c r="R747" i="1"/>
  <c r="S747" i="1"/>
  <c r="R1115" i="1"/>
  <c r="S1115" i="1"/>
  <c r="R1114" i="1"/>
  <c r="S1114" i="1"/>
  <c r="R78" i="1"/>
  <c r="S78" i="1"/>
  <c r="R816" i="1"/>
  <c r="S816" i="1"/>
  <c r="R833" i="1"/>
  <c r="S833" i="1"/>
  <c r="R981" i="1"/>
  <c r="S981" i="1"/>
  <c r="R496" i="1"/>
  <c r="S496" i="1"/>
  <c r="R261" i="1"/>
  <c r="S261" i="1"/>
  <c r="R767" i="1"/>
  <c r="S767" i="1"/>
  <c r="R13" i="1"/>
  <c r="S13" i="1"/>
  <c r="R199" i="1"/>
  <c r="S199" i="1"/>
  <c r="R230" i="1"/>
  <c r="S230" i="1"/>
  <c r="R96" i="1"/>
  <c r="S96" i="1"/>
  <c r="R109" i="1"/>
  <c r="S109" i="1"/>
  <c r="R232" i="1"/>
  <c r="S232" i="1"/>
  <c r="R390" i="1"/>
  <c r="S390" i="1"/>
  <c r="R53" i="1"/>
  <c r="S53" i="1"/>
  <c r="R494" i="1"/>
  <c r="S494" i="1"/>
  <c r="R916" i="1"/>
  <c r="S916" i="1"/>
  <c r="R906" i="1"/>
  <c r="S906" i="1"/>
  <c r="R35" i="1"/>
  <c r="S35" i="1"/>
  <c r="R929" i="1"/>
  <c r="S929" i="1"/>
  <c r="R200" i="1"/>
  <c r="S200" i="1"/>
  <c r="R691" i="1"/>
  <c r="S691" i="1"/>
  <c r="R908" i="1"/>
  <c r="S908" i="1"/>
  <c r="R975" i="1"/>
  <c r="S975" i="1"/>
  <c r="R252" i="1"/>
  <c r="S252" i="1"/>
  <c r="R1109" i="1"/>
  <c r="S1109" i="1"/>
  <c r="R1098" i="1"/>
  <c r="S1098" i="1"/>
  <c r="R321" i="1"/>
  <c r="S321" i="1"/>
  <c r="R324" i="1"/>
  <c r="S324" i="1"/>
  <c r="R591" i="1"/>
  <c r="S591" i="1"/>
  <c r="R79" i="1"/>
  <c r="S79" i="1"/>
  <c r="R582" i="1"/>
  <c r="S582" i="1"/>
  <c r="R446" i="1"/>
  <c r="S446" i="1"/>
  <c r="R4" i="1"/>
  <c r="S4" i="1"/>
  <c r="R902" i="1"/>
  <c r="S902" i="1"/>
  <c r="R137" i="1"/>
  <c r="S137" i="1"/>
  <c r="R54" i="1"/>
  <c r="S54" i="1"/>
  <c r="R601" i="1"/>
  <c r="S601" i="1"/>
  <c r="R983" i="1"/>
  <c r="S983" i="1"/>
  <c r="R460" i="1"/>
  <c r="S460" i="1"/>
  <c r="R1084" i="1"/>
  <c r="S1084" i="1"/>
  <c r="R840" i="1"/>
  <c r="S840" i="1"/>
  <c r="R898" i="1"/>
  <c r="S898" i="1"/>
  <c r="R774" i="1"/>
  <c r="S774" i="1"/>
  <c r="R196" i="1"/>
  <c r="S196" i="1"/>
  <c r="R233" i="1"/>
  <c r="S233" i="1"/>
  <c r="R205" i="1"/>
  <c r="S205" i="1"/>
  <c r="R83" i="1"/>
  <c r="S83" i="1"/>
  <c r="R427" i="1"/>
  <c r="S427" i="1"/>
  <c r="R611" i="1"/>
  <c r="S611" i="1"/>
  <c r="R133" i="1"/>
  <c r="S133" i="1"/>
  <c r="R500" i="1"/>
  <c r="S500" i="1"/>
  <c r="R685" i="1"/>
  <c r="S685" i="1"/>
  <c r="R486" i="1"/>
  <c r="S486" i="1"/>
  <c r="R315" i="1"/>
  <c r="S315" i="1"/>
  <c r="R295" i="1"/>
  <c r="S295" i="1"/>
  <c r="R454" i="1"/>
  <c r="S454" i="1"/>
  <c r="R963" i="1"/>
  <c r="S963" i="1"/>
  <c r="R1060" i="1"/>
  <c r="S1060" i="1"/>
  <c r="R61" i="1"/>
  <c r="S61" i="1"/>
  <c r="R357" i="1"/>
  <c r="S357" i="1"/>
  <c r="R623" i="1"/>
  <c r="S623" i="1"/>
  <c r="R333" i="1"/>
  <c r="S333" i="1"/>
  <c r="R275" i="1"/>
  <c r="S275" i="1"/>
  <c r="R186" i="1"/>
  <c r="S186" i="1"/>
  <c r="R697" i="1"/>
  <c r="S697" i="1"/>
  <c r="R318" i="1"/>
  <c r="S318" i="1"/>
  <c r="R612" i="1"/>
  <c r="S612" i="1"/>
  <c r="R404" i="1"/>
  <c r="S404" i="1"/>
  <c r="R81" i="1"/>
  <c r="S81" i="1"/>
  <c r="R537" i="1"/>
  <c r="S537" i="1"/>
  <c r="R172" i="1"/>
  <c r="S172" i="1"/>
  <c r="R164" i="1"/>
  <c r="S164" i="1"/>
  <c r="R344" i="1"/>
  <c r="S344" i="1"/>
  <c r="R362" i="1"/>
  <c r="S362" i="1"/>
  <c r="R331" i="1"/>
  <c r="S331" i="1"/>
  <c r="R523" i="1"/>
  <c r="S523" i="1"/>
  <c r="R278" i="1"/>
  <c r="S278" i="1"/>
  <c r="R974" i="1"/>
  <c r="S974" i="1"/>
  <c r="R593" i="1"/>
  <c r="S593" i="1"/>
  <c r="R247" i="1"/>
  <c r="S247" i="1"/>
  <c r="R70" i="1"/>
  <c r="S70" i="1"/>
  <c r="R393" i="1"/>
  <c r="S393" i="1"/>
  <c r="R212" i="1"/>
  <c r="S212" i="1"/>
  <c r="R93" i="1"/>
  <c r="S93" i="1"/>
  <c r="R671" i="1"/>
  <c r="S671" i="1"/>
  <c r="R204" i="1"/>
  <c r="S204" i="1"/>
  <c r="R359" i="1"/>
  <c r="S359" i="1"/>
  <c r="R339" i="1"/>
  <c r="S339" i="1"/>
  <c r="R613" i="1"/>
  <c r="S613" i="1"/>
  <c r="R538" i="1"/>
  <c r="S538" i="1"/>
  <c r="R979" i="1"/>
  <c r="S979" i="1"/>
  <c r="R756" i="1"/>
  <c r="S756" i="1"/>
  <c r="R66" i="1"/>
  <c r="S66" i="1"/>
  <c r="R971" i="1"/>
  <c r="S971" i="1"/>
  <c r="R567" i="1"/>
  <c r="S567" i="1"/>
  <c r="R543" i="1"/>
  <c r="S543" i="1"/>
  <c r="R946" i="1"/>
  <c r="S946" i="1"/>
  <c r="R763" i="1"/>
  <c r="S763" i="1"/>
  <c r="R708" i="1"/>
  <c r="S708" i="1"/>
  <c r="R940" i="1"/>
  <c r="S940" i="1"/>
  <c r="R622" i="1"/>
  <c r="S622" i="1"/>
  <c r="R968" i="1"/>
  <c r="S968" i="1"/>
  <c r="R860" i="1"/>
  <c r="S860" i="1"/>
  <c r="R1072" i="1"/>
  <c r="S1072" i="1"/>
  <c r="R972" i="1"/>
  <c r="S972" i="1"/>
  <c r="R730" i="1"/>
  <c r="S730" i="1"/>
  <c r="R845" i="1"/>
  <c r="S845" i="1"/>
  <c r="R923" i="1"/>
  <c r="S923" i="1"/>
  <c r="R692" i="1"/>
  <c r="S692" i="1"/>
  <c r="R821" i="1"/>
  <c r="S821" i="1"/>
  <c r="R799" i="1"/>
  <c r="S799" i="1"/>
  <c r="R643" i="1"/>
  <c r="S643" i="1"/>
  <c r="R625" i="1"/>
  <c r="S625" i="1"/>
  <c r="R950" i="1"/>
  <c r="S950" i="1"/>
  <c r="R1037" i="1"/>
  <c r="S1037" i="1"/>
  <c r="R919" i="1"/>
  <c r="S919" i="1"/>
  <c r="R1063" i="1"/>
  <c r="S1063" i="1"/>
  <c r="R135" i="1"/>
  <c r="S135" i="1"/>
  <c r="R850" i="1"/>
  <c r="S850" i="1"/>
  <c r="R430" i="1"/>
  <c r="S430" i="1"/>
  <c r="R287" i="1"/>
  <c r="S287" i="1"/>
  <c r="R536" i="1"/>
  <c r="S536" i="1"/>
  <c r="R158" i="1"/>
  <c r="S158" i="1"/>
  <c r="R786" i="1"/>
  <c r="S786" i="1"/>
  <c r="R307" i="1"/>
  <c r="S307" i="1"/>
  <c r="R552" i="1"/>
  <c r="S552" i="1"/>
  <c r="R556" i="1"/>
  <c r="S556" i="1"/>
  <c r="R630" i="1"/>
  <c r="S630" i="1"/>
  <c r="R169" i="1"/>
  <c r="S169" i="1"/>
  <c r="R1013" i="1"/>
  <c r="S1013" i="1"/>
  <c r="R43" i="1"/>
  <c r="S43" i="1"/>
  <c r="R129" i="1"/>
  <c r="S129" i="1"/>
  <c r="AG676" i="1"/>
  <c r="AG39" i="1"/>
  <c r="AG72" i="1"/>
  <c r="AG718" i="1"/>
  <c r="AG738" i="1"/>
  <c r="AG1090" i="1"/>
  <c r="AG879" i="1"/>
  <c r="AG55" i="1"/>
  <c r="AG293" i="1"/>
  <c r="AG90" i="1"/>
  <c r="AG306" i="1"/>
  <c r="AG838" i="1"/>
  <c r="AG986" i="1"/>
  <c r="AG580" i="1"/>
  <c r="AG397" i="1"/>
  <c r="AG849" i="1"/>
  <c r="AG421" i="1"/>
  <c r="AG859" i="1"/>
  <c r="AG44" i="1"/>
  <c r="AG970" i="1"/>
  <c r="AG370" i="1"/>
  <c r="AG182" i="1"/>
  <c r="AG312" i="1"/>
  <c r="AG562" i="1"/>
  <c r="AG76" i="1"/>
  <c r="AG620" i="1"/>
  <c r="AG789" i="1"/>
  <c r="AG478" i="1"/>
  <c r="AG260" i="1"/>
  <c r="AG347" i="1"/>
  <c r="AG699" i="1"/>
  <c r="AG156" i="1"/>
  <c r="AG191" i="1"/>
  <c r="AG831" i="1"/>
  <c r="AG532" i="1"/>
  <c r="AG86" i="1"/>
  <c r="AG801" i="1"/>
  <c r="AG130" i="1"/>
  <c r="AG332" i="1"/>
  <c r="AG746" i="1"/>
  <c r="AG670" i="1"/>
  <c r="AG277" i="1"/>
  <c r="AG812" i="1"/>
  <c r="AG436" i="1"/>
  <c r="AG1050" i="1"/>
  <c r="AG918" i="1"/>
  <c r="AG348" i="1"/>
  <c r="AG47" i="1"/>
  <c r="AG707" i="1"/>
  <c r="AG977" i="1"/>
  <c r="AG911" i="1"/>
  <c r="AG91" i="1"/>
  <c r="AG534" i="1"/>
  <c r="AG706" i="1"/>
  <c r="AG449" i="1"/>
  <c r="AG249" i="1"/>
  <c r="AG251" i="1"/>
  <c r="AG886" i="1"/>
  <c r="AG89" i="1"/>
  <c r="AG365" i="1"/>
  <c r="AG492" i="1"/>
  <c r="AG1107" i="1"/>
  <c r="AG993" i="1"/>
  <c r="AG527" i="1"/>
  <c r="AG351" i="1"/>
  <c r="AG206" i="1"/>
  <c r="AG405" i="1"/>
  <c r="AG92" i="1"/>
  <c r="AG980" i="1"/>
  <c r="AG542" i="1"/>
  <c r="AG698" i="1"/>
  <c r="AG973" i="1"/>
  <c r="AG221" i="1"/>
  <c r="AG217" i="1"/>
  <c r="AG858" i="1"/>
  <c r="AG395" i="1"/>
  <c r="AG435" i="1"/>
  <c r="AG628" i="1"/>
  <c r="AG1088" i="1"/>
  <c r="AG634" i="1"/>
  <c r="AG379" i="1"/>
  <c r="AG396" i="1"/>
  <c r="AG557" i="1"/>
  <c r="AG669" i="1"/>
  <c r="AG555" i="1"/>
  <c r="AG495" i="1"/>
  <c r="AG768" i="1"/>
  <c r="AG700" i="1"/>
  <c r="AG626" i="1"/>
  <c r="AG967" i="1"/>
  <c r="AG241" i="1"/>
  <c r="AG760" i="1"/>
  <c r="AG22" i="1"/>
  <c r="AG818" i="1"/>
  <c r="AG1022" i="1"/>
  <c r="AG461" i="1"/>
  <c r="AG410" i="1"/>
  <c r="AG166" i="1"/>
  <c r="AG600" i="1"/>
  <c r="AG568" i="1"/>
  <c r="AG1021" i="1"/>
  <c r="AG589" i="1"/>
  <c r="AG891" i="1"/>
  <c r="AG962" i="1"/>
  <c r="AG778" i="1"/>
  <c r="AG770" i="1"/>
  <c r="AG458" i="1"/>
  <c r="AG1029" i="1"/>
  <c r="AG416" i="1"/>
  <c r="AG337" i="1"/>
  <c r="AG988" i="1"/>
  <c r="AG507" i="1"/>
  <c r="AG23" i="1"/>
  <c r="AG31" i="1"/>
  <c r="AG547" i="1"/>
  <c r="AG910" i="1"/>
  <c r="AG291" i="1"/>
  <c r="AG944" i="1"/>
  <c r="AG928" i="1"/>
  <c r="AG159" i="1"/>
  <c r="AG635" i="1"/>
  <c r="AG757" i="1"/>
  <c r="AG889" i="1"/>
  <c r="AG667" i="1"/>
  <c r="AG398" i="1"/>
  <c r="AG422" i="1"/>
  <c r="AG447" i="1"/>
  <c r="AG674" i="1"/>
  <c r="AG806" i="1"/>
  <c r="AG683" i="1"/>
  <c r="AG584" i="1"/>
  <c r="AG638" i="1"/>
  <c r="AG666" i="1"/>
  <c r="AG340" i="1"/>
  <c r="AG308" i="1"/>
  <c r="AG862" i="1"/>
  <c r="AG805" i="1"/>
  <c r="AG518" i="1"/>
  <c r="AG1058" i="1"/>
  <c r="AG924" i="1"/>
  <c r="AG20" i="1"/>
  <c r="AG1061" i="1"/>
  <c r="AG1049" i="1"/>
  <c r="AG439" i="1"/>
  <c r="AG455" i="1"/>
  <c r="AG408" i="1"/>
  <c r="AG790" i="1"/>
  <c r="AG1005" i="1"/>
  <c r="AG885" i="1"/>
  <c r="AG868" i="1"/>
  <c r="AG1094" i="1"/>
  <c r="AG467" i="1"/>
  <c r="AG565" i="1"/>
  <c r="AG637" i="1"/>
  <c r="AG631" i="1"/>
  <c r="AG1024" i="1"/>
  <c r="AG228" i="1"/>
  <c r="AG881" i="1"/>
  <c r="AG429" i="1"/>
  <c r="AG1031" i="1"/>
  <c r="AG1027" i="1"/>
  <c r="AG1057" i="1"/>
  <c r="AG1105" i="1"/>
  <c r="AG1103" i="1"/>
  <c r="AG1106" i="1"/>
  <c r="AG1104" i="1"/>
  <c r="AG880" i="1"/>
  <c r="AG762" i="1"/>
  <c r="AG364" i="1"/>
  <c r="AG1028" i="1"/>
  <c r="AG539" i="1"/>
  <c r="AG378" i="1"/>
  <c r="AG94" i="1"/>
  <c r="AG574" i="1"/>
  <c r="AG764" i="1"/>
  <c r="AG1086" i="1"/>
  <c r="AG443" i="1"/>
  <c r="AG386" i="1"/>
  <c r="AG655" i="1"/>
  <c r="AG125" i="1"/>
  <c r="AG69" i="1"/>
  <c r="AG271" i="1"/>
  <c r="AG201" i="1"/>
  <c r="AG650" i="1"/>
  <c r="AG384" i="1"/>
  <c r="AG142" i="1"/>
  <c r="AG118" i="1"/>
  <c r="AG996" i="1"/>
  <c r="AG68" i="1"/>
  <c r="AG1008" i="1"/>
  <c r="AG1046" i="1"/>
  <c r="AG341" i="1"/>
  <c r="AG920" i="1"/>
  <c r="AG258" i="1"/>
  <c r="AG680" i="1"/>
  <c r="AG575" i="1"/>
  <c r="AG687" i="1"/>
  <c r="AG428" i="1"/>
  <c r="AG621" i="1"/>
  <c r="AG279" i="1"/>
  <c r="AG479" i="1"/>
  <c r="AG594" i="1"/>
  <c r="AG616" i="1"/>
  <c r="AG649" i="1"/>
  <c r="AG80" i="1"/>
  <c r="AG319" i="1"/>
  <c r="AG237" i="1"/>
  <c r="AG244" i="1"/>
  <c r="AG409" i="1"/>
  <c r="AG985" i="1"/>
  <c r="AG599" i="1"/>
  <c r="AG586" i="1"/>
  <c r="AG304" i="1"/>
  <c r="AG185" i="1"/>
  <c r="AG229" i="1"/>
  <c r="AG489" i="1"/>
  <c r="AG961" i="1"/>
  <c r="AG1032" i="1"/>
  <c r="AG266" i="1"/>
  <c r="AG466" i="1"/>
  <c r="AG695" i="1"/>
  <c r="AG839" i="1"/>
  <c r="AG822" i="1"/>
  <c r="AG411" i="1"/>
  <c r="AG371" i="1"/>
  <c r="AG424" i="1"/>
  <c r="AG690" i="1"/>
  <c r="AG577" i="1"/>
  <c r="AG607" i="1"/>
  <c r="AG82" i="1"/>
  <c r="AG721" i="1"/>
  <c r="AG526" i="1"/>
  <c r="AG935" i="1"/>
  <c r="AG389" i="1"/>
  <c r="AG481" i="1"/>
  <c r="AG465" i="1"/>
  <c r="AG51" i="1"/>
  <c r="AG65" i="1"/>
  <c r="AG292" i="1"/>
  <c r="AG335" i="1"/>
  <c r="AG147" i="1"/>
  <c r="AG296" i="1"/>
  <c r="AG469" i="1"/>
  <c r="AG1033" i="1"/>
  <c r="AG811" i="1"/>
  <c r="AG728" i="1"/>
  <c r="AG529" i="1"/>
  <c r="AG1023" i="1"/>
  <c r="AG46" i="1"/>
  <c r="AG932" i="1"/>
  <c r="AG750" i="1"/>
  <c r="AG85" i="1"/>
  <c r="AG231" i="1"/>
  <c r="AG11" i="1"/>
  <c r="AG1100" i="1"/>
  <c r="AG420" i="1"/>
  <c r="AG146" i="1"/>
  <c r="AG238" i="1"/>
  <c r="AG1080" i="1"/>
  <c r="AG290" i="1"/>
  <c r="AG1054" i="1"/>
  <c r="AG381" i="1"/>
  <c r="AG632" i="1"/>
  <c r="AG123" i="1"/>
  <c r="AG548" i="1"/>
  <c r="AG194" i="1"/>
  <c r="AG775" i="1"/>
  <c r="AG772" i="1"/>
  <c r="AG493" i="1"/>
  <c r="AG239" i="1"/>
  <c r="AG926" i="1"/>
  <c r="AG733" i="1"/>
  <c r="AG143" i="1"/>
  <c r="AG888" i="1"/>
  <c r="AG103" i="1"/>
  <c r="AG41" i="1"/>
  <c r="AG375" i="1"/>
  <c r="AG826" i="1"/>
  <c r="AG1095" i="1"/>
  <c r="AG497" i="1"/>
  <c r="AG619" i="1"/>
  <c r="AG873" i="1"/>
  <c r="AG713" i="1"/>
  <c r="AG969" i="1"/>
  <c r="AG508" i="1"/>
  <c r="AG219" i="1"/>
  <c r="AG179" i="1"/>
  <c r="AG1007" i="1"/>
  <c r="AG765" i="1"/>
  <c r="AG1025" i="1"/>
  <c r="AG77" i="1"/>
  <c r="AG755" i="1"/>
  <c r="AG84" i="1"/>
  <c r="AG745" i="1"/>
  <c r="AG431" i="1"/>
  <c r="AG273" i="1"/>
  <c r="AG1017" i="1"/>
  <c r="AG445" i="1"/>
  <c r="AG140" i="1"/>
  <c r="AG901" i="1"/>
  <c r="AG442" i="1"/>
  <c r="AG1112" i="1"/>
  <c r="AG56" i="1"/>
  <c r="AG531" i="1"/>
  <c r="AG369" i="1"/>
  <c r="AG749" i="1"/>
  <c r="AG151" i="1"/>
  <c r="AG483" i="1"/>
  <c r="AG262" i="1"/>
  <c r="AG661" i="1"/>
  <c r="AG689" i="1"/>
  <c r="AG861" i="1"/>
  <c r="AG73" i="1"/>
  <c r="AG121" i="1"/>
  <c r="AG432" i="1"/>
  <c r="AG423" i="1"/>
  <c r="AG132" i="1"/>
  <c r="AG550" i="1"/>
  <c r="AG553" i="1"/>
  <c r="AG119" i="1"/>
  <c r="AG773" i="1"/>
  <c r="AG8" i="1"/>
  <c r="AG1078" i="1"/>
  <c r="AG462" i="1"/>
  <c r="AG459" i="1"/>
  <c r="AG98" i="1"/>
  <c r="AG1055" i="1"/>
  <c r="AG33" i="1"/>
  <c r="AG373" i="1"/>
  <c r="AG779" i="1"/>
  <c r="AG922" i="1"/>
  <c r="AG105" i="1"/>
  <c r="AG100" i="1"/>
  <c r="AG152" i="1"/>
  <c r="AG1075" i="1"/>
  <c r="AG693" i="1"/>
  <c r="AG380" i="1"/>
  <c r="AG588" i="1"/>
  <c r="AG128" i="1"/>
  <c r="AG776" i="1"/>
  <c r="AG1056" i="1"/>
  <c r="AG122" i="1"/>
  <c r="AG653" i="1"/>
  <c r="AG1018" i="1"/>
  <c r="AG999" i="1"/>
  <c r="AG1102" i="1"/>
  <c r="AG211" i="1"/>
  <c r="AG106" i="1"/>
  <c r="AG87" i="1"/>
  <c r="AG941" i="1"/>
  <c r="AG662" i="1"/>
  <c r="AG490" i="1"/>
  <c r="AG1059" i="1"/>
  <c r="AG18" i="1"/>
  <c r="AG573" i="1"/>
  <c r="AG450" i="1"/>
  <c r="AG572" i="1"/>
  <c r="AG688" i="1"/>
  <c r="AG990" i="1"/>
  <c r="AG254" i="1"/>
  <c r="AG3" i="1"/>
  <c r="AG787" i="1"/>
  <c r="AG45" i="1"/>
  <c r="AG433" i="1"/>
  <c r="AG474" i="1"/>
  <c r="AG361" i="1"/>
  <c r="AG759" i="1"/>
  <c r="AG817" i="1"/>
  <c r="AG678" i="1"/>
  <c r="AG457" i="1"/>
  <c r="AG38" i="1"/>
  <c r="AG1026" i="1"/>
  <c r="AG210" i="1"/>
  <c r="AG325" i="1"/>
  <c r="AG235" i="1"/>
  <c r="AG1077" i="1"/>
  <c r="AG259" i="1"/>
  <c r="AG1040" i="1"/>
  <c r="AG178" i="1"/>
  <c r="AG165" i="1"/>
  <c r="AG145" i="1"/>
  <c r="AG524" i="1"/>
  <c r="AG528" i="1"/>
  <c r="AG744" i="1"/>
  <c r="AG887" i="1"/>
  <c r="AG892" i="1"/>
  <c r="AG571" i="1"/>
  <c r="AG330" i="1"/>
  <c r="AG401" i="1"/>
  <c r="AG627" i="1"/>
  <c r="AG71" i="1"/>
  <c r="AG657" i="1"/>
  <c r="AG1116" i="1"/>
  <c r="AG785" i="1"/>
  <c r="AG281" i="1"/>
  <c r="AG1093" i="1"/>
  <c r="AG943" i="1"/>
  <c r="AG441" i="1"/>
  <c r="AG780" i="1"/>
  <c r="AG272" i="1"/>
  <c r="AG269" i="1"/>
  <c r="AG814" i="1"/>
  <c r="AG192" i="1"/>
  <c r="AG342" i="1"/>
  <c r="AG453" i="1"/>
  <c r="AG17" i="1"/>
  <c r="AG116" i="1"/>
  <c r="AG150" i="1"/>
  <c r="AG195" i="1"/>
  <c r="AG388" i="1"/>
  <c r="AG248" i="1"/>
  <c r="AG596" i="1"/>
  <c r="AG338" i="1"/>
  <c r="AG855" i="1"/>
  <c r="AG452" i="1"/>
  <c r="AG108" i="1"/>
  <c r="AG1118" i="1"/>
  <c r="AG289" i="1"/>
  <c r="AG1043" i="1"/>
  <c r="AG554" i="1"/>
  <c r="AG917" i="1"/>
  <c r="AG209" i="1"/>
  <c r="AG606" i="1"/>
  <c r="AG982" i="1"/>
  <c r="AG15" i="1"/>
  <c r="AG1047" i="1"/>
  <c r="AG710" i="1"/>
  <c r="AG21" i="1"/>
  <c r="AG300" i="1"/>
  <c r="AG633" i="1"/>
  <c r="AG1081" i="1"/>
  <c r="AG912" i="1"/>
  <c r="AG736" i="1"/>
  <c r="AG402" i="1"/>
  <c r="AG854" i="1"/>
  <c r="AG203" i="1"/>
  <c r="AG989" i="1"/>
  <c r="AG419" i="1"/>
  <c r="AG939" i="1"/>
  <c r="AG301" i="1"/>
  <c r="AG220" i="1"/>
  <c r="AG897" i="1"/>
  <c r="AG742" i="1"/>
  <c r="AG363" i="1"/>
  <c r="AG163" i="1"/>
  <c r="AG180" i="1"/>
  <c r="AG872" i="1"/>
  <c r="AG276" i="1"/>
  <c r="AG938" i="1"/>
  <c r="AG311" i="1"/>
  <c r="AG1053" i="1"/>
  <c r="AG751" i="1"/>
  <c r="AG112" i="1"/>
  <c r="AG576" i="1"/>
  <c r="AG113" i="1"/>
  <c r="AG719" i="1"/>
  <c r="AG97" i="1"/>
  <c r="AG747" i="1"/>
  <c r="AG1115" i="1"/>
  <c r="AG1114" i="1"/>
  <c r="AG78" i="1"/>
  <c r="AG816" i="1"/>
  <c r="AG833" i="1"/>
  <c r="AG981" i="1"/>
  <c r="AG496" i="1"/>
  <c r="AG261" i="1"/>
  <c r="AG767" i="1"/>
  <c r="AG13" i="1"/>
  <c r="AG199" i="1"/>
  <c r="AG230" i="1"/>
  <c r="AG96" i="1"/>
  <c r="AG109" i="1"/>
  <c r="AG232" i="1"/>
  <c r="AG390" i="1"/>
  <c r="AG53" i="1"/>
  <c r="AG494" i="1"/>
  <c r="AG916" i="1"/>
  <c r="AG906" i="1"/>
  <c r="AG35" i="1"/>
  <c r="AG929" i="1"/>
  <c r="AG200" i="1"/>
  <c r="AG691" i="1"/>
  <c r="AG908" i="1"/>
  <c r="AG975" i="1"/>
  <c r="AG252" i="1"/>
  <c r="AG1109" i="1"/>
  <c r="AG1098" i="1"/>
  <c r="AG321" i="1"/>
  <c r="AG324" i="1"/>
  <c r="AG591" i="1"/>
  <c r="AG79" i="1"/>
  <c r="AG582" i="1"/>
  <c r="AG446" i="1"/>
  <c r="AG4" i="1"/>
  <c r="AG902" i="1"/>
  <c r="AG137" i="1"/>
  <c r="AG54" i="1"/>
  <c r="AG601" i="1"/>
  <c r="AG983" i="1"/>
  <c r="AG460" i="1"/>
  <c r="AG1084" i="1"/>
  <c r="AG840" i="1"/>
  <c r="AG898" i="1"/>
  <c r="AG774" i="1"/>
  <c r="AG196" i="1"/>
  <c r="AG233" i="1"/>
  <c r="AG205" i="1"/>
  <c r="AG83" i="1"/>
  <c r="AG427" i="1"/>
  <c r="AG611" i="1"/>
  <c r="AG133" i="1"/>
  <c r="AG500" i="1"/>
  <c r="AG685" i="1"/>
  <c r="AG486" i="1"/>
  <c r="AG315" i="1"/>
  <c r="AG295" i="1"/>
  <c r="AG454" i="1"/>
  <c r="AG963" i="1"/>
  <c r="AG1060" i="1"/>
  <c r="AG61" i="1"/>
  <c r="AG357" i="1"/>
  <c r="AG623" i="1"/>
  <c r="AG333" i="1"/>
  <c r="AG275" i="1"/>
  <c r="AG186" i="1"/>
  <c r="AG697" i="1"/>
  <c r="AG318" i="1"/>
  <c r="AG612" i="1"/>
  <c r="AG404" i="1"/>
  <c r="AG81" i="1"/>
  <c r="AG537" i="1"/>
  <c r="AG172" i="1"/>
  <c r="AG164" i="1"/>
  <c r="AG344" i="1"/>
  <c r="AG362" i="1"/>
  <c r="AG331" i="1"/>
  <c r="AG523" i="1"/>
  <c r="AG278" i="1"/>
  <c r="AG974" i="1"/>
  <c r="AG593" i="1"/>
  <c r="AG247" i="1"/>
  <c r="AG70" i="1"/>
  <c r="AG393" i="1"/>
  <c r="AG212" i="1"/>
  <c r="AG93" i="1"/>
  <c r="AG671" i="1"/>
  <c r="AG204" i="1"/>
  <c r="AG359" i="1"/>
  <c r="AG339" i="1"/>
  <c r="AG613" i="1"/>
  <c r="AG538" i="1"/>
  <c r="AG979" i="1"/>
  <c r="AG756" i="1"/>
  <c r="AG66" i="1"/>
  <c r="AG971" i="1"/>
  <c r="AG567" i="1"/>
  <c r="AG543" i="1"/>
  <c r="AG946" i="1"/>
  <c r="AG763" i="1"/>
  <c r="AG708" i="1"/>
  <c r="AG940" i="1"/>
  <c r="AG622" i="1"/>
  <c r="AG968" i="1"/>
  <c r="AG860" i="1"/>
  <c r="AG1072" i="1"/>
  <c r="AG972" i="1"/>
  <c r="AG730" i="1"/>
  <c r="AG845" i="1"/>
  <c r="AG923" i="1"/>
  <c r="AG367" i="1"/>
  <c r="AG444" i="1"/>
  <c r="AG694" i="1"/>
  <c r="AG907" i="1"/>
  <c r="AG1073" i="1"/>
  <c r="AG716" i="1"/>
  <c r="AG644" i="1"/>
  <c r="AG711" i="1"/>
  <c r="AG57" i="1"/>
  <c r="AG88" i="1"/>
  <c r="AG25" i="1"/>
  <c r="AG595" i="1"/>
  <c r="AG867" i="1"/>
  <c r="AG900" i="1"/>
  <c r="AG696" i="1"/>
  <c r="AG148" i="1"/>
  <c r="AG624" i="1"/>
  <c r="AG654" i="1"/>
  <c r="AG327" i="1"/>
  <c r="AG937" i="1"/>
  <c r="AG777" i="1"/>
  <c r="AG592" i="1"/>
  <c r="AG314" i="1"/>
  <c r="AG579" i="1"/>
  <c r="AG957" i="1"/>
  <c r="AG686" i="1"/>
  <c r="AG955" i="1"/>
  <c r="AG400" i="1"/>
  <c r="AG521" i="1"/>
  <c r="AG798" i="1"/>
  <c r="AG784" i="1"/>
  <c r="AG984" i="1"/>
  <c r="AG242" i="1"/>
  <c r="AG227" i="1"/>
  <c r="AG243" i="1"/>
  <c r="AG739" i="1"/>
  <c r="AG417" i="1"/>
  <c r="AG570" i="1"/>
  <c r="AG701" i="1"/>
  <c r="AG564" i="1"/>
  <c r="AG874" i="1"/>
  <c r="AG807" i="1"/>
  <c r="AG282" i="1"/>
  <c r="AG794" i="1"/>
  <c r="AG1062" i="1"/>
  <c r="AG925" i="1"/>
  <c r="AG2" i="1"/>
  <c r="AG905" i="1"/>
  <c r="AG533" i="1"/>
  <c r="AG9" i="1"/>
  <c r="AG110" i="1"/>
  <c r="AG1082" i="1"/>
  <c r="AG608" i="1"/>
  <c r="AG953" i="1"/>
  <c r="AG519" i="1"/>
  <c r="AG956" i="1"/>
  <c r="AG899" i="1"/>
  <c r="AG566" i="1"/>
  <c r="AG952" i="1"/>
  <c r="AG717" i="1"/>
  <c r="AG24" i="1"/>
  <c r="AG1070" i="1"/>
  <c r="AG837" i="1"/>
  <c r="AG581" i="1"/>
  <c r="AG783" i="1"/>
  <c r="AG1039" i="1"/>
  <c r="AG842" i="1"/>
  <c r="AG1087" i="1"/>
  <c r="AG752" i="1"/>
  <c r="AG101" i="1"/>
  <c r="AG652" i="1"/>
  <c r="AG815" i="1"/>
  <c r="AG1014" i="1"/>
  <c r="AG724" i="1"/>
  <c r="AG387" i="1"/>
  <c r="AG32" i="1"/>
  <c r="AG639" i="1"/>
  <c r="AG425" i="1"/>
  <c r="AG336" i="1"/>
  <c r="AG936" i="1"/>
  <c r="AG413" i="1"/>
  <c r="AG517" i="1"/>
  <c r="AG614" i="1"/>
  <c r="AG722" i="1"/>
  <c r="AG26" i="1"/>
  <c r="AG869" i="1"/>
  <c r="AG640" i="1"/>
  <c r="AG326" i="1"/>
  <c r="AG723" i="1"/>
  <c r="AG761" i="1"/>
  <c r="AG240" i="1"/>
  <c r="AG857" i="1"/>
  <c r="AG1085" i="1"/>
  <c r="AG727" i="1"/>
  <c r="AG781" i="1"/>
  <c r="AG737" i="1"/>
  <c r="AG610" i="1"/>
  <c r="AG515" i="1"/>
  <c r="AG877" i="1"/>
  <c r="AG257" i="1"/>
  <c r="AG709" i="1"/>
  <c r="AG1020" i="1"/>
  <c r="AG391" i="1"/>
  <c r="AG641" i="1"/>
  <c r="AG484" i="1"/>
  <c r="AG753" i="1"/>
  <c r="AG270" i="1"/>
  <c r="AG268" i="1"/>
  <c r="AG883" i="1"/>
  <c r="AG992" i="1"/>
  <c r="AG1002" i="1"/>
  <c r="AG651" i="1"/>
  <c r="AG1052" i="1"/>
  <c r="AG609" i="1"/>
  <c r="AG871" i="1"/>
  <c r="AG726" i="1"/>
  <c r="AG740" i="1"/>
  <c r="AG399" i="1"/>
  <c r="AG406" i="1"/>
  <c r="AG285" i="1"/>
  <c r="AG1001" i="1"/>
  <c r="AG947" i="1"/>
  <c r="AG827" i="1"/>
  <c r="AG1064" i="1"/>
  <c r="AG1069" i="1"/>
  <c r="AG513" i="1"/>
  <c r="AG95" i="1"/>
  <c r="AG346" i="1"/>
  <c r="AG549" i="1"/>
  <c r="AG246" i="1"/>
  <c r="AG561" i="1"/>
  <c r="AG503" i="1"/>
  <c r="AG385" i="1"/>
  <c r="AG782" i="1"/>
  <c r="AG1067" i="1"/>
  <c r="AG343" i="1"/>
  <c r="AG149" i="1"/>
  <c r="AG30" i="1"/>
  <c r="AG488" i="1"/>
  <c r="AG226" i="1"/>
  <c r="AG27" i="1"/>
  <c r="AG1011" i="1"/>
  <c r="AG29" i="1"/>
  <c r="AG994" i="1"/>
  <c r="AG374" i="1"/>
  <c r="AG198" i="1"/>
  <c r="AG618" i="1"/>
  <c r="AG647" i="1"/>
  <c r="AG673" i="1"/>
  <c r="AG1012" i="1"/>
  <c r="AG313" i="1"/>
  <c r="AG832" i="1"/>
  <c r="AG545" i="1"/>
  <c r="AG160" i="1"/>
  <c r="AG646" i="1"/>
  <c r="AG658" i="1"/>
  <c r="AG681" i="1"/>
  <c r="AG477" i="1"/>
  <c r="AG802" i="1"/>
  <c r="AG844" i="1"/>
  <c r="AG255" i="1"/>
  <c r="AG851" i="1"/>
  <c r="AG63" i="1"/>
  <c r="AG743" i="1"/>
  <c r="AG7" i="1"/>
  <c r="AG1004" i="1"/>
  <c r="AG788" i="1"/>
  <c r="AG74" i="1"/>
  <c r="AG847" i="1"/>
  <c r="AG202" i="1"/>
  <c r="AG931" i="1"/>
  <c r="AG360" i="1"/>
  <c r="AG264" i="1"/>
  <c r="AG310" i="1"/>
  <c r="AG810" i="1"/>
  <c r="AG1108" i="1"/>
  <c r="AG225" i="1"/>
  <c r="AG334" i="1"/>
  <c r="AG502" i="1"/>
  <c r="AG274" i="1"/>
  <c r="AG256" i="1"/>
  <c r="AG597" i="1"/>
  <c r="AG115" i="1"/>
  <c r="AG437" i="1"/>
  <c r="AG207" i="1"/>
  <c r="AG846" i="1"/>
  <c r="AG193" i="1"/>
  <c r="AG1079" i="1"/>
  <c r="AG162" i="1"/>
  <c r="AG64" i="1"/>
  <c r="AG189" i="1"/>
  <c r="AG771" i="1"/>
  <c r="AG14" i="1"/>
  <c r="AG155" i="1"/>
  <c r="AG505" i="1"/>
  <c r="AG350" i="1"/>
  <c r="AG415" i="1"/>
  <c r="AG1117" i="1"/>
  <c r="AG75" i="1"/>
  <c r="AG735" i="1"/>
  <c r="AG473" i="1"/>
  <c r="AG1015" i="1"/>
  <c r="AG1083" i="1"/>
  <c r="AG58" i="1"/>
  <c r="AG875" i="1"/>
  <c r="AG358" i="1"/>
  <c r="AG28" i="1"/>
  <c r="AG62" i="1"/>
  <c r="AG560" i="1"/>
  <c r="AG878" i="1"/>
  <c r="AG5" i="1"/>
  <c r="AG520" i="1"/>
  <c r="AG104" i="1"/>
  <c r="AG167" i="1"/>
  <c r="AG930" i="1"/>
  <c r="AG853" i="1"/>
  <c r="AG808" i="1"/>
  <c r="AG725" i="1"/>
  <c r="AG403" i="1"/>
  <c r="AG848" i="1"/>
  <c r="AG813" i="1"/>
  <c r="AG841" i="1"/>
  <c r="AG544" i="1"/>
  <c r="AG299" i="1"/>
  <c r="AG672" i="1"/>
  <c r="AG407" i="1"/>
  <c r="AG791" i="1"/>
  <c r="AG485" i="1"/>
  <c r="AG245" i="1"/>
  <c r="AG451" i="1"/>
  <c r="AG748" i="1"/>
  <c r="AG265" i="1"/>
  <c r="AG645" i="1"/>
  <c r="AG16" i="1"/>
  <c r="AG915" i="1"/>
  <c r="AG368" i="1"/>
  <c r="AG154" i="1"/>
  <c r="AG114" i="1"/>
  <c r="AG376" i="1"/>
  <c r="AG136" i="1"/>
  <c r="AG684" i="1"/>
  <c r="AG372" i="1"/>
  <c r="AG440" i="1"/>
  <c r="AG157" i="1"/>
  <c r="AG250" i="1"/>
  <c r="AG679" i="1"/>
  <c r="AG472" i="1"/>
  <c r="AG216" i="1"/>
  <c r="AG52" i="1"/>
  <c r="AG1111" i="1"/>
  <c r="AG218" i="1"/>
  <c r="AG1034" i="1"/>
  <c r="AG978" i="1"/>
  <c r="AG675" i="1"/>
  <c r="AG303" i="1"/>
  <c r="AG617" i="1"/>
  <c r="AG234" i="1"/>
  <c r="AG829" i="1"/>
  <c r="AG323" i="1"/>
  <c r="AG942" i="1"/>
  <c r="AG960" i="1"/>
  <c r="AG958" i="1"/>
  <c r="AG197" i="1"/>
  <c r="AG792" i="1"/>
  <c r="AG134" i="1"/>
  <c r="AG280" i="1"/>
  <c r="AG605" i="1"/>
  <c r="AG392" i="1"/>
  <c r="AG882" i="1"/>
  <c r="AG59" i="1"/>
  <c r="AG1003" i="1"/>
  <c r="AG1099" i="1"/>
  <c r="AG107" i="1"/>
  <c r="AG1000" i="1"/>
  <c r="AG126" i="1"/>
  <c r="AG677" i="1"/>
  <c r="AG828" i="1"/>
  <c r="AG498" i="1"/>
  <c r="AG499" i="1"/>
  <c r="AG1065" i="1"/>
  <c r="AG665" i="1"/>
  <c r="AG951" i="1"/>
  <c r="AG366" i="1"/>
  <c r="AG876" i="1"/>
  <c r="AG349" i="1"/>
  <c r="AG377" i="1"/>
  <c r="AG796" i="1"/>
  <c r="AG731" i="1"/>
  <c r="AG1091" i="1"/>
  <c r="AG702" i="1"/>
  <c r="AG976" i="1"/>
  <c r="AG356" i="1"/>
  <c r="AG434" i="1"/>
  <c r="AQ890" i="1"/>
  <c r="AQ865" i="1"/>
  <c r="AQ181" i="1"/>
  <c r="AQ317" i="1"/>
  <c r="AQ283" i="1"/>
  <c r="AQ322" i="1"/>
  <c r="AQ732" i="1"/>
  <c r="AQ40" i="1"/>
  <c r="AQ824" i="1"/>
  <c r="AQ514" i="1"/>
  <c r="AQ1010" i="1"/>
  <c r="AQ896" i="1"/>
  <c r="AQ835" i="1"/>
  <c r="AQ668" i="1"/>
  <c r="AQ800" i="1"/>
  <c r="AQ183" i="1"/>
  <c r="AQ714" i="1"/>
  <c r="AQ809" i="1"/>
  <c r="AQ223" i="1"/>
  <c r="AQ506" i="1"/>
  <c r="AQ934" i="1"/>
  <c r="AQ286" i="1"/>
  <c r="AQ535" i="1"/>
  <c r="AQ1048" i="1"/>
  <c r="AQ578" i="1"/>
  <c r="AQ253" i="1"/>
  <c r="AQ998" i="1"/>
  <c r="AQ836" i="1"/>
  <c r="AQ516" i="1"/>
  <c r="AQ138" i="1"/>
  <c r="AQ475" i="1"/>
  <c r="AQ663" i="1"/>
  <c r="AQ569" i="1"/>
  <c r="AQ834" i="1"/>
  <c r="AQ587" i="1"/>
  <c r="AQ895" i="1"/>
  <c r="AQ949" i="1"/>
  <c r="AQ741" i="1"/>
  <c r="AQ1066" i="1"/>
  <c r="AQ769" i="1"/>
  <c r="AQ1092" i="1"/>
  <c r="AQ504" i="1"/>
  <c r="AQ1036" i="1"/>
  <c r="AQ660" i="1"/>
  <c r="AQ585" i="1"/>
  <c r="AQ863" i="1"/>
  <c r="AQ1006" i="1"/>
  <c r="AQ352" i="1"/>
  <c r="AQ864" i="1"/>
  <c r="AQ642" i="1"/>
  <c r="AQ34" i="1"/>
  <c r="AQ927" i="1"/>
  <c r="AQ856" i="1"/>
  <c r="AQ501" i="1"/>
  <c r="AQ224" i="1"/>
  <c r="AQ153" i="1"/>
  <c r="AQ174" i="1"/>
  <c r="AQ476" i="1"/>
  <c r="AQ563" i="1"/>
  <c r="AQ823" i="1"/>
  <c r="AQ830" i="1"/>
  <c r="AQ284" i="1"/>
  <c r="AQ480" i="1"/>
  <c r="AQ320" i="1"/>
  <c r="AQ19" i="1"/>
  <c r="AQ354" i="1"/>
  <c r="AQ795" i="1"/>
  <c r="AQ426" i="1"/>
  <c r="AQ144" i="1"/>
  <c r="AQ959" i="1"/>
  <c r="AQ491" i="1"/>
  <c r="AQ120" i="1"/>
  <c r="AQ168" i="1"/>
  <c r="AQ394" i="1"/>
  <c r="AQ729" i="1"/>
  <c r="AQ1019" i="1"/>
  <c r="AQ995" i="1"/>
  <c r="AQ412" i="1"/>
  <c r="AQ1068" i="1"/>
  <c r="AQ945" i="1"/>
  <c r="AQ820" i="1"/>
  <c r="AQ1041" i="1"/>
  <c r="AQ648" i="1"/>
  <c r="AQ754" i="1"/>
  <c r="AQ615" i="1"/>
  <c r="AQ117" i="1"/>
  <c r="AQ758" i="1"/>
  <c r="AQ997" i="1"/>
  <c r="AQ294" i="1"/>
  <c r="AQ720" i="1"/>
  <c r="AQ583" i="1"/>
  <c r="AQ124" i="1"/>
  <c r="AQ190" i="1"/>
  <c r="AQ1009" i="1"/>
  <c r="AQ866" i="1"/>
  <c r="AQ894" i="1"/>
  <c r="AQ1076" i="1"/>
  <c r="AQ1030" i="1"/>
  <c r="AQ382" i="1"/>
  <c r="AQ604" i="1"/>
  <c r="AQ636" i="1"/>
  <c r="AQ316" i="1"/>
  <c r="AQ884" i="1"/>
  <c r="AQ297" i="1"/>
  <c r="AQ870" i="1"/>
  <c r="AQ914" i="1"/>
  <c r="AQ111" i="1"/>
  <c r="AQ67" i="1"/>
  <c r="AQ909" i="1"/>
  <c r="AQ991" i="1"/>
  <c r="AQ948" i="1"/>
  <c r="AQ464" i="1"/>
  <c r="AQ913" i="1"/>
  <c r="AQ131" i="1"/>
  <c r="AQ1074" i="1"/>
  <c r="AQ819" i="1"/>
  <c r="AQ1071" i="1"/>
  <c r="AQ682" i="1"/>
  <c r="AQ1042" i="1"/>
  <c r="AQ933" i="1"/>
  <c r="AQ598" i="1"/>
  <c r="AQ267" i="1"/>
  <c r="AQ843" i="1"/>
  <c r="AQ602" i="1"/>
  <c r="AQ954" i="1"/>
  <c r="AQ1038" i="1"/>
  <c r="AQ793" i="1"/>
  <c r="AQ263" i="1"/>
  <c r="AQ329" i="1"/>
  <c r="AQ712" i="1"/>
  <c r="AQ208" i="1"/>
  <c r="AQ102" i="1"/>
  <c r="AQ50" i="1"/>
  <c r="AQ664" i="1"/>
  <c r="AQ546" i="1"/>
  <c r="AQ367" i="1"/>
  <c r="AQ444" i="1"/>
  <c r="AQ694" i="1"/>
  <c r="AQ907" i="1"/>
  <c r="AQ1073" i="1"/>
  <c r="AQ716" i="1"/>
  <c r="AQ644" i="1"/>
  <c r="AQ711" i="1"/>
  <c r="AQ57" i="1"/>
  <c r="AQ88" i="1"/>
  <c r="AQ25" i="1"/>
  <c r="AQ595" i="1"/>
  <c r="AQ867" i="1"/>
  <c r="AQ900" i="1"/>
  <c r="AQ696" i="1"/>
  <c r="AQ148" i="1"/>
  <c r="AQ624" i="1"/>
  <c r="AQ654" i="1"/>
  <c r="AQ327" i="1"/>
  <c r="AQ937" i="1"/>
  <c r="AQ777" i="1"/>
  <c r="AQ592" i="1"/>
  <c r="AQ314" i="1"/>
  <c r="AQ579" i="1"/>
  <c r="AQ957" i="1"/>
  <c r="AQ686" i="1"/>
  <c r="AQ955" i="1"/>
  <c r="AQ400" i="1"/>
  <c r="AQ521" i="1"/>
  <c r="AQ798" i="1"/>
  <c r="AQ784" i="1"/>
  <c r="AQ984" i="1"/>
  <c r="AQ242" i="1"/>
  <c r="AQ227" i="1"/>
  <c r="AQ243" i="1"/>
  <c r="AQ739" i="1"/>
  <c r="AQ417" i="1"/>
  <c r="AQ570" i="1"/>
  <c r="AQ701" i="1"/>
  <c r="AQ564" i="1"/>
  <c r="AQ874" i="1"/>
  <c r="AQ807" i="1"/>
  <c r="AQ282" i="1"/>
  <c r="AQ794" i="1"/>
  <c r="AQ1062" i="1"/>
  <c r="AQ925" i="1"/>
  <c r="AQ2" i="1"/>
  <c r="AQ905" i="1"/>
  <c r="AQ533" i="1"/>
  <c r="AQ9" i="1"/>
  <c r="AQ110" i="1"/>
  <c r="AQ1082" i="1"/>
  <c r="AQ608" i="1"/>
  <c r="AQ953" i="1"/>
  <c r="AQ519" i="1"/>
  <c r="AQ956" i="1"/>
  <c r="AQ899" i="1"/>
  <c r="AQ566" i="1"/>
  <c r="AQ952" i="1"/>
  <c r="AQ717" i="1"/>
  <c r="AQ24" i="1"/>
  <c r="AQ1070" i="1"/>
  <c r="AQ837" i="1"/>
  <c r="AQ581" i="1"/>
  <c r="AQ783" i="1"/>
  <c r="AQ1039" i="1"/>
  <c r="AQ842" i="1"/>
  <c r="AQ1087" i="1"/>
  <c r="AQ752" i="1"/>
  <c r="AQ101" i="1"/>
  <c r="AQ652" i="1"/>
  <c r="AQ815" i="1"/>
  <c r="AQ1014" i="1"/>
  <c r="AQ724" i="1"/>
  <c r="AQ387" i="1"/>
  <c r="AQ32" i="1"/>
  <c r="AQ639" i="1"/>
  <c r="AQ425" i="1"/>
  <c r="AQ336" i="1"/>
  <c r="AQ936" i="1"/>
  <c r="AQ413" i="1"/>
  <c r="AQ517" i="1"/>
  <c r="AQ614" i="1"/>
  <c r="AQ722" i="1"/>
  <c r="AQ26" i="1"/>
  <c r="AQ869" i="1"/>
  <c r="AQ640" i="1"/>
  <c r="AQ326" i="1"/>
  <c r="AQ723" i="1"/>
  <c r="AQ761" i="1"/>
  <c r="AQ240" i="1"/>
  <c r="AQ857" i="1"/>
  <c r="AQ1085" i="1"/>
  <c r="AQ727" i="1"/>
  <c r="AQ781" i="1"/>
  <c r="AQ737" i="1"/>
  <c r="AQ610" i="1"/>
  <c r="AQ515" i="1"/>
  <c r="AQ877" i="1"/>
  <c r="AQ257" i="1"/>
  <c r="AQ709" i="1"/>
  <c r="AQ1020" i="1"/>
  <c r="AQ391" i="1"/>
  <c r="AQ641" i="1"/>
  <c r="AQ484" i="1"/>
  <c r="AQ753" i="1"/>
  <c r="AQ270" i="1"/>
  <c r="AQ268" i="1"/>
  <c r="AQ883" i="1"/>
  <c r="AQ992" i="1"/>
  <c r="AQ1002" i="1"/>
  <c r="AQ651" i="1"/>
  <c r="AQ1052" i="1"/>
  <c r="AQ609" i="1"/>
  <c r="AQ871" i="1"/>
  <c r="AQ726" i="1"/>
  <c r="AQ740" i="1"/>
  <c r="AQ399" i="1"/>
  <c r="AQ406" i="1"/>
  <c r="AQ285" i="1"/>
  <c r="AQ1001" i="1"/>
  <c r="AQ947" i="1"/>
  <c r="AQ827" i="1"/>
  <c r="AQ1064" i="1"/>
  <c r="AQ1069" i="1"/>
  <c r="AQ513" i="1"/>
  <c r="AQ95" i="1"/>
  <c r="AQ346" i="1"/>
  <c r="AQ549" i="1"/>
  <c r="AQ246" i="1"/>
  <c r="AQ561" i="1"/>
  <c r="AQ503" i="1"/>
  <c r="AQ385" i="1"/>
  <c r="AQ782" i="1"/>
  <c r="AQ1067" i="1"/>
  <c r="AQ343" i="1"/>
  <c r="AQ149" i="1"/>
  <c r="AQ30" i="1"/>
  <c r="AQ488" i="1"/>
  <c r="AQ226" i="1"/>
  <c r="AQ27" i="1"/>
  <c r="AQ1011" i="1"/>
  <c r="AQ29" i="1"/>
  <c r="AQ994" i="1"/>
  <c r="AQ374" i="1"/>
  <c r="AQ198" i="1"/>
  <c r="AQ618" i="1"/>
  <c r="AQ647" i="1"/>
  <c r="AQ673" i="1"/>
  <c r="AQ1012" i="1"/>
  <c r="AQ313" i="1"/>
  <c r="AQ832" i="1"/>
  <c r="AQ545" i="1"/>
  <c r="AQ160" i="1"/>
  <c r="AQ646" i="1"/>
  <c r="AQ658" i="1"/>
  <c r="AQ681" i="1"/>
  <c r="AQ477" i="1"/>
  <c r="AQ802" i="1"/>
  <c r="AQ844" i="1"/>
  <c r="AQ255" i="1"/>
  <c r="AQ851" i="1"/>
  <c r="AQ63" i="1"/>
  <c r="AQ743" i="1"/>
  <c r="AQ7" i="1"/>
  <c r="AQ1004" i="1"/>
  <c r="AQ788" i="1"/>
  <c r="AQ74" i="1"/>
  <c r="AQ847" i="1"/>
  <c r="AQ202" i="1"/>
  <c r="AQ931" i="1"/>
  <c r="AQ360" i="1"/>
  <c r="AQ264" i="1"/>
  <c r="AQ310" i="1"/>
  <c r="AQ810" i="1"/>
  <c r="AQ1108" i="1"/>
  <c r="AQ225" i="1"/>
  <c r="AQ334" i="1"/>
  <c r="AQ502" i="1"/>
  <c r="AQ274" i="1"/>
  <c r="AQ256" i="1"/>
  <c r="AQ597" i="1"/>
  <c r="AQ115" i="1"/>
  <c r="AQ437" i="1"/>
  <c r="AQ207" i="1"/>
  <c r="AQ846" i="1"/>
  <c r="AQ193" i="1"/>
  <c r="AQ1079" i="1"/>
  <c r="AQ162" i="1"/>
  <c r="AQ64" i="1"/>
  <c r="AQ189" i="1"/>
  <c r="AQ771" i="1"/>
  <c r="AQ14" i="1"/>
  <c r="AQ155" i="1"/>
  <c r="AQ505" i="1"/>
  <c r="AQ350" i="1"/>
  <c r="AQ415" i="1"/>
  <c r="AQ1117" i="1"/>
  <c r="AQ75" i="1"/>
  <c r="AQ735" i="1"/>
  <c r="AQ473" i="1"/>
  <c r="AQ1015" i="1"/>
  <c r="AQ1083" i="1"/>
  <c r="AQ58" i="1"/>
  <c r="AQ875" i="1"/>
  <c r="AQ358" i="1"/>
  <c r="AQ28" i="1"/>
  <c r="AQ62" i="1"/>
  <c r="AQ560" i="1"/>
  <c r="AQ878" i="1"/>
  <c r="AQ5" i="1"/>
  <c r="AQ520" i="1"/>
  <c r="AQ104" i="1"/>
  <c r="AQ167" i="1"/>
  <c r="AQ930" i="1"/>
  <c r="AQ853" i="1"/>
  <c r="AQ808" i="1"/>
  <c r="AQ725" i="1"/>
  <c r="AQ403" i="1"/>
  <c r="AQ848" i="1"/>
  <c r="AQ813" i="1"/>
  <c r="AQ841" i="1"/>
  <c r="AQ544" i="1"/>
  <c r="AQ299" i="1"/>
  <c r="AQ672" i="1"/>
  <c r="AQ407" i="1"/>
  <c r="AQ791" i="1"/>
  <c r="AQ485" i="1"/>
  <c r="AQ245" i="1"/>
  <c r="AQ451" i="1"/>
  <c r="AQ748" i="1"/>
  <c r="AQ265" i="1"/>
  <c r="AQ645" i="1"/>
  <c r="AQ16" i="1"/>
  <c r="AQ915" i="1"/>
  <c r="AQ368" i="1"/>
  <c r="AQ154" i="1"/>
  <c r="AQ114" i="1"/>
  <c r="AQ376" i="1"/>
  <c r="AQ136" i="1"/>
  <c r="AQ684" i="1"/>
  <c r="AQ372" i="1"/>
  <c r="AQ440" i="1"/>
  <c r="AQ157" i="1"/>
  <c r="AQ250" i="1"/>
  <c r="AQ679" i="1"/>
  <c r="AQ472" i="1"/>
  <c r="AQ216" i="1"/>
  <c r="AQ52" i="1"/>
  <c r="AQ1111" i="1"/>
  <c r="AQ218" i="1"/>
  <c r="AQ1034" i="1"/>
  <c r="AQ978" i="1"/>
  <c r="AQ675" i="1"/>
  <c r="AQ303" i="1"/>
  <c r="AQ617" i="1"/>
  <c r="AQ234" i="1"/>
  <c r="AQ829" i="1"/>
  <c r="AQ323" i="1"/>
  <c r="AQ942" i="1"/>
  <c r="AQ960" i="1"/>
  <c r="AQ958" i="1"/>
  <c r="AQ197" i="1"/>
  <c r="AQ792" i="1"/>
  <c r="AQ134" i="1"/>
  <c r="AQ280" i="1"/>
  <c r="AQ605" i="1"/>
  <c r="AQ392" i="1"/>
  <c r="AQ882" i="1"/>
  <c r="AQ59" i="1"/>
  <c r="AQ1003" i="1"/>
  <c r="AQ1099" i="1"/>
  <c r="AQ107" i="1"/>
  <c r="AQ1000" i="1"/>
  <c r="AQ126" i="1"/>
  <c r="AQ677" i="1"/>
  <c r="AQ828" i="1"/>
  <c r="AQ498" i="1"/>
  <c r="AQ499" i="1"/>
  <c r="AQ1065" i="1"/>
  <c r="AQ665" i="1"/>
  <c r="AQ951" i="1"/>
  <c r="AQ366" i="1"/>
  <c r="AQ876" i="1"/>
  <c r="AQ349" i="1"/>
  <c r="AQ377" i="1"/>
  <c r="AQ796" i="1"/>
  <c r="AQ731" i="1"/>
  <c r="AQ1091" i="1"/>
  <c r="AQ702" i="1"/>
  <c r="AQ976" i="1"/>
  <c r="AQ356" i="1"/>
  <c r="AQ434" i="1"/>
  <c r="AQ676" i="1"/>
  <c r="AQ39" i="1"/>
  <c r="AQ72" i="1"/>
  <c r="AQ718" i="1"/>
  <c r="AQ738" i="1"/>
  <c r="AQ1090" i="1"/>
  <c r="AQ879" i="1"/>
  <c r="AQ55" i="1"/>
  <c r="AQ293" i="1"/>
  <c r="AQ90" i="1"/>
  <c r="AQ306" i="1"/>
  <c r="AQ838" i="1"/>
  <c r="AQ986" i="1"/>
  <c r="AQ580" i="1"/>
  <c r="AQ397" i="1"/>
  <c r="AQ849" i="1"/>
  <c r="AQ421" i="1"/>
  <c r="AQ859" i="1"/>
  <c r="AQ44" i="1"/>
  <c r="AQ970" i="1"/>
  <c r="AQ370" i="1"/>
  <c r="AQ182" i="1"/>
  <c r="AQ312" i="1"/>
  <c r="AQ562" i="1"/>
  <c r="AQ76" i="1"/>
  <c r="AQ620" i="1"/>
  <c r="AQ789" i="1"/>
  <c r="AQ478" i="1"/>
  <c r="AQ260" i="1"/>
  <c r="AQ347" i="1"/>
  <c r="AQ699" i="1"/>
  <c r="AQ156" i="1"/>
  <c r="AQ191" i="1"/>
  <c r="AQ831" i="1"/>
  <c r="AQ532" i="1"/>
  <c r="AQ86" i="1"/>
  <c r="AQ801" i="1"/>
  <c r="AQ130" i="1"/>
  <c r="AQ332" i="1"/>
  <c r="AQ746" i="1"/>
  <c r="AQ670" i="1"/>
  <c r="AQ277" i="1"/>
  <c r="AQ812" i="1"/>
  <c r="AQ436" i="1"/>
  <c r="AQ1050" i="1"/>
  <c r="AQ918" i="1"/>
  <c r="AQ348" i="1"/>
  <c r="AQ47" i="1"/>
  <c r="AQ707" i="1"/>
  <c r="AQ977" i="1"/>
  <c r="AQ911" i="1"/>
  <c r="AQ91" i="1"/>
  <c r="AQ534" i="1"/>
  <c r="AQ706" i="1"/>
  <c r="AQ449" i="1"/>
  <c r="AQ249" i="1"/>
  <c r="AQ251" i="1"/>
  <c r="AQ886" i="1"/>
  <c r="AQ89" i="1"/>
  <c r="AQ365" i="1"/>
  <c r="AQ492" i="1"/>
  <c r="AQ1107" i="1"/>
  <c r="AQ993" i="1"/>
  <c r="AQ527" i="1"/>
  <c r="AQ351" i="1"/>
  <c r="AQ206" i="1"/>
  <c r="AQ405" i="1"/>
  <c r="AQ92" i="1"/>
  <c r="AQ980" i="1"/>
  <c r="AQ542" i="1"/>
  <c r="AQ698" i="1"/>
  <c r="AQ973" i="1"/>
  <c r="AQ221" i="1"/>
  <c r="AQ217" i="1"/>
  <c r="AQ858" i="1"/>
  <c r="AQ395" i="1"/>
  <c r="AQ435" i="1"/>
  <c r="AQ628" i="1"/>
  <c r="AQ1088" i="1"/>
  <c r="AQ634" i="1"/>
  <c r="AQ379" i="1"/>
  <c r="AQ396" i="1"/>
  <c r="AQ557" i="1"/>
  <c r="AQ669" i="1"/>
  <c r="AQ555" i="1"/>
  <c r="AQ495" i="1"/>
  <c r="AQ768" i="1"/>
  <c r="AQ700" i="1"/>
  <c r="AQ626" i="1"/>
  <c r="AQ967" i="1"/>
  <c r="AQ241" i="1"/>
  <c r="AQ760" i="1"/>
  <c r="AQ22" i="1"/>
  <c r="AQ818" i="1"/>
  <c r="AQ1022" i="1"/>
  <c r="AQ461" i="1"/>
  <c r="AQ410" i="1"/>
  <c r="AQ166" i="1"/>
  <c r="AQ600" i="1"/>
  <c r="AQ568" i="1"/>
  <c r="AQ1021" i="1"/>
  <c r="AQ589" i="1"/>
  <c r="AQ891" i="1"/>
  <c r="AQ962" i="1"/>
  <c r="AQ778" i="1"/>
  <c r="AQ770" i="1"/>
  <c r="AQ458" i="1"/>
  <c r="AQ1029" i="1"/>
  <c r="AQ416" i="1"/>
  <c r="AQ337" i="1"/>
  <c r="AQ988" i="1"/>
  <c r="AQ507" i="1"/>
  <c r="AQ23" i="1"/>
  <c r="AQ31" i="1"/>
  <c r="AQ547" i="1"/>
  <c r="AQ910" i="1"/>
  <c r="AQ291" i="1"/>
  <c r="AQ944" i="1"/>
  <c r="AQ928" i="1"/>
  <c r="AQ159" i="1"/>
  <c r="AQ635" i="1"/>
  <c r="AQ757" i="1"/>
  <c r="AQ889" i="1"/>
  <c r="AQ667" i="1"/>
  <c r="AQ398" i="1"/>
  <c r="AQ422" i="1"/>
  <c r="AQ447" i="1"/>
  <c r="AQ674" i="1"/>
  <c r="AQ806" i="1"/>
  <c r="AQ683" i="1"/>
  <c r="AQ584" i="1"/>
  <c r="AQ638" i="1"/>
  <c r="AQ666" i="1"/>
  <c r="AQ340" i="1"/>
  <c r="AQ308" i="1"/>
  <c r="AQ862" i="1"/>
  <c r="AQ805" i="1"/>
  <c r="AQ518" i="1"/>
  <c r="AQ1058" i="1"/>
  <c r="AQ924" i="1"/>
  <c r="AQ20" i="1"/>
  <c r="AQ1061" i="1"/>
  <c r="AQ1049" i="1"/>
  <c r="AQ439" i="1"/>
  <c r="AQ455" i="1"/>
  <c r="AQ408" i="1"/>
  <c r="AQ790" i="1"/>
  <c r="AQ1005" i="1"/>
  <c r="AQ885" i="1"/>
  <c r="AQ868" i="1"/>
  <c r="AQ1094" i="1"/>
  <c r="AQ467" i="1"/>
  <c r="AQ565" i="1"/>
  <c r="AQ637" i="1"/>
  <c r="AQ631" i="1"/>
  <c r="AQ1024" i="1"/>
  <c r="AQ228" i="1"/>
  <c r="AQ881" i="1"/>
  <c r="AQ429" i="1"/>
  <c r="AQ1031" i="1"/>
  <c r="AQ1027" i="1"/>
  <c r="AQ1057" i="1"/>
  <c r="AQ1105" i="1"/>
  <c r="AQ1103" i="1"/>
  <c r="AQ1106" i="1"/>
  <c r="AQ1104" i="1"/>
  <c r="AQ880" i="1"/>
  <c r="AQ762" i="1"/>
  <c r="AQ364" i="1"/>
  <c r="AQ1028" i="1"/>
  <c r="AQ539" i="1"/>
  <c r="AQ378" i="1"/>
  <c r="AQ94" i="1"/>
  <c r="AQ574" i="1"/>
  <c r="AQ764" i="1"/>
  <c r="AQ1086" i="1"/>
  <c r="AQ443" i="1"/>
  <c r="AQ386" i="1"/>
  <c r="AQ655" i="1"/>
  <c r="AQ125" i="1"/>
  <c r="AQ69" i="1"/>
  <c r="AQ271" i="1"/>
  <c r="AQ201" i="1"/>
  <c r="AQ650" i="1"/>
  <c r="AQ384" i="1"/>
  <c r="AQ142" i="1"/>
  <c r="AQ118" i="1"/>
  <c r="AQ996" i="1"/>
  <c r="AQ68" i="1"/>
  <c r="AQ1008" i="1"/>
  <c r="AQ1046" i="1"/>
  <c r="AQ341" i="1"/>
  <c r="AQ920" i="1"/>
  <c r="AQ258" i="1"/>
  <c r="AQ680" i="1"/>
  <c r="AQ575" i="1"/>
  <c r="AQ687" i="1"/>
  <c r="AQ428" i="1"/>
  <c r="AQ621" i="1"/>
  <c r="AQ279" i="1"/>
  <c r="AQ479" i="1"/>
  <c r="AQ594" i="1"/>
  <c r="AQ616" i="1"/>
  <c r="AQ649" i="1"/>
  <c r="AQ80" i="1"/>
  <c r="AQ319" i="1"/>
  <c r="AQ237" i="1"/>
  <c r="AQ244" i="1"/>
  <c r="AQ409" i="1"/>
  <c r="AQ985" i="1"/>
  <c r="AQ599" i="1"/>
  <c r="AQ586" i="1"/>
  <c r="AQ304" i="1"/>
  <c r="AQ185" i="1"/>
  <c r="AQ229" i="1"/>
  <c r="AQ489" i="1"/>
  <c r="AQ961" i="1"/>
  <c r="AQ1032" i="1"/>
  <c r="AQ266" i="1"/>
  <c r="AQ466" i="1"/>
  <c r="AQ695" i="1"/>
  <c r="AQ839" i="1"/>
  <c r="AQ822" i="1"/>
  <c r="AQ411" i="1"/>
  <c r="AQ371" i="1"/>
  <c r="AQ424" i="1"/>
  <c r="AQ690" i="1"/>
  <c r="AQ577" i="1"/>
  <c r="AQ607" i="1"/>
  <c r="AQ82" i="1"/>
  <c r="AQ721" i="1"/>
  <c r="AQ526" i="1"/>
  <c r="AQ935" i="1"/>
  <c r="AQ389" i="1"/>
  <c r="AQ481" i="1"/>
  <c r="AQ465" i="1"/>
  <c r="AQ51" i="1"/>
  <c r="AQ65" i="1"/>
  <c r="AQ292" i="1"/>
  <c r="AQ335" i="1"/>
  <c r="AQ147" i="1"/>
  <c r="AQ296" i="1"/>
  <c r="AQ469" i="1"/>
  <c r="AQ1033" i="1"/>
  <c r="AQ811" i="1"/>
  <c r="AQ728" i="1"/>
  <c r="AQ529" i="1"/>
  <c r="AQ1023" i="1"/>
  <c r="AQ46" i="1"/>
  <c r="AQ932" i="1"/>
  <c r="AQ750" i="1"/>
  <c r="AQ85" i="1"/>
  <c r="AQ231" i="1"/>
  <c r="AQ11" i="1"/>
  <c r="AQ1100" i="1"/>
  <c r="AQ420" i="1"/>
  <c r="AQ146" i="1"/>
  <c r="AQ238" i="1"/>
  <c r="AQ1080" i="1"/>
  <c r="AQ290" i="1"/>
  <c r="AQ1054" i="1"/>
  <c r="AQ381" i="1"/>
  <c r="AQ632" i="1"/>
  <c r="AQ123" i="1"/>
  <c r="AQ548" i="1"/>
  <c r="AQ194" i="1"/>
  <c r="AQ775" i="1"/>
  <c r="AQ772" i="1"/>
  <c r="AQ493" i="1"/>
  <c r="AQ239" i="1"/>
  <c r="AQ926" i="1"/>
  <c r="AQ733" i="1"/>
  <c r="AQ143" i="1"/>
  <c r="AQ888" i="1"/>
  <c r="AQ103" i="1"/>
  <c r="AQ41" i="1"/>
  <c r="AQ375" i="1"/>
  <c r="AQ826" i="1"/>
  <c r="AQ1095" i="1"/>
  <c r="AQ497" i="1"/>
  <c r="AQ619" i="1"/>
  <c r="AQ873" i="1"/>
  <c r="AQ713" i="1"/>
  <c r="AQ969" i="1"/>
  <c r="AQ508" i="1"/>
  <c r="AQ219" i="1"/>
  <c r="AQ179" i="1"/>
  <c r="AQ1007" i="1"/>
  <c r="AQ765" i="1"/>
  <c r="AQ1025" i="1"/>
  <c r="AQ77" i="1"/>
  <c r="AQ755" i="1"/>
  <c r="AQ84" i="1"/>
  <c r="AQ745" i="1"/>
  <c r="AQ431" i="1"/>
  <c r="AQ273" i="1"/>
  <c r="AQ1017" i="1"/>
  <c r="AQ445" i="1"/>
  <c r="AQ140" i="1"/>
  <c r="AQ901" i="1"/>
  <c r="AQ442" i="1"/>
  <c r="AQ1112" i="1"/>
  <c r="AQ56" i="1"/>
  <c r="AQ531" i="1"/>
  <c r="AQ369" i="1"/>
  <c r="AQ749" i="1"/>
  <c r="AQ151" i="1"/>
  <c r="AQ483" i="1"/>
  <c r="AQ262" i="1"/>
  <c r="AQ661" i="1"/>
  <c r="AQ689" i="1"/>
  <c r="AQ861" i="1"/>
  <c r="AQ73" i="1"/>
  <c r="AQ121" i="1"/>
  <c r="AQ432" i="1"/>
  <c r="AQ423" i="1"/>
  <c r="AQ132" i="1"/>
  <c r="AQ550" i="1"/>
  <c r="AQ553" i="1"/>
  <c r="AQ119" i="1"/>
  <c r="AQ773" i="1"/>
  <c r="AQ8" i="1"/>
  <c r="AQ1078" i="1"/>
  <c r="AQ462" i="1"/>
  <c r="AQ459" i="1"/>
  <c r="AQ98" i="1"/>
  <c r="AQ1055" i="1"/>
  <c r="AQ33" i="1"/>
  <c r="AQ373" i="1"/>
  <c r="AQ779" i="1"/>
  <c r="AQ922" i="1"/>
  <c r="AQ105" i="1"/>
  <c r="AQ100" i="1"/>
  <c r="AQ152" i="1"/>
  <c r="AQ1075" i="1"/>
  <c r="AQ693" i="1"/>
  <c r="AQ380" i="1"/>
  <c r="AQ588" i="1"/>
  <c r="AQ128" i="1"/>
  <c r="AQ776" i="1"/>
  <c r="AQ1056" i="1"/>
  <c r="AQ122" i="1"/>
  <c r="AQ653" i="1"/>
  <c r="AQ1018" i="1"/>
  <c r="AQ999" i="1"/>
  <c r="AQ1102" i="1"/>
  <c r="AQ211" i="1"/>
  <c r="AQ106" i="1"/>
  <c r="AQ87" i="1"/>
  <c r="AQ941" i="1"/>
  <c r="AQ662" i="1"/>
  <c r="AQ490" i="1"/>
  <c r="AQ1059" i="1"/>
  <c r="AQ18" i="1"/>
  <c r="AQ573" i="1"/>
  <c r="AQ450" i="1"/>
  <c r="AQ572" i="1"/>
  <c r="AQ688" i="1"/>
  <c r="AQ990" i="1"/>
  <c r="AQ254" i="1"/>
  <c r="AQ3" i="1"/>
  <c r="AQ787" i="1"/>
  <c r="AQ45" i="1"/>
  <c r="AQ433" i="1"/>
  <c r="AQ474" i="1"/>
  <c r="AQ361" i="1"/>
  <c r="AQ759" i="1"/>
  <c r="AQ817" i="1"/>
  <c r="AQ678" i="1"/>
  <c r="AQ457" i="1"/>
  <c r="AQ38" i="1"/>
  <c r="AQ1026" i="1"/>
  <c r="AQ210" i="1"/>
  <c r="AQ325" i="1"/>
  <c r="AQ235" i="1"/>
  <c r="AQ1077" i="1"/>
  <c r="AQ259" i="1"/>
  <c r="AQ1040" i="1"/>
  <c r="AQ178" i="1"/>
  <c r="AQ165" i="1"/>
  <c r="AQ145" i="1"/>
  <c r="AQ524" i="1"/>
  <c r="AQ528" i="1"/>
  <c r="AQ744" i="1"/>
  <c r="AQ887" i="1"/>
  <c r="AQ892" i="1"/>
  <c r="AQ571" i="1"/>
  <c r="AQ330" i="1"/>
  <c r="AQ401" i="1"/>
  <c r="AQ627" i="1"/>
  <c r="AQ71" i="1"/>
  <c r="AQ657" i="1"/>
  <c r="AQ1116" i="1"/>
  <c r="AQ785" i="1"/>
  <c r="AQ281" i="1"/>
  <c r="AQ1093" i="1"/>
  <c r="AQ943" i="1"/>
  <c r="AQ441" i="1"/>
  <c r="AQ780" i="1"/>
  <c r="AQ272" i="1"/>
  <c r="AQ269" i="1"/>
  <c r="AQ814" i="1"/>
  <c r="AQ192" i="1"/>
  <c r="AQ342" i="1"/>
  <c r="AQ453" i="1"/>
  <c r="AQ17" i="1"/>
  <c r="AQ116" i="1"/>
  <c r="AQ150" i="1"/>
  <c r="AQ195" i="1"/>
  <c r="AQ388" i="1"/>
  <c r="AQ248" i="1"/>
  <c r="AQ596" i="1"/>
  <c r="AQ338" i="1"/>
  <c r="AQ855" i="1"/>
  <c r="AQ452" i="1"/>
  <c r="AQ108" i="1"/>
  <c r="AQ1118" i="1"/>
  <c r="AQ289" i="1"/>
  <c r="AQ1043" i="1"/>
  <c r="AQ554" i="1"/>
  <c r="AQ917" i="1"/>
  <c r="AQ209" i="1"/>
  <c r="AQ606" i="1"/>
  <c r="AQ982" i="1"/>
  <c r="AQ15" i="1"/>
  <c r="AQ1047" i="1"/>
  <c r="AQ710" i="1"/>
  <c r="AQ21" i="1"/>
  <c r="AQ300" i="1"/>
  <c r="AQ633" i="1"/>
  <c r="AQ1081" i="1"/>
  <c r="AQ912" i="1"/>
  <c r="AQ736" i="1"/>
  <c r="AQ402" i="1"/>
  <c r="AQ854" i="1"/>
  <c r="AQ203" i="1"/>
  <c r="AQ989" i="1"/>
  <c r="AQ419" i="1"/>
  <c r="AQ939" i="1"/>
  <c r="AQ301" i="1"/>
  <c r="AQ220" i="1"/>
  <c r="AQ897" i="1"/>
  <c r="AQ742" i="1"/>
  <c r="AQ363" i="1"/>
  <c r="AQ163" i="1"/>
  <c r="AQ180" i="1"/>
  <c r="AQ872" i="1"/>
  <c r="AQ276" i="1"/>
  <c r="AQ938" i="1"/>
  <c r="AQ311" i="1"/>
  <c r="AQ1053" i="1"/>
  <c r="AQ751" i="1"/>
  <c r="AQ112" i="1"/>
  <c r="AQ576" i="1"/>
  <c r="AQ113" i="1"/>
  <c r="AQ719" i="1"/>
  <c r="AQ97" i="1"/>
  <c r="AQ747" i="1"/>
  <c r="AQ1115" i="1"/>
  <c r="AQ1114" i="1"/>
  <c r="AQ78" i="1"/>
  <c r="AQ816" i="1"/>
  <c r="AQ833" i="1"/>
  <c r="AQ981" i="1"/>
  <c r="AQ496" i="1"/>
  <c r="AQ261" i="1"/>
  <c r="AQ767" i="1"/>
  <c r="AQ13" i="1"/>
  <c r="AQ199" i="1"/>
  <c r="AQ230" i="1"/>
  <c r="AQ96" i="1"/>
  <c r="AQ109" i="1"/>
  <c r="AQ232" i="1"/>
  <c r="AQ390" i="1"/>
  <c r="AQ53" i="1"/>
  <c r="AQ494" i="1"/>
  <c r="AQ916" i="1"/>
  <c r="AQ906" i="1"/>
  <c r="AQ35" i="1"/>
  <c r="AQ929" i="1"/>
  <c r="AQ200" i="1"/>
  <c r="AQ691" i="1"/>
  <c r="AQ908" i="1"/>
  <c r="AQ975" i="1"/>
  <c r="AQ252" i="1"/>
  <c r="AQ1109" i="1"/>
  <c r="AQ1098" i="1"/>
  <c r="AQ321" i="1"/>
  <c r="AQ324" i="1"/>
  <c r="AQ591" i="1"/>
  <c r="AQ79" i="1"/>
  <c r="AQ582" i="1"/>
  <c r="AQ446" i="1"/>
  <c r="AQ4" i="1"/>
  <c r="AQ902" i="1"/>
  <c r="AQ137" i="1"/>
  <c r="AQ54" i="1"/>
  <c r="AQ601" i="1"/>
  <c r="AQ983" i="1"/>
  <c r="AQ460" i="1"/>
  <c r="AQ1084" i="1"/>
  <c r="AQ840" i="1"/>
  <c r="AQ898" i="1"/>
  <c r="AQ774" i="1"/>
  <c r="AQ196" i="1"/>
  <c r="AQ233" i="1"/>
  <c r="AQ205" i="1"/>
  <c r="AQ83" i="1"/>
  <c r="AQ427" i="1"/>
  <c r="AQ611" i="1"/>
  <c r="AQ133" i="1"/>
  <c r="AQ500" i="1"/>
  <c r="AQ685" i="1"/>
  <c r="AQ486" i="1"/>
  <c r="AQ315" i="1"/>
  <c r="AQ295" i="1"/>
  <c r="AQ454" i="1"/>
  <c r="AQ963" i="1"/>
  <c r="AQ1060" i="1"/>
  <c r="AQ61" i="1"/>
  <c r="AQ357" i="1"/>
  <c r="AQ623" i="1"/>
  <c r="AQ333" i="1"/>
  <c r="AQ275" i="1"/>
  <c r="AQ186" i="1"/>
  <c r="AQ697" i="1"/>
  <c r="AQ318" i="1"/>
  <c r="AQ612" i="1"/>
  <c r="AQ404" i="1"/>
  <c r="AQ81" i="1"/>
  <c r="AQ537" i="1"/>
  <c r="AQ172" i="1"/>
  <c r="AQ164" i="1"/>
  <c r="AQ344" i="1"/>
  <c r="AQ362" i="1"/>
  <c r="AQ331" i="1"/>
  <c r="AQ523" i="1"/>
  <c r="AQ278" i="1"/>
  <c r="AQ974" i="1"/>
  <c r="AQ593" i="1"/>
  <c r="AQ247" i="1"/>
  <c r="AQ70" i="1"/>
  <c r="AQ393" i="1"/>
  <c r="AQ212" i="1"/>
  <c r="AQ93" i="1"/>
  <c r="AQ671" i="1"/>
  <c r="AQ204" i="1"/>
  <c r="AQ359" i="1"/>
  <c r="AQ339" i="1"/>
  <c r="AQ613" i="1"/>
  <c r="AQ538" i="1"/>
  <c r="AQ979" i="1"/>
  <c r="AQ756" i="1"/>
  <c r="AQ66" i="1"/>
  <c r="AQ971" i="1"/>
  <c r="AQ567" i="1"/>
  <c r="AQ543" i="1"/>
  <c r="AQ946" i="1"/>
  <c r="AQ763" i="1"/>
  <c r="AQ708" i="1"/>
  <c r="AQ940" i="1"/>
  <c r="AQ622" i="1"/>
  <c r="AQ968" i="1"/>
  <c r="AQ860" i="1"/>
  <c r="AQ1072" i="1"/>
  <c r="AQ972" i="1"/>
  <c r="AQ730" i="1"/>
  <c r="AQ845" i="1"/>
  <c r="AQ923" i="1"/>
  <c r="AQ692" i="1"/>
  <c r="AQ821" i="1"/>
  <c r="AQ799" i="1"/>
  <c r="AQ643" i="1"/>
  <c r="AQ625" i="1"/>
  <c r="AQ950" i="1"/>
  <c r="AQ1037" i="1"/>
  <c r="AQ919" i="1"/>
  <c r="AQ1063" i="1"/>
  <c r="AQ135" i="1"/>
  <c r="AQ850" i="1"/>
  <c r="AQ430" i="1"/>
  <c r="AQ287" i="1"/>
  <c r="AQ536" i="1"/>
  <c r="AQ158" i="1"/>
  <c r="AQ786" i="1"/>
  <c r="AQ307" i="1"/>
  <c r="AQ552" i="1"/>
  <c r="AQ556" i="1"/>
  <c r="AQ630" i="1"/>
  <c r="AQ169" i="1"/>
  <c r="AQ1013" i="1"/>
  <c r="AQ43" i="1"/>
  <c r="AQ129" i="1"/>
  <c r="AG865" i="1"/>
  <c r="AG181" i="1"/>
  <c r="AG317" i="1"/>
  <c r="AG283" i="1"/>
  <c r="AG322" i="1"/>
  <c r="AG732" i="1"/>
  <c r="AG40" i="1"/>
  <c r="AG824" i="1"/>
  <c r="AG514" i="1"/>
  <c r="AG1010" i="1"/>
  <c r="AG896" i="1"/>
  <c r="AG835" i="1"/>
  <c r="AG668" i="1"/>
  <c r="AG800" i="1"/>
  <c r="AG183" i="1"/>
  <c r="AG714" i="1"/>
  <c r="AG809" i="1"/>
  <c r="AG223" i="1"/>
  <c r="AG506" i="1"/>
  <c r="AG934" i="1"/>
  <c r="AG286" i="1"/>
  <c r="AG535" i="1"/>
  <c r="AG1048" i="1"/>
  <c r="AG578" i="1"/>
  <c r="AG253" i="1"/>
  <c r="AG998" i="1"/>
  <c r="AG836" i="1"/>
  <c r="AG516" i="1"/>
  <c r="AG138" i="1"/>
  <c r="AG475" i="1"/>
  <c r="AG663" i="1"/>
  <c r="AG569" i="1"/>
  <c r="AG834" i="1"/>
  <c r="AG587" i="1"/>
  <c r="AG895" i="1"/>
  <c r="AG949" i="1"/>
  <c r="AG741" i="1"/>
  <c r="AG1066" i="1"/>
  <c r="AG769" i="1"/>
  <c r="AG1092" i="1"/>
  <c r="AG504" i="1"/>
  <c r="AG1036" i="1"/>
  <c r="AG660" i="1"/>
  <c r="AG585" i="1"/>
  <c r="AG863" i="1"/>
  <c r="AG1006" i="1"/>
  <c r="AG352" i="1"/>
  <c r="AG864" i="1"/>
  <c r="AG642" i="1"/>
  <c r="AG34" i="1"/>
  <c r="AG927" i="1"/>
  <c r="AG856" i="1"/>
  <c r="AG501" i="1"/>
  <c r="AG224" i="1"/>
  <c r="AG153" i="1"/>
  <c r="AG174" i="1"/>
  <c r="AG476" i="1"/>
  <c r="AG563" i="1"/>
  <c r="AG823" i="1"/>
  <c r="AG830" i="1"/>
  <c r="AG284" i="1"/>
  <c r="AG480" i="1"/>
  <c r="AG320" i="1"/>
  <c r="AG19" i="1"/>
  <c r="AG354" i="1"/>
  <c r="AG795" i="1"/>
  <c r="AG426" i="1"/>
  <c r="AG144" i="1"/>
  <c r="AG959" i="1"/>
  <c r="AG491" i="1"/>
  <c r="AG120" i="1"/>
  <c r="AG168" i="1"/>
  <c r="AG394" i="1"/>
  <c r="AG729" i="1"/>
  <c r="AG1019" i="1"/>
  <c r="AG995" i="1"/>
  <c r="AG412" i="1"/>
  <c r="AG1068" i="1"/>
  <c r="AG945" i="1"/>
  <c r="AG820" i="1"/>
  <c r="AG1041" i="1"/>
  <c r="AG648" i="1"/>
  <c r="AG754" i="1"/>
  <c r="AG615" i="1"/>
  <c r="AG117" i="1"/>
  <c r="AG758" i="1"/>
  <c r="AG997" i="1"/>
  <c r="AG294" i="1"/>
  <c r="AG720" i="1"/>
  <c r="AG583" i="1"/>
  <c r="AG124" i="1"/>
  <c r="AG190" i="1"/>
  <c r="AG1009" i="1"/>
  <c r="AG866" i="1"/>
  <c r="AG894" i="1"/>
  <c r="AG1076" i="1"/>
  <c r="AG1030" i="1"/>
  <c r="AG382" i="1"/>
  <c r="AG604" i="1"/>
  <c r="AG636" i="1"/>
  <c r="AG316" i="1"/>
  <c r="AG884" i="1"/>
  <c r="AG297" i="1"/>
  <c r="AG870" i="1"/>
  <c r="AG914" i="1"/>
  <c r="AG111" i="1"/>
  <c r="AG67" i="1"/>
  <c r="AG909" i="1"/>
  <c r="AG991" i="1"/>
  <c r="AG948" i="1"/>
  <c r="AG464" i="1"/>
  <c r="AG913" i="1"/>
  <c r="AG131" i="1"/>
  <c r="AG1074" i="1"/>
  <c r="AG819" i="1"/>
  <c r="AG1071" i="1"/>
  <c r="AG682" i="1"/>
  <c r="AG1042" i="1"/>
  <c r="AG933" i="1"/>
  <c r="AG598" i="1"/>
  <c r="AG267" i="1"/>
  <c r="AG843" i="1"/>
  <c r="AG602" i="1"/>
  <c r="AG954" i="1"/>
  <c r="AG1038" i="1"/>
  <c r="AG793" i="1"/>
  <c r="AG263" i="1"/>
  <c r="AG329" i="1"/>
  <c r="AG712" i="1"/>
  <c r="AG208" i="1"/>
  <c r="AG102" i="1"/>
  <c r="AG50" i="1"/>
  <c r="AG664" i="1"/>
  <c r="AG546" i="1"/>
  <c r="AG890" i="1"/>
  <c r="AF890" i="1"/>
  <c r="AF865" i="1"/>
  <c r="AF181" i="1"/>
  <c r="AF317" i="1"/>
  <c r="AF283" i="1"/>
  <c r="AF322" i="1"/>
  <c r="AF732" i="1"/>
  <c r="AF40" i="1"/>
  <c r="AF824" i="1"/>
  <c r="AF514" i="1"/>
  <c r="AF1010" i="1"/>
  <c r="AF896" i="1"/>
  <c r="AF835" i="1"/>
  <c r="AF668" i="1"/>
  <c r="AF800" i="1"/>
  <c r="AF183" i="1"/>
  <c r="AF714" i="1"/>
  <c r="AF809" i="1"/>
  <c r="AF223" i="1"/>
  <c r="AF506" i="1"/>
  <c r="AF934" i="1"/>
  <c r="AF286" i="1"/>
  <c r="AF535" i="1"/>
  <c r="AF1048" i="1"/>
  <c r="AF578" i="1"/>
  <c r="AF253" i="1"/>
  <c r="AF998" i="1"/>
  <c r="AF836" i="1"/>
  <c r="AF516" i="1"/>
  <c r="AF138" i="1"/>
  <c r="AF475" i="1"/>
  <c r="AF663" i="1"/>
  <c r="AF569" i="1"/>
  <c r="AF834" i="1"/>
  <c r="AF587" i="1"/>
  <c r="AF895" i="1"/>
  <c r="AF949" i="1"/>
  <c r="AF741" i="1"/>
  <c r="AF1066" i="1"/>
  <c r="AF769" i="1"/>
  <c r="AF1092" i="1"/>
  <c r="AF504" i="1"/>
  <c r="AF1036" i="1"/>
  <c r="AF660" i="1"/>
  <c r="AF585" i="1"/>
  <c r="AF863" i="1"/>
  <c r="AF1006" i="1"/>
  <c r="AF352" i="1"/>
  <c r="AF864" i="1"/>
  <c r="AF642" i="1"/>
  <c r="AF34" i="1"/>
  <c r="AF927" i="1"/>
  <c r="AF856" i="1"/>
  <c r="AF501" i="1"/>
  <c r="AF224" i="1"/>
  <c r="AF153" i="1"/>
  <c r="AF174" i="1"/>
  <c r="AF476" i="1"/>
  <c r="AF563" i="1"/>
  <c r="AF823" i="1"/>
  <c r="AF830" i="1"/>
  <c r="AF284" i="1"/>
  <c r="AF480" i="1"/>
  <c r="AF320" i="1"/>
  <c r="AF19" i="1"/>
  <c r="AF354" i="1"/>
  <c r="AF795" i="1"/>
  <c r="AF426" i="1"/>
  <c r="AF144" i="1"/>
  <c r="AF959" i="1"/>
  <c r="AF491" i="1"/>
  <c r="AF120" i="1"/>
  <c r="AF168" i="1"/>
  <c r="AF394" i="1"/>
  <c r="AF729" i="1"/>
  <c r="AF1019" i="1"/>
  <c r="AF995" i="1"/>
  <c r="AF412" i="1"/>
  <c r="AF1068" i="1"/>
  <c r="AF945" i="1"/>
  <c r="AF820" i="1"/>
  <c r="AF1041" i="1"/>
  <c r="AF648" i="1"/>
  <c r="AF754" i="1"/>
  <c r="AF615" i="1"/>
  <c r="AF117" i="1"/>
  <c r="AF758" i="1"/>
  <c r="AF997" i="1"/>
  <c r="AF294" i="1"/>
  <c r="AF720" i="1"/>
  <c r="AF583" i="1"/>
  <c r="AF124" i="1"/>
  <c r="AF190" i="1"/>
  <c r="AF1009" i="1"/>
  <c r="AF866" i="1"/>
  <c r="AF894" i="1"/>
  <c r="AF1076" i="1"/>
  <c r="AF1030" i="1"/>
  <c r="AF382" i="1"/>
  <c r="AF604" i="1"/>
  <c r="AF636" i="1"/>
  <c r="AF316" i="1"/>
  <c r="AF884" i="1"/>
  <c r="AF297" i="1"/>
  <c r="AF870" i="1"/>
  <c r="AF914" i="1"/>
  <c r="AF111" i="1"/>
  <c r="AF67" i="1"/>
  <c r="AF909" i="1"/>
  <c r="AF991" i="1"/>
  <c r="AF948" i="1"/>
  <c r="AF464" i="1"/>
  <c r="AF913" i="1"/>
  <c r="AF131" i="1"/>
  <c r="AF1074" i="1"/>
  <c r="AF819" i="1"/>
  <c r="AF1071" i="1"/>
  <c r="AF682" i="1"/>
  <c r="AF1042" i="1"/>
  <c r="AF933" i="1"/>
  <c r="AF598" i="1"/>
  <c r="AF267" i="1"/>
  <c r="AF843" i="1"/>
  <c r="AF602" i="1"/>
  <c r="AF954" i="1"/>
  <c r="AF1038" i="1"/>
  <c r="AF793" i="1"/>
  <c r="AF263" i="1"/>
  <c r="AF329" i="1"/>
  <c r="AF712" i="1"/>
  <c r="AF208" i="1"/>
  <c r="AF102" i="1"/>
  <c r="AF50" i="1"/>
  <c r="AF664" i="1"/>
  <c r="AF546" i="1"/>
  <c r="AF367" i="1"/>
  <c r="AF444" i="1"/>
  <c r="AF694" i="1"/>
  <c r="AF907" i="1"/>
  <c r="AF1073" i="1"/>
  <c r="AF716" i="1"/>
  <c r="AF644" i="1"/>
  <c r="AF711" i="1"/>
  <c r="AF57" i="1"/>
  <c r="AF88" i="1"/>
  <c r="AF25" i="1"/>
  <c r="AF595" i="1"/>
  <c r="AF867" i="1"/>
  <c r="AF900" i="1"/>
  <c r="AF696" i="1"/>
  <c r="AF148" i="1"/>
  <c r="AF624" i="1"/>
  <c r="AF654" i="1"/>
  <c r="AF327" i="1"/>
  <c r="AF937" i="1"/>
  <c r="AF777" i="1"/>
  <c r="AF592" i="1"/>
  <c r="AF314" i="1"/>
  <c r="AF579" i="1"/>
  <c r="AF957" i="1"/>
  <c r="AF686" i="1"/>
  <c r="AF955" i="1"/>
  <c r="AF400" i="1"/>
  <c r="AF521" i="1"/>
  <c r="AF798" i="1"/>
  <c r="AF784" i="1"/>
  <c r="AF984" i="1"/>
  <c r="AF242" i="1"/>
  <c r="AF227" i="1"/>
  <c r="AF243" i="1"/>
  <c r="AF739" i="1"/>
  <c r="AF417" i="1"/>
  <c r="AF570" i="1"/>
  <c r="AF701" i="1"/>
  <c r="AF564" i="1"/>
  <c r="AF874" i="1"/>
  <c r="AF807" i="1"/>
  <c r="AF282" i="1"/>
  <c r="AF794" i="1"/>
  <c r="AF1062" i="1"/>
  <c r="AF925" i="1"/>
  <c r="AF2" i="1"/>
  <c r="AF905" i="1"/>
  <c r="AF533" i="1"/>
  <c r="AF9" i="1"/>
  <c r="AF110" i="1"/>
  <c r="AF1082" i="1"/>
  <c r="AF608" i="1"/>
  <c r="AF953" i="1"/>
  <c r="AF519" i="1"/>
  <c r="AF956" i="1"/>
  <c r="AF899" i="1"/>
  <c r="AF566" i="1"/>
  <c r="AF952" i="1"/>
  <c r="AF717" i="1"/>
  <c r="AF24" i="1"/>
  <c r="AF1070" i="1"/>
  <c r="AF837" i="1"/>
  <c r="AF581" i="1"/>
  <c r="AF783" i="1"/>
  <c r="AF1039" i="1"/>
  <c r="AF842" i="1"/>
  <c r="AF1087" i="1"/>
  <c r="AF752" i="1"/>
  <c r="AF101" i="1"/>
  <c r="AF652" i="1"/>
  <c r="AF815" i="1"/>
  <c r="AF1014" i="1"/>
  <c r="AF724" i="1"/>
  <c r="AF387" i="1"/>
  <c r="AF32" i="1"/>
  <c r="AF639" i="1"/>
  <c r="AF425" i="1"/>
  <c r="AF336" i="1"/>
  <c r="AF936" i="1"/>
  <c r="AF413" i="1"/>
  <c r="AF517" i="1"/>
  <c r="AF614" i="1"/>
  <c r="AF722" i="1"/>
  <c r="AF26" i="1"/>
  <c r="AF869" i="1"/>
  <c r="AF640" i="1"/>
  <c r="AF326" i="1"/>
  <c r="AF723" i="1"/>
  <c r="AF761" i="1"/>
  <c r="AF240" i="1"/>
  <c r="AF857" i="1"/>
  <c r="AF1085" i="1"/>
  <c r="AF727" i="1"/>
  <c r="AF781" i="1"/>
  <c r="AF737" i="1"/>
  <c r="AF610" i="1"/>
  <c r="AF515" i="1"/>
  <c r="AF877" i="1"/>
  <c r="AF257" i="1"/>
  <c r="AF709" i="1"/>
  <c r="AF1020" i="1"/>
  <c r="AF391" i="1"/>
  <c r="AF641" i="1"/>
  <c r="AF484" i="1"/>
  <c r="AF753" i="1"/>
  <c r="AF270" i="1"/>
  <c r="AF268" i="1"/>
  <c r="AF883" i="1"/>
  <c r="AF992" i="1"/>
  <c r="AF1002" i="1"/>
  <c r="AF651" i="1"/>
  <c r="AF1052" i="1"/>
  <c r="AF609" i="1"/>
  <c r="AF871" i="1"/>
  <c r="AF726" i="1"/>
  <c r="AF740" i="1"/>
  <c r="AF399" i="1"/>
  <c r="AF406" i="1"/>
  <c r="AF285" i="1"/>
  <c r="AF1001" i="1"/>
  <c r="AF947" i="1"/>
  <c r="AF827" i="1"/>
  <c r="AF1064" i="1"/>
  <c r="AF1069" i="1"/>
  <c r="AF513" i="1"/>
  <c r="AF95" i="1"/>
  <c r="AF346" i="1"/>
  <c r="AF549" i="1"/>
  <c r="AF246" i="1"/>
  <c r="AF561" i="1"/>
  <c r="AF503" i="1"/>
  <c r="AF385" i="1"/>
  <c r="AF782" i="1"/>
  <c r="AF1067" i="1"/>
  <c r="AF343" i="1"/>
  <c r="AF149" i="1"/>
  <c r="AF30" i="1"/>
  <c r="AF488" i="1"/>
  <c r="AF226" i="1"/>
  <c r="AF27" i="1"/>
  <c r="AF1011" i="1"/>
  <c r="AF29" i="1"/>
  <c r="AF994" i="1"/>
  <c r="AF374" i="1"/>
  <c r="AF198" i="1"/>
  <c r="AF618" i="1"/>
  <c r="AF647" i="1"/>
  <c r="AF673" i="1"/>
  <c r="AF1012" i="1"/>
  <c r="AF313" i="1"/>
  <c r="AF832" i="1"/>
  <c r="AF545" i="1"/>
  <c r="AF160" i="1"/>
  <c r="AF646" i="1"/>
  <c r="AF658" i="1"/>
  <c r="AF681" i="1"/>
  <c r="AF477" i="1"/>
  <c r="AF802" i="1"/>
  <c r="AF844" i="1"/>
  <c r="AF255" i="1"/>
  <c r="AF851" i="1"/>
  <c r="AF63" i="1"/>
  <c r="AF743" i="1"/>
  <c r="AF7" i="1"/>
  <c r="AF1004" i="1"/>
  <c r="AF788" i="1"/>
  <c r="AF74" i="1"/>
  <c r="AF847" i="1"/>
  <c r="AF202" i="1"/>
  <c r="AF931" i="1"/>
  <c r="AF360" i="1"/>
  <c r="AF264" i="1"/>
  <c r="AF310" i="1"/>
  <c r="AF810" i="1"/>
  <c r="AF1108" i="1"/>
  <c r="AF225" i="1"/>
  <c r="AF334" i="1"/>
  <c r="AF502" i="1"/>
  <c r="AF274" i="1"/>
  <c r="AF256" i="1"/>
  <c r="AF597" i="1"/>
  <c r="AF115" i="1"/>
  <c r="AF437" i="1"/>
  <c r="AF207" i="1"/>
  <c r="AF846" i="1"/>
  <c r="AF193" i="1"/>
  <c r="AF1079" i="1"/>
  <c r="AF162" i="1"/>
  <c r="AF64" i="1"/>
  <c r="AF189" i="1"/>
  <c r="AF771" i="1"/>
  <c r="AF14" i="1"/>
  <c r="AF155" i="1"/>
  <c r="AF505" i="1"/>
  <c r="AF350" i="1"/>
  <c r="AF415" i="1"/>
  <c r="AF1117" i="1"/>
  <c r="AF75" i="1"/>
  <c r="AF735" i="1"/>
  <c r="AF473" i="1"/>
  <c r="AF1015" i="1"/>
  <c r="AF1083" i="1"/>
  <c r="AF58" i="1"/>
  <c r="AF875" i="1"/>
  <c r="AF358" i="1"/>
  <c r="AF28" i="1"/>
  <c r="AF62" i="1"/>
  <c r="AF560" i="1"/>
  <c r="AF878" i="1"/>
  <c r="AF5" i="1"/>
  <c r="AF520" i="1"/>
  <c r="AF104" i="1"/>
  <c r="AF167" i="1"/>
  <c r="AF930" i="1"/>
  <c r="AF853" i="1"/>
  <c r="AF808" i="1"/>
  <c r="AF725" i="1"/>
  <c r="AF403" i="1"/>
  <c r="AF848" i="1"/>
  <c r="AF813" i="1"/>
  <c r="AF841" i="1"/>
  <c r="AF544" i="1"/>
  <c r="AF299" i="1"/>
  <c r="AF672" i="1"/>
  <c r="AF407" i="1"/>
  <c r="AF791" i="1"/>
  <c r="AF485" i="1"/>
  <c r="AF245" i="1"/>
  <c r="AF451" i="1"/>
  <c r="AF748" i="1"/>
  <c r="AF265" i="1"/>
  <c r="AF645" i="1"/>
  <c r="AF16" i="1"/>
  <c r="AF915" i="1"/>
  <c r="AF368" i="1"/>
  <c r="AF154" i="1"/>
  <c r="AF114" i="1"/>
  <c r="AF376" i="1"/>
  <c r="AF136" i="1"/>
  <c r="AF684" i="1"/>
  <c r="AF372" i="1"/>
  <c r="AF440" i="1"/>
  <c r="AF157" i="1"/>
  <c r="AF250" i="1"/>
  <c r="AF679" i="1"/>
  <c r="AF472" i="1"/>
  <c r="AF216" i="1"/>
  <c r="AF52" i="1"/>
  <c r="AF1111" i="1"/>
  <c r="AF218" i="1"/>
  <c r="AF1034" i="1"/>
  <c r="AF978" i="1"/>
  <c r="AF675" i="1"/>
  <c r="AF303" i="1"/>
  <c r="AF617" i="1"/>
  <c r="AF234" i="1"/>
  <c r="AF829" i="1"/>
  <c r="AF323" i="1"/>
  <c r="AF942" i="1"/>
  <c r="AF960" i="1"/>
  <c r="AF958" i="1"/>
  <c r="AF197" i="1"/>
  <c r="AF792" i="1"/>
  <c r="AF134" i="1"/>
  <c r="AF280" i="1"/>
  <c r="AF605" i="1"/>
  <c r="AF392" i="1"/>
  <c r="AF882" i="1"/>
  <c r="AF59" i="1"/>
  <c r="AF1003" i="1"/>
  <c r="AF1099" i="1"/>
  <c r="AF107" i="1"/>
  <c r="AF1000" i="1"/>
  <c r="AF126" i="1"/>
  <c r="AF677" i="1"/>
  <c r="AF828" i="1"/>
  <c r="AF498" i="1"/>
  <c r="AF499" i="1"/>
  <c r="AF1065" i="1"/>
  <c r="AF665" i="1"/>
  <c r="AF951" i="1"/>
  <c r="AF366" i="1"/>
  <c r="AF876" i="1"/>
  <c r="AF349" i="1"/>
  <c r="AF377" i="1"/>
  <c r="AF796" i="1"/>
  <c r="AF731" i="1"/>
  <c r="AF1091" i="1"/>
  <c r="AF702" i="1"/>
  <c r="AF976" i="1"/>
  <c r="AF356" i="1"/>
  <c r="AF434" i="1"/>
  <c r="AF676" i="1"/>
  <c r="AF39" i="1"/>
  <c r="AF72" i="1"/>
  <c r="AF718" i="1"/>
  <c r="AF738" i="1"/>
  <c r="AF1090" i="1"/>
  <c r="AF879" i="1"/>
  <c r="AF55" i="1"/>
  <c r="AF293" i="1"/>
  <c r="AF90" i="1"/>
  <c r="AF306" i="1"/>
  <c r="AF838" i="1"/>
  <c r="AF986" i="1"/>
  <c r="AF580" i="1"/>
  <c r="AF397" i="1"/>
  <c r="AF849" i="1"/>
  <c r="AF421" i="1"/>
  <c r="AF859" i="1"/>
  <c r="AF44" i="1"/>
  <c r="AF970" i="1"/>
  <c r="AF370" i="1"/>
  <c r="AF182" i="1"/>
  <c r="AF312" i="1"/>
  <c r="AF562" i="1"/>
  <c r="AF76" i="1"/>
  <c r="AF620" i="1"/>
  <c r="AF789" i="1"/>
  <c r="AF478" i="1"/>
  <c r="AF260" i="1"/>
  <c r="AF347" i="1"/>
  <c r="AF699" i="1"/>
  <c r="AF156" i="1"/>
  <c r="AF191" i="1"/>
  <c r="AF831" i="1"/>
  <c r="AF532" i="1"/>
  <c r="AF86" i="1"/>
  <c r="AF801" i="1"/>
  <c r="AF130" i="1"/>
  <c r="AF332" i="1"/>
  <c r="AF746" i="1"/>
  <c r="AF670" i="1"/>
  <c r="AF277" i="1"/>
  <c r="AF812" i="1"/>
  <c r="AF436" i="1"/>
  <c r="AF1050" i="1"/>
  <c r="AF918" i="1"/>
  <c r="AF348" i="1"/>
  <c r="AF47" i="1"/>
  <c r="AF707" i="1"/>
  <c r="AF977" i="1"/>
  <c r="AF911" i="1"/>
  <c r="AF91" i="1"/>
  <c r="AF534" i="1"/>
  <c r="AF706" i="1"/>
  <c r="AF449" i="1"/>
  <c r="AF249" i="1"/>
  <c r="AF251" i="1"/>
  <c r="AF886" i="1"/>
  <c r="AF89" i="1"/>
  <c r="AF365" i="1"/>
  <c r="AF492" i="1"/>
  <c r="AF1107" i="1"/>
  <c r="AF993" i="1"/>
  <c r="AF527" i="1"/>
  <c r="AF351" i="1"/>
  <c r="AF206" i="1"/>
  <c r="AF405" i="1"/>
  <c r="AF92" i="1"/>
  <c r="AF980" i="1"/>
  <c r="AF542" i="1"/>
  <c r="AF698" i="1"/>
  <c r="AF973" i="1"/>
  <c r="AF221" i="1"/>
  <c r="AF217" i="1"/>
  <c r="AF858" i="1"/>
  <c r="AF395" i="1"/>
  <c r="AF435" i="1"/>
  <c r="AF628" i="1"/>
  <c r="AF1088" i="1"/>
  <c r="AF634" i="1"/>
  <c r="AF379" i="1"/>
  <c r="AF396" i="1"/>
  <c r="AF557" i="1"/>
  <c r="AF669" i="1"/>
  <c r="AF555" i="1"/>
  <c r="AF495" i="1"/>
  <c r="AF768" i="1"/>
  <c r="AF700" i="1"/>
  <c r="AF626" i="1"/>
  <c r="AF967" i="1"/>
  <c r="AF241" i="1"/>
  <c r="AF760" i="1"/>
  <c r="AF22" i="1"/>
  <c r="AF818" i="1"/>
  <c r="AF1022" i="1"/>
  <c r="AF461" i="1"/>
  <c r="AF410" i="1"/>
  <c r="AF166" i="1"/>
  <c r="AF600" i="1"/>
  <c r="AF568" i="1"/>
  <c r="AF1021" i="1"/>
  <c r="AF589" i="1"/>
  <c r="AF891" i="1"/>
  <c r="AF962" i="1"/>
  <c r="AF778" i="1"/>
  <c r="AF770" i="1"/>
  <c r="AF458" i="1"/>
  <c r="AF1029" i="1"/>
  <c r="AF416" i="1"/>
  <c r="AF337" i="1"/>
  <c r="AF988" i="1"/>
  <c r="AF507" i="1"/>
  <c r="AF23" i="1"/>
  <c r="AF31" i="1"/>
  <c r="AF547" i="1"/>
  <c r="AF910" i="1"/>
  <c r="AF291" i="1"/>
  <c r="AF944" i="1"/>
  <c r="AF928" i="1"/>
  <c r="AF159" i="1"/>
  <c r="AF635" i="1"/>
  <c r="AF757" i="1"/>
  <c r="AF889" i="1"/>
  <c r="AF667" i="1"/>
  <c r="AF398" i="1"/>
  <c r="AF422" i="1"/>
  <c r="AF447" i="1"/>
  <c r="AF674" i="1"/>
  <c r="AF806" i="1"/>
  <c r="AF683" i="1"/>
  <c r="AF584" i="1"/>
  <c r="AF638" i="1"/>
  <c r="AF666" i="1"/>
  <c r="AF340" i="1"/>
  <c r="AF308" i="1"/>
  <c r="AF862" i="1"/>
  <c r="AF805" i="1"/>
  <c r="AF518" i="1"/>
  <c r="AF1058" i="1"/>
  <c r="AF924" i="1"/>
  <c r="AF20" i="1"/>
  <c r="AF1061" i="1"/>
  <c r="AF1049" i="1"/>
  <c r="AF439" i="1"/>
  <c r="AF455" i="1"/>
  <c r="AF408" i="1"/>
  <c r="AF790" i="1"/>
  <c r="AF1005" i="1"/>
  <c r="AF885" i="1"/>
  <c r="AF868" i="1"/>
  <c r="AF1094" i="1"/>
  <c r="AF467" i="1"/>
  <c r="AF565" i="1"/>
  <c r="AF637" i="1"/>
  <c r="AF631" i="1"/>
  <c r="AF1024" i="1"/>
  <c r="AF228" i="1"/>
  <c r="AF881" i="1"/>
  <c r="AF429" i="1"/>
  <c r="AF1031" i="1"/>
  <c r="AF1027" i="1"/>
  <c r="AF1057" i="1"/>
  <c r="AF1105" i="1"/>
  <c r="AF1103" i="1"/>
  <c r="AF1106" i="1"/>
  <c r="AF1104" i="1"/>
  <c r="AF880" i="1"/>
  <c r="AF762" i="1"/>
  <c r="AF364" i="1"/>
  <c r="AF1028" i="1"/>
  <c r="AF539" i="1"/>
  <c r="AF378" i="1"/>
  <c r="AF94" i="1"/>
  <c r="AF574" i="1"/>
  <c r="AF764" i="1"/>
  <c r="AF1086" i="1"/>
  <c r="AF443" i="1"/>
  <c r="AF386" i="1"/>
  <c r="AF655" i="1"/>
  <c r="AF125" i="1"/>
  <c r="AF69" i="1"/>
  <c r="AF271" i="1"/>
  <c r="AF201" i="1"/>
  <c r="AF650" i="1"/>
  <c r="AF384" i="1"/>
  <c r="AF142" i="1"/>
  <c r="AF118" i="1"/>
  <c r="AF996" i="1"/>
  <c r="AF68" i="1"/>
  <c r="AF1008" i="1"/>
  <c r="AF1046" i="1"/>
  <c r="AF341" i="1"/>
  <c r="AF920" i="1"/>
  <c r="AF258" i="1"/>
  <c r="AF680" i="1"/>
  <c r="AF575" i="1"/>
  <c r="AF687" i="1"/>
  <c r="AF428" i="1"/>
  <c r="AF621" i="1"/>
  <c r="AF279" i="1"/>
  <c r="AF479" i="1"/>
  <c r="AF594" i="1"/>
  <c r="AF616" i="1"/>
  <c r="AF649" i="1"/>
  <c r="AF80" i="1"/>
  <c r="AF319" i="1"/>
  <c r="AF237" i="1"/>
  <c r="AF244" i="1"/>
  <c r="AF409" i="1"/>
  <c r="AF985" i="1"/>
  <c r="AF599" i="1"/>
  <c r="AF586" i="1"/>
  <c r="AF304" i="1"/>
  <c r="AF185" i="1"/>
  <c r="AF229" i="1"/>
  <c r="AF489" i="1"/>
  <c r="AF961" i="1"/>
  <c r="AF1032" i="1"/>
  <c r="AF266" i="1"/>
  <c r="AF466" i="1"/>
  <c r="AF695" i="1"/>
  <c r="AF839" i="1"/>
  <c r="AF822" i="1"/>
  <c r="AF411" i="1"/>
  <c r="AF371" i="1"/>
  <c r="AF424" i="1"/>
  <c r="AF690" i="1"/>
  <c r="AF577" i="1"/>
  <c r="AF607" i="1"/>
  <c r="AF82" i="1"/>
  <c r="AF721" i="1"/>
  <c r="AF526" i="1"/>
  <c r="AF935" i="1"/>
  <c r="AF389" i="1"/>
  <c r="AF481" i="1"/>
  <c r="AF465" i="1"/>
  <c r="AF51" i="1"/>
  <c r="AF65" i="1"/>
  <c r="AF292" i="1"/>
  <c r="AF335" i="1"/>
  <c r="AF147" i="1"/>
  <c r="AF296" i="1"/>
  <c r="AF469" i="1"/>
  <c r="AF1033" i="1"/>
  <c r="AF811" i="1"/>
  <c r="AF728" i="1"/>
  <c r="AF529" i="1"/>
  <c r="AF1023" i="1"/>
  <c r="AF46" i="1"/>
  <c r="AF932" i="1"/>
  <c r="AF750" i="1"/>
  <c r="AF85" i="1"/>
  <c r="AF231" i="1"/>
  <c r="AF11" i="1"/>
  <c r="AF1100" i="1"/>
  <c r="AF420" i="1"/>
  <c r="AF146" i="1"/>
  <c r="AF238" i="1"/>
  <c r="AF1080" i="1"/>
  <c r="AF290" i="1"/>
  <c r="AF1054" i="1"/>
  <c r="AF381" i="1"/>
  <c r="AF632" i="1"/>
  <c r="AF123" i="1"/>
  <c r="AF548" i="1"/>
  <c r="AF194" i="1"/>
  <c r="AF775" i="1"/>
  <c r="AF772" i="1"/>
  <c r="AF493" i="1"/>
  <c r="AF239" i="1"/>
  <c r="AF926" i="1"/>
  <c r="AF733" i="1"/>
  <c r="AF143" i="1"/>
  <c r="AF888" i="1"/>
  <c r="AF103" i="1"/>
  <c r="AF41" i="1"/>
  <c r="AF375" i="1"/>
  <c r="AF826" i="1"/>
  <c r="AF1095" i="1"/>
  <c r="AF497" i="1"/>
  <c r="AF619" i="1"/>
  <c r="AF873" i="1"/>
  <c r="AF713" i="1"/>
  <c r="AF969" i="1"/>
  <c r="AF508" i="1"/>
  <c r="AF219" i="1"/>
  <c r="AF179" i="1"/>
  <c r="AF1007" i="1"/>
  <c r="AF765" i="1"/>
  <c r="AF1025" i="1"/>
  <c r="AF77" i="1"/>
  <c r="AF755" i="1"/>
  <c r="AF84" i="1"/>
  <c r="AF745" i="1"/>
  <c r="AF431" i="1"/>
  <c r="AF273" i="1"/>
  <c r="AF1017" i="1"/>
  <c r="AF445" i="1"/>
  <c r="AF140" i="1"/>
  <c r="AF901" i="1"/>
  <c r="AF442" i="1"/>
  <c r="AF1112" i="1"/>
  <c r="AF56" i="1"/>
  <c r="AF531" i="1"/>
  <c r="AF369" i="1"/>
  <c r="AF749" i="1"/>
  <c r="AF151" i="1"/>
  <c r="AF483" i="1"/>
  <c r="AF262" i="1"/>
  <c r="AF661" i="1"/>
  <c r="AF689" i="1"/>
  <c r="AF861" i="1"/>
  <c r="AF73" i="1"/>
  <c r="AF121" i="1"/>
  <c r="AF432" i="1"/>
  <c r="AF423" i="1"/>
  <c r="AF132" i="1"/>
  <c r="AF550" i="1"/>
  <c r="AF553" i="1"/>
  <c r="AF119" i="1"/>
  <c r="AF773" i="1"/>
  <c r="AF8" i="1"/>
  <c r="AF1078" i="1"/>
  <c r="AF462" i="1"/>
  <c r="AF459" i="1"/>
  <c r="AF98" i="1"/>
  <c r="AF1055" i="1"/>
  <c r="AF33" i="1"/>
  <c r="AF373" i="1"/>
  <c r="AF779" i="1"/>
  <c r="AF922" i="1"/>
  <c r="AF105" i="1"/>
  <c r="AF100" i="1"/>
  <c r="AF152" i="1"/>
  <c r="AF1075" i="1"/>
  <c r="AF693" i="1"/>
  <c r="AF380" i="1"/>
  <c r="AF588" i="1"/>
  <c r="AF128" i="1"/>
  <c r="AF776" i="1"/>
  <c r="AF1056" i="1"/>
  <c r="AF122" i="1"/>
  <c r="AF653" i="1"/>
  <c r="AF1018" i="1"/>
  <c r="AF999" i="1"/>
  <c r="AF1102" i="1"/>
  <c r="AF211" i="1"/>
  <c r="AF106" i="1"/>
  <c r="AF87" i="1"/>
  <c r="AF941" i="1"/>
  <c r="AF662" i="1"/>
  <c r="AF490" i="1"/>
  <c r="AF1059" i="1"/>
  <c r="AF18" i="1"/>
  <c r="AF573" i="1"/>
  <c r="AF450" i="1"/>
  <c r="AF572" i="1"/>
  <c r="AF688" i="1"/>
  <c r="AF990" i="1"/>
  <c r="AF254" i="1"/>
  <c r="AF3" i="1"/>
  <c r="AF787" i="1"/>
  <c r="AF45" i="1"/>
  <c r="AF433" i="1"/>
  <c r="AF474" i="1"/>
  <c r="AF361" i="1"/>
  <c r="AF759" i="1"/>
  <c r="AF817" i="1"/>
  <c r="AF678" i="1"/>
  <c r="AF457" i="1"/>
  <c r="AF38" i="1"/>
  <c r="AF1026" i="1"/>
  <c r="AF210" i="1"/>
  <c r="AF325" i="1"/>
  <c r="AF235" i="1"/>
  <c r="AF1077" i="1"/>
  <c r="AF259" i="1"/>
  <c r="AF1040" i="1"/>
  <c r="AF178" i="1"/>
  <c r="AF165" i="1"/>
  <c r="AF145" i="1"/>
  <c r="AF524" i="1"/>
  <c r="AF528" i="1"/>
  <c r="AF744" i="1"/>
  <c r="AF887" i="1"/>
  <c r="AF892" i="1"/>
  <c r="AF571" i="1"/>
  <c r="AF330" i="1"/>
  <c r="AF401" i="1"/>
  <c r="AF627" i="1"/>
  <c r="AF71" i="1"/>
  <c r="AF657" i="1"/>
  <c r="AF1116" i="1"/>
  <c r="AF785" i="1"/>
  <c r="AF281" i="1"/>
  <c r="AF1093" i="1"/>
  <c r="AF943" i="1"/>
  <c r="AF441" i="1"/>
  <c r="AF780" i="1"/>
  <c r="AF272" i="1"/>
  <c r="AF269" i="1"/>
  <c r="AF814" i="1"/>
  <c r="AF192" i="1"/>
  <c r="AF342" i="1"/>
  <c r="AF453" i="1"/>
  <c r="AF17" i="1"/>
  <c r="AF116" i="1"/>
  <c r="AF150" i="1"/>
  <c r="AF195" i="1"/>
  <c r="AF388" i="1"/>
  <c r="AF248" i="1"/>
  <c r="AF596" i="1"/>
  <c r="AF338" i="1"/>
  <c r="AF855" i="1"/>
  <c r="AF452" i="1"/>
  <c r="AF108" i="1"/>
  <c r="AF1118" i="1"/>
  <c r="AF289" i="1"/>
  <c r="AF1043" i="1"/>
  <c r="AF554" i="1"/>
  <c r="AF917" i="1"/>
  <c r="AF209" i="1"/>
  <c r="AF606" i="1"/>
  <c r="AF982" i="1"/>
  <c r="AF15" i="1"/>
  <c r="AF1047" i="1"/>
  <c r="AF710" i="1"/>
  <c r="AF21" i="1"/>
  <c r="AF300" i="1"/>
  <c r="AF633" i="1"/>
  <c r="AF1081" i="1"/>
  <c r="AF912" i="1"/>
  <c r="AF736" i="1"/>
  <c r="AF402" i="1"/>
  <c r="AF854" i="1"/>
  <c r="AF203" i="1"/>
  <c r="AF989" i="1"/>
  <c r="AF419" i="1"/>
  <c r="AF939" i="1"/>
  <c r="AF301" i="1"/>
  <c r="AF220" i="1"/>
  <c r="AF897" i="1"/>
  <c r="AF742" i="1"/>
  <c r="AF363" i="1"/>
  <c r="AF163" i="1"/>
  <c r="AF180" i="1"/>
  <c r="AF872" i="1"/>
  <c r="AF276" i="1"/>
  <c r="AF938" i="1"/>
  <c r="AF311" i="1"/>
  <c r="AF1053" i="1"/>
  <c r="AF751" i="1"/>
  <c r="AF112" i="1"/>
  <c r="AF576" i="1"/>
  <c r="AF113" i="1"/>
  <c r="AF719" i="1"/>
  <c r="AF97" i="1"/>
  <c r="AF747" i="1"/>
  <c r="AF1115" i="1"/>
  <c r="AF1114" i="1"/>
  <c r="AF78" i="1"/>
  <c r="AF816" i="1"/>
  <c r="AF833" i="1"/>
  <c r="AF981" i="1"/>
  <c r="AF496" i="1"/>
  <c r="AF261" i="1"/>
  <c r="AF767" i="1"/>
  <c r="AF13" i="1"/>
  <c r="AF199" i="1"/>
  <c r="AF230" i="1"/>
  <c r="AF96" i="1"/>
  <c r="AF109" i="1"/>
  <c r="AF232" i="1"/>
  <c r="AF390" i="1"/>
  <c r="AF53" i="1"/>
  <c r="AF494" i="1"/>
  <c r="AF916" i="1"/>
  <c r="AF906" i="1"/>
  <c r="AF35" i="1"/>
  <c r="AF929" i="1"/>
  <c r="AF200" i="1"/>
  <c r="AF691" i="1"/>
  <c r="AF908" i="1"/>
  <c r="AF975" i="1"/>
  <c r="AF252" i="1"/>
  <c r="AF1109" i="1"/>
  <c r="AF1098" i="1"/>
  <c r="AF321" i="1"/>
  <c r="AF324" i="1"/>
  <c r="AF591" i="1"/>
  <c r="AF79" i="1"/>
  <c r="AF582" i="1"/>
  <c r="AF446" i="1"/>
  <c r="AF4" i="1"/>
  <c r="AF902" i="1"/>
  <c r="AF137" i="1"/>
  <c r="AF54" i="1"/>
  <c r="AF601" i="1"/>
  <c r="AF983" i="1"/>
  <c r="AF460" i="1"/>
  <c r="AF1084" i="1"/>
  <c r="AF840" i="1"/>
  <c r="AF898" i="1"/>
  <c r="AF774" i="1"/>
  <c r="AF196" i="1"/>
  <c r="AF233" i="1"/>
  <c r="AF205" i="1"/>
  <c r="AF83" i="1"/>
  <c r="AF427" i="1"/>
  <c r="AF611" i="1"/>
  <c r="AF133" i="1"/>
  <c r="AF500" i="1"/>
  <c r="AF685" i="1"/>
  <c r="AF486" i="1"/>
  <c r="AF315" i="1"/>
  <c r="AF295" i="1"/>
  <c r="AF454" i="1"/>
  <c r="AF963" i="1"/>
  <c r="AF1060" i="1"/>
  <c r="AF61" i="1"/>
  <c r="AF357" i="1"/>
  <c r="AF623" i="1"/>
  <c r="AF333" i="1"/>
  <c r="AF275" i="1"/>
  <c r="AF186" i="1"/>
  <c r="AF697" i="1"/>
  <c r="AF318" i="1"/>
  <c r="AF612" i="1"/>
  <c r="AF404" i="1"/>
  <c r="AF81" i="1"/>
  <c r="AF537" i="1"/>
  <c r="AF172" i="1"/>
  <c r="AF164" i="1"/>
  <c r="AF344" i="1"/>
  <c r="AF362" i="1"/>
  <c r="AF331" i="1"/>
  <c r="AF523" i="1"/>
  <c r="AF278" i="1"/>
  <c r="AF974" i="1"/>
  <c r="AF593" i="1"/>
  <c r="AF247" i="1"/>
  <c r="AF70" i="1"/>
  <c r="AF393" i="1"/>
  <c r="AF212" i="1"/>
  <c r="AF93" i="1"/>
  <c r="AF671" i="1"/>
  <c r="AF204" i="1"/>
  <c r="AF359" i="1"/>
  <c r="AF339" i="1"/>
  <c r="AF613" i="1"/>
  <c r="AF538" i="1"/>
  <c r="AF979" i="1"/>
  <c r="AF756" i="1"/>
  <c r="AF66" i="1"/>
  <c r="AF971" i="1"/>
  <c r="AF567" i="1"/>
  <c r="AF543" i="1"/>
  <c r="AF946" i="1"/>
  <c r="AF763" i="1"/>
  <c r="AF708" i="1"/>
  <c r="AF940" i="1"/>
  <c r="AF622" i="1"/>
  <c r="AF968" i="1"/>
  <c r="AF860" i="1"/>
  <c r="AF1072" i="1"/>
  <c r="AF972" i="1"/>
  <c r="AF730" i="1"/>
  <c r="AF845" i="1"/>
  <c r="AF923" i="1"/>
  <c r="AF692" i="1"/>
  <c r="AF821" i="1"/>
  <c r="AF799" i="1"/>
  <c r="AF643" i="1"/>
  <c r="AF625" i="1"/>
  <c r="AF950" i="1"/>
  <c r="AF1037" i="1"/>
  <c r="AF919" i="1"/>
  <c r="AF1063" i="1"/>
  <c r="AF135" i="1"/>
  <c r="AF850" i="1"/>
  <c r="AF430" i="1"/>
  <c r="AF287" i="1"/>
  <c r="AF536" i="1"/>
  <c r="AF158" i="1"/>
  <c r="AF786" i="1"/>
  <c r="AF307" i="1"/>
  <c r="AF552" i="1"/>
  <c r="AF556" i="1"/>
  <c r="AF630" i="1"/>
  <c r="AF169" i="1"/>
  <c r="AF1013" i="1"/>
  <c r="AF43" i="1"/>
  <c r="AF129" i="1"/>
  <c r="AC890" i="1"/>
  <c r="AB890" i="1"/>
  <c r="AA890" i="1"/>
  <c r="Z890" i="1"/>
  <c r="Y890" i="1"/>
  <c r="X890" i="1"/>
  <c r="W890" i="1"/>
  <c r="V890" i="1"/>
  <c r="U890" i="1"/>
  <c r="T890" i="1"/>
  <c r="S865" i="1"/>
  <c r="S181" i="1"/>
  <c r="S317" i="1"/>
  <c r="S283" i="1"/>
  <c r="S322" i="1"/>
  <c r="S732" i="1"/>
  <c r="S40" i="1"/>
  <c r="S824" i="1"/>
  <c r="S514" i="1"/>
  <c r="S1010" i="1"/>
  <c r="S896" i="1"/>
  <c r="S835" i="1"/>
  <c r="S668" i="1"/>
  <c r="S800" i="1"/>
  <c r="S183" i="1"/>
  <c r="S714" i="1"/>
  <c r="S809" i="1"/>
  <c r="S223" i="1"/>
  <c r="S506" i="1"/>
  <c r="S934" i="1"/>
  <c r="S286" i="1"/>
  <c r="S535" i="1"/>
  <c r="S1048" i="1"/>
  <c r="S578" i="1"/>
  <c r="S253" i="1"/>
  <c r="S998" i="1"/>
  <c r="S836" i="1"/>
  <c r="S516" i="1"/>
  <c r="S138" i="1"/>
  <c r="S475" i="1"/>
  <c r="S663" i="1"/>
  <c r="S569" i="1"/>
  <c r="S834" i="1"/>
  <c r="S587" i="1"/>
  <c r="S895" i="1"/>
  <c r="S949" i="1"/>
  <c r="S741" i="1"/>
  <c r="S1066" i="1"/>
  <c r="S769" i="1"/>
  <c r="S1092" i="1"/>
  <c r="S504" i="1"/>
  <c r="S1036" i="1"/>
  <c r="S660" i="1"/>
  <c r="S585" i="1"/>
  <c r="S863" i="1"/>
  <c r="S1006" i="1"/>
  <c r="S352" i="1"/>
  <c r="S864" i="1"/>
  <c r="S642" i="1"/>
  <c r="S34" i="1"/>
  <c r="S927" i="1"/>
  <c r="S856" i="1"/>
  <c r="S501" i="1"/>
  <c r="S224" i="1"/>
  <c r="S153" i="1"/>
  <c r="S174" i="1"/>
  <c r="S476" i="1"/>
  <c r="S563" i="1"/>
  <c r="S823" i="1"/>
  <c r="S830" i="1"/>
  <c r="S284" i="1"/>
  <c r="S480" i="1"/>
  <c r="S320" i="1"/>
  <c r="S19" i="1"/>
  <c r="S354" i="1"/>
  <c r="S795" i="1"/>
  <c r="S426" i="1"/>
  <c r="S144" i="1"/>
  <c r="S959" i="1"/>
  <c r="S491" i="1"/>
  <c r="S120" i="1"/>
  <c r="S168" i="1"/>
  <c r="S394" i="1"/>
  <c r="S729" i="1"/>
  <c r="S1019" i="1"/>
  <c r="S995" i="1"/>
  <c r="S412" i="1"/>
  <c r="S1068" i="1"/>
  <c r="S945" i="1"/>
  <c r="S820" i="1"/>
  <c r="S1041" i="1"/>
  <c r="S648" i="1"/>
  <c r="S754" i="1"/>
  <c r="S615" i="1"/>
  <c r="S117" i="1"/>
  <c r="S758" i="1"/>
  <c r="S997" i="1"/>
  <c r="S294" i="1"/>
  <c r="S720" i="1"/>
  <c r="S583" i="1"/>
  <c r="S124" i="1"/>
  <c r="S190" i="1"/>
  <c r="S1009" i="1"/>
  <c r="S866" i="1"/>
  <c r="S894" i="1"/>
  <c r="S1076" i="1"/>
  <c r="S1030" i="1"/>
  <c r="S382" i="1"/>
  <c r="S604" i="1"/>
  <c r="S636" i="1"/>
  <c r="S316" i="1"/>
  <c r="S884" i="1"/>
  <c r="S297" i="1"/>
  <c r="S870" i="1"/>
  <c r="S914" i="1"/>
  <c r="S111" i="1"/>
  <c r="S67" i="1"/>
  <c r="S909" i="1"/>
  <c r="S991" i="1"/>
  <c r="S948" i="1"/>
  <c r="S464" i="1"/>
  <c r="S913" i="1"/>
  <c r="S131" i="1"/>
  <c r="S1074" i="1"/>
  <c r="S819" i="1"/>
  <c r="S1071" i="1"/>
  <c r="S682" i="1"/>
  <c r="S1042" i="1"/>
  <c r="S933" i="1"/>
  <c r="S598" i="1"/>
  <c r="S267" i="1"/>
  <c r="S843" i="1"/>
  <c r="S602" i="1"/>
  <c r="S954" i="1"/>
  <c r="S1038" i="1"/>
  <c r="S793" i="1"/>
  <c r="S263" i="1"/>
  <c r="S329" i="1"/>
  <c r="S712" i="1"/>
  <c r="S208" i="1"/>
  <c r="S102" i="1"/>
  <c r="S50" i="1"/>
  <c r="S664" i="1"/>
  <c r="S546" i="1"/>
  <c r="S367" i="1"/>
  <c r="S444" i="1"/>
  <c r="S694" i="1"/>
  <c r="S907" i="1"/>
  <c r="S1073" i="1"/>
  <c r="S716" i="1"/>
  <c r="S644" i="1"/>
  <c r="S711" i="1"/>
  <c r="S57" i="1"/>
  <c r="S88" i="1"/>
  <c r="S25" i="1"/>
  <c r="S595" i="1"/>
  <c r="S867" i="1"/>
  <c r="S900" i="1"/>
  <c r="S696" i="1"/>
  <c r="S148" i="1"/>
  <c r="S624" i="1"/>
  <c r="S654" i="1"/>
  <c r="S327" i="1"/>
  <c r="S937" i="1"/>
  <c r="S777" i="1"/>
  <c r="S592" i="1"/>
  <c r="S314" i="1"/>
  <c r="S579" i="1"/>
  <c r="S957" i="1"/>
  <c r="S686" i="1"/>
  <c r="S955" i="1"/>
  <c r="S400" i="1"/>
  <c r="S521" i="1"/>
  <c r="S798" i="1"/>
  <c r="S784" i="1"/>
  <c r="S984" i="1"/>
  <c r="S242" i="1"/>
  <c r="S227" i="1"/>
  <c r="S243" i="1"/>
  <c r="S739" i="1"/>
  <c r="S417" i="1"/>
  <c r="S570" i="1"/>
  <c r="S701" i="1"/>
  <c r="S564" i="1"/>
  <c r="S874" i="1"/>
  <c r="S807" i="1"/>
  <c r="S282" i="1"/>
  <c r="S794" i="1"/>
  <c r="S1062" i="1"/>
  <c r="S925" i="1"/>
  <c r="S2" i="1"/>
  <c r="S905" i="1"/>
  <c r="S533" i="1"/>
  <c r="S9" i="1"/>
  <c r="S110" i="1"/>
  <c r="S1082" i="1"/>
  <c r="S608" i="1"/>
  <c r="S953" i="1"/>
  <c r="S519" i="1"/>
  <c r="S956" i="1"/>
  <c r="S899" i="1"/>
  <c r="S566" i="1"/>
  <c r="S952" i="1"/>
  <c r="S717" i="1"/>
  <c r="S24" i="1"/>
  <c r="S1070" i="1"/>
  <c r="S837" i="1"/>
  <c r="S581" i="1"/>
  <c r="S783" i="1"/>
  <c r="S1039" i="1"/>
  <c r="S842" i="1"/>
  <c r="S1087" i="1"/>
  <c r="S752" i="1"/>
  <c r="S101" i="1"/>
  <c r="S652" i="1"/>
  <c r="S815" i="1"/>
  <c r="S1014" i="1"/>
  <c r="S724" i="1"/>
  <c r="S387" i="1"/>
  <c r="S32" i="1"/>
  <c r="S639" i="1"/>
  <c r="S425" i="1"/>
  <c r="S336" i="1"/>
  <c r="S936" i="1"/>
  <c r="S413" i="1"/>
  <c r="S517" i="1"/>
  <c r="S614" i="1"/>
  <c r="S722" i="1"/>
  <c r="S26" i="1"/>
  <c r="S869" i="1"/>
  <c r="S640" i="1"/>
  <c r="S326" i="1"/>
  <c r="S723" i="1"/>
  <c r="S761" i="1"/>
  <c r="S240" i="1"/>
  <c r="S857" i="1"/>
  <c r="S1085" i="1"/>
  <c r="S727" i="1"/>
  <c r="S781" i="1"/>
  <c r="S737" i="1"/>
  <c r="S610" i="1"/>
  <c r="S515" i="1"/>
  <c r="S877" i="1"/>
  <c r="S257" i="1"/>
  <c r="S709" i="1"/>
  <c r="S1020" i="1"/>
  <c r="S391" i="1"/>
  <c r="S641" i="1"/>
  <c r="S484" i="1"/>
  <c r="S753" i="1"/>
  <c r="S270" i="1"/>
  <c r="S268" i="1"/>
  <c r="S883" i="1"/>
  <c r="S992" i="1"/>
  <c r="S1002" i="1"/>
  <c r="S651" i="1"/>
  <c r="S1052" i="1"/>
  <c r="S609" i="1"/>
  <c r="S871" i="1"/>
  <c r="S726" i="1"/>
  <c r="S740" i="1"/>
  <c r="S399" i="1"/>
  <c r="S406" i="1"/>
  <c r="S285" i="1"/>
  <c r="S1001" i="1"/>
  <c r="S947" i="1"/>
  <c r="S827" i="1"/>
  <c r="S1064" i="1"/>
  <c r="S1069" i="1"/>
  <c r="S513" i="1"/>
  <c r="S95" i="1"/>
  <c r="S346" i="1"/>
  <c r="S549" i="1"/>
  <c r="S246" i="1"/>
  <c r="S561" i="1"/>
  <c r="S503" i="1"/>
  <c r="S385" i="1"/>
  <c r="S782" i="1"/>
  <c r="S1067" i="1"/>
  <c r="S343" i="1"/>
  <c r="S149" i="1"/>
  <c r="S30" i="1"/>
  <c r="S488" i="1"/>
  <c r="S226" i="1"/>
  <c r="S27" i="1"/>
  <c r="S1011" i="1"/>
  <c r="S29" i="1"/>
  <c r="S994" i="1"/>
  <c r="S374" i="1"/>
  <c r="S198" i="1"/>
  <c r="S618" i="1"/>
  <c r="S647" i="1"/>
  <c r="S673" i="1"/>
  <c r="S1012" i="1"/>
  <c r="S313" i="1"/>
  <c r="S832" i="1"/>
  <c r="S545" i="1"/>
  <c r="S160" i="1"/>
  <c r="S646" i="1"/>
  <c r="S658" i="1"/>
  <c r="S681" i="1"/>
  <c r="S477" i="1"/>
  <c r="S802" i="1"/>
  <c r="S844" i="1"/>
  <c r="S255" i="1"/>
  <c r="S851" i="1"/>
  <c r="S63" i="1"/>
  <c r="S743" i="1"/>
  <c r="S7" i="1"/>
  <c r="S1004" i="1"/>
  <c r="S788" i="1"/>
  <c r="S74" i="1"/>
  <c r="S847" i="1"/>
  <c r="S202" i="1"/>
  <c r="S931" i="1"/>
  <c r="S360" i="1"/>
  <c r="S264" i="1"/>
  <c r="S310" i="1"/>
  <c r="S810" i="1"/>
  <c r="S1108" i="1"/>
  <c r="S225" i="1"/>
  <c r="S334" i="1"/>
  <c r="S502" i="1"/>
  <c r="S274" i="1"/>
  <c r="S256" i="1"/>
  <c r="S597" i="1"/>
  <c r="S115" i="1"/>
  <c r="S437" i="1"/>
  <c r="S207" i="1"/>
  <c r="S846" i="1"/>
  <c r="S193" i="1"/>
  <c r="S1079" i="1"/>
  <c r="S162" i="1"/>
  <c r="S64" i="1"/>
  <c r="S189" i="1"/>
  <c r="S771" i="1"/>
  <c r="S14" i="1"/>
  <c r="S155" i="1"/>
  <c r="S505" i="1"/>
  <c r="S350" i="1"/>
  <c r="S415" i="1"/>
  <c r="S1117" i="1"/>
  <c r="S75" i="1"/>
  <c r="S735" i="1"/>
  <c r="S473" i="1"/>
  <c r="S1015" i="1"/>
  <c r="S1083" i="1"/>
  <c r="S58" i="1"/>
  <c r="S875" i="1"/>
  <c r="S358" i="1"/>
  <c r="S28" i="1"/>
  <c r="S62" i="1"/>
  <c r="S560" i="1"/>
  <c r="S878" i="1"/>
  <c r="S5" i="1"/>
  <c r="S520" i="1"/>
  <c r="S104" i="1"/>
  <c r="S167" i="1"/>
  <c r="S930" i="1"/>
  <c r="S853" i="1"/>
  <c r="S808" i="1"/>
  <c r="S725" i="1"/>
  <c r="S403" i="1"/>
  <c r="S848" i="1"/>
  <c r="S813" i="1"/>
  <c r="S841" i="1"/>
  <c r="S544" i="1"/>
  <c r="S299" i="1"/>
  <c r="S672" i="1"/>
  <c r="S407" i="1"/>
  <c r="S791" i="1"/>
  <c r="S485" i="1"/>
  <c r="S245" i="1"/>
  <c r="S451" i="1"/>
  <c r="S748" i="1"/>
  <c r="S265" i="1"/>
  <c r="S645" i="1"/>
  <c r="S16" i="1"/>
  <c r="S915" i="1"/>
  <c r="S368" i="1"/>
  <c r="S154" i="1"/>
  <c r="S114" i="1"/>
  <c r="S376" i="1"/>
  <c r="S136" i="1"/>
  <c r="S684" i="1"/>
  <c r="S372" i="1"/>
  <c r="S440" i="1"/>
  <c r="S157" i="1"/>
  <c r="S250" i="1"/>
  <c r="S679" i="1"/>
  <c r="S472" i="1"/>
  <c r="S216" i="1"/>
  <c r="S52" i="1"/>
  <c r="S1111" i="1"/>
  <c r="S218" i="1"/>
  <c r="S1034" i="1"/>
  <c r="S978" i="1"/>
  <c r="S675" i="1"/>
  <c r="S303" i="1"/>
  <c r="S617" i="1"/>
  <c r="S234" i="1"/>
  <c r="S829" i="1"/>
  <c r="S323" i="1"/>
  <c r="S942" i="1"/>
  <c r="S960" i="1"/>
  <c r="S958" i="1"/>
  <c r="S197" i="1"/>
  <c r="S792" i="1"/>
  <c r="S134" i="1"/>
  <c r="S280" i="1"/>
  <c r="S605" i="1"/>
  <c r="S392" i="1"/>
  <c r="S882" i="1"/>
  <c r="S59" i="1"/>
  <c r="S1003" i="1"/>
  <c r="S1099" i="1"/>
  <c r="S107" i="1"/>
  <c r="S1000" i="1"/>
  <c r="S126" i="1"/>
  <c r="S677" i="1"/>
  <c r="S828" i="1"/>
  <c r="S498" i="1"/>
  <c r="S499" i="1"/>
  <c r="S1065" i="1"/>
  <c r="S665" i="1"/>
  <c r="S951" i="1"/>
  <c r="S366" i="1"/>
  <c r="S876" i="1"/>
  <c r="S349" i="1"/>
  <c r="S377" i="1"/>
  <c r="S796" i="1"/>
  <c r="S731" i="1"/>
  <c r="S1091" i="1"/>
  <c r="S702" i="1"/>
  <c r="S976" i="1"/>
  <c r="S356" i="1"/>
  <c r="S434" i="1"/>
  <c r="S676" i="1"/>
  <c r="S39" i="1"/>
  <c r="S72" i="1"/>
  <c r="S718" i="1"/>
  <c r="S738" i="1"/>
  <c r="S1090" i="1"/>
  <c r="S879" i="1"/>
  <c r="S55" i="1"/>
  <c r="S293" i="1"/>
  <c r="S90" i="1"/>
  <c r="S306" i="1"/>
  <c r="S838" i="1"/>
  <c r="S986" i="1"/>
  <c r="S580" i="1"/>
  <c r="S397" i="1"/>
  <c r="S849" i="1"/>
  <c r="S421" i="1"/>
  <c r="S859" i="1"/>
  <c r="S44" i="1"/>
  <c r="S970" i="1"/>
  <c r="S370" i="1"/>
  <c r="S182" i="1"/>
  <c r="S312" i="1"/>
  <c r="S562" i="1"/>
  <c r="S76" i="1"/>
  <c r="S620" i="1"/>
  <c r="S789" i="1"/>
  <c r="S478" i="1"/>
  <c r="S260" i="1"/>
  <c r="S347" i="1"/>
  <c r="S699" i="1"/>
  <c r="S156" i="1"/>
  <c r="S191" i="1"/>
  <c r="S831" i="1"/>
  <c r="S532" i="1"/>
  <c r="S86" i="1"/>
  <c r="S801" i="1"/>
  <c r="S130" i="1"/>
  <c r="S332" i="1"/>
  <c r="S746" i="1"/>
  <c r="S670" i="1"/>
  <c r="S277" i="1"/>
  <c r="S812" i="1"/>
  <c r="S436" i="1"/>
  <c r="S1050" i="1"/>
  <c r="S918" i="1"/>
  <c r="S348" i="1"/>
  <c r="S47" i="1"/>
  <c r="S707" i="1"/>
  <c r="S977" i="1"/>
  <c r="S911" i="1"/>
  <c r="S91" i="1"/>
  <c r="S534" i="1"/>
  <c r="S706" i="1"/>
  <c r="S449" i="1"/>
  <c r="S249" i="1"/>
  <c r="S251" i="1"/>
  <c r="S886" i="1"/>
  <c r="S89" i="1"/>
  <c r="S365" i="1"/>
  <c r="S492" i="1"/>
  <c r="S1107" i="1"/>
  <c r="S993" i="1"/>
  <c r="S527" i="1"/>
  <c r="S351" i="1"/>
  <c r="S206" i="1"/>
  <c r="S405" i="1"/>
  <c r="S92" i="1"/>
  <c r="S980" i="1"/>
  <c r="S542" i="1"/>
  <c r="S698" i="1"/>
  <c r="S973" i="1"/>
  <c r="S221" i="1"/>
  <c r="S217" i="1"/>
  <c r="S858" i="1"/>
  <c r="S395" i="1"/>
  <c r="S435" i="1"/>
  <c r="S628" i="1"/>
  <c r="S1088" i="1"/>
  <c r="S634" i="1"/>
  <c r="S379" i="1"/>
  <c r="S396" i="1"/>
  <c r="S557" i="1"/>
  <c r="S669" i="1"/>
  <c r="S555" i="1"/>
  <c r="S495" i="1"/>
  <c r="S768" i="1"/>
  <c r="S700" i="1"/>
  <c r="S626" i="1"/>
  <c r="S967" i="1"/>
  <c r="S241" i="1"/>
  <c r="S760" i="1"/>
  <c r="S22" i="1"/>
  <c r="S818" i="1"/>
  <c r="S1022" i="1"/>
  <c r="S461" i="1"/>
  <c r="S410" i="1"/>
  <c r="S166" i="1"/>
  <c r="S600" i="1"/>
  <c r="S568" i="1"/>
  <c r="S1021" i="1"/>
  <c r="S589" i="1"/>
  <c r="S891" i="1"/>
  <c r="S962" i="1"/>
  <c r="S778" i="1"/>
  <c r="S770" i="1"/>
  <c r="S458" i="1"/>
  <c r="S1029" i="1"/>
  <c r="S416" i="1"/>
  <c r="S337" i="1"/>
  <c r="S988" i="1"/>
  <c r="S507" i="1"/>
  <c r="S23" i="1"/>
  <c r="S31" i="1"/>
  <c r="S547" i="1"/>
  <c r="S910" i="1"/>
  <c r="S291" i="1"/>
  <c r="S944" i="1"/>
  <c r="S928" i="1"/>
  <c r="S159" i="1"/>
  <c r="S635" i="1"/>
  <c r="S757" i="1"/>
  <c r="S889" i="1"/>
  <c r="S667" i="1"/>
  <c r="S398" i="1"/>
  <c r="S422" i="1"/>
  <c r="S447" i="1"/>
  <c r="S674" i="1"/>
  <c r="S806" i="1"/>
  <c r="S683" i="1"/>
  <c r="S584" i="1"/>
  <c r="S638" i="1"/>
  <c r="S666" i="1"/>
  <c r="S340" i="1"/>
  <c r="S308" i="1"/>
  <c r="S862" i="1"/>
  <c r="S805" i="1"/>
  <c r="S518" i="1"/>
  <c r="S1058" i="1"/>
  <c r="S924" i="1"/>
  <c r="S20" i="1"/>
  <c r="S1061" i="1"/>
  <c r="S1049" i="1"/>
  <c r="S439" i="1"/>
  <c r="S455" i="1"/>
  <c r="S408" i="1"/>
  <c r="S790" i="1"/>
  <c r="S1005" i="1"/>
  <c r="S885" i="1"/>
  <c r="S868" i="1"/>
  <c r="S1094" i="1"/>
  <c r="S467" i="1"/>
  <c r="S565" i="1"/>
  <c r="S637" i="1"/>
  <c r="S631" i="1"/>
  <c r="S1024" i="1"/>
  <c r="S228" i="1"/>
  <c r="S881" i="1"/>
  <c r="S429" i="1"/>
  <c r="S1031" i="1"/>
  <c r="S1027" i="1"/>
  <c r="S1057" i="1"/>
  <c r="S1105" i="1"/>
  <c r="S1103" i="1"/>
  <c r="S1106" i="1"/>
  <c r="S1104" i="1"/>
  <c r="S880" i="1"/>
  <c r="S762" i="1"/>
  <c r="S364" i="1"/>
  <c r="S1028" i="1"/>
  <c r="S539" i="1"/>
  <c r="S378" i="1"/>
  <c r="S94" i="1"/>
  <c r="S574" i="1"/>
  <c r="S764" i="1"/>
  <c r="S1086" i="1"/>
  <c r="S443" i="1"/>
  <c r="S386" i="1"/>
  <c r="S655" i="1"/>
  <c r="S125" i="1"/>
  <c r="S69" i="1"/>
  <c r="S271" i="1"/>
  <c r="S201" i="1"/>
  <c r="S890" i="1"/>
  <c r="R865" i="1"/>
  <c r="R181" i="1"/>
  <c r="R317" i="1"/>
  <c r="R283" i="1"/>
  <c r="R322" i="1"/>
  <c r="R732" i="1"/>
  <c r="R40" i="1"/>
  <c r="R824" i="1"/>
  <c r="R514" i="1"/>
  <c r="R1010" i="1"/>
  <c r="R896" i="1"/>
  <c r="R835" i="1"/>
  <c r="R668" i="1"/>
  <c r="R800" i="1"/>
  <c r="R183" i="1"/>
  <c r="R714" i="1"/>
  <c r="R809" i="1"/>
  <c r="R223" i="1"/>
  <c r="R506" i="1"/>
  <c r="R934" i="1"/>
  <c r="R286" i="1"/>
  <c r="R535" i="1"/>
  <c r="R1048" i="1"/>
  <c r="R578" i="1"/>
  <c r="R253" i="1"/>
  <c r="R998" i="1"/>
  <c r="R836" i="1"/>
  <c r="R516" i="1"/>
  <c r="R138" i="1"/>
  <c r="R475" i="1"/>
  <c r="R663" i="1"/>
  <c r="R569" i="1"/>
  <c r="R834" i="1"/>
  <c r="R587" i="1"/>
  <c r="R895" i="1"/>
  <c r="R949" i="1"/>
  <c r="R741" i="1"/>
  <c r="R1066" i="1"/>
  <c r="R769" i="1"/>
  <c r="R1092" i="1"/>
  <c r="R504" i="1"/>
  <c r="R1036" i="1"/>
  <c r="R660" i="1"/>
  <c r="R585" i="1"/>
  <c r="R863" i="1"/>
  <c r="R1006" i="1"/>
  <c r="R352" i="1"/>
  <c r="R864" i="1"/>
  <c r="R642" i="1"/>
  <c r="R34" i="1"/>
  <c r="R927" i="1"/>
  <c r="R856" i="1"/>
  <c r="R501" i="1"/>
  <c r="R224" i="1"/>
  <c r="R153" i="1"/>
  <c r="R174" i="1"/>
  <c r="R476" i="1"/>
  <c r="R563" i="1"/>
  <c r="R823" i="1"/>
  <c r="R830" i="1"/>
  <c r="R284" i="1"/>
  <c r="R480" i="1"/>
  <c r="R320" i="1"/>
  <c r="R19" i="1"/>
  <c r="R354" i="1"/>
  <c r="R795" i="1"/>
  <c r="R426" i="1"/>
  <c r="R144" i="1"/>
  <c r="R959" i="1"/>
  <c r="R491" i="1"/>
  <c r="R120" i="1"/>
  <c r="R168" i="1"/>
  <c r="R394" i="1"/>
  <c r="R729" i="1"/>
  <c r="R1019" i="1"/>
  <c r="R995" i="1"/>
  <c r="R412" i="1"/>
  <c r="R1068" i="1"/>
  <c r="R945" i="1"/>
  <c r="R820" i="1"/>
  <c r="R1041" i="1"/>
  <c r="R648" i="1"/>
  <c r="R754" i="1"/>
  <c r="R615" i="1"/>
  <c r="R117" i="1"/>
  <c r="R758" i="1"/>
  <c r="R997" i="1"/>
  <c r="R294" i="1"/>
  <c r="R720" i="1"/>
  <c r="R583" i="1"/>
  <c r="R124" i="1"/>
  <c r="R190" i="1"/>
  <c r="R1009" i="1"/>
  <c r="R866" i="1"/>
  <c r="R894" i="1"/>
  <c r="R1076" i="1"/>
  <c r="R1030" i="1"/>
  <c r="R382" i="1"/>
  <c r="R604" i="1"/>
  <c r="R636" i="1"/>
  <c r="R316" i="1"/>
  <c r="R884" i="1"/>
  <c r="R297" i="1"/>
  <c r="R870" i="1"/>
  <c r="R914" i="1"/>
  <c r="R111" i="1"/>
  <c r="R67" i="1"/>
  <c r="R909" i="1"/>
  <c r="R991" i="1"/>
  <c r="R948" i="1"/>
  <c r="R464" i="1"/>
  <c r="R913" i="1"/>
  <c r="R131" i="1"/>
  <c r="R1074" i="1"/>
  <c r="R819" i="1"/>
  <c r="R1071" i="1"/>
  <c r="R682" i="1"/>
  <c r="R1042" i="1"/>
  <c r="R933" i="1"/>
  <c r="R598" i="1"/>
  <c r="R267" i="1"/>
  <c r="R843" i="1"/>
  <c r="R602" i="1"/>
  <c r="R954" i="1"/>
  <c r="R1038" i="1"/>
  <c r="R793" i="1"/>
  <c r="R263" i="1"/>
  <c r="R329" i="1"/>
  <c r="R712" i="1"/>
  <c r="R208" i="1"/>
  <c r="R102" i="1"/>
  <c r="R50" i="1"/>
  <c r="R664" i="1"/>
  <c r="R546" i="1"/>
  <c r="R367" i="1"/>
  <c r="R444" i="1"/>
  <c r="R694" i="1"/>
  <c r="R907" i="1"/>
  <c r="R1073" i="1"/>
  <c r="R716" i="1"/>
  <c r="R644" i="1"/>
  <c r="R711" i="1"/>
  <c r="R57" i="1"/>
  <c r="R88" i="1"/>
  <c r="R25" i="1"/>
  <c r="R595" i="1"/>
  <c r="R867" i="1"/>
  <c r="R900" i="1"/>
  <c r="R696" i="1"/>
  <c r="R148" i="1"/>
  <c r="R624" i="1"/>
  <c r="R654" i="1"/>
  <c r="R327" i="1"/>
  <c r="R937" i="1"/>
  <c r="R777" i="1"/>
  <c r="R592" i="1"/>
  <c r="R314" i="1"/>
  <c r="R579" i="1"/>
  <c r="R957" i="1"/>
  <c r="R686" i="1"/>
  <c r="R955" i="1"/>
  <c r="R400" i="1"/>
  <c r="R521" i="1"/>
  <c r="R798" i="1"/>
  <c r="R784" i="1"/>
  <c r="R984" i="1"/>
  <c r="R242" i="1"/>
  <c r="R227" i="1"/>
  <c r="R243" i="1"/>
  <c r="R739" i="1"/>
  <c r="R417" i="1"/>
  <c r="R570" i="1"/>
  <c r="R701" i="1"/>
  <c r="R564" i="1"/>
  <c r="R874" i="1"/>
  <c r="R807" i="1"/>
  <c r="R282" i="1"/>
  <c r="R794" i="1"/>
  <c r="R1062" i="1"/>
  <c r="R925" i="1"/>
  <c r="R2" i="1"/>
  <c r="R905" i="1"/>
  <c r="R533" i="1"/>
  <c r="R9" i="1"/>
  <c r="R110" i="1"/>
  <c r="R1082" i="1"/>
  <c r="R608" i="1"/>
  <c r="R953" i="1"/>
  <c r="R519" i="1"/>
  <c r="R956" i="1"/>
  <c r="R899" i="1"/>
  <c r="R566" i="1"/>
  <c r="R952" i="1"/>
  <c r="R717" i="1"/>
  <c r="R24" i="1"/>
  <c r="R1070" i="1"/>
  <c r="R837" i="1"/>
  <c r="R581" i="1"/>
  <c r="R783" i="1"/>
  <c r="R1039" i="1"/>
  <c r="R842" i="1"/>
  <c r="R1087" i="1"/>
  <c r="R752" i="1"/>
  <c r="R101" i="1"/>
  <c r="R652" i="1"/>
  <c r="R815" i="1"/>
  <c r="R1014" i="1"/>
  <c r="R724" i="1"/>
  <c r="R387" i="1"/>
  <c r="R32" i="1"/>
  <c r="R639" i="1"/>
  <c r="R425" i="1"/>
  <c r="R336" i="1"/>
  <c r="R936" i="1"/>
  <c r="R413" i="1"/>
  <c r="R517" i="1"/>
  <c r="R614" i="1"/>
  <c r="R722" i="1"/>
  <c r="R26" i="1"/>
  <c r="R869" i="1"/>
  <c r="R640" i="1"/>
  <c r="R326" i="1"/>
  <c r="R723" i="1"/>
  <c r="R761" i="1"/>
  <c r="R240" i="1"/>
  <c r="R857" i="1"/>
  <c r="R1085" i="1"/>
  <c r="R727" i="1"/>
  <c r="R781" i="1"/>
  <c r="R737" i="1"/>
  <c r="R610" i="1"/>
  <c r="R515" i="1"/>
  <c r="R877" i="1"/>
  <c r="R257" i="1"/>
  <c r="R709" i="1"/>
  <c r="R1020" i="1"/>
  <c r="R391" i="1"/>
  <c r="R641" i="1"/>
  <c r="R484" i="1"/>
  <c r="R753" i="1"/>
  <c r="R270" i="1"/>
  <c r="R268" i="1"/>
  <c r="R883" i="1"/>
  <c r="R992" i="1"/>
  <c r="R1002" i="1"/>
  <c r="R651" i="1"/>
  <c r="R1052" i="1"/>
  <c r="R609" i="1"/>
  <c r="R871" i="1"/>
  <c r="R726" i="1"/>
  <c r="R740" i="1"/>
  <c r="R399" i="1"/>
  <c r="R406" i="1"/>
  <c r="R285" i="1"/>
  <c r="R1001" i="1"/>
  <c r="R947" i="1"/>
  <c r="R827" i="1"/>
  <c r="R1064" i="1"/>
  <c r="R1069" i="1"/>
  <c r="R513" i="1"/>
  <c r="R95" i="1"/>
  <c r="R346" i="1"/>
  <c r="R549" i="1"/>
  <c r="R246" i="1"/>
  <c r="R561" i="1"/>
  <c r="R503" i="1"/>
  <c r="R385" i="1"/>
  <c r="R782" i="1"/>
  <c r="R1067" i="1"/>
  <c r="R343" i="1"/>
  <c r="R149" i="1"/>
  <c r="R30" i="1"/>
  <c r="R488" i="1"/>
  <c r="R226" i="1"/>
  <c r="R27" i="1"/>
  <c r="R1011" i="1"/>
  <c r="R29" i="1"/>
  <c r="R994" i="1"/>
  <c r="R374" i="1"/>
  <c r="R198" i="1"/>
  <c r="R618" i="1"/>
  <c r="R647" i="1"/>
  <c r="R673" i="1"/>
  <c r="R1012" i="1"/>
  <c r="R313" i="1"/>
  <c r="R832" i="1"/>
  <c r="R545" i="1"/>
  <c r="R160" i="1"/>
  <c r="R646" i="1"/>
  <c r="R658" i="1"/>
  <c r="R681" i="1"/>
  <c r="R477" i="1"/>
  <c r="R802" i="1"/>
  <c r="R844" i="1"/>
  <c r="R255" i="1"/>
  <c r="R851" i="1"/>
  <c r="R63" i="1"/>
  <c r="R743" i="1"/>
  <c r="R7" i="1"/>
  <c r="R1004" i="1"/>
  <c r="R788" i="1"/>
  <c r="R74" i="1"/>
  <c r="R847" i="1"/>
  <c r="R202" i="1"/>
  <c r="R931" i="1"/>
  <c r="R360" i="1"/>
  <c r="R264" i="1"/>
  <c r="R310" i="1"/>
  <c r="R810" i="1"/>
  <c r="R1108" i="1"/>
  <c r="R225" i="1"/>
  <c r="R334" i="1"/>
  <c r="R502" i="1"/>
  <c r="R274" i="1"/>
  <c r="R256" i="1"/>
  <c r="R597" i="1"/>
  <c r="R115" i="1"/>
  <c r="R437" i="1"/>
  <c r="R207" i="1"/>
  <c r="R846" i="1"/>
  <c r="R193" i="1"/>
  <c r="R1079" i="1"/>
  <c r="R162" i="1"/>
  <c r="R64" i="1"/>
  <c r="R189" i="1"/>
  <c r="R771" i="1"/>
  <c r="R14" i="1"/>
  <c r="R155" i="1"/>
  <c r="R505" i="1"/>
  <c r="R350" i="1"/>
  <c r="R415" i="1"/>
  <c r="R1117" i="1"/>
  <c r="R75" i="1"/>
  <c r="R735" i="1"/>
  <c r="R473" i="1"/>
  <c r="R1015" i="1"/>
  <c r="R1083" i="1"/>
  <c r="R58" i="1"/>
  <c r="R875" i="1"/>
  <c r="R358" i="1"/>
  <c r="R28" i="1"/>
  <c r="R62" i="1"/>
  <c r="R560" i="1"/>
  <c r="R878" i="1"/>
  <c r="R5" i="1"/>
  <c r="R520" i="1"/>
  <c r="R104" i="1"/>
  <c r="R167" i="1"/>
  <c r="R930" i="1"/>
  <c r="R853" i="1"/>
  <c r="R808" i="1"/>
  <c r="R725" i="1"/>
  <c r="R403" i="1"/>
  <c r="R848" i="1"/>
  <c r="R813" i="1"/>
  <c r="R841" i="1"/>
  <c r="R544" i="1"/>
  <c r="R299" i="1"/>
  <c r="R672" i="1"/>
  <c r="R407" i="1"/>
  <c r="R791" i="1"/>
  <c r="R485" i="1"/>
  <c r="R245" i="1"/>
  <c r="R451" i="1"/>
  <c r="R748" i="1"/>
  <c r="R265" i="1"/>
  <c r="R645" i="1"/>
  <c r="R16" i="1"/>
  <c r="R915" i="1"/>
  <c r="R368" i="1"/>
  <c r="R154" i="1"/>
  <c r="R114" i="1"/>
  <c r="R376" i="1"/>
  <c r="R136" i="1"/>
  <c r="R684" i="1"/>
  <c r="R372" i="1"/>
  <c r="R440" i="1"/>
  <c r="R157" i="1"/>
  <c r="R250" i="1"/>
  <c r="R679" i="1"/>
  <c r="R472" i="1"/>
  <c r="R216" i="1"/>
  <c r="R52" i="1"/>
  <c r="R1111" i="1"/>
  <c r="R218" i="1"/>
  <c r="R1034" i="1"/>
  <c r="R978" i="1"/>
  <c r="R675" i="1"/>
  <c r="R303" i="1"/>
  <c r="R617" i="1"/>
  <c r="R234" i="1"/>
  <c r="R829" i="1"/>
  <c r="R323" i="1"/>
  <c r="R942" i="1"/>
  <c r="R960" i="1"/>
  <c r="R958" i="1"/>
  <c r="R197" i="1"/>
  <c r="R792" i="1"/>
  <c r="R134" i="1"/>
  <c r="R280" i="1"/>
  <c r="R605" i="1"/>
  <c r="R392" i="1"/>
  <c r="R882" i="1"/>
  <c r="R59" i="1"/>
  <c r="R1003" i="1"/>
  <c r="R1099" i="1"/>
  <c r="R107" i="1"/>
  <c r="R1000" i="1"/>
  <c r="R126" i="1"/>
  <c r="R677" i="1"/>
  <c r="R828" i="1"/>
  <c r="R498" i="1"/>
  <c r="R499" i="1"/>
  <c r="R1065" i="1"/>
  <c r="R665" i="1"/>
  <c r="R951" i="1"/>
  <c r="R366" i="1"/>
  <c r="R876" i="1"/>
  <c r="R349" i="1"/>
  <c r="R377" i="1"/>
  <c r="R796" i="1"/>
  <c r="R731" i="1"/>
  <c r="R1091" i="1"/>
  <c r="R702" i="1"/>
  <c r="R976" i="1"/>
  <c r="R356" i="1"/>
  <c r="R434" i="1"/>
  <c r="R676" i="1"/>
  <c r="R39" i="1"/>
  <c r="R72" i="1"/>
  <c r="R718" i="1"/>
  <c r="R738" i="1"/>
  <c r="R1090" i="1"/>
  <c r="R879" i="1"/>
  <c r="R55" i="1"/>
  <c r="R293" i="1"/>
  <c r="R90" i="1"/>
  <c r="R306" i="1"/>
  <c r="R838" i="1"/>
  <c r="R986" i="1"/>
  <c r="R580" i="1"/>
  <c r="R397" i="1"/>
  <c r="R849" i="1"/>
  <c r="R421" i="1"/>
  <c r="R859" i="1"/>
  <c r="R44" i="1"/>
  <c r="R970" i="1"/>
  <c r="R370" i="1"/>
  <c r="R182" i="1"/>
  <c r="R312" i="1"/>
  <c r="R562" i="1"/>
  <c r="R76" i="1"/>
  <c r="R620" i="1"/>
  <c r="R789" i="1"/>
  <c r="R478" i="1"/>
  <c r="R260" i="1"/>
  <c r="R347" i="1"/>
  <c r="R699" i="1"/>
  <c r="R156" i="1"/>
  <c r="R191" i="1"/>
  <c r="R831" i="1"/>
  <c r="R532" i="1"/>
  <c r="R86" i="1"/>
  <c r="R801" i="1"/>
  <c r="R130" i="1"/>
  <c r="R332" i="1"/>
  <c r="R746" i="1"/>
  <c r="R670" i="1"/>
  <c r="R277" i="1"/>
  <c r="R812" i="1"/>
  <c r="R436" i="1"/>
  <c r="R1050" i="1"/>
  <c r="R918" i="1"/>
  <c r="R348" i="1"/>
  <c r="R47" i="1"/>
  <c r="R707" i="1"/>
  <c r="R977" i="1"/>
  <c r="R911" i="1"/>
  <c r="R91" i="1"/>
  <c r="R534" i="1"/>
  <c r="R706" i="1"/>
  <c r="R449" i="1"/>
  <c r="R249" i="1"/>
  <c r="R251" i="1"/>
  <c r="R886" i="1"/>
  <c r="R89" i="1"/>
  <c r="R365" i="1"/>
  <c r="R492" i="1"/>
  <c r="R1107" i="1"/>
  <c r="R993" i="1"/>
  <c r="R527" i="1"/>
  <c r="R351" i="1"/>
  <c r="R206" i="1"/>
  <c r="R405" i="1"/>
  <c r="R92" i="1"/>
  <c r="R980" i="1"/>
  <c r="R542" i="1"/>
  <c r="R698" i="1"/>
  <c r="R973" i="1"/>
  <c r="R221" i="1"/>
  <c r="R217" i="1"/>
  <c r="R858" i="1"/>
  <c r="R395" i="1"/>
  <c r="R435" i="1"/>
  <c r="R628" i="1"/>
  <c r="R1088" i="1"/>
  <c r="R634" i="1"/>
  <c r="R379" i="1"/>
  <c r="R396" i="1"/>
  <c r="R557" i="1"/>
  <c r="R669" i="1"/>
  <c r="R555" i="1"/>
  <c r="R495" i="1"/>
  <c r="R768" i="1"/>
  <c r="R700" i="1"/>
  <c r="R626" i="1"/>
  <c r="R967" i="1"/>
  <c r="R241" i="1"/>
  <c r="R760" i="1"/>
  <c r="R22" i="1"/>
  <c r="R818" i="1"/>
  <c r="R1022" i="1"/>
  <c r="R461" i="1"/>
  <c r="R410" i="1"/>
  <c r="R166" i="1"/>
  <c r="R600" i="1"/>
  <c r="R568" i="1"/>
  <c r="R1021" i="1"/>
  <c r="R589" i="1"/>
  <c r="R891" i="1"/>
  <c r="R962" i="1"/>
  <c r="R778" i="1"/>
  <c r="R770" i="1"/>
  <c r="R458" i="1"/>
  <c r="R1029" i="1"/>
  <c r="R416" i="1"/>
  <c r="R337" i="1"/>
  <c r="R988" i="1"/>
  <c r="R507" i="1"/>
  <c r="R23" i="1"/>
  <c r="R31" i="1"/>
  <c r="R547" i="1"/>
  <c r="R910" i="1"/>
  <c r="R291" i="1"/>
  <c r="R944" i="1"/>
  <c r="R928" i="1"/>
  <c r="R159" i="1"/>
  <c r="R635" i="1"/>
  <c r="R757" i="1"/>
  <c r="R889" i="1"/>
  <c r="R667" i="1"/>
  <c r="R398" i="1"/>
  <c r="R422" i="1"/>
  <c r="R447" i="1"/>
  <c r="R674" i="1"/>
  <c r="R806" i="1"/>
  <c r="R683" i="1"/>
  <c r="R584" i="1"/>
  <c r="R638" i="1"/>
  <c r="R666" i="1"/>
  <c r="R340" i="1"/>
  <c r="R308" i="1"/>
  <c r="R862" i="1"/>
  <c r="R805" i="1"/>
  <c r="R518" i="1"/>
  <c r="R1058" i="1"/>
  <c r="R924" i="1"/>
  <c r="R20" i="1"/>
  <c r="R1061" i="1"/>
  <c r="R1049" i="1"/>
  <c r="R439" i="1"/>
  <c r="R455" i="1"/>
  <c r="R408" i="1"/>
  <c r="R790" i="1"/>
  <c r="R1005" i="1"/>
  <c r="R885" i="1"/>
  <c r="R868" i="1"/>
  <c r="R1094" i="1"/>
  <c r="R467" i="1"/>
  <c r="R565" i="1"/>
  <c r="R637" i="1"/>
  <c r="R631" i="1"/>
  <c r="R1024" i="1"/>
  <c r="R228" i="1"/>
  <c r="R881" i="1"/>
  <c r="R429" i="1"/>
  <c r="R1031" i="1"/>
  <c r="R1027" i="1"/>
  <c r="R1057" i="1"/>
  <c r="R1105" i="1"/>
  <c r="R1103" i="1"/>
  <c r="R1106" i="1"/>
  <c r="R1104" i="1"/>
  <c r="R880" i="1"/>
  <c r="R762" i="1"/>
  <c r="R364" i="1"/>
  <c r="R1028" i="1"/>
  <c r="R539" i="1"/>
  <c r="R378" i="1"/>
  <c r="R94" i="1"/>
  <c r="R574" i="1"/>
  <c r="R764" i="1"/>
  <c r="R1086" i="1"/>
  <c r="R443" i="1"/>
  <c r="R386" i="1"/>
  <c r="R655" i="1"/>
  <c r="R125" i="1"/>
  <c r="R69" i="1"/>
  <c r="R271" i="1"/>
  <c r="R201" i="1"/>
  <c r="R890" i="1"/>
  <c r="K919" i="1"/>
  <c r="K1063" i="1"/>
  <c r="K135" i="1"/>
  <c r="K850" i="1"/>
  <c r="K430" i="1"/>
  <c r="K287" i="1"/>
  <c r="K536" i="1"/>
  <c r="K158" i="1"/>
  <c r="K786" i="1"/>
  <c r="K307" i="1"/>
  <c r="K552" i="1"/>
  <c r="K556" i="1"/>
  <c r="K630" i="1"/>
  <c r="K169" i="1"/>
  <c r="K1013" i="1"/>
  <c r="K43" i="1"/>
  <c r="K129" i="1"/>
  <c r="L919" i="1"/>
  <c r="L1063" i="1"/>
  <c r="L135" i="1"/>
  <c r="L850" i="1"/>
  <c r="L430" i="1"/>
  <c r="L287" i="1"/>
  <c r="L536" i="1"/>
  <c r="L158" i="1"/>
  <c r="L786" i="1"/>
  <c r="L307" i="1"/>
  <c r="L552" i="1"/>
  <c r="L556" i="1"/>
  <c r="L630" i="1"/>
  <c r="L169" i="1"/>
  <c r="L1013" i="1"/>
  <c r="L43" i="1"/>
  <c r="L129" i="1"/>
  <c r="N919" i="1"/>
  <c r="N1063" i="1"/>
  <c r="N135" i="1"/>
  <c r="N850" i="1"/>
  <c r="N430" i="1"/>
  <c r="N287" i="1"/>
  <c r="N536" i="1"/>
  <c r="N158" i="1"/>
  <c r="N786" i="1"/>
  <c r="N307" i="1"/>
  <c r="N552" i="1"/>
  <c r="N556" i="1"/>
  <c r="N630" i="1"/>
  <c r="N169" i="1"/>
  <c r="N1013" i="1"/>
  <c r="N43" i="1"/>
  <c r="N129" i="1"/>
  <c r="K204" i="1" l="1"/>
  <c r="L204" i="1"/>
  <c r="N204" i="1"/>
  <c r="K359" i="1"/>
  <c r="L359" i="1"/>
  <c r="N359" i="1"/>
  <c r="K339" i="1"/>
  <c r="L339" i="1"/>
  <c r="N339" i="1"/>
  <c r="K613" i="1"/>
  <c r="L613" i="1"/>
  <c r="N613" i="1"/>
  <c r="K538" i="1"/>
  <c r="L538" i="1"/>
  <c r="N538" i="1"/>
  <c r="K979" i="1"/>
  <c r="L979" i="1"/>
  <c r="N979" i="1"/>
  <c r="K756" i="1"/>
  <c r="L756" i="1"/>
  <c r="N756" i="1"/>
  <c r="K66" i="1"/>
  <c r="L66" i="1"/>
  <c r="N66" i="1"/>
  <c r="K971" i="1"/>
  <c r="L971" i="1"/>
  <c r="N971" i="1"/>
  <c r="K567" i="1"/>
  <c r="L567" i="1"/>
  <c r="N567" i="1"/>
  <c r="K543" i="1"/>
  <c r="L543" i="1"/>
  <c r="N543" i="1"/>
  <c r="K946" i="1"/>
  <c r="L946" i="1"/>
  <c r="N946" i="1"/>
  <c r="K763" i="1"/>
  <c r="L763" i="1"/>
  <c r="N763" i="1"/>
  <c r="K708" i="1"/>
  <c r="L708" i="1"/>
  <c r="N708" i="1"/>
  <c r="K940" i="1"/>
  <c r="L940" i="1"/>
  <c r="N940" i="1"/>
  <c r="K622" i="1"/>
  <c r="L622" i="1"/>
  <c r="N622" i="1"/>
  <c r="K968" i="1"/>
  <c r="L968" i="1"/>
  <c r="N968" i="1"/>
  <c r="K860" i="1"/>
  <c r="L860" i="1"/>
  <c r="N860" i="1"/>
  <c r="K1072" i="1"/>
  <c r="L1072" i="1"/>
  <c r="N1072" i="1"/>
  <c r="K972" i="1"/>
  <c r="L972" i="1"/>
  <c r="N972" i="1"/>
  <c r="K730" i="1"/>
  <c r="L730" i="1"/>
  <c r="N730" i="1"/>
  <c r="K845" i="1"/>
  <c r="L845" i="1"/>
  <c r="N845" i="1"/>
  <c r="K923" i="1"/>
  <c r="L923" i="1"/>
  <c r="N923" i="1"/>
  <c r="K692" i="1"/>
  <c r="L692" i="1"/>
  <c r="N692" i="1"/>
  <c r="K821" i="1"/>
  <c r="L821" i="1"/>
  <c r="N821" i="1"/>
  <c r="K799" i="1"/>
  <c r="L799" i="1"/>
  <c r="N799" i="1"/>
  <c r="K643" i="1"/>
  <c r="L643" i="1"/>
  <c r="N643" i="1"/>
  <c r="K625" i="1"/>
  <c r="L625" i="1"/>
  <c r="N625" i="1"/>
  <c r="K950" i="1"/>
  <c r="L950" i="1"/>
  <c r="N950" i="1"/>
  <c r="K1037" i="1"/>
  <c r="L1037" i="1"/>
  <c r="N103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Ing. Harrison Castañeda</author>
  </authors>
  <commentList>
    <comment ref="D12" authorId="0" shapeId="0" xr:uid="{7A3F1833-5427-441F-8523-A3E11114725C}">
      <text>
        <r>
          <rPr>
            <b/>
            <sz val="9"/>
            <color indexed="81"/>
            <rFont val="Tahoma"/>
            <family val="2"/>
          </rPr>
          <t>Ing. Harrison Castañeda:</t>
        </r>
        <r>
          <rPr>
            <sz val="9"/>
            <color indexed="81"/>
            <rFont val="Tahoma"/>
            <family val="2"/>
          </rPr>
          <t xml:space="preserve">
Persona Fallece el día 26 de Septiembre de 2025</t>
        </r>
      </text>
    </comment>
  </commentList>
</comments>
</file>

<file path=xl/sharedStrings.xml><?xml version="1.0" encoding="utf-8"?>
<sst xmlns="http://schemas.openxmlformats.org/spreadsheetml/2006/main" count="7254" uniqueCount="1174">
  <si>
    <t>CARRERA 5 N 29-68</t>
  </si>
  <si>
    <t>RURAL</t>
  </si>
  <si>
    <t>CARRERA 9 DIAGONAL 47</t>
  </si>
  <si>
    <t>CARRERA 16 CALLE 47 DETRÁS DEL AEROPUERTO</t>
  </si>
  <si>
    <t>CARRERA 21 CALLE 29</t>
  </si>
  <si>
    <t>KM 1 + 400 VIOA YOPAL - PUNTO NUEVO</t>
  </si>
  <si>
    <t>TRANSVERSAL 15 DIAGONAL 47</t>
  </si>
  <si>
    <t>CARRERA 29 N° 28-09</t>
  </si>
  <si>
    <t>ESTADIO</t>
  </si>
  <si>
    <t>CARRERA 16 A CALLE 29</t>
  </si>
  <si>
    <t>CARRERA 7 TRANSVERSAL 18</t>
  </si>
  <si>
    <t>CARRERA 20 CALLE 46B</t>
  </si>
  <si>
    <t>CARRERA 8 CALLE 23</t>
  </si>
  <si>
    <t>CALLE 39 N° 20-30</t>
  </si>
  <si>
    <t>CARRERA 1 ENTRE CALLE 40 Y 50</t>
  </si>
  <si>
    <t>KM 0 + 600 VIA YOPAL - PUNTO NUEVO</t>
  </si>
  <si>
    <t>CALLE 37 N°27-70</t>
  </si>
  <si>
    <t>CARRERA 14 CALLE 27</t>
  </si>
  <si>
    <t>CARRERA 19 CALLE 25-60</t>
  </si>
  <si>
    <t>CARRERA 19  CALLE 30</t>
  </si>
  <si>
    <t>CARRERA 16A CALLE30</t>
  </si>
  <si>
    <t>CARRERA 19 CALLE 22</t>
  </si>
  <si>
    <t>CARRERA 12 CALLE 34</t>
  </si>
  <si>
    <t>Km 1 FRENTE AL VIVERO YOPAL-AGUAZUL</t>
  </si>
  <si>
    <t>Km 44 VIA YOPAL-PUNTO NUEVO</t>
  </si>
  <si>
    <t>CALLE 30 No. 16A-73</t>
  </si>
  <si>
    <t>CALLE 30 No. 12-33</t>
  </si>
  <si>
    <t>CALLE 36 TRANSVERSAL 5-03</t>
  </si>
  <si>
    <t>CARRERA 23 No. 23-64</t>
  </si>
  <si>
    <t>CARRERA 14 CALLE 18</t>
  </si>
  <si>
    <t>CARRERA 20 CALLE 19</t>
  </si>
  <si>
    <t>CALLE 40 No. 2-15</t>
  </si>
  <si>
    <t>Km 1 VIA CORREGIMIENTO EL TALADRO</t>
  </si>
  <si>
    <t>CALLE 40 No. 4-65</t>
  </si>
  <si>
    <t>CARRERA 16 CALLE 23</t>
  </si>
  <si>
    <t>KM 7+400 VIA YOPAL-EL MORRO</t>
  </si>
  <si>
    <t xml:space="preserve">CARRERA 14 CALLE 30 </t>
  </si>
  <si>
    <t>TRANSVERSAL 10 No. 20-10</t>
  </si>
  <si>
    <t xml:space="preserve">TRANSVERSAL 18 CARRERA 8  </t>
  </si>
  <si>
    <t>CARRERA 14 No. 33-40</t>
  </si>
  <si>
    <t>BARRIO LA ESMERALDA</t>
  </si>
  <si>
    <t>CARRERA 21 CALLE 26</t>
  </si>
  <si>
    <t>CARRERA 14 BIS No 38 74</t>
  </si>
  <si>
    <t xml:space="preserve"> CARRERA 21 CALLE 27</t>
  </si>
  <si>
    <t>CARRERA 16 CALLE 22</t>
  </si>
  <si>
    <t xml:space="preserve">CARRERA 12 CALLE 40 </t>
  </si>
  <si>
    <t>TRANSVERSAL 18 DIAGONAL 47</t>
  </si>
  <si>
    <t>TRANSVERSAL 15 CALLE 37</t>
  </si>
  <si>
    <t xml:space="preserve">CARRERA 13 CALLE 20 </t>
  </si>
  <si>
    <t>CARRERA 11 CALLE 32A</t>
  </si>
  <si>
    <t>DIAGONAL 47 ENTRE CARRERAS 4-5</t>
  </si>
  <si>
    <t>CARRERA 12 CALLE 22</t>
  </si>
  <si>
    <t>TRANSVERSAL 18 TRANSVERSAL 10</t>
  </si>
  <si>
    <t xml:space="preserve">CARRERA 33 CALLE 40 </t>
  </si>
  <si>
    <t>TRANSVERSAL 7 CALLE 31A</t>
  </si>
  <si>
    <t>Km 1 VIA YOPAL-MATEPANTANO</t>
  </si>
  <si>
    <t>CARRERA 5 CALLE 42</t>
  </si>
  <si>
    <t>Km 102+50 VIA MONTERREY-YOPAL</t>
  </si>
  <si>
    <t>CARRERA 5 CALLE 27</t>
  </si>
  <si>
    <t>CARRERA 5 ENTRE CALLE 35 Y 36</t>
  </si>
  <si>
    <t xml:space="preserve"> CARRERA 40 CALLE 40</t>
  </si>
  <si>
    <t>CARRERA 8 MARGINAL DE LA SELVA</t>
  </si>
  <si>
    <t>CARRERA 29 ENTRE CALLE 16 Y17</t>
  </si>
  <si>
    <t>CARRERA 22 CALLE 13</t>
  </si>
  <si>
    <t xml:space="preserve">CARRERA 33 CALLE 30 </t>
  </si>
  <si>
    <t>VIA YOPAL-MATEPANTANO VEH. FANTASMA</t>
  </si>
  <si>
    <t>VIA YOPAL-SIRIVANA FRENTE HOTEL LA BENDICION</t>
  </si>
  <si>
    <t xml:space="preserve">CARRERA 3 CALLE 60 </t>
  </si>
  <si>
    <t>DIAGONAL 47 FRENTE FUERZA AEREA</t>
  </si>
  <si>
    <t>CALLE 40 ENTRE CARRERA 4 Y 5</t>
  </si>
  <si>
    <t xml:space="preserve">CARRERA 7 DIAGONAL 47 </t>
  </si>
  <si>
    <t>KM 1+800 VIA YOPAL-MORICHAL</t>
  </si>
  <si>
    <t xml:space="preserve">CARRERA 31 CALLE 16 </t>
  </si>
  <si>
    <t>CARRERA 11 CALLE 43</t>
  </si>
  <si>
    <t>TRANSVERSAL 24C CALLE 35</t>
  </si>
  <si>
    <t>Km 5,8 VIA YOPAL-MORICHAL</t>
  </si>
  <si>
    <t>KM 9+500 VIA YOPAL-MORICHAL</t>
  </si>
  <si>
    <t>CARRERA 14 CALLE 36</t>
  </si>
  <si>
    <t xml:space="preserve">CARRERA 29 CALLE 30 </t>
  </si>
  <si>
    <t>CARRERA 5 CALLE 56</t>
  </si>
  <si>
    <t>TRANSVERSAL 18 CALLE 6</t>
  </si>
  <si>
    <t>CARRERA 17 CALLE 33</t>
  </si>
  <si>
    <t xml:space="preserve">TRANSVERSAL 23 CALLE 40 </t>
  </si>
  <si>
    <t>CARRERA 5 CALLE 6 CORREGIMIENTO DE MORICHAL</t>
  </si>
  <si>
    <t>CARRERA 20 ENTRE CALLE 27 Y 28</t>
  </si>
  <si>
    <t>KM 14 VIA YOPAL-TACARIMENA</t>
  </si>
  <si>
    <t>CARRERA 5 ENTRE CALLE 59 Y 60</t>
  </si>
  <si>
    <t>CALLE 40 ENTRE TRANSVERSAL 7 Y CARRERA 11</t>
  </si>
  <si>
    <t>KM5 VIA YOPAL-LA PEDRERA</t>
  </si>
  <si>
    <t>YOPAL -PAZ DE ARIPORO KM02+150</t>
  </si>
  <si>
    <t xml:space="preserve">CARRERA 29 CALLE 30  </t>
  </si>
  <si>
    <t xml:space="preserve">CARRERA 12 CALLE 37 </t>
  </si>
  <si>
    <t>CARRERA 1 CALLE 46</t>
  </si>
  <si>
    <t>CARRERA 11 DIAGONAL 47</t>
  </si>
  <si>
    <t>CARRERA 23 CALLE 39</t>
  </si>
  <si>
    <t>CARRERA 20 CALLE 35</t>
  </si>
  <si>
    <t>CARRERA 5 CALLE 36</t>
  </si>
  <si>
    <t>NN</t>
  </si>
  <si>
    <t>CARRERA 7B ENTRE CALLE 23Y24</t>
  </si>
  <si>
    <t>CARRERA 19  CALLE 11</t>
  </si>
  <si>
    <t>CARRERA 19 CALLE 27</t>
  </si>
  <si>
    <t>CARRERA 21 CALLE 35</t>
  </si>
  <si>
    <t>CALLE 30 ENTRE CARRERA 12-13</t>
  </si>
  <si>
    <t xml:space="preserve">CARRERA 40 CALLE 40 </t>
  </si>
  <si>
    <t>CARRERA 30  CALLE 46</t>
  </si>
  <si>
    <t>CARRERA 30 ENTRE CALLE 40 Y 46</t>
  </si>
  <si>
    <t>TRANSVERSAL 18 CALLE 30</t>
  </si>
  <si>
    <t>CARRERA 24 CALLE 10</t>
  </si>
  <si>
    <t>CARRERA 15 DIAGONAL 47</t>
  </si>
  <si>
    <t>KM 91 + 710  MONTERREY- YOPAL</t>
  </si>
  <si>
    <t>CARRERA 26 CALLE 14</t>
  </si>
  <si>
    <t>CARRERA 10 CALLE 19</t>
  </si>
  <si>
    <t xml:space="preserve">CARRERA 24 CALLE 21  </t>
  </si>
  <si>
    <t>TILO -QUEBRADA SECA</t>
  </si>
  <si>
    <t>YOPAL-SIRIVANA KM1</t>
  </si>
  <si>
    <t xml:space="preserve">CARRERA 7 TRANSVERSAL 18 </t>
  </si>
  <si>
    <t>CARRERA 5 DIAGONAL 47</t>
  </si>
  <si>
    <t>UNION  CHARTE MONTERREY-YOPAL</t>
  </si>
  <si>
    <t>RUTA ARAGUANEY</t>
  </si>
  <si>
    <t>TRANSVERSAL 6 CALLE 36</t>
  </si>
  <si>
    <t>TRANSVERSAL 18  CALLE 37</t>
  </si>
  <si>
    <t>CALLE 40 ENTRE CARRERA 21 Y 22</t>
  </si>
  <si>
    <t>CARRERA 5 CALLE 60 ROMBOY</t>
  </si>
  <si>
    <t>TRANSVERSAL 15 CALLE 35</t>
  </si>
  <si>
    <t xml:space="preserve">CARRERA 36 CALLE 30  </t>
  </si>
  <si>
    <t xml:space="preserve">TRANSVERSAL 18 CALLE 30  </t>
  </si>
  <si>
    <t>CARRERA 5 ENTRE CALLE 39 Y 40</t>
  </si>
  <si>
    <t>NO</t>
  </si>
  <si>
    <t>CARRERA 23 TRANSVERSAL 23</t>
  </si>
  <si>
    <t>CALLE 40 ENTRE CARRERA 7 Y 8</t>
  </si>
  <si>
    <t xml:space="preserve">CARRERA 20 CALLE 40 </t>
  </si>
  <si>
    <t>KM0+550VIA YOPAL - PAZ DE ARIPORO</t>
  </si>
  <si>
    <t xml:space="preserve">CARRERA 3 CALLE 40 </t>
  </si>
  <si>
    <t xml:space="preserve">CARRERA 33A CALLE 30 </t>
  </si>
  <si>
    <t>VIA MARGINAL DE LA SELVA ENTRE CARRERA 3Y4</t>
  </si>
  <si>
    <t>CALLE 30 ENTRE CARRERA 42 Y 43</t>
  </si>
  <si>
    <t>CALLE 30 ENTRE CARRERA 11 Y 12</t>
  </si>
  <si>
    <t>MARGINAL DE LA SELVA  CARRERA 8</t>
  </si>
  <si>
    <t>CARRERA 24  CALLE 20</t>
  </si>
  <si>
    <t xml:space="preserve">CARRERA 9B CALLE 40 </t>
  </si>
  <si>
    <t>CARRERA  29 CALLE 26</t>
  </si>
  <si>
    <t>CALLE 16 ENTRE CARRERA 29 Y 30</t>
  </si>
  <si>
    <t>GLORIETA CENTRO DE HIPOTERAPIA</t>
  </si>
  <si>
    <t xml:space="preserve">CARRERA 31A CALLE 32 </t>
  </si>
  <si>
    <t>TRANSVERSAL 7  CALLE 32</t>
  </si>
  <si>
    <t>CARRERA 28 CALLE 33</t>
  </si>
  <si>
    <t xml:space="preserve">CARRERA 4A CALLE 60 </t>
  </si>
  <si>
    <t>CARRERA 21 ENTRE CALLE 30 Y 31</t>
  </si>
  <si>
    <t xml:space="preserve">CARRERA 6 CALLE 40  </t>
  </si>
  <si>
    <t>CARRERA 23 CALLE 8</t>
  </si>
  <si>
    <t>CARRERA 23 ENTRE CALLE 14 Y 15</t>
  </si>
  <si>
    <t>CARRERA 17 CALLE 13</t>
  </si>
  <si>
    <t>TRANSVERSAL 18 CALLE 40</t>
  </si>
  <si>
    <t xml:space="preserve">CARRERA 23 CALLE 40  </t>
  </si>
  <si>
    <t>TRANVERSAL 15  CALLE 36</t>
  </si>
  <si>
    <t xml:space="preserve">CARRERA 13 DIAGONAL 47 </t>
  </si>
  <si>
    <t>CARRERA 22 CALLE 16</t>
  </si>
  <si>
    <t>CARRERA 7 CALLE 30</t>
  </si>
  <si>
    <t>CARRERA 21 CALLE 17</t>
  </si>
  <si>
    <t>CARRERA 23 ENTRE CALLE 25 Y 26</t>
  </si>
  <si>
    <t>CARRERA 6 CALLE 29</t>
  </si>
  <si>
    <t>CARRERA 19  CALLE 36</t>
  </si>
  <si>
    <t>CARRERA 1  DIAGONAL 47</t>
  </si>
  <si>
    <t>CARRERA 19  ENTRE CALLE 17 Y 18</t>
  </si>
  <si>
    <t>CARRERA 10 CALLE 20</t>
  </si>
  <si>
    <t>CARRERA 7 CALLE 48</t>
  </si>
  <si>
    <t>CALLE 24 ENTRE CARRERA 40 Y 41</t>
  </si>
  <si>
    <t xml:space="preserve">TRANSVERSAL 15  CALLE 40 </t>
  </si>
  <si>
    <t>CARRERA 5  CALLE 51</t>
  </si>
  <si>
    <t xml:space="preserve">VIA YOPAL PUNTO NUEVO KM 34 VEREDA 1 MAYO </t>
  </si>
  <si>
    <t>CALLE 40 ENTRE CARRERA 1-2</t>
  </si>
  <si>
    <t>TRANSVERSAL 7B ENTRE CALLES 15 Y 16</t>
  </si>
  <si>
    <t xml:space="preserve">CARRERA 12 DIAGONAL 47 </t>
  </si>
  <si>
    <t xml:space="preserve">KM 21+500 YOPAL PALOBAJITO </t>
  </si>
  <si>
    <t>CARRERA 23 CALLE 23</t>
  </si>
  <si>
    <t xml:space="preserve">CARRERA 12 CALLE 34 </t>
  </si>
  <si>
    <t>KM 7+000 VIA YOPAL-MORICHAL</t>
  </si>
  <si>
    <t xml:space="preserve">CARRERA 15A CALLE 36 </t>
  </si>
  <si>
    <t xml:space="preserve">CARRERA 10 DIAGONAL 47  </t>
  </si>
  <si>
    <t xml:space="preserve">CARRERA 30 CALLE 40 </t>
  </si>
  <si>
    <t>CARRERA 14 CALLE 26</t>
  </si>
  <si>
    <t xml:space="preserve">CARRERA 19 CALLE 20 </t>
  </si>
  <si>
    <t xml:space="preserve"> DIAGONAL 46 CALLE 47 </t>
  </si>
  <si>
    <t xml:space="preserve">CARRERA 10 CALLE 25 </t>
  </si>
  <si>
    <t xml:space="preserve">CARRERA 31 CALLE 30 </t>
  </si>
  <si>
    <t>CARRERA 16 CALLE 18</t>
  </si>
  <si>
    <t>CARRERA 35A CALLE 30</t>
  </si>
  <si>
    <t xml:space="preserve">UNIR CHARTE  96+100 MONTERREY YOPAL </t>
  </si>
  <si>
    <t>UNIR EL CHARTE 100+740 MONTERREY -YOPAL</t>
  </si>
  <si>
    <t xml:space="preserve">UNIR CHARTE  100+970 MONTERREY YOPAL  </t>
  </si>
  <si>
    <t xml:space="preserve">UNIR CHARTE 98+350 MONTERREY - YOPAL </t>
  </si>
  <si>
    <t>RUTA ARAGUANEY 05+050 YOPAL - PAZ DE ARIPORO</t>
  </si>
  <si>
    <t>CARRERA 17 A CALLE 22</t>
  </si>
  <si>
    <t xml:space="preserve">CARRERA 1 CALLE 64 </t>
  </si>
  <si>
    <t>CARRERA 30 CALLE 47</t>
  </si>
  <si>
    <t xml:space="preserve">CARRERA 24 CALLE 40 </t>
  </si>
  <si>
    <t xml:space="preserve">CARRERA 29 CALLE 40 </t>
  </si>
  <si>
    <t>CARRERA 21 CALLE 19</t>
  </si>
  <si>
    <t>Marginal de la selva entre calle 9 y 10</t>
  </si>
  <si>
    <t xml:space="preserve">CARRERA 43 CALLE 30 </t>
  </si>
  <si>
    <t xml:space="preserve">CARRERA 6 CALLE 25 </t>
  </si>
  <si>
    <t>RUTA ARAGUANEY 15+600 YOPAL PAZ DE ARIPORO</t>
  </si>
  <si>
    <t xml:space="preserve">CARRERA 30  CALLE 2A </t>
  </si>
  <si>
    <t xml:space="preserve">CARRERA 19 ENTRE CALLE 34 Y 35 </t>
  </si>
  <si>
    <t>CARRERA 11 CALLE 38</t>
  </si>
  <si>
    <t xml:space="preserve">CARRERA 26 CALLE 16A </t>
  </si>
  <si>
    <t>CARRERA 19 CALLE 9</t>
  </si>
  <si>
    <t xml:space="preserve">CARRERA 19 CALLE 15 </t>
  </si>
  <si>
    <t xml:space="preserve">CARRERA 17A CALLE 21 </t>
  </si>
  <si>
    <t xml:space="preserve">CARRRERA 5 ENTRE CALLE 39 Y 40  </t>
  </si>
  <si>
    <t xml:space="preserve">CARRERA 7B OESTE CALLE 65  </t>
  </si>
  <si>
    <t xml:space="preserve">TRANSVERSAL 10 ENTRE CALLE 10 B-13 B </t>
  </si>
  <si>
    <t xml:space="preserve">CARRERA 5 CALLE 46 </t>
  </si>
  <si>
    <t xml:space="preserve">CARRERA 21 CALLE 13 </t>
  </si>
  <si>
    <t xml:space="preserve">km 42 YOPAL VEREDA QUEBRADA SECA </t>
  </si>
  <si>
    <t xml:space="preserve">CARRERA 14B CALLE 42 </t>
  </si>
  <si>
    <t xml:space="preserve">CARRERA 7 CALLE 30 </t>
  </si>
  <si>
    <t xml:space="preserve">CARRERA 23 CALLE 48 </t>
  </si>
  <si>
    <t xml:space="preserve">CARRERA 1 ENTRE CALLE 40 Y 50 </t>
  </si>
  <si>
    <t>CARRERA 12A  CALLE 44A</t>
  </si>
  <si>
    <t xml:space="preserve">CARRERA 4 CALLE 60  </t>
  </si>
  <si>
    <t xml:space="preserve">CARRERA 7B OESTE  CALLE 65 </t>
  </si>
  <si>
    <t xml:space="preserve">DIAGONAL 9 ENTRE CALLE 10 Y 11 </t>
  </si>
  <si>
    <t>CARRERA 23 CALLE 33</t>
  </si>
  <si>
    <t xml:space="preserve"> CARRERA9A OESTE CALLE 60</t>
  </si>
  <si>
    <t>CARRERA 19 CALLE 18</t>
  </si>
  <si>
    <t xml:space="preserve">CALLE 50 ENTRE CARRERA 1 Y 2 </t>
  </si>
  <si>
    <t xml:space="preserve">CARRERA 32B CALLE 30 </t>
  </si>
  <si>
    <t xml:space="preserve">CARRERA 17 CALLE 36 </t>
  </si>
  <si>
    <t>TRANSVERSAL 18 MARGINAL DE LA SELVA CALLE 10</t>
  </si>
  <si>
    <t xml:space="preserve">CARRERA 20 CALLE 19 </t>
  </si>
  <si>
    <t>CARRERA 29 ENTRE CALLE 17 Y 18</t>
  </si>
  <si>
    <t>CARRERA 20 CALLE 36</t>
  </si>
  <si>
    <t xml:space="preserve">KM 1 + 800 VIA YOPAL- MATEPANTANO </t>
  </si>
  <si>
    <t xml:space="preserve">CALLE 39 ENTRE CARRERA 19 Y TRANS 15 </t>
  </si>
  <si>
    <t>KM 12YOPAL EL MORRO</t>
  </si>
  <si>
    <t xml:space="preserve">CARRERA 24 CALLE 28 </t>
  </si>
  <si>
    <t xml:space="preserve">CARRERA 17A  CALLE 30 </t>
  </si>
  <si>
    <t xml:space="preserve">VEREDA CABAÑA VIA GUAYAQUITO SEPT EL MORRO </t>
  </si>
  <si>
    <t xml:space="preserve"> CARRERA 15A  CALLE 36 </t>
  </si>
  <si>
    <t xml:space="preserve">CARRERA 19 CALLE 17 </t>
  </si>
  <si>
    <t xml:space="preserve">CARRERA 23 CALLE 18 </t>
  </si>
  <si>
    <t>CARRERA 28 CALLE 22</t>
  </si>
  <si>
    <t xml:space="preserve">CARRERA 20 CALLE 28 </t>
  </si>
  <si>
    <t xml:space="preserve">CARRERA 24 CALLE 27 </t>
  </si>
  <si>
    <t xml:space="preserve">CARRERA 5 CALLE 47 </t>
  </si>
  <si>
    <t xml:space="preserve">KM 102+00 VIA MONTERREY YOPAL </t>
  </si>
  <si>
    <t>CARRERA 20 CALLE 39</t>
  </si>
  <si>
    <t>CARRERA 5 ENTRE DIAGONAL 47 CALLE 60</t>
  </si>
  <si>
    <t xml:space="preserve">CARRERA 21  CALLE 21 </t>
  </si>
  <si>
    <t>KM 22+ 500 YOPAL TACARIMENA</t>
  </si>
  <si>
    <t>CARRERA 19 CALLE 21</t>
  </si>
  <si>
    <t>CARRERA 13 CALLE 33</t>
  </si>
  <si>
    <t xml:space="preserve">CARRERA 25 CALLE 21 </t>
  </si>
  <si>
    <t>CALLE 30 ENTRE CARRERA 13 Y 14</t>
  </si>
  <si>
    <t>CARRERA 10 CALLE 25</t>
  </si>
  <si>
    <t xml:space="preserve">CARRERA 29 CALLE 35 </t>
  </si>
  <si>
    <t xml:space="preserve">TRASVERSAL 15  CALLE 38 </t>
  </si>
  <si>
    <t xml:space="preserve">CARRERA 24 CALLE 25 </t>
  </si>
  <si>
    <t>CARRERA 20 CALLE 26</t>
  </si>
  <si>
    <t>KILOMATRO 12 VIA MATEPANTANO LA SALLE</t>
  </si>
  <si>
    <t xml:space="preserve">CALLE 30 ENTRE CARRERA 18 Y 19 </t>
  </si>
  <si>
    <t xml:space="preserve">CARRERA 29 ENTRE CALLE 35 Y 36 </t>
  </si>
  <si>
    <t xml:space="preserve">KM 26+650 RUTA ARAGUANEY </t>
  </si>
  <si>
    <t xml:space="preserve">VEREDA PATIMENA </t>
  </si>
  <si>
    <t xml:space="preserve">CARRERA 23 CALLE 36 </t>
  </si>
  <si>
    <t>TRANSVERSAL 15 CALLE 36</t>
  </si>
  <si>
    <t>CARRERA 35 CALLE 29</t>
  </si>
  <si>
    <t>TRANSVERSAL 23 CALLE 30</t>
  </si>
  <si>
    <t>CARRERA 22 CALLE 8</t>
  </si>
  <si>
    <t>CARRERA 2 CALLE 59</t>
  </si>
  <si>
    <t>CARRERA 19 CALLE 19</t>
  </si>
  <si>
    <t xml:space="preserve">KM 24 VIA YOPAL- TILODIRAN </t>
  </si>
  <si>
    <t xml:space="preserve">KM 10+700 GUAYAQUE </t>
  </si>
  <si>
    <t>TRANSVERSAL 30 CALLE 11</t>
  </si>
  <si>
    <t>CARRERA 21 CALLE 37</t>
  </si>
  <si>
    <t>CARRERA 3A CALLE 60</t>
  </si>
  <si>
    <t>CARRERA 32 CALLE 53</t>
  </si>
  <si>
    <t xml:space="preserve">CARRERA 19 CALLE 21 </t>
  </si>
  <si>
    <t>CARRERA E OESTE CALLE 59</t>
  </si>
  <si>
    <t xml:space="preserve">TRANSVERSAL 11 ENTRE CALLE 20 Y 21 </t>
  </si>
  <si>
    <t xml:space="preserve">89+860 MONTERREY YOPAL </t>
  </si>
  <si>
    <t xml:space="preserve">84+050 MONTERREY YOPAL </t>
  </si>
  <si>
    <t>CARRERA 2 CALLE 36</t>
  </si>
  <si>
    <t>CARRERA 5 ENTRE CALLE 49 Y DIAGONAL 49</t>
  </si>
  <si>
    <t xml:space="preserve">TRANSVERSAL 7 CALLE 40BOMBA TERPEL </t>
  </si>
  <si>
    <t>CARRERA 37 CALLE 30</t>
  </si>
  <si>
    <t>CARRERA 24B CALLE 40</t>
  </si>
  <si>
    <t>DIAGONAL 23 CALLE 40</t>
  </si>
  <si>
    <t xml:space="preserve">CARRERA 7 TRANSVERSAL 18 MARGINAL DE LA SELVA </t>
  </si>
  <si>
    <t>CARRERA 15 CALLE 18</t>
  </si>
  <si>
    <t>TRANSVERSAL 7 CALLE 30</t>
  </si>
  <si>
    <t>VIA YOPAL CHAPARRERA</t>
  </si>
  <si>
    <t xml:space="preserve">CARRERA 10A DIAGONAL 47 </t>
  </si>
  <si>
    <t>CARRERA 19 CALLE 13</t>
  </si>
  <si>
    <t>CARRERA 28 CALLE 35</t>
  </si>
  <si>
    <t>CARRERA 21 CALLE19</t>
  </si>
  <si>
    <t>CARRERA 29 CALLE 21</t>
  </si>
  <si>
    <t>KILMETRO 42 YOPAL-QUEBRADASECA</t>
  </si>
  <si>
    <t>CARRERA 26 CALLE 19</t>
  </si>
  <si>
    <t>CARRERA 24 CALLE28</t>
  </si>
  <si>
    <t>CARRERA 19 CALLE 33</t>
  </si>
  <si>
    <t xml:space="preserve">TRANSVERSAL 23 CALLE 35 A </t>
  </si>
  <si>
    <t>CARRERA 26 CALLE 27</t>
  </si>
  <si>
    <t>CARRERA 29 CALLE 19</t>
  </si>
  <si>
    <t>CARRERA 34 CALLE 34</t>
  </si>
  <si>
    <t>CARRERA 17 CALLE 17</t>
  </si>
  <si>
    <t>CARRERA 32 CALLE 31</t>
  </si>
  <si>
    <t>DIAGONAL 30 CALLE 6</t>
  </si>
  <si>
    <t>YOPAL AGUAZUL KM 2 + 500</t>
  </si>
  <si>
    <t>CARRERA 6B CALLE 40</t>
  </si>
  <si>
    <t>CALLE 15 MARGIAL DE LA SELVA KM104</t>
  </si>
  <si>
    <t>CARRERA 23 CALLE 9</t>
  </si>
  <si>
    <t>CALLE 60 CAÑO USIVAR</t>
  </si>
  <si>
    <t>KM. 6 VIA MATEPANTANO</t>
  </si>
  <si>
    <t>CARRERA 17B CALLE 21</t>
  </si>
  <si>
    <t>KM. 0+400 VIA MATEPANTANO</t>
  </si>
  <si>
    <t>CARRERA 12 CALLE 39</t>
  </si>
  <si>
    <t>CARRERA 30 CALLE 30</t>
  </si>
  <si>
    <t>CARRERA12A CALLE 31</t>
  </si>
  <si>
    <t>VIA MATEPANTANO ENTRADA LOS LAGOS</t>
  </si>
  <si>
    <t>KM. 1 VIA YOPAL SIRIVANA</t>
  </si>
  <si>
    <t>CARRERA 14 CALLE 34B</t>
  </si>
  <si>
    <t>CARRERA 24 CALLE 23</t>
  </si>
  <si>
    <t>KM. 104 MONTERREY YOPAL</t>
  </si>
  <si>
    <t>KM. 102 MONTERREY YOPAL</t>
  </si>
  <si>
    <t>KM. 17 VIA YOPAL MATEPANTANO</t>
  </si>
  <si>
    <t>CARRERA 19 CALLE 37</t>
  </si>
  <si>
    <t>KM. 1 VIA YOPAL AGUAZUL</t>
  </si>
  <si>
    <t>KM. 16 VIA YOPAL TILODIRAN</t>
  </si>
  <si>
    <t>CARRERA 7 CALLE 40</t>
  </si>
  <si>
    <t>CARRERA 21 CALLE 11</t>
  </si>
  <si>
    <t>TRANSVERSAL 7 CALLE 37B</t>
  </si>
  <si>
    <t>KM. 5 YOPAL MATEPANTANO</t>
  </si>
  <si>
    <t>TRANSVERSAL 15 CALLE 30</t>
  </si>
  <si>
    <t>CARRERA 26 CALLE 16</t>
  </si>
  <si>
    <t>CARRERA 29 CALLE 23</t>
  </si>
  <si>
    <t>TRANSVERSAL 11 CALLE 36</t>
  </si>
  <si>
    <t>CARRERA 9 CALLE 23</t>
  </si>
  <si>
    <t>KM. 3+400 YOPAL EL MORRO</t>
  </si>
  <si>
    <t>CARRERA 21 CALLE 10</t>
  </si>
  <si>
    <t>PLANTA TRATAMIENTO BUENA VISTA</t>
  </si>
  <si>
    <t>KM. 102+700 AGUAZUL YOPAL</t>
  </si>
  <si>
    <t>KM. 1 VIA MATEPANTANO</t>
  </si>
  <si>
    <t>CARRERA 5 CALLE 25</t>
  </si>
  <si>
    <t>CARRERA 5 CALLE 58</t>
  </si>
  <si>
    <t>CARRERA 11 CALLE 17</t>
  </si>
  <si>
    <t>KM. 22 VIA YOPAL TILODIRAN</t>
  </si>
  <si>
    <t>CARRERA 20 CALLE 7</t>
  </si>
  <si>
    <t>CARRERA 30 CALLE 31</t>
  </si>
  <si>
    <t>CARRERA 22 CALLE 18</t>
  </si>
  <si>
    <t>CARRERA 21 CALLE 13</t>
  </si>
  <si>
    <t xml:space="preserve">CARRERA 29 CALLE28 </t>
  </si>
  <si>
    <t>KM. 0+800 YOPAL SIRIVANA</t>
  </si>
  <si>
    <t>CARRERA 38 CALLE 40</t>
  </si>
  <si>
    <t>CARRERA 14 CALLE 33 B</t>
  </si>
  <si>
    <t>CARRERA 7 DIAGONAL 47</t>
  </si>
  <si>
    <t>KM. 17 YOPAL EL TRIUNFO</t>
  </si>
  <si>
    <t>CARRERA 43 CALLE 40</t>
  </si>
  <si>
    <t>KM. 8+400 YOPAL MATEPANTANO</t>
  </si>
  <si>
    <t>TRANSVERSAL 15 CALLE 40</t>
  </si>
  <si>
    <t xml:space="preserve"> CARRERA 14A DIAGONAL 47</t>
  </si>
  <si>
    <t>CARRERA 1 DIAGONAL 47</t>
  </si>
  <si>
    <t>TRANSVERSAL 18 CALLE 8</t>
  </si>
  <si>
    <t>CARRERA12A CALLE 44B</t>
  </si>
  <si>
    <t>KM. 0+500 YOPAL PAZ DE ARIPORO</t>
  </si>
  <si>
    <t>CARRERA 5 CALLE 26</t>
  </si>
  <si>
    <t>CARRERA 6 CALLE 26</t>
  </si>
  <si>
    <t>KM. 13+700 YOPAL TILODIRAN</t>
  </si>
  <si>
    <t>CARRERA 26 CALLE 17</t>
  </si>
  <si>
    <t>CARRERA 32 CALLE 20</t>
  </si>
  <si>
    <t>CARRERA  9 DIAGONAL 47</t>
  </si>
  <si>
    <t>CARRERA 7 ESTE CALLE 64</t>
  </si>
  <si>
    <t>CARRERA 24 CALLE 18</t>
  </si>
  <si>
    <t>KM 2,5 VIA YOPAL MORICHAL</t>
  </si>
  <si>
    <t>DESCENSO VIA LA VIRGEN</t>
  </si>
  <si>
    <t>DIAGONAL 15 CALLE 40</t>
  </si>
  <si>
    <t>CARRERA 12 CALLE 29</t>
  </si>
  <si>
    <t>KM. 5+800 YOPAL MORICHAL</t>
  </si>
  <si>
    <t>CARRERA 16 CALLE 38</t>
  </si>
  <si>
    <t>CARRERA 6 DIAGONAL 47</t>
  </si>
  <si>
    <t>CARRERA 30 CALLE 34</t>
  </si>
  <si>
    <t>CARRERA 12 CALLE 36</t>
  </si>
  <si>
    <t>CARRERA 21 CALLE 26A</t>
  </si>
  <si>
    <t>CARRERA 23 CALLE 16</t>
  </si>
  <si>
    <t>TRANSVERSAL 17 CALLE 31</t>
  </si>
  <si>
    <t>CARRERA 5 CALLE 35</t>
  </si>
  <si>
    <t>CARRERA 23 CALLE 11</t>
  </si>
  <si>
    <t>TRANSVERSAL 6 CALLE 40</t>
  </si>
  <si>
    <t>KM. 74+700 YOPAL QUEBRADA SECA</t>
  </si>
  <si>
    <t>CARRERA 13 CALLE 35</t>
  </si>
  <si>
    <t>CARRERA 12 CALLE 53</t>
  </si>
  <si>
    <t>CARRERA 7 CALLE 45</t>
  </si>
  <si>
    <t>KM101+800</t>
  </si>
  <si>
    <t>TRANSVERSAL 15 CLLE 36</t>
  </si>
  <si>
    <t>TRANSVERSAL 17A CALLE 27</t>
  </si>
  <si>
    <t>CARRERA 5 CALLE 6 LA CHAPARRERA</t>
  </si>
  <si>
    <t>CARRERA 12 CALLE 40</t>
  </si>
  <si>
    <t>CARRERA 9 CALLE 41</t>
  </si>
  <si>
    <t>KM. 0+500 MIRADOR DE LA VIRGEN</t>
  </si>
  <si>
    <t>CARRERA 5 CALLE 45</t>
  </si>
  <si>
    <t>CARRERA 5 CALLE 64</t>
  </si>
  <si>
    <t>KM. 5+500 YOPAL-AGUAZUL</t>
  </si>
  <si>
    <t>KM. 13+600 YOPAL-TILODIRAN</t>
  </si>
  <si>
    <t>KM. 7 VIA YOPAL-MATEPANTANO</t>
  </si>
  <si>
    <t>CARRERA 11 CALLE 30</t>
  </si>
  <si>
    <t>TRANSVERSAL 15 CALLE 38A</t>
  </si>
  <si>
    <t>KM. 1+600 YOPAL-AGUAZUL</t>
  </si>
  <si>
    <t>KM. 101+5 VIA YOPAL-AGUAZUL</t>
  </si>
  <si>
    <t>CARRERA 14A TRASVERSAL 18</t>
  </si>
  <si>
    <t>KM1+100</t>
  </si>
  <si>
    <t>TRANSVERSAL 15 CALLE 33</t>
  </si>
  <si>
    <t>KM. 1 VIA YOPAL-AGUAZUL</t>
  </si>
  <si>
    <t>KM. 2+400  VIAMATEPANTANO</t>
  </si>
  <si>
    <t>CARRERA 21 CALLE 27</t>
  </si>
  <si>
    <t>KM. 4 VIA YOPAL-MORRO</t>
  </si>
  <si>
    <t>DIAGONAL 30 TRASVERSAL7A-08</t>
  </si>
  <si>
    <t>CARRERA 20 CALLE 16</t>
  </si>
  <si>
    <t>KM. 3 VIA MORICHAL</t>
  </si>
  <si>
    <t>CARRERA 1 CALLE 60</t>
  </si>
  <si>
    <t>CARRERA 29 CALLE 31A</t>
  </si>
  <si>
    <t>CARRERA 6 CALLE 44</t>
  </si>
  <si>
    <t>TRANSVERSAL 7 CALLE 34</t>
  </si>
  <si>
    <t>KM. 12 VIA YOPAL-PALOMAS</t>
  </si>
  <si>
    <t>CARRERA 11 CALLE 47</t>
  </si>
  <si>
    <t>KM. 6+600 MORICHAL-TILODIR</t>
  </si>
  <si>
    <t>TRANSVERSAL 36 CALLE 35</t>
  </si>
  <si>
    <t>CARRERA 23 CALLE 37</t>
  </si>
  <si>
    <t>CARRERA 9 CALLE 67</t>
  </si>
  <si>
    <t xml:space="preserve">KM. 1+800 VIA LA VIRGEN </t>
  </si>
  <si>
    <t>MARGINAL DE LA SELVA CARRERA 7B</t>
  </si>
  <si>
    <t>KM. 30+600 YOPAL-TILO</t>
  </si>
  <si>
    <t>CARRERA 7 CALLE 46</t>
  </si>
  <si>
    <t>CARRERA 25 CALLE 12</t>
  </si>
  <si>
    <t>CARRERA 19 CALLE 16</t>
  </si>
  <si>
    <t>KM. 15 YOPAL-TILODIRAN</t>
  </si>
  <si>
    <t>CARRERA 21 CALLE 9</t>
  </si>
  <si>
    <t>KM. 18 YOPAL TILODIRAN</t>
  </si>
  <si>
    <t>BICICLETA</t>
  </si>
  <si>
    <t>VOLQUETA</t>
  </si>
  <si>
    <t>TRACTOCAMION</t>
  </si>
  <si>
    <t>CAMION</t>
  </si>
  <si>
    <t>BUSETA</t>
  </si>
  <si>
    <t>BUS</t>
  </si>
  <si>
    <t>MICROBUS</t>
  </si>
  <si>
    <t>CAMIONETA</t>
  </si>
  <si>
    <t>CAMPERO</t>
  </si>
  <si>
    <t>AUTOMOVIL</t>
  </si>
  <si>
    <t>MOTO</t>
  </si>
  <si>
    <t>FECHA</t>
  </si>
  <si>
    <t>MES</t>
  </si>
  <si>
    <t>AÑO</t>
  </si>
  <si>
    <t>AREA</t>
  </si>
  <si>
    <t>LONGITUD</t>
  </si>
  <si>
    <t>LATITUD</t>
  </si>
  <si>
    <t>GRAVEDAD</t>
  </si>
  <si>
    <t>MUERTOS</t>
  </si>
  <si>
    <t>LESIONADOS</t>
  </si>
  <si>
    <t>SOLO DAÑOS</t>
  </si>
  <si>
    <t>ID</t>
  </si>
  <si>
    <t>Adelantar invadiendo carril de sentido contrario.</t>
  </si>
  <si>
    <t>TRANSVERSAL 11 CALLE 19</t>
  </si>
  <si>
    <t>CARRERA 5 CALLES 57 Y 58</t>
  </si>
  <si>
    <t>YOPAL PAZ DE ARIPORO KM 10+600 M VEREDA GUAYAQUE</t>
  </si>
  <si>
    <t>CALLE 40 CARRERA 19</t>
  </si>
  <si>
    <t>CALLE 48 No 19-20</t>
  </si>
  <si>
    <t>AVENIDA MARGINAL CALLE 9 No 13 B-90</t>
  </si>
  <si>
    <t>CALLE 20 CARRERA 13</t>
  </si>
  <si>
    <t>MOTOCARRO</t>
  </si>
  <si>
    <t>MOTOCICLETA</t>
  </si>
  <si>
    <t>CAMIONETA (GRUA)</t>
  </si>
  <si>
    <t>MASCULINO</t>
  </si>
  <si>
    <t>FEMENINO</t>
  </si>
  <si>
    <t>Gravedad</t>
  </si>
  <si>
    <t>hipotesis</t>
  </si>
  <si>
    <t>Descripcion</t>
  </si>
  <si>
    <t>CON MUERTOS</t>
  </si>
  <si>
    <t>Transportar otra persona o cosas.</t>
  </si>
  <si>
    <t>CON HERIDOS</t>
  </si>
  <si>
    <t>No conducir a horcajadas.</t>
  </si>
  <si>
    <t>No sujetar los manubrios.</t>
  </si>
  <si>
    <t>Transitar distante de la acera u orilla de la calzada.</t>
  </si>
  <si>
    <t>Clase accidente</t>
  </si>
  <si>
    <t>Circular por calzadas o carriles destinados a buses y busetas.</t>
  </si>
  <si>
    <t>Atropello</t>
  </si>
  <si>
    <t>Transitar uno al lado del otro.</t>
  </si>
  <si>
    <t>Choque</t>
  </si>
  <si>
    <t>Sujetarse a otro vehículo.</t>
  </si>
  <si>
    <t>Hundimiento</t>
  </si>
  <si>
    <t>Transitar por vías prohibidas.</t>
  </si>
  <si>
    <t>Incendio</t>
  </si>
  <si>
    <t>Transitar entre vehículos.</t>
  </si>
  <si>
    <t>Volcamiento</t>
  </si>
  <si>
    <t>No hacer uso de señales reflectivas o luminosas.</t>
  </si>
  <si>
    <t>Otro</t>
  </si>
  <si>
    <t>Adelantar en curva o en pendientes.</t>
  </si>
  <si>
    <t>Caida Del Ocupante</t>
  </si>
  <si>
    <t>Adelantar por la derecha.</t>
  </si>
  <si>
    <t>Caida Del Vehículo A Un Precipicio</t>
  </si>
  <si>
    <t>Adelantar cerrando.</t>
  </si>
  <si>
    <t>Explosion</t>
  </si>
  <si>
    <t>Sin Informacion</t>
  </si>
  <si>
    <t>Adelantar en zona prohibida.</t>
  </si>
  <si>
    <t>Choque con</t>
  </si>
  <si>
    <t>Aprovisionamiento indebido.</t>
  </si>
  <si>
    <t>VEHICULO</t>
  </si>
  <si>
    <t>TREN</t>
  </si>
  <si>
    <t>Efectos físicos y psíquicos.</t>
  </si>
  <si>
    <t>SEMOVIENTE</t>
  </si>
  <si>
    <t>Exceso en horas de conducción.</t>
  </si>
  <si>
    <t>OBJETO FIJO</t>
  </si>
  <si>
    <t>Dejar obstáculos en la vía.</t>
  </si>
  <si>
    <t>Desobedecer señales o normas de tránsito.</t>
  </si>
  <si>
    <t>Objeto Fijo</t>
  </si>
  <si>
    <t>Desobedecer al agente.</t>
  </si>
  <si>
    <t>MURO</t>
  </si>
  <si>
    <t>Embriaguez aparente.</t>
  </si>
  <si>
    <t>POSTE</t>
  </si>
  <si>
    <t>ARBOL</t>
  </si>
  <si>
    <t>Explosivos o similares en menores.</t>
  </si>
  <si>
    <t>BARANDA</t>
  </si>
  <si>
    <t>Falta de mantenimiento mecánico.</t>
  </si>
  <si>
    <t>SEMÁFORO</t>
  </si>
  <si>
    <t>Frenar bruscamente.</t>
  </si>
  <si>
    <t>INMUEBLE</t>
  </si>
  <si>
    <t>Pasajeros obstruyendo al conductor o sobrecupo.</t>
  </si>
  <si>
    <t>HIDRANTE</t>
  </si>
  <si>
    <t>No mantener distancia de seguridad.</t>
  </si>
  <si>
    <t>VALLA, SEÑAL</t>
  </si>
  <si>
    <t>Girar bruscamente.</t>
  </si>
  <si>
    <t>TARIMA, CASETA</t>
  </si>
  <si>
    <t>No respetar prelación de intersecciones o giros.</t>
  </si>
  <si>
    <t>VEHÍCULO ESTACIONADO</t>
  </si>
  <si>
    <t>No cambiar luces.</t>
  </si>
  <si>
    <t>OTRO</t>
  </si>
  <si>
    <t>Estacionar sin seguridad.</t>
  </si>
  <si>
    <t>Area</t>
  </si>
  <si>
    <t>Transitar en contravía.</t>
  </si>
  <si>
    <t>Urbana</t>
  </si>
  <si>
    <t>Recoger o dejar pasajeros sobre la calzada.</t>
  </si>
  <si>
    <t>Rural</t>
  </si>
  <si>
    <t>Transportar pasajeros en parte exterior.</t>
  </si>
  <si>
    <t>Transitar sin luces.</t>
  </si>
  <si>
    <t>Tipo documento</t>
  </si>
  <si>
    <t>Salirse de la calzada.</t>
  </si>
  <si>
    <t>No respetar prelación.</t>
  </si>
  <si>
    <t>Cedula</t>
  </si>
  <si>
    <t>Subirse al andén o vías peatonales.</t>
  </si>
  <si>
    <t>Tarjeta Identidad</t>
  </si>
  <si>
    <t>Reverso imprudente.</t>
  </si>
  <si>
    <t>Cedula Extranjeria</t>
  </si>
  <si>
    <t>Remolque sin precaución.</t>
  </si>
  <si>
    <t>Nit</t>
  </si>
  <si>
    <t>Sin Documento</t>
  </si>
  <si>
    <t>Pasaporte</t>
  </si>
  <si>
    <t>Falta de precaución por niebla, lluvia o humo.</t>
  </si>
  <si>
    <t>Carnet Diplomatico</t>
  </si>
  <si>
    <t>Impericia en el manejo.</t>
  </si>
  <si>
    <t>Registro Civil</t>
  </si>
  <si>
    <t>Desconocido</t>
  </si>
  <si>
    <t>Vehículo mal estacionado.</t>
  </si>
  <si>
    <t>Semáforo en rojo.</t>
  </si>
  <si>
    <t>sexo</t>
  </si>
  <si>
    <t>Poner en marcha un vehículo sin precauciones.</t>
  </si>
  <si>
    <t>Hombre</t>
  </si>
  <si>
    <t>Cargar sobresaliente sin autorización.</t>
  </si>
  <si>
    <t>Mujer</t>
  </si>
  <si>
    <t>Arrancar sin precaución.</t>
  </si>
  <si>
    <t>Indeterminado</t>
  </si>
  <si>
    <t>Realizar giro en “U”.</t>
  </si>
  <si>
    <t>Conducir vehículo sin adaptaciones.</t>
  </si>
  <si>
    <t>actor vial</t>
  </si>
  <si>
    <t>Exceso de peso.</t>
  </si>
  <si>
    <t>Peatón</t>
  </si>
  <si>
    <t>Reparar vehículo en vía pública.</t>
  </si>
  <si>
    <t>Usuario de bicicleta</t>
  </si>
  <si>
    <t>Usuario de moto</t>
  </si>
  <si>
    <t>Transporte de carga sin autorización.</t>
  </si>
  <si>
    <t>Usuario de vehículo</t>
  </si>
  <si>
    <t>Usuario de V.Individual</t>
  </si>
  <si>
    <t>No portar especies.</t>
  </si>
  <si>
    <t>Usuario T.Carga</t>
  </si>
  <si>
    <t>Transitar con puertas abiertas.</t>
  </si>
  <si>
    <t>Usuario T.Pasajeros</t>
  </si>
  <si>
    <t>Usuario otros</t>
  </si>
  <si>
    <t>Pasajero Vehiculo</t>
  </si>
  <si>
    <t>Fallas en las llantas.</t>
  </si>
  <si>
    <t>Pasajero Moto</t>
  </si>
  <si>
    <t>Fallas en los frenos.</t>
  </si>
  <si>
    <t>Jinete</t>
  </si>
  <si>
    <t>Fallas en la dirección.</t>
  </si>
  <si>
    <t>Fallas en luces direccionales.</t>
  </si>
  <si>
    <t>Fallas en luces de frenos.</t>
  </si>
  <si>
    <t>condicion victima</t>
  </si>
  <si>
    <t>Fallas en luces delanteras.</t>
  </si>
  <si>
    <t>NA</t>
  </si>
  <si>
    <t>Fallas en luces posteriores.</t>
  </si>
  <si>
    <t>Acompañante bicicleta</t>
  </si>
  <si>
    <t>Fallas en pito.</t>
  </si>
  <si>
    <t>Acompañante moto</t>
  </si>
  <si>
    <t>Fallas en el tubo de escape. Gases en el interior del vehículo.</t>
  </si>
  <si>
    <t>Acompañante otros</t>
  </si>
  <si>
    <t>Fallas en el limpia brisas.</t>
  </si>
  <si>
    <t>Ciclista</t>
  </si>
  <si>
    <t>Fallas en el sistema eléctrico.</t>
  </si>
  <si>
    <t>Conductor</t>
  </si>
  <si>
    <t>Fallas en las puertas.</t>
  </si>
  <si>
    <t>Conductor moto</t>
  </si>
  <si>
    <t>Ausencia o deficiencia de espejos retrovisores.</t>
  </si>
  <si>
    <t>Conductor otros</t>
  </si>
  <si>
    <t>Vidrios en mal estado.</t>
  </si>
  <si>
    <t>Conductor T.C</t>
  </si>
  <si>
    <t>Fallas en ajuste capó.</t>
  </si>
  <si>
    <t>Conductor T.P</t>
  </si>
  <si>
    <t>Tanque de combustible mal ubicado.</t>
  </si>
  <si>
    <t>Conductor V.I</t>
  </si>
  <si>
    <t>Ausencia total o parcial de señales.</t>
  </si>
  <si>
    <t>Motociclista</t>
  </si>
  <si>
    <t>Ausencia o deficiencia en demarcación.</t>
  </si>
  <si>
    <t>Pasajero</t>
  </si>
  <si>
    <t>Superficie lisa.</t>
  </si>
  <si>
    <t>Pasajero/Acompañante</t>
  </si>
  <si>
    <t>Superficie húmeda.</t>
  </si>
  <si>
    <t>Pasajero/Acompañante moto</t>
  </si>
  <si>
    <t>Obstáculos en la vía.</t>
  </si>
  <si>
    <t>Pasajero/Acompañante T.C</t>
  </si>
  <si>
    <t>Huecos.</t>
  </si>
  <si>
    <t>Pasajero/Acompañante T.P</t>
  </si>
  <si>
    <t>Dejar o movilizar semovientes en la vía.</t>
  </si>
  <si>
    <t>Pasajero/Acompañante V.I</t>
  </si>
  <si>
    <t>Pasar semáforo en rojo.</t>
  </si>
  <si>
    <t>Salir por delante de un vehículo.</t>
  </si>
  <si>
    <t>Transitar por su derecha en vías rurales.</t>
  </si>
  <si>
    <t>Clase vehiculo</t>
  </si>
  <si>
    <t>Transitar por la calzada.</t>
  </si>
  <si>
    <t>Jugar en la vía.</t>
  </si>
  <si>
    <t>Cruzar en diagonal.</t>
  </si>
  <si>
    <t>Pararse sobre la calzada.</t>
  </si>
  <si>
    <t>CAMIÓN, FURGÓN</t>
  </si>
  <si>
    <t>Cruzar en curva.</t>
  </si>
  <si>
    <t>CAMOINETA</t>
  </si>
  <si>
    <t>Cruzar sin observar.</t>
  </si>
  <si>
    <t>Cruzar en estado de embriaguez.</t>
  </si>
  <si>
    <t>Viajar colgado o en los estribos.</t>
  </si>
  <si>
    <t>TRACTOCAMIÓN</t>
  </si>
  <si>
    <t>Descender o subir del vehículo en marcha.</t>
  </si>
  <si>
    <t>Pasajero embriagado.</t>
  </si>
  <si>
    <t>Viajar a la izquierda del conductor.</t>
  </si>
  <si>
    <t>M. AGRICOLA</t>
  </si>
  <si>
    <t>Niños en asiento delantero.</t>
  </si>
  <si>
    <t>M. INDUSTRIAL</t>
  </si>
  <si>
    <t>TRACCIÓN ANIMAL</t>
  </si>
  <si>
    <t>MOTOCICLO</t>
  </si>
  <si>
    <t>NO IDENTIFICADO</t>
  </si>
  <si>
    <t>servicio vehiculo</t>
  </si>
  <si>
    <t>OFICIAL</t>
  </si>
  <si>
    <t>PÚBLICO</t>
  </si>
  <si>
    <t>PARTICULAR</t>
  </si>
  <si>
    <t>DIPLOMÁTICO</t>
  </si>
  <si>
    <t>ESCOLAR</t>
  </si>
  <si>
    <t>entidad</t>
  </si>
  <si>
    <t>SEC MOVILIDAD</t>
  </si>
  <si>
    <t>DITRA</t>
  </si>
  <si>
    <t>Licencia-Soat-Tecmec</t>
  </si>
  <si>
    <t>SI</t>
  </si>
  <si>
    <t>SIN INFORMACION</t>
  </si>
  <si>
    <t>CALLE 36 ENTRE CALLES 17 Y 18</t>
  </si>
  <si>
    <t xml:space="preserve">CAMION </t>
  </si>
  <si>
    <t>N/A</t>
  </si>
  <si>
    <t>Descripcion Hipotesis</t>
  </si>
  <si>
    <t>TRANSVERSAL 18 MARGINAL DE LA SELVA ENTRE 8 Y 10</t>
  </si>
  <si>
    <t>TRANSVERSAL 18 N 14-53</t>
  </si>
  <si>
    <t>CARRERA 21 N 18-67</t>
  </si>
  <si>
    <t>CALLE 21 CARRERA 18 ESQUINA</t>
  </si>
  <si>
    <t xml:space="preserve">CALLE 30 CARRERA 16 a </t>
  </si>
  <si>
    <t>TRANSEVERSAL 18 N 14-20</t>
  </si>
  <si>
    <t xml:space="preserve">VIA SUBASTA GANADERA - MATEPANTANO </t>
  </si>
  <si>
    <t>MARGINAL DE LA SELVA NO 5 N 140</t>
  </si>
  <si>
    <t>VIA SUBASTA GANADERA KM 3 YOPAL-PUNTO NUEVO</t>
  </si>
  <si>
    <t xml:space="preserve">MOTOCARRO </t>
  </si>
  <si>
    <t xml:space="preserve">TRACTOCAMION </t>
  </si>
  <si>
    <t>Otra</t>
  </si>
  <si>
    <t>Adelantar invadiendo carril del mismo sentido en ZigZag</t>
  </si>
  <si>
    <t>Cargar sobrepasen sin señales</t>
  </si>
  <si>
    <t>Embriaguez o Sustancias alucinogenas</t>
  </si>
  <si>
    <t>Exceso de velocidad</t>
  </si>
  <si>
    <t>Falta de prevención ante animales en la vía</t>
  </si>
  <si>
    <t>Incendio por reparación indebida</t>
  </si>
  <si>
    <t>Falta de señales en vehículo varado</t>
  </si>
  <si>
    <t>Transitar sin los dispositivos luminosos de detención</t>
  </si>
  <si>
    <t>Impartir enseñanza automovilística sin autorización</t>
  </si>
  <si>
    <t>Dejar o recoger pasajeros en sitios no demarcados.</t>
  </si>
  <si>
    <t>Cargue o descargue en horas o sitios prohibidos.</t>
  </si>
  <si>
    <t>Transportar pasajeros en  vehículos de carga.</t>
  </si>
  <si>
    <t>CARRERA 28 CALLE 15</t>
  </si>
  <si>
    <t xml:space="preserve">MARGINAL DE LA SELVA FRENTE A MEDICINA LEGAL </t>
  </si>
  <si>
    <t>CALLE 24 CARRERA 12</t>
  </si>
  <si>
    <t>MOVILIDAD</t>
  </si>
  <si>
    <t>COMUNA</t>
  </si>
  <si>
    <t>CARRERA 5 ENTRE 33 Y 34</t>
  </si>
  <si>
    <t xml:space="preserve">	-72.39902</t>
  </si>
  <si>
    <t xml:space="preserve">	5.33217833</t>
  </si>
  <si>
    <t>KM 3 + 800 MORICHAL - YOPAL</t>
  </si>
  <si>
    <t>VIA YOPAL-MATEPANTANO PIQUES</t>
  </si>
  <si>
    <t>POLCA CHAPARRERA</t>
  </si>
  <si>
    <t>KM 13 + 500 LA NIATA</t>
  </si>
  <si>
    <t xml:space="preserve"> KM 97 +480 LA GUAFILLA</t>
  </si>
  <si>
    <t xml:space="preserve"> CARRERA 40D CALLE 40</t>
  </si>
  <si>
    <t xml:space="preserve">VIA MATEPANTANO FRENTE A LA UNIVERSIDAD DE LA SALLE </t>
  </si>
  <si>
    <t>KM 2 VIA YOPAL-MATEPANTANO</t>
  </si>
  <si>
    <t>VIA YOPAL - MATEPANTANO KM 1 + 800</t>
  </si>
  <si>
    <t>KM 12+300 VIA YOPAL - PAZ DE ARIPORA</t>
  </si>
  <si>
    <t>CARRERA 29 ENTRE 26 Y 27</t>
  </si>
  <si>
    <t>CALLE 40 N 16-15</t>
  </si>
  <si>
    <t>CARRERA 13 N 32 A 21</t>
  </si>
  <si>
    <t>DIAGONAL 47 CARRERA 16</t>
  </si>
  <si>
    <t>CALLE 18 CARRERA 17</t>
  </si>
  <si>
    <t>URBANO</t>
  </si>
  <si>
    <t>DIAGONAL 47 CARRERA 5</t>
  </si>
  <si>
    <t>CARRERA 28-28-03</t>
  </si>
  <si>
    <t>CARRERA 18 ENTRE 12 Y 13</t>
  </si>
  <si>
    <t>2022</t>
  </si>
  <si>
    <t>2023</t>
  </si>
  <si>
    <t>2024</t>
  </si>
  <si>
    <t>2025</t>
  </si>
  <si>
    <t>Total general</t>
  </si>
  <si>
    <t>DOMINGO</t>
  </si>
  <si>
    <t>LUNES</t>
  </si>
  <si>
    <t>MARTES</t>
  </si>
  <si>
    <t>MIÉRCOLES</t>
  </si>
  <si>
    <t>JUEVES</t>
  </si>
  <si>
    <t>VIERNES</t>
  </si>
  <si>
    <t>SÁBADO</t>
  </si>
  <si>
    <t>Suma de MOTO</t>
  </si>
  <si>
    <t>SIN INFORMACIÓN</t>
  </si>
  <si>
    <t>Suma de AUTOMOVIL</t>
  </si>
  <si>
    <t>Suma de CAMPERO</t>
  </si>
  <si>
    <t>Suma de CAMIONETA</t>
  </si>
  <si>
    <t>(Todas)</t>
  </si>
  <si>
    <t>FALLECIDO</t>
  </si>
  <si>
    <t>LESIONADO</t>
  </si>
  <si>
    <t>SOLO DAÑO</t>
  </si>
  <si>
    <t xml:space="preserve">KM. 1 YOPAL LA PAZ </t>
  </si>
  <si>
    <t>KM. 5 VIA YOPAL MORICHAL</t>
  </si>
  <si>
    <t xml:space="preserve">KM. 103 VIA MONTERREY YOPAL </t>
  </si>
  <si>
    <t xml:space="preserve">KM. 10 VIA YOPAL TILODIRAN </t>
  </si>
  <si>
    <t>KM. 6.2 VIA MATEPANTANO VEREDA PUNTO NUEVO</t>
  </si>
  <si>
    <t>KM. 6 VIA YOPAL - SIRIVANA</t>
  </si>
  <si>
    <t>KM. 2 VIA YOPAL MATEPANTANO</t>
  </si>
  <si>
    <t xml:space="preserve">KM. 11,700 VIA YOPAL MATEPANTANO </t>
  </si>
  <si>
    <t xml:space="preserve">KM. 5+800M VIA TILODIRAN </t>
  </si>
  <si>
    <t>KM. 25 VIA YOPAL CORREGIMIENTO TACARIMENA</t>
  </si>
  <si>
    <t xml:space="preserve"> KM. 9 VEREDA LA VEGA YOPAL- MORRO</t>
  </si>
  <si>
    <t>YOPAL - LOS MANGOS KM. 45</t>
  </si>
  <si>
    <t>KM. 5 VIA MORICHAL</t>
  </si>
  <si>
    <t>KM. 48 VERDA LOS MANGOS</t>
  </si>
  <si>
    <t xml:space="preserve">KM. 6 VIA YOPAL - MORICHAL </t>
  </si>
  <si>
    <t xml:space="preserve">KM. 4 VIA MORICHAL </t>
  </si>
  <si>
    <t xml:space="preserve">KM. 35 VIA YOPAL TILODIRAN </t>
  </si>
  <si>
    <t>KM. 4+400METROSTILODIRAN VEREDA LOS MANGOS</t>
  </si>
  <si>
    <t xml:space="preserve">KM. 2 VIA YOPAL MORICHAL </t>
  </si>
  <si>
    <t xml:space="preserve">KM. 12+800 YOPAL PUNTO NUEVO </t>
  </si>
  <si>
    <t>KM. 55 VIA YOPAL-QUEBRADA SECA</t>
  </si>
  <si>
    <t>KM. 2 VIA YOPAL AGUAZUL</t>
  </si>
  <si>
    <t xml:space="preserve">KM. 3,5 ABAJO DE LA SUBASTA GANADERA </t>
  </si>
  <si>
    <t>KM. 2 VIA MATEPANTANO</t>
  </si>
  <si>
    <t>KM. 4 VIA YOPAL-MORICHAL</t>
  </si>
  <si>
    <t xml:space="preserve">KM. 1 + 500 metros de la via yopal - aguazul </t>
  </si>
  <si>
    <t xml:space="preserve">KM. 9+ 100 VEREDA LA UNION </t>
  </si>
  <si>
    <t xml:space="preserve">KM. 5 VIA YOPAL </t>
  </si>
  <si>
    <t xml:space="preserve">KM. 9 VIA MORICHAL FRENTE AL COLEGIO GIMNASIO DE LOS LLANOS </t>
  </si>
  <si>
    <t>KM. 11 VIA YOPAL MORICHAL</t>
  </si>
  <si>
    <t>KM. 12+300 VIA MATEPANTANO</t>
  </si>
  <si>
    <t>KM. 36 VIA YOPAL TILODIRAN</t>
  </si>
  <si>
    <t>KM. 42 VIA YOPAL AL MORRO</t>
  </si>
  <si>
    <t>KM. 60 VIA YOPAL-QUEBRADASECA</t>
  </si>
  <si>
    <t>KM. 17 VIA YOPAL-VR LA UNION</t>
  </si>
  <si>
    <t>MONTERREY YOPAL KM. 91 +6 600</t>
  </si>
  <si>
    <t xml:space="preserve">KM. 12 VIA YOPAL MATEPANTANO </t>
  </si>
  <si>
    <t xml:space="preserve">KM. 25 + 400 VIA YOPAL PUNTO NUEVO VEREDA EL TRIUNFO </t>
  </si>
  <si>
    <t>KM. 24 YOPAL GLORIETA AL VENADO VEREDA TACARIMENA</t>
  </si>
  <si>
    <t xml:space="preserve">KM. 12 VEREDA MORRO </t>
  </si>
  <si>
    <t>KM. 13 FRENTE AL CEMENTERIO PALOMAS</t>
  </si>
  <si>
    <t>KM. 59 + 50 METROS VIA YOPAL QUEBRADA SECA</t>
  </si>
  <si>
    <t>VIA YOPAL PUNTO NUEVO KM. 43</t>
  </si>
  <si>
    <t>KM. 10 +700METROS YOPAL MORICHAL</t>
  </si>
  <si>
    <t>KM. 12 YOPAL - MORICHAL</t>
  </si>
  <si>
    <t>KM. 3 VIA LA UNION</t>
  </si>
  <si>
    <t xml:space="preserve">KM. 1 VIA YOPAL - SIRIVANA </t>
  </si>
  <si>
    <t xml:space="preserve">KM. 18 VIA TILODIRAN </t>
  </si>
  <si>
    <t>KM. 94 YOPAL AGUAZUL</t>
  </si>
  <si>
    <t>CALLE 9 MARGINAL SELVA</t>
  </si>
  <si>
    <t>CALLE 11 VIA MATEPAQNTANO</t>
  </si>
  <si>
    <t>Suma de LESIONADO</t>
  </si>
  <si>
    <t>SOLO_DAÑOS</t>
  </si>
  <si>
    <t>DIRECCION_</t>
  </si>
  <si>
    <t>DIA_DE_LA_SEMANA_</t>
  </si>
  <si>
    <t>HORA_ACCIDENTE</t>
  </si>
  <si>
    <t>VEHICULOS_ACCIDENTADOS</t>
  </si>
  <si>
    <t>VEHICULOS_ACCIDENTADOS2</t>
  </si>
  <si>
    <t>MOTO_CARRO</t>
  </si>
  <si>
    <t>GENERO_MASCULINO</t>
  </si>
  <si>
    <t>GENERO_FEMENINO</t>
  </si>
  <si>
    <t>EDAD_LESIONADOS_CONDUCTOR_1</t>
  </si>
  <si>
    <t>EDAD_LESIONADOS_CONDUCTOR_2</t>
  </si>
  <si>
    <t>EDAD_LESIONADOS_PASAJERO</t>
  </si>
  <si>
    <t>EDAD_LESIONADOS_PEATON</t>
  </si>
  <si>
    <t>EDAD_LESIONADO_ACOMÁÑANTE</t>
  </si>
  <si>
    <t>EDAD_MUERTO</t>
  </si>
  <si>
    <t>HIPOTESIS_1</t>
  </si>
  <si>
    <t>Descripcion_Hipotesis</t>
  </si>
  <si>
    <t>HIPOTESIS_2</t>
  </si>
  <si>
    <t>Descripcion_Hipotesis2</t>
  </si>
  <si>
    <t>Franja_Horaria</t>
  </si>
  <si>
    <t xml:space="preserve"> CARRERA 27 # CALLE 35 </t>
  </si>
  <si>
    <t xml:space="preserve"> CARRERA 27C # CALLE 35</t>
  </si>
  <si>
    <t>CALLE 10  # 22-28</t>
  </si>
  <si>
    <t>CALLE 10  # 25-20</t>
  </si>
  <si>
    <t>CALLE 10 # CARRERA 20</t>
  </si>
  <si>
    <t>CALLE 11  # 31-30</t>
  </si>
  <si>
    <t xml:space="preserve">CALLE 11 # CARRERA 27A </t>
  </si>
  <si>
    <t>CALLE 14 # CARRERA 7A VIA MIRADOR DE  LA VIRGEN</t>
  </si>
  <si>
    <t>CALLE 15  # 22-41</t>
  </si>
  <si>
    <t>CALLE 16  # 21-81</t>
  </si>
  <si>
    <t>CALLE 16  # 25-42</t>
  </si>
  <si>
    <t>CALLE 16  # 31-30</t>
  </si>
  <si>
    <t>CALLE 17A # CARRERA 13B</t>
  </si>
  <si>
    <t>CALLE 21 # CARRERA 24</t>
  </si>
  <si>
    <t>CALLE 24 # 12-90</t>
  </si>
  <si>
    <t>CALLE 24 # 13-90</t>
  </si>
  <si>
    <t>CALLE 24 # 16-36</t>
  </si>
  <si>
    <t>CALLE 24 # 17-60</t>
  </si>
  <si>
    <t>CALLE 24 # 18-22</t>
  </si>
  <si>
    <t>CALLE 24 # 18A-45</t>
  </si>
  <si>
    <t>CALLE 24 # 19- 20</t>
  </si>
  <si>
    <t>CALLE 24 # 22-91</t>
  </si>
  <si>
    <t>CALLE 24 # 29-04</t>
  </si>
  <si>
    <t>CALLE 24 # 7a-03</t>
  </si>
  <si>
    <t>CALLE 24 # CARRERA 15</t>
  </si>
  <si>
    <t>CALLE 24 # CARRERA 19</t>
  </si>
  <si>
    <t>CALLE 24 # CARRERA 21</t>
  </si>
  <si>
    <t>CALLE 24 # CARRERA 24</t>
  </si>
  <si>
    <t>CALLE 24 # CARRERA 25</t>
  </si>
  <si>
    <t>CALLE 24 # CARRERA 27</t>
  </si>
  <si>
    <t>CALLE 24 # CARRERA 45</t>
  </si>
  <si>
    <t xml:space="preserve">CALLE 24 # CARRERA 5 INTERCAMBIADOR </t>
  </si>
  <si>
    <t xml:space="preserve">CALLE 30  # 11A- 40 </t>
  </si>
  <si>
    <t xml:space="preserve">CALLE 30  # 20-40 </t>
  </si>
  <si>
    <t>CALLE 30  # 24-122</t>
  </si>
  <si>
    <t>CALLE 30  # 9-99</t>
  </si>
  <si>
    <t>CALLE 30 # CARRERA 18</t>
  </si>
  <si>
    <t>CALLE 30 # CARRERA 33</t>
  </si>
  <si>
    <t>CALLE 30 # CARRERA 40</t>
  </si>
  <si>
    <t>CALLE 31  # 11B-50</t>
  </si>
  <si>
    <t xml:space="preserve">CALLE 35  #  27B-16 </t>
  </si>
  <si>
    <t>CALLE 35  # 27A-09</t>
  </si>
  <si>
    <t>CALLE 38A  # 6-74</t>
  </si>
  <si>
    <t>CALLE 38A # TRANSVERSAL 6</t>
  </si>
  <si>
    <t>CALLE 39 # CARRERA 16</t>
  </si>
  <si>
    <t>CALLE 40  #  23-28</t>
  </si>
  <si>
    <t>CALLE 40  # 01-04</t>
  </si>
  <si>
    <t>CALLE 40  # 04-15</t>
  </si>
  <si>
    <t>CALLE 40  # 12-54</t>
  </si>
  <si>
    <t>CALLE 40  # 14-31</t>
  </si>
  <si>
    <t>CALLE 40  # 14A-04</t>
  </si>
  <si>
    <t>CALLE 40  # 18-19</t>
  </si>
  <si>
    <t>CALLE 40  # 21-23</t>
  </si>
  <si>
    <t>CALLE 40  # 24-53</t>
  </si>
  <si>
    <t>CALLE 40  # 28-03</t>
  </si>
  <si>
    <t>CALLE 40  # 29-48</t>
  </si>
  <si>
    <t xml:space="preserve">CALLE 40  # 2E - 75 </t>
  </si>
  <si>
    <t>CALLE 40  # 39-26</t>
  </si>
  <si>
    <t>CALLE 40  # 6-48</t>
  </si>
  <si>
    <t>CALLE 40  # 7a-10</t>
  </si>
  <si>
    <t>CALLE 40  # 7B-20</t>
  </si>
  <si>
    <t xml:space="preserve">CALLE 40 # CARRERA 11 </t>
  </si>
  <si>
    <t>CALLE 40 # CARRERA 2 OESTE</t>
  </si>
  <si>
    <t>CALLE 40 # CARRERA 33</t>
  </si>
  <si>
    <t>CALLE 40 # TRANSVERSAL 18</t>
  </si>
  <si>
    <t>CALLE 40BIS  # 6-14</t>
  </si>
  <si>
    <t>CALLE 42 # CARRERA 7</t>
  </si>
  <si>
    <t>CALLE 46  # 7-25</t>
  </si>
  <si>
    <t>CALLE 5  # 13-9 CHAPARRERA</t>
  </si>
  <si>
    <t>CALLE 56A # CARRERA 7</t>
  </si>
  <si>
    <t>CALLE 57  # 14-60</t>
  </si>
  <si>
    <t>CALLE 6 # CARRERA 21</t>
  </si>
  <si>
    <t>CALLE 60  # 1ESTE-54</t>
  </si>
  <si>
    <t>CALLE 60  # 2 A 20</t>
  </si>
  <si>
    <t>CALLE 60 1ESTE # 59-29</t>
  </si>
  <si>
    <t>CALLE 60 # CARRERA 5</t>
  </si>
  <si>
    <t xml:space="preserve">CALLE 60 # PUENTE </t>
  </si>
  <si>
    <t>CALLE 9   # 18- 77</t>
  </si>
  <si>
    <t>CARRERA 11 # CALLE 24</t>
  </si>
  <si>
    <t xml:space="preserve">CARRERA 11 # CALLE 24 </t>
  </si>
  <si>
    <t>CARRERA 11B  # 30-29</t>
  </si>
  <si>
    <t>CARRERA 12 # CALLE 27</t>
  </si>
  <si>
    <t>CARRERA 12 # CALLE 44a</t>
  </si>
  <si>
    <t>CARRERA 12B  # 46-58</t>
  </si>
  <si>
    <t>CARRERA 14  # 24-183</t>
  </si>
  <si>
    <t>CARRERA 14 N # CALLE 25</t>
  </si>
  <si>
    <t xml:space="preserve">CARRERA 15 # CALLE 24 </t>
  </si>
  <si>
    <t>CARRERA 16 # CALLE 40</t>
  </si>
  <si>
    <t>CARRERA 17  # 11-64</t>
  </si>
  <si>
    <t>CARRERA 17  # 26-26A</t>
  </si>
  <si>
    <t>CARRERA 17 A # CALLE 21</t>
  </si>
  <si>
    <t>CARRERA 17 # CALLE 19</t>
  </si>
  <si>
    <t>CARRERA 18  # 16-76</t>
  </si>
  <si>
    <t>CARRERA 19  # 20-69</t>
  </si>
  <si>
    <t>CARRERA 19  # 21 - 42</t>
  </si>
  <si>
    <t>CARRERA 19  # 25A-25</t>
  </si>
  <si>
    <t xml:space="preserve">CARRERA 19  # 26-84 </t>
  </si>
  <si>
    <t>CARRERA 19  # 28-49</t>
  </si>
  <si>
    <t>CARRERA 19  # 36-68</t>
  </si>
  <si>
    <t>CARRERA 19 # 19</t>
  </si>
  <si>
    <t>CARRERA 19 # 23-90</t>
  </si>
  <si>
    <t>CARRERA 19 # CALLE 17</t>
  </si>
  <si>
    <t>CARRERA 19 # CALLE 24</t>
  </si>
  <si>
    <t xml:space="preserve">CARRERA 19 # CALLE 24 </t>
  </si>
  <si>
    <t>CARRERA 19 # CALLE 25</t>
  </si>
  <si>
    <t>CARRERA 19 # CALLE 8</t>
  </si>
  <si>
    <t>CARRERA 20  # 16-46</t>
  </si>
  <si>
    <t>CARRERA 20  # 18-09</t>
  </si>
  <si>
    <t>CARRERA 20  # 18-66</t>
  </si>
  <si>
    <t>CARRERA 20  # 34-90</t>
  </si>
  <si>
    <t>CARRERA 20  # 35-41</t>
  </si>
  <si>
    <t>CARRERA 20 # 10-54</t>
  </si>
  <si>
    <t>CARRERA 20 # CALLE 12</t>
  </si>
  <si>
    <t>CARRERA 20 # CALLE 21</t>
  </si>
  <si>
    <t>CARRERA 20 # CALLE 40</t>
  </si>
  <si>
    <t>CARRERA 21  # 21-22</t>
  </si>
  <si>
    <t>CARRERA 21  # 22-17</t>
  </si>
  <si>
    <t>CARRERA 21  # 25-26</t>
  </si>
  <si>
    <t>CARRERA 21  # 7-67</t>
  </si>
  <si>
    <t>CARRERA 21 # CALLE 24</t>
  </si>
  <si>
    <t>CARRERA 21 # CALLE 27</t>
  </si>
  <si>
    <t>CARRERA 22  # 22-46</t>
  </si>
  <si>
    <t>CARRERA 22 # CALLE 8</t>
  </si>
  <si>
    <t>CARRERA 23  # 16-68</t>
  </si>
  <si>
    <t>CARRERA 23  # 22a-311</t>
  </si>
  <si>
    <t>CARRERA 23  # 28-110</t>
  </si>
  <si>
    <t>CARRERA 23  # 33-42</t>
  </si>
  <si>
    <t>CARRERA 23 # CALLE 12</t>
  </si>
  <si>
    <t>CARRERA 23 # CALLE 16</t>
  </si>
  <si>
    <t xml:space="preserve">CARRERA 23 # CALLE 24 </t>
  </si>
  <si>
    <t xml:space="preserve">CARRERA 24 # CALLE 24   </t>
  </si>
  <si>
    <t>CARRERA 24 # CALLE 27</t>
  </si>
  <si>
    <t>CARRERA 24 # CALLE 28</t>
  </si>
  <si>
    <t>CARRERA 25  # 12-17</t>
  </si>
  <si>
    <t>CARRERA 25 # CALLE 24</t>
  </si>
  <si>
    <t>CARRERA 26 # CALLE 16</t>
  </si>
  <si>
    <t>CARRERA 26 # CALLE 23</t>
  </si>
  <si>
    <t xml:space="preserve">CARRERA 26 # CALLE 24  </t>
  </si>
  <si>
    <t>CARRERA 26 # CALLE 27</t>
  </si>
  <si>
    <t>CARRERA 27  # 27-18</t>
  </si>
  <si>
    <t>CARRERA 27 # CALLE 12</t>
  </si>
  <si>
    <t>CARRERA 27 # CALLE 13</t>
  </si>
  <si>
    <t>CARRERA 27 # CALLE 15</t>
  </si>
  <si>
    <t>CARRERA 27 # CALLE 16</t>
  </si>
  <si>
    <t>CARRERA 27 # CALLE 17</t>
  </si>
  <si>
    <t>CARRERA 27 # CALLE 20</t>
  </si>
  <si>
    <t>CARRERA 27 # CALLE 21</t>
  </si>
  <si>
    <t>CARRERA 27 # CALLE 23</t>
  </si>
  <si>
    <t>CARRERA 27 # CALLE 24</t>
  </si>
  <si>
    <t xml:space="preserve">CARRERA 27 # CALLE 24 </t>
  </si>
  <si>
    <t>CARRERA 27 # CALLE 27</t>
  </si>
  <si>
    <t xml:space="preserve">CARRERA 27 # CALLE 32  </t>
  </si>
  <si>
    <t>CARRERA 27 # CALLE 40</t>
  </si>
  <si>
    <t xml:space="preserve">CARRERA 28 # CALLE 24 </t>
  </si>
  <si>
    <t>CARRERA 29  # 12A-03</t>
  </si>
  <si>
    <t>CARRERA 29  # 14-28</t>
  </si>
  <si>
    <t>CARRERA 29  # 19 - 19</t>
  </si>
  <si>
    <t>CARRERA 29  # 23-24</t>
  </si>
  <si>
    <t>CARRERA 29  # 23-25</t>
  </si>
  <si>
    <t>CARRERA 29  # 25-70</t>
  </si>
  <si>
    <t>CARRERA 29  # 26-45</t>
  </si>
  <si>
    <t>CARRERA 29  # 32-90</t>
  </si>
  <si>
    <t>CARRERA 29  # 35B-03</t>
  </si>
  <si>
    <t>CARRERA 29 # 12-26</t>
  </si>
  <si>
    <t>CARRERA 29 # CALLE 20</t>
  </si>
  <si>
    <t>CARRERA 29 # CALLE 24</t>
  </si>
  <si>
    <t>CARRERA 29 # CALLE 26</t>
  </si>
  <si>
    <t>CARRERA 29 # CALLE 33</t>
  </si>
  <si>
    <t>CARRERA 29A  # 23-11</t>
  </si>
  <si>
    <t>CARRERA 3 OESTE # MARGINAL DE LA SELVA</t>
  </si>
  <si>
    <t>CARRERA 30  # 44-22</t>
  </si>
  <si>
    <t xml:space="preserve">CARRERA 30  # 47- 57 </t>
  </si>
  <si>
    <t>CARRERA 31  # 31A-20</t>
  </si>
  <si>
    <t>CARRERA 33 # CALLE 24</t>
  </si>
  <si>
    <t xml:space="preserve">CARRERA 33A # CALLE 24 </t>
  </si>
  <si>
    <t>CARRERA 36 # CALLE 24</t>
  </si>
  <si>
    <t>CARRERA 3A # CALLE 8A MORICHAL</t>
  </si>
  <si>
    <t>CARRERA 5   # 24-37</t>
  </si>
  <si>
    <t>CARRERA 5   # 25 - 13</t>
  </si>
  <si>
    <t>CARRERA 5  # 26-80</t>
  </si>
  <si>
    <t>CARRERA 5  # 29-57</t>
  </si>
  <si>
    <t>CARRERA 5  # 40-30</t>
  </si>
  <si>
    <t>CARRERA 5  # 58-110</t>
  </si>
  <si>
    <t>CARRERA 5 # CALLE 25-26</t>
  </si>
  <si>
    <t>CARRERA 5 # CALLE 56</t>
  </si>
  <si>
    <t>CARRERA 5 # CALLE 60</t>
  </si>
  <si>
    <t>CARRERA 5 # MARGINAL DE LA SELVA INTERCAMBIADOR VIAL</t>
  </si>
  <si>
    <t>CARRERA 50  # 24-109</t>
  </si>
  <si>
    <t>CARRERA 50 # CALLE 40</t>
  </si>
  <si>
    <t>CARRERA 7  # 40-91</t>
  </si>
  <si>
    <t xml:space="preserve">CARRERA 7  # 45 - 111 </t>
  </si>
  <si>
    <t>CARRERA 7  # 45- 39</t>
  </si>
  <si>
    <t>CARRERA 7 # CALLE 24</t>
  </si>
  <si>
    <t>CARRERA 8 # CALLE 24</t>
  </si>
  <si>
    <t>CARRERA 9 ESTE # 64-25</t>
  </si>
  <si>
    <t>CARRERA11  # 23-24</t>
  </si>
  <si>
    <t>CARRERA14  # 30-60</t>
  </si>
  <si>
    <t>CARRERA18  # 18-48</t>
  </si>
  <si>
    <t>CARRERA18  # 24-65</t>
  </si>
  <si>
    <t>CARRERA19  # 17-60</t>
  </si>
  <si>
    <t>DIAGONAL 14  # 08-04</t>
  </si>
  <si>
    <t>DIAGONAL 47 # CARRERA 11</t>
  </si>
  <si>
    <t>DIAGONAL 47 # CARRERA 5A</t>
  </si>
  <si>
    <t>DIAGONAL 47 # TRANSVERSAL 18</t>
  </si>
  <si>
    <t>DIAGONAL 9 # TRANSVERSAL 10</t>
  </si>
  <si>
    <t>KM 12+200 VIA YOPAL - RIN# DEL SOLDADO</t>
  </si>
  <si>
    <t>KM. 4 + 100 FUERZA AEREA VIA PI#</t>
  </si>
  <si>
    <t>KM0+700VIA YOPAL-PI#</t>
  </si>
  <si>
    <t>MARGINAL DE LA SELVA # CALLE 13A</t>
  </si>
  <si>
    <t>MARGINAL DE LA SELVA # CARRERA 7</t>
  </si>
  <si>
    <t>MARGINAL DE LA SELVA # CARRERA 7B</t>
  </si>
  <si>
    <t>MARGINAL DE LA SELVA # CARRERA 8</t>
  </si>
  <si>
    <t xml:space="preserve">MARGINAL DE LA SELVA R 65 # CALLE 4 </t>
  </si>
  <si>
    <t>TRANSVERSAL 11  # 20-15</t>
  </si>
  <si>
    <t>TRANSVERSAL 11  # 20A-25</t>
  </si>
  <si>
    <t>TRANSVERSAL 11A  # 34A-40</t>
  </si>
  <si>
    <t>TRANSVERSAL 15  # 28A BIS 26</t>
  </si>
  <si>
    <t>TRANSVERSAL 18 # CALLE 24</t>
  </si>
  <si>
    <t xml:space="preserve">TRANSVERSAL 18 # CALLE 26  </t>
  </si>
  <si>
    <t>TRANSVERSAL 18 MARGINAL DE LA SELVA # TRANSVERSAL 17 PATINODROMO</t>
  </si>
  <si>
    <t>TRANSVERSAL 7  # 33-16</t>
  </si>
  <si>
    <t>TRANSVERSAL 7  # 36B-24</t>
  </si>
  <si>
    <t xml:space="preserve">TRANSVERSAL 7  # 37B-54 </t>
  </si>
  <si>
    <t>TRANSVERSAL 7 # CALLE 32</t>
  </si>
  <si>
    <t>TRANSVERSAL 7 # CALLE 35</t>
  </si>
  <si>
    <t>TRANSVERSAL 7 # CALLE 36B</t>
  </si>
  <si>
    <t>TRANSVERSAL 9 # CALLE 10</t>
  </si>
  <si>
    <t>TRASNVERSAL 18 # CALLE 13</t>
  </si>
  <si>
    <t>VIA MARGINAL DE LA SELVA # CARRERA 9</t>
  </si>
  <si>
    <t>VIA PI#  BARRIO LA ESMERALDA</t>
  </si>
  <si>
    <t>CARRERA 10 #  24</t>
  </si>
  <si>
    <t xml:space="preserve">CARRERA 10 #  24  </t>
  </si>
  <si>
    <t xml:space="preserve">CARRERA 11 # 30 </t>
  </si>
  <si>
    <t>CARRERA 11 # 36</t>
  </si>
  <si>
    <t>CARRERA 11 # 41</t>
  </si>
  <si>
    <t>CARRERA 13 #  24</t>
  </si>
  <si>
    <t>CARRERA 14 #  24</t>
  </si>
  <si>
    <t>CARRERA 12 # 30</t>
  </si>
  <si>
    <t xml:space="preserve">CARRERA 12 # 30 </t>
  </si>
  <si>
    <t>CARRERA 14 # 21</t>
  </si>
  <si>
    <t>CARRERA 14 # 30</t>
  </si>
  <si>
    <t>CARRERA 14 # 40</t>
  </si>
  <si>
    <t xml:space="preserve">CARRERA 14 # 40 </t>
  </si>
  <si>
    <t xml:space="preserve">CARRERA 15 # 40 </t>
  </si>
  <si>
    <t xml:space="preserve">CARRERA 18 #  24 </t>
  </si>
  <si>
    <t>CARRERA 17 # 18</t>
  </si>
  <si>
    <t>CARRERA 18 # 10</t>
  </si>
  <si>
    <t>CARRERA 18 # 16</t>
  </si>
  <si>
    <t>CARRERA 18 # 17</t>
  </si>
  <si>
    <t>CARRERA 18 # 21</t>
  </si>
  <si>
    <t>CARRERA 18 # 30</t>
  </si>
  <si>
    <t>CARRERA 26 #  24</t>
  </si>
  <si>
    <t>CARRERA 26  25</t>
  </si>
  <si>
    <t>CARRERA 27 #  18</t>
  </si>
  <si>
    <t>CARRERA 27 #  22</t>
  </si>
  <si>
    <t xml:space="preserve">CARRERA 27 #  27 </t>
  </si>
  <si>
    <t>CARRERA 5 #  24</t>
  </si>
  <si>
    <t>CARRERA 25 # 13</t>
  </si>
  <si>
    <t>CARRERA 25 # 17</t>
  </si>
  <si>
    <t>CARRERA 25 # 20</t>
  </si>
  <si>
    <t>CARRERA 28 # 21</t>
  </si>
  <si>
    <t>CARRERA 29 # 15</t>
  </si>
  <si>
    <t>CARRERA 29 # 16</t>
  </si>
  <si>
    <t>CARRERA 29 # 18</t>
  </si>
  <si>
    <t>CARRERA 29 # 20</t>
  </si>
  <si>
    <t>CARRERA 29 # 22</t>
  </si>
  <si>
    <t>CARRERA 29 # 26</t>
  </si>
  <si>
    <t>CARRERA 29 # 30</t>
  </si>
  <si>
    <t>CARRERA 29 # 35</t>
  </si>
  <si>
    <t>CARRERA 29 # 40</t>
  </si>
  <si>
    <t xml:space="preserve">CARRERA 3 # 50 </t>
  </si>
  <si>
    <t>CARRERA 30 # 14</t>
  </si>
  <si>
    <t>CARRERA 30 # 40</t>
  </si>
  <si>
    <t>CARRERA 30 # 46</t>
  </si>
  <si>
    <t>CARRERA 31 # 22</t>
  </si>
  <si>
    <t xml:space="preserve">CARRERA 33 # 21 </t>
  </si>
  <si>
    <t xml:space="preserve">CARRERA 37 # 40 </t>
  </si>
  <si>
    <t>CARRERA 4 # 60</t>
  </si>
  <si>
    <t xml:space="preserve">CARRERA 40 # 30 </t>
  </si>
  <si>
    <t>CARRERA 40 # 40</t>
  </si>
  <si>
    <t>CARRERA 5 # 40</t>
  </si>
  <si>
    <t xml:space="preserve">CARRERA 5 # 40 </t>
  </si>
  <si>
    <t>CARRERA 5 # 50</t>
  </si>
  <si>
    <t>CARRERA 5 # 60</t>
  </si>
  <si>
    <t>CARRERA 5 # 70</t>
  </si>
  <si>
    <t>CARRERA 6 # 25</t>
  </si>
  <si>
    <t>CARRERA 6 # 40</t>
  </si>
  <si>
    <t xml:space="preserve">CARRERA 7 # 40 </t>
  </si>
  <si>
    <t>CARRERA 7 # 42</t>
  </si>
  <si>
    <t>DIAGONAL 47 # 40</t>
  </si>
  <si>
    <t xml:space="preserve">DIAGONAL 47 # 40 </t>
  </si>
  <si>
    <t xml:space="preserve">CARRERA 25 #  24 </t>
  </si>
  <si>
    <t>CARRERA 24 # 11</t>
  </si>
  <si>
    <t>CARRERA 24 # 17</t>
  </si>
  <si>
    <t>CARRERA 24 # 21</t>
  </si>
  <si>
    <t>CARRERA 24 # 27</t>
  </si>
  <si>
    <t>CARRERA 24 # 28</t>
  </si>
  <si>
    <t>CARRERA 19 # 26</t>
  </si>
  <si>
    <t>CARRERA 19 # 30</t>
  </si>
  <si>
    <t>CARRERA 19 # 36</t>
  </si>
  <si>
    <t>CARRERA 20 # 10</t>
  </si>
  <si>
    <t>CARRERA 20 # 12</t>
  </si>
  <si>
    <t>CARRERA 20 # 15</t>
  </si>
  <si>
    <t>CARRERA 20 # 18</t>
  </si>
  <si>
    <t>CARRERA 20 # 20</t>
  </si>
  <si>
    <t>CARRERA 20 # 21</t>
  </si>
  <si>
    <t>CARRERA 20 # 27</t>
  </si>
  <si>
    <t>CARRERA 20 # 30</t>
  </si>
  <si>
    <t>CARRERA 20 # 33</t>
  </si>
  <si>
    <t xml:space="preserve">CARRERA 20 # 33 </t>
  </si>
  <si>
    <t>CARRERA 20 # 40</t>
  </si>
  <si>
    <t>CARRERA 20A # 20</t>
  </si>
  <si>
    <t xml:space="preserve">CARRERA 21 #  24 </t>
  </si>
  <si>
    <t>CARRERA 20 #  24</t>
  </si>
  <si>
    <t xml:space="preserve">CARRERA 2 # 6 MORICHAL </t>
  </si>
  <si>
    <t>CARRERA 21 # 16</t>
  </si>
  <si>
    <t>CARRERA 21 # 18</t>
  </si>
  <si>
    <t>CARRERA 21 # 22</t>
  </si>
  <si>
    <t>CARRERA 21 # 30</t>
  </si>
  <si>
    <t>CARRERA 21 # 38</t>
  </si>
  <si>
    <t>CARRERA 21 # 40</t>
  </si>
  <si>
    <t>CARRERA 22 # 15</t>
  </si>
  <si>
    <t>CARRERA 22 # 17</t>
  </si>
  <si>
    <t>CARRERA 22 # 7</t>
  </si>
  <si>
    <t>CARRERA 23 #  24</t>
  </si>
  <si>
    <t>CARRERA 23 # 12</t>
  </si>
  <si>
    <t xml:space="preserve">CARRERA 23 # 15 </t>
  </si>
  <si>
    <t>CARRERA 23 # 17</t>
  </si>
  <si>
    <t>CARRERA 23 # 18</t>
  </si>
  <si>
    <t>CARRERA 23 # 19</t>
  </si>
  <si>
    <t>CARRERA 23 # 20</t>
  </si>
  <si>
    <t>CARRERA 23 # 21</t>
  </si>
  <si>
    <t>CARRERA 23 # 22</t>
  </si>
  <si>
    <t>CARRERA 23 # 26</t>
  </si>
  <si>
    <t>CARRERA 23 # 27</t>
  </si>
  <si>
    <t>CARRERA 23 # 30</t>
  </si>
  <si>
    <t>CARRERA 23 # 35</t>
  </si>
  <si>
    <t>CARRERA 23 # 40</t>
  </si>
  <si>
    <t xml:space="preserve">CARRERA 23 # 40 </t>
  </si>
  <si>
    <t>CARRERA 23 # 7</t>
  </si>
  <si>
    <t>CARRERA 24 #  24</t>
  </si>
  <si>
    <t xml:space="preserve">CARRERA 24 #  24 </t>
  </si>
  <si>
    <t xml:space="preserve"> CARRERA 23 # 40 </t>
  </si>
  <si>
    <t xml:space="preserve">AVENIDA LA CULTURA # 10 - 62 </t>
  </si>
  <si>
    <t>CARRERA 18 # 11</t>
  </si>
  <si>
    <t>CARRERA 18 # 13</t>
  </si>
  <si>
    <t>CARRERA 18 # 26</t>
  </si>
  <si>
    <t xml:space="preserve">CARRERA 18 # 30 </t>
  </si>
  <si>
    <t>CARRERA 18 # 33</t>
  </si>
  <si>
    <t>CARRERA 18 # 35</t>
  </si>
  <si>
    <t>CARRERA 18 # 36</t>
  </si>
  <si>
    <t xml:space="preserve">CARRERA 18 # 36 </t>
  </si>
  <si>
    <t>CARRERA 18 # 9</t>
  </si>
  <si>
    <t xml:space="preserve">CARRERA 18 # 9 </t>
  </si>
  <si>
    <t>Cuenta de HIPOTESIS_2</t>
  </si>
  <si>
    <t>Suma de MUERTOS</t>
  </si>
  <si>
    <t>Suma de FALLECIDO</t>
  </si>
  <si>
    <t>Suma de LESIONADOS</t>
  </si>
  <si>
    <t>Cuenta de GENERO_MASCULINO</t>
  </si>
  <si>
    <t>Cuenta de GENERO_FEMENINO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</si>
</sst>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[$-F400]h:mm:ss\ AM/PM"/>
    <numFmt numFmtId="165" formatCode="#,##0.000000"/>
    <numFmt numFmtId="166" formatCode="0.00000"/>
    <numFmt numFmtId="167" formatCode="0.000000"/>
    <numFmt numFmtId="168" formatCode="#,##0.00000"/>
    <numFmt numFmtId="169" formatCode="d/m/yyyy"/>
    <numFmt numFmtId="170" formatCode="d/m"/>
    <numFmt numFmtId="171" formatCode="[$-240A]h:mm:ss\ AM/PM;@"/>
    <numFmt numFmtId="172" formatCode="[$-F800]dddd\,\ mmmm\ dd\,\ yyyy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32323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9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6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/>
    <xf numFmtId="0" fontId="2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164" fontId="1" fillId="0" borderId="2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7" fontId="1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8" fontId="1" fillId="0" borderId="1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20" fontId="1" fillId="0" borderId="2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67" fontId="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20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20" fontId="1" fillId="0" borderId="6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6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164" fontId="1" fillId="4" borderId="9" xfId="0" applyNumberFormat="1" applyFont="1" applyFill="1" applyBorder="1" applyAlignment="1">
      <alignment horizontal="center"/>
    </xf>
    <xf numFmtId="0" fontId="4" fillId="0" borderId="9" xfId="0" applyFont="1" applyBorder="1"/>
    <xf numFmtId="0" fontId="4" fillId="0" borderId="9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20" fontId="1" fillId="0" borderId="9" xfId="0" applyNumberFormat="1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1" fillId="0" borderId="9" xfId="0" applyFont="1" applyBorder="1"/>
    <xf numFmtId="0" fontId="1" fillId="0" borderId="11" xfId="0" applyFont="1" applyBorder="1" applyAlignment="1">
      <alignment horizontal="center"/>
    </xf>
    <xf numFmtId="1" fontId="1" fillId="0" borderId="9" xfId="0" applyNumberFormat="1" applyFont="1" applyBorder="1" applyAlignment="1">
      <alignment horizontal="center"/>
    </xf>
    <xf numFmtId="20" fontId="4" fillId="0" borderId="9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/>
    </xf>
    <xf numFmtId="20" fontId="1" fillId="0" borderId="14" xfId="0" applyNumberFormat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20" fontId="4" fillId="0" borderId="9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0" fontId="9" fillId="0" borderId="0" xfId="0" applyFont="1"/>
    <xf numFmtId="0" fontId="0" fillId="0" borderId="0" xfId="0" applyAlignment="1">
      <alignment vertical="center"/>
    </xf>
    <xf numFmtId="1" fontId="1" fillId="0" borderId="1" xfId="0" applyNumberFormat="1" applyFont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1" fontId="1" fillId="0" borderId="14" xfId="0" applyNumberFormat="1" applyFont="1" applyBorder="1" applyAlignment="1">
      <alignment horizontal="center"/>
    </xf>
    <xf numFmtId="1" fontId="1" fillId="0" borderId="9" xfId="0" applyNumberFormat="1" applyFont="1" applyBorder="1"/>
    <xf numFmtId="1" fontId="4" fillId="0" borderId="9" xfId="0" applyNumberFormat="1" applyFont="1" applyBorder="1" applyAlignment="1">
      <alignment horizontal="center"/>
    </xf>
    <xf numFmtId="1" fontId="4" fillId="0" borderId="9" xfId="0" applyNumberFormat="1" applyFont="1" applyBorder="1"/>
    <xf numFmtId="1" fontId="1" fillId="0" borderId="9" xfId="0" applyNumberFormat="1" applyFont="1" applyBorder="1" applyAlignment="1">
      <alignment horizontal="right"/>
    </xf>
    <xf numFmtId="1" fontId="1" fillId="0" borderId="0" xfId="0" applyNumberFormat="1" applyFont="1"/>
    <xf numFmtId="1" fontId="1" fillId="0" borderId="0" xfId="0" applyNumberFormat="1" applyFont="1" applyAlignment="1">
      <alignment horizontal="center"/>
    </xf>
    <xf numFmtId="1" fontId="4" fillId="0" borderId="9" xfId="0" applyNumberFormat="1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/>
    <xf numFmtId="1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/>
    <xf numFmtId="1" fontId="1" fillId="0" borderId="2" xfId="0" applyNumberFormat="1" applyFont="1" applyBorder="1" applyAlignment="1">
      <alignment horizontal="center" vertical="center"/>
    </xf>
    <xf numFmtId="1" fontId="1" fillId="0" borderId="2" xfId="0" applyNumberFormat="1" applyFont="1" applyBorder="1"/>
    <xf numFmtId="1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67" fontId="1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171" fontId="1" fillId="0" borderId="9" xfId="0" applyNumberFormat="1" applyFont="1" applyBorder="1" applyAlignment="1">
      <alignment horizontal="center"/>
    </xf>
    <xf numFmtId="171" fontId="1" fillId="4" borderId="9" xfId="0" applyNumberFormat="1" applyFont="1" applyFill="1" applyBorder="1" applyAlignment="1">
      <alignment horizontal="center"/>
    </xf>
    <xf numFmtId="171" fontId="1" fillId="0" borderId="11" xfId="0" applyNumberFormat="1" applyFont="1" applyBorder="1" applyAlignment="1">
      <alignment horizontal="center"/>
    </xf>
    <xf numFmtId="171" fontId="1" fillId="0" borderId="11" xfId="0" applyNumberFormat="1" applyFont="1" applyBorder="1" applyAlignment="1">
      <alignment horizontal="center" vertical="center"/>
    </xf>
    <xf numFmtId="171" fontId="1" fillId="0" borderId="17" xfId="0" applyNumberFormat="1" applyFont="1" applyBorder="1" applyAlignment="1">
      <alignment horizontal="center"/>
    </xf>
    <xf numFmtId="171" fontId="1" fillId="0" borderId="5" xfId="0" applyNumberFormat="1" applyFont="1" applyBorder="1" applyAlignment="1">
      <alignment horizontal="center"/>
    </xf>
    <xf numFmtId="171" fontId="1" fillId="0" borderId="15" xfId="0" applyNumberFormat="1" applyFont="1" applyBorder="1" applyAlignment="1">
      <alignment horizontal="center"/>
    </xf>
    <xf numFmtId="171" fontId="1" fillId="0" borderId="5" xfId="0" applyNumberFormat="1" applyFont="1" applyBorder="1" applyAlignment="1">
      <alignment horizontal="center" vertical="center"/>
    </xf>
    <xf numFmtId="171" fontId="1" fillId="0" borderId="1" xfId="0" applyNumberFormat="1" applyFont="1" applyBorder="1" applyAlignment="1">
      <alignment horizontal="center"/>
    </xf>
    <xf numFmtId="171" fontId="1" fillId="0" borderId="1" xfId="0" applyNumberFormat="1" applyFont="1" applyBorder="1" applyAlignment="1">
      <alignment horizontal="center" vertical="center"/>
    </xf>
    <xf numFmtId="171" fontId="1" fillId="0" borderId="3" xfId="0" applyNumberFormat="1" applyFont="1" applyBorder="1" applyAlignment="1">
      <alignment horizontal="center"/>
    </xf>
    <xf numFmtId="171" fontId="1" fillId="0" borderId="0" xfId="0" applyNumberFormat="1" applyFont="1"/>
    <xf numFmtId="20" fontId="1" fillId="0" borderId="0" xfId="0" applyNumberFormat="1" applyFont="1"/>
    <xf numFmtId="0" fontId="2" fillId="5" borderId="1" xfId="0" applyFont="1" applyFill="1" applyBorder="1" applyAlignment="1">
      <alignment horizontal="center" vertical="center"/>
    </xf>
    <xf numFmtId="0" fontId="0" fillId="0" borderId="0" xfId="0" pivotButton="1"/>
    <xf numFmtId="0" fontId="14" fillId="0" borderId="6" xfId="0" applyFont="1" applyBorder="1" applyAlignment="1">
      <alignment horizontal="center"/>
    </xf>
    <xf numFmtId="0" fontId="14" fillId="0" borderId="18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171" fontId="14" fillId="0" borderId="16" xfId="0" applyNumberFormat="1" applyFont="1" applyBorder="1" applyAlignment="1">
      <alignment horizontal="center" vertical="center"/>
    </xf>
    <xf numFmtId="164" fontId="14" fillId="0" borderId="20" xfId="0" applyNumberFormat="1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11" xfId="0" applyFont="1" applyBorder="1" applyAlignment="1">
      <alignment horizontal="center" wrapText="1"/>
    </xf>
    <xf numFmtId="1" fontId="14" fillId="0" borderId="11" xfId="0" applyNumberFormat="1" applyFont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  <xf numFmtId="1" fontId="14" fillId="0" borderId="1" xfId="0" applyNumberFormat="1" applyFont="1" applyBorder="1" applyAlignment="1">
      <alignment vertical="center"/>
    </xf>
    <xf numFmtId="0" fontId="14" fillId="0" borderId="0" xfId="0" applyFont="1" applyAlignment="1">
      <alignment horizontal="center"/>
    </xf>
    <xf numFmtId="0" fontId="14" fillId="0" borderId="13" xfId="0" applyFont="1" applyBorder="1" applyAlignment="1">
      <alignment horizontal="center"/>
    </xf>
    <xf numFmtId="0" fontId="15" fillId="0" borderId="0" xfId="0" applyFont="1"/>
    <xf numFmtId="0" fontId="1" fillId="3" borderId="9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2" fillId="7" borderId="9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5" borderId="9" xfId="0" applyFont="1" applyFill="1" applyBorder="1" applyAlignment="1">
      <alignment horizontal="center" vertical="center"/>
    </xf>
    <xf numFmtId="166" fontId="1" fillId="0" borderId="2" xfId="0" applyNumberFormat="1" applyFont="1" applyBorder="1" applyAlignment="1">
      <alignment horizontal="center" vertical="center"/>
    </xf>
    <xf numFmtId="167" fontId="1" fillId="0" borderId="2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166" fontId="1" fillId="0" borderId="5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wrapText="1"/>
    </xf>
    <xf numFmtId="165" fontId="1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 vertical="center"/>
    </xf>
    <xf numFmtId="167" fontId="1" fillId="0" borderId="9" xfId="0" applyNumberFormat="1" applyFont="1" applyBorder="1" applyAlignment="1">
      <alignment horizontal="center" vertical="center"/>
    </xf>
    <xf numFmtId="167" fontId="1" fillId="0" borderId="9" xfId="0" applyNumberFormat="1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171" fontId="1" fillId="4" borderId="11" xfId="0" applyNumberFormat="1" applyFont="1" applyFill="1" applyBorder="1" applyAlignment="1">
      <alignment horizontal="center"/>
    </xf>
    <xf numFmtId="171" fontId="1" fillId="0" borderId="9" xfId="0" applyNumberFormat="1" applyFont="1" applyBorder="1" applyAlignment="1">
      <alignment horizontal="center" vertical="center"/>
    </xf>
    <xf numFmtId="171" fontId="1" fillId="4" borderId="3" xfId="0" applyNumberFormat="1" applyFont="1" applyFill="1" applyBorder="1" applyAlignment="1">
      <alignment horizontal="center"/>
    </xf>
    <xf numFmtId="171" fontId="1" fillId="0" borderId="3" xfId="0" applyNumberFormat="1" applyFont="1" applyBorder="1" applyAlignment="1">
      <alignment horizontal="center" vertical="center"/>
    </xf>
    <xf numFmtId="171" fontId="1" fillId="4" borderId="5" xfId="0" applyNumberFormat="1" applyFont="1" applyFill="1" applyBorder="1" applyAlignment="1">
      <alignment horizontal="center"/>
    </xf>
    <xf numFmtId="171" fontId="1" fillId="4" borderId="1" xfId="0" applyNumberFormat="1" applyFont="1" applyFill="1" applyBorder="1" applyAlignment="1">
      <alignment horizontal="center"/>
    </xf>
    <xf numFmtId="171" fontId="1" fillId="3" borderId="11" xfId="0" applyNumberFormat="1" applyFont="1" applyFill="1" applyBorder="1" applyAlignment="1">
      <alignment horizontal="center" vertical="center"/>
    </xf>
    <xf numFmtId="171" fontId="2" fillId="0" borderId="9" xfId="0" applyNumberFormat="1" applyFont="1" applyBorder="1" applyAlignment="1">
      <alignment horizontal="center" vertical="center"/>
    </xf>
    <xf numFmtId="20" fontId="1" fillId="0" borderId="9" xfId="0" applyNumberFormat="1" applyFont="1" applyBorder="1" applyAlignment="1">
      <alignment horizontal="center" vertical="center"/>
    </xf>
    <xf numFmtId="20" fontId="1" fillId="0" borderId="2" xfId="0" applyNumberFormat="1" applyFont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/>
    </xf>
    <xf numFmtId="164" fontId="1" fillId="0" borderId="9" xfId="0" applyNumberFormat="1" applyFont="1" applyBorder="1" applyAlignment="1">
      <alignment horizontal="center" vertical="center"/>
    </xf>
    <xf numFmtId="164" fontId="1" fillId="4" borderId="5" xfId="0" applyNumberFormat="1" applyFont="1" applyFill="1" applyBorder="1" applyAlignment="1">
      <alignment horizontal="center"/>
    </xf>
    <xf numFmtId="20" fontId="2" fillId="0" borderId="9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/>
    </xf>
    <xf numFmtId="164" fontId="1" fillId="4" borderId="2" xfId="0" applyNumberFormat="1" applyFont="1" applyFill="1" applyBorder="1" applyAlignment="1">
      <alignment horizontal="center"/>
    </xf>
    <xf numFmtId="20" fontId="4" fillId="0" borderId="1" xfId="0" applyNumberFormat="1" applyFont="1" applyBorder="1" applyAlignment="1">
      <alignment horizontal="center"/>
    </xf>
    <xf numFmtId="164" fontId="1" fillId="4" borderId="13" xfId="0" applyNumberFormat="1" applyFont="1" applyFill="1" applyBorder="1" applyAlignment="1">
      <alignment horizontal="center"/>
    </xf>
    <xf numFmtId="1" fontId="1" fillId="0" borderId="13" xfId="0" applyNumberFormat="1" applyFont="1" applyBorder="1" applyAlignment="1">
      <alignment horizontal="center"/>
    </xf>
    <xf numFmtId="1" fontId="1" fillId="0" borderId="6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/>
    </xf>
    <xf numFmtId="0" fontId="0" fillId="0" borderId="9" xfId="0" applyBorder="1" applyAlignment="1">
      <alignment horizontal="center"/>
    </xf>
    <xf numFmtId="1" fontId="1" fillId="3" borderId="9" xfId="0" applyNumberFormat="1" applyFont="1" applyFill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right"/>
    </xf>
    <xf numFmtId="1" fontId="4" fillId="0" borderId="2" xfId="0" applyNumberFormat="1" applyFont="1" applyBorder="1"/>
    <xf numFmtId="1" fontId="1" fillId="0" borderId="5" xfId="0" applyNumberFormat="1" applyFont="1" applyBorder="1"/>
    <xf numFmtId="1" fontId="14" fillId="0" borderId="1" xfId="0" applyNumberFormat="1" applyFont="1" applyBorder="1" applyAlignment="1">
      <alignment horizontal="center"/>
    </xf>
    <xf numFmtId="1" fontId="2" fillId="0" borderId="9" xfId="0" applyNumberFormat="1" applyFont="1" applyBorder="1" applyAlignment="1">
      <alignment horizontal="center" vertical="center"/>
    </xf>
    <xf numFmtId="0" fontId="16" fillId="8" borderId="21" xfId="0" applyFont="1" applyFill="1" applyBorder="1"/>
    <xf numFmtId="0" fontId="16" fillId="8" borderId="22" xfId="0" applyFont="1" applyFill="1" applyBorder="1"/>
    <xf numFmtId="0" fontId="4" fillId="0" borderId="0" xfId="0" applyFont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167" fontId="3" fillId="0" borderId="2" xfId="0" applyNumberFormat="1" applyFont="1" applyBorder="1" applyAlignment="1">
      <alignment horizontal="center" vertical="center"/>
    </xf>
    <xf numFmtId="170" fontId="1" fillId="0" borderId="9" xfId="0" applyNumberFormat="1" applyFont="1" applyBorder="1" applyAlignment="1">
      <alignment horizontal="center"/>
    </xf>
    <xf numFmtId="20" fontId="4" fillId="0" borderId="1" xfId="0" applyNumberFormat="1" applyFont="1" applyBorder="1" applyAlignment="1">
      <alignment horizontal="center" vertical="center"/>
    </xf>
    <xf numFmtId="20" fontId="1" fillId="0" borderId="5" xfId="0" applyNumberFormat="1" applyFont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20" fontId="1" fillId="0" borderId="0" xfId="0" applyNumberFormat="1" applyFont="1" applyAlignment="1">
      <alignment horizontal="center"/>
    </xf>
    <xf numFmtId="20" fontId="1" fillId="0" borderId="13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14" fontId="14" fillId="0" borderId="7" xfId="0" applyNumberFormat="1" applyFont="1" applyBorder="1" applyAlignment="1">
      <alignment horizontal="center" vertical="center"/>
    </xf>
    <xf numFmtId="14" fontId="1" fillId="0" borderId="9" xfId="0" applyNumberFormat="1" applyFont="1" applyBorder="1" applyAlignment="1">
      <alignment horizontal="center" vertical="center"/>
    </xf>
    <xf numFmtId="14" fontId="1" fillId="0" borderId="9" xfId="0" applyNumberFormat="1" applyFont="1" applyBorder="1" applyAlignment="1">
      <alignment horizontal="center"/>
    </xf>
    <xf numFmtId="14" fontId="1" fillId="3" borderId="9" xfId="0" applyNumberFormat="1" applyFont="1" applyFill="1" applyBorder="1" applyAlignment="1">
      <alignment horizontal="center" vertical="center"/>
    </xf>
    <xf numFmtId="14" fontId="1" fillId="2" borderId="9" xfId="0" applyNumberFormat="1" applyFont="1" applyFill="1" applyBorder="1"/>
    <xf numFmtId="14" fontId="1" fillId="0" borderId="9" xfId="0" applyNumberFormat="1" applyFont="1" applyBorder="1"/>
    <xf numFmtId="14" fontId="3" fillId="0" borderId="9" xfId="0" applyNumberFormat="1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1" fillId="0" borderId="14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/>
    <xf numFmtId="14" fontId="1" fillId="2" borderId="1" xfId="0" applyNumberFormat="1" applyFont="1" applyFill="1" applyBorder="1"/>
    <xf numFmtId="14" fontId="1" fillId="0" borderId="0" xfId="0" applyNumberFormat="1" applyFont="1" applyAlignment="1">
      <alignment horizontal="center"/>
    </xf>
    <xf numFmtId="14" fontId="1" fillId="0" borderId="2" xfId="0" applyNumberFormat="1" applyFont="1" applyBorder="1" applyAlignment="1">
      <alignment horizontal="center"/>
    </xf>
    <xf numFmtId="14" fontId="3" fillId="0" borderId="2" xfId="0" applyNumberFormat="1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/>
    </xf>
    <xf numFmtId="165" fontId="1" fillId="0" borderId="5" xfId="0" applyNumberFormat="1" applyFont="1" applyBorder="1" applyAlignment="1">
      <alignment horizontal="center"/>
    </xf>
    <xf numFmtId="167" fontId="3" fillId="0" borderId="9" xfId="0" applyNumberFormat="1" applyFont="1" applyBorder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 vertical="center"/>
    </xf>
    <xf numFmtId="171" fontId="2" fillId="0" borderId="5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5" borderId="2" xfId="0" applyFont="1" applyFill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 vertical="center"/>
    </xf>
    <xf numFmtId="1" fontId="1" fillId="0" borderId="8" xfId="0" applyNumberFormat="1" applyFont="1" applyBorder="1"/>
    <xf numFmtId="0" fontId="1" fillId="0" borderId="8" xfId="0" applyFont="1" applyBorder="1"/>
    <xf numFmtId="169" fontId="1" fillId="0" borderId="8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93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[$-F400]h:mm:ss\ AM/PM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[$-F400]h:mm:ss\ AM/PM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[$-F400]h:mm:ss\ AM/PM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[$-F400]h:mm:ss\ AM/PM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[$-F400]h:mm:ss\ AM/PM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[$-F400]h:mm:ss\ AM/PM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[$-F400]h:mm:ss\ AM/PM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[$-F400]h:mm:ss\ AM/PM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[$-F400]h:mm:ss\ AM/PM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[$-F400]h:mm:ss\ AM/PM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[$-F400]h:mm:ss\ AM/PM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[$-F400]h:mm:ss\ AM/PM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[$-F400]h:mm:ss\ AM/PM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[$-F400]h:mm:ss\ AM/PM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  <numFmt numFmtId="171" formatCode="[$-240A]h:mm:ss\ AM/PM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  <numFmt numFmtId="19" formatCode="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5" formatCode="#,##0.0000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  <numFmt numFmtId="165" formatCode="#,##0.0000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  <numFmt numFmtId="165" formatCode="#,##0.0000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border outline="0">
        <left style="thin">
          <color indexed="64"/>
        </lef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0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[HISTORICO SINIESTROS YOPAL.xlsx]TIPO_VEHIC_ACC!Tabla dinámica9</c:name>
    <c:fmtId val="0"/>
  </c:pivotSource>
  <c:chart>
    <c:autoTitleDeleted val="1"/>
    <c:pivotFmts>
      <c:pivotFmt>
        <c:idx val="0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TIPO_VEHIC_ACC!$B$2</c:f>
              <c:strCache>
                <c:ptCount val="1"/>
                <c:pt idx="0">
                  <c:v>Suma de AUTOMOVIL</c:v>
                </c:pt>
              </c:strCache>
            </c:strRef>
          </c:tx>
          <c:spPr>
            <a:solidFill>
              <a:srgbClr val="D2D2D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F64-4A6E-96B4-FB7015E630D4}"/>
              </c:ext>
            </c:extLst>
          </c:dPt>
          <c:cat>
            <c:strRef>
              <c:f>TIPO_VEHIC_ACC!$A$3:$A$7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TIPO_VEHIC_ACC!$B$3:$B$7</c:f>
              <c:numCache>
                <c:formatCode>General</c:formatCode>
                <c:ptCount val="4"/>
                <c:pt idx="0">
                  <c:v>170</c:v>
                </c:pt>
                <c:pt idx="1">
                  <c:v>92</c:v>
                </c:pt>
                <c:pt idx="2">
                  <c:v>66</c:v>
                </c:pt>
                <c:pt idx="3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64-4A6E-96B4-FB7015E630D4}"/>
            </c:ext>
          </c:extLst>
        </c:ser>
        <c:ser>
          <c:idx val="1"/>
          <c:order val="1"/>
          <c:tx>
            <c:strRef>
              <c:f>TIPO_VEHIC_ACC!$C$2</c:f>
              <c:strCache>
                <c:ptCount val="1"/>
                <c:pt idx="0">
                  <c:v>Suma de CAMPERO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TIPO_VEHIC_ACC!$A$3:$A$7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TIPO_VEHIC_ACC!$C$3:$C$7</c:f>
              <c:numCache>
                <c:formatCode>General</c:formatCode>
                <c:ptCount val="4"/>
                <c:pt idx="0">
                  <c:v>13</c:v>
                </c:pt>
                <c:pt idx="1">
                  <c:v>9</c:v>
                </c:pt>
                <c:pt idx="2">
                  <c:v>7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64-4A6E-96B4-FB7015E630D4}"/>
            </c:ext>
          </c:extLst>
        </c:ser>
        <c:ser>
          <c:idx val="2"/>
          <c:order val="2"/>
          <c:tx>
            <c:strRef>
              <c:f>TIPO_VEHIC_ACC!$D$2</c:f>
              <c:strCache>
                <c:ptCount val="1"/>
                <c:pt idx="0">
                  <c:v>Suma de CAMIONETA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TIPO_VEHIC_ACC!$A$3:$A$7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TIPO_VEHIC_ACC!$D$3:$D$7</c:f>
              <c:numCache>
                <c:formatCode>General</c:formatCode>
                <c:ptCount val="4"/>
                <c:pt idx="0">
                  <c:v>74</c:v>
                </c:pt>
                <c:pt idx="1">
                  <c:v>36</c:v>
                </c:pt>
                <c:pt idx="2">
                  <c:v>25</c:v>
                </c:pt>
                <c:pt idx="3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64-4A6E-96B4-FB7015E630D4}"/>
            </c:ext>
          </c:extLst>
        </c:ser>
        <c:ser>
          <c:idx val="3"/>
          <c:order val="3"/>
          <c:tx>
            <c:strRef>
              <c:f>TIPO_VEHIC_ACC!$E$2</c:f>
              <c:strCache>
                <c:ptCount val="1"/>
                <c:pt idx="0">
                  <c:v>Suma de MOTO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TIPO_VEHIC_ACC!$A$3:$A$7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TIPO_VEHIC_ACC!$E$3:$E$7</c:f>
              <c:numCache>
                <c:formatCode>General</c:formatCode>
                <c:ptCount val="4"/>
                <c:pt idx="0">
                  <c:v>353</c:v>
                </c:pt>
                <c:pt idx="1">
                  <c:v>277</c:v>
                </c:pt>
                <c:pt idx="2">
                  <c:v>226</c:v>
                </c:pt>
                <c:pt idx="3">
                  <c:v>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F64-4A6E-96B4-FB7015E63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634153103"/>
        <c:axId val="634153583"/>
      </c:barChart>
      <c:catAx>
        <c:axId val="634153103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34153583"/>
        <c:crosses val="autoZero"/>
        <c:auto val="1"/>
        <c:lblAlgn val="ctr"/>
        <c:lblOffset val="100"/>
        <c:noMultiLvlLbl val="0"/>
      </c:catAx>
      <c:valAx>
        <c:axId val="634153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AUTOMOVIL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34153103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[HISTORICO SINIESTROS YOPAL.xlsx]MANEJO IMPRUDENTE!Tabla dinámica11</c:name>
    <c:fmtId val="0"/>
  </c:pivotSource>
  <c:chart>
    <c:autoTitleDeleted val="1"/>
    <c:pivotFmts>
      <c:pivotFmt>
        <c:idx val="0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'MANEJO IMPRUDENTE'!$B$2</c:f>
              <c:strCache>
                <c:ptCount val="1"/>
                <c:pt idx="0">
                  <c:v>Suma de LESIONADO</c:v>
                </c:pt>
              </c:strCache>
            </c:strRef>
          </c:tx>
          <c:spPr>
            <a:solidFill>
              <a:srgbClr val="D2D2D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393-4516-B202-F6649B177584}"/>
              </c:ext>
            </c:extLst>
          </c:dPt>
          <c:cat>
            <c:strRef>
              <c:f>'MANEJO IMPRUDENTE'!$A$3:$A$31</c:f>
              <c:strCache>
                <c:ptCount val="28"/>
                <c:pt idx="0">
                  <c:v>Impericia en el manejo.</c:v>
                </c:pt>
                <c:pt idx="1">
                  <c:v>Otra</c:v>
                </c:pt>
                <c:pt idx="2">
                  <c:v>Desobedecer señales o normas de tránsito.</c:v>
                </c:pt>
                <c:pt idx="3">
                  <c:v>No respetar prelación.</c:v>
                </c:pt>
                <c:pt idx="4">
                  <c:v>Embriaguez aparente.</c:v>
                </c:pt>
                <c:pt idx="5">
                  <c:v>No mantener distancia de seguridad.</c:v>
                </c:pt>
                <c:pt idx="6">
                  <c:v>Embriaguez o Sustancias alucinogenas</c:v>
                </c:pt>
                <c:pt idx="7">
                  <c:v>Girar bruscamente.</c:v>
                </c:pt>
                <c:pt idx="8">
                  <c:v>Transitar en contravía.</c:v>
                </c:pt>
                <c:pt idx="9">
                  <c:v>Semáforo en rojo.</c:v>
                </c:pt>
                <c:pt idx="10">
                  <c:v>No respetar prelación de intersecciones o giros.</c:v>
                </c:pt>
                <c:pt idx="11">
                  <c:v>Adelantar en zona prohibida.</c:v>
                </c:pt>
                <c:pt idx="12">
                  <c:v>Exceso de velocidad</c:v>
                </c:pt>
                <c:pt idx="13">
                  <c:v>Arrancar sin precaución.</c:v>
                </c:pt>
                <c:pt idx="14">
                  <c:v>Recoger o dejar pasajeros sobre la calzada.</c:v>
                </c:pt>
                <c:pt idx="15">
                  <c:v>Realizar giro en “U”.</c:v>
                </c:pt>
                <c:pt idx="16">
                  <c:v>Transitar distante de la acera u orilla de la calzada.</c:v>
                </c:pt>
                <c:pt idx="17">
                  <c:v>Adelantar por la derecha.</c:v>
                </c:pt>
                <c:pt idx="18">
                  <c:v>Conducir vehículo sin adaptaciones.</c:v>
                </c:pt>
                <c:pt idx="19">
                  <c:v>Adelantar invadiendo carril de sentido contrario.</c:v>
                </c:pt>
                <c:pt idx="20">
                  <c:v>Adelantar cerrando.</c:v>
                </c:pt>
                <c:pt idx="21">
                  <c:v>Fallas en las llantas.</c:v>
                </c:pt>
                <c:pt idx="22">
                  <c:v>Cruzar sin observar.</c:v>
                </c:pt>
                <c:pt idx="23">
                  <c:v>SIN INFORMACIÓN</c:v>
                </c:pt>
                <c:pt idx="24">
                  <c:v>No hacer uso de señales reflectivas o luminosas.</c:v>
                </c:pt>
                <c:pt idx="25">
                  <c:v>Efectos físicos y psíquicos.</c:v>
                </c:pt>
                <c:pt idx="26">
                  <c:v>Desobedecer al agente.</c:v>
                </c:pt>
                <c:pt idx="27">
                  <c:v>Exceso en horas de conducción.</c:v>
                </c:pt>
              </c:strCache>
            </c:strRef>
          </c:cat>
          <c:val>
            <c:numRef>
              <c:f>'MANEJO IMPRUDENTE'!$B$3:$B$31</c:f>
              <c:numCache>
                <c:formatCode>General</c:formatCode>
                <c:ptCount val="28"/>
                <c:pt idx="0">
                  <c:v>45</c:v>
                </c:pt>
                <c:pt idx="1">
                  <c:v>29</c:v>
                </c:pt>
                <c:pt idx="2">
                  <c:v>23</c:v>
                </c:pt>
                <c:pt idx="3">
                  <c:v>10</c:v>
                </c:pt>
                <c:pt idx="4">
                  <c:v>10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5</c:v>
                </c:pt>
                <c:pt idx="9">
                  <c:v>4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93-4516-B202-F6649B177584}"/>
            </c:ext>
          </c:extLst>
        </c:ser>
        <c:ser>
          <c:idx val="1"/>
          <c:order val="1"/>
          <c:tx>
            <c:strRef>
              <c:f>'MANEJO IMPRUDENTE'!$C$2</c:f>
              <c:strCache>
                <c:ptCount val="1"/>
                <c:pt idx="0">
                  <c:v>Suma de FALLECIDO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'MANEJO IMPRUDENTE'!$A$3:$A$31</c:f>
              <c:strCache>
                <c:ptCount val="28"/>
                <c:pt idx="0">
                  <c:v>Impericia en el manejo.</c:v>
                </c:pt>
                <c:pt idx="1">
                  <c:v>Otra</c:v>
                </c:pt>
                <c:pt idx="2">
                  <c:v>Desobedecer señales o normas de tránsito.</c:v>
                </c:pt>
                <c:pt idx="3">
                  <c:v>No respetar prelación.</c:v>
                </c:pt>
                <c:pt idx="4">
                  <c:v>Embriaguez aparente.</c:v>
                </c:pt>
                <c:pt idx="5">
                  <c:v>No mantener distancia de seguridad.</c:v>
                </c:pt>
                <c:pt idx="6">
                  <c:v>Embriaguez o Sustancias alucinogenas</c:v>
                </c:pt>
                <c:pt idx="7">
                  <c:v>Girar bruscamente.</c:v>
                </c:pt>
                <c:pt idx="8">
                  <c:v>Transitar en contravía.</c:v>
                </c:pt>
                <c:pt idx="9">
                  <c:v>Semáforo en rojo.</c:v>
                </c:pt>
                <c:pt idx="10">
                  <c:v>No respetar prelación de intersecciones o giros.</c:v>
                </c:pt>
                <c:pt idx="11">
                  <c:v>Adelantar en zona prohibida.</c:v>
                </c:pt>
                <c:pt idx="12">
                  <c:v>Exceso de velocidad</c:v>
                </c:pt>
                <c:pt idx="13">
                  <c:v>Arrancar sin precaución.</c:v>
                </c:pt>
                <c:pt idx="14">
                  <c:v>Recoger o dejar pasajeros sobre la calzada.</c:v>
                </c:pt>
                <c:pt idx="15">
                  <c:v>Realizar giro en “U”.</c:v>
                </c:pt>
                <c:pt idx="16">
                  <c:v>Transitar distante de la acera u orilla de la calzada.</c:v>
                </c:pt>
                <c:pt idx="17">
                  <c:v>Adelantar por la derecha.</c:v>
                </c:pt>
                <c:pt idx="18">
                  <c:v>Conducir vehículo sin adaptaciones.</c:v>
                </c:pt>
                <c:pt idx="19">
                  <c:v>Adelantar invadiendo carril de sentido contrario.</c:v>
                </c:pt>
                <c:pt idx="20">
                  <c:v>Adelantar cerrando.</c:v>
                </c:pt>
                <c:pt idx="21">
                  <c:v>Fallas en las llantas.</c:v>
                </c:pt>
                <c:pt idx="22">
                  <c:v>Cruzar sin observar.</c:v>
                </c:pt>
                <c:pt idx="23">
                  <c:v>SIN INFORMACIÓN</c:v>
                </c:pt>
                <c:pt idx="24">
                  <c:v>No hacer uso de señales reflectivas o luminosas.</c:v>
                </c:pt>
                <c:pt idx="25">
                  <c:v>Efectos físicos y psíquicos.</c:v>
                </c:pt>
                <c:pt idx="26">
                  <c:v>Desobedecer al agente.</c:v>
                </c:pt>
                <c:pt idx="27">
                  <c:v>Exceso en horas de conducción.</c:v>
                </c:pt>
              </c:strCache>
            </c:strRef>
          </c:cat>
          <c:val>
            <c:numRef>
              <c:f>'MANEJO IMPRUDENTE'!$C$3:$C$31</c:f>
              <c:numCache>
                <c:formatCode>General</c:formatCode>
                <c:ptCount val="28"/>
                <c:pt idx="0">
                  <c:v>22</c:v>
                </c:pt>
                <c:pt idx="1">
                  <c:v>6</c:v>
                </c:pt>
                <c:pt idx="2">
                  <c:v>2</c:v>
                </c:pt>
                <c:pt idx="3">
                  <c:v>1</c:v>
                </c:pt>
                <c:pt idx="4">
                  <c:v>9</c:v>
                </c:pt>
                <c:pt idx="6">
                  <c:v>1</c:v>
                </c:pt>
                <c:pt idx="7">
                  <c:v>2</c:v>
                </c:pt>
                <c:pt idx="12">
                  <c:v>2</c:v>
                </c:pt>
                <c:pt idx="19">
                  <c:v>1</c:v>
                </c:pt>
                <c:pt idx="25">
                  <c:v>1</c:v>
                </c:pt>
                <c:pt idx="2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93-4516-B202-F6649B177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897913472"/>
        <c:axId val="897921632"/>
      </c:barChart>
      <c:catAx>
        <c:axId val="897913472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Descripcion Hipotesis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97921632"/>
        <c:crosses val="autoZero"/>
        <c:auto val="1"/>
        <c:lblAlgn val="ctr"/>
        <c:lblOffset val="100"/>
        <c:noMultiLvlLbl val="0"/>
      </c:catAx>
      <c:valAx>
        <c:axId val="897921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LESIONADO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97913472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[HISTORICO SINIESTROS YOPAL.xlsx]MANEJO_IMPRUDENTE!Tabla dinámica12</c:name>
    <c:fmtId val="0"/>
  </c:pivotSource>
  <c:chart>
    <c:autoTitleDeleted val="1"/>
    <c:pivotFmts>
      <c:pivotFmt>
        <c:idx val="0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MANEJO_IMPRUDENTE!$B$2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955-4676-B014-FB68059A9B4B}"/>
              </c:ext>
            </c:extLst>
          </c:dPt>
          <c:cat>
            <c:strRef>
              <c:f>MANEJO_IMPRUDENTE!$A$3:$A$50</c:f>
              <c:strCache>
                <c:ptCount val="47"/>
                <c:pt idx="0">
                  <c:v>Impericia en el manejo.</c:v>
                </c:pt>
                <c:pt idx="1">
                  <c:v>Desobedecer señales o normas de tránsito.</c:v>
                </c:pt>
                <c:pt idx="2">
                  <c:v>Embriaguez aparente.</c:v>
                </c:pt>
                <c:pt idx="3">
                  <c:v>Embriaguez o Sustancias alucinogenas</c:v>
                </c:pt>
                <c:pt idx="4">
                  <c:v>Otra</c:v>
                </c:pt>
                <c:pt idx="5">
                  <c:v>Exceso de velocidad</c:v>
                </c:pt>
                <c:pt idx="6">
                  <c:v>No respetar prelación de intersecciones o giros.</c:v>
                </c:pt>
                <c:pt idx="7">
                  <c:v>No mantener distancia de seguridad.</c:v>
                </c:pt>
                <c:pt idx="8">
                  <c:v>Girar bruscamente.</c:v>
                </c:pt>
                <c:pt idx="9">
                  <c:v>No respetar prelación.</c:v>
                </c:pt>
                <c:pt idx="10">
                  <c:v>Semáforo en rojo.</c:v>
                </c:pt>
                <c:pt idx="11">
                  <c:v>SIN INFORMACIÓN</c:v>
                </c:pt>
                <c:pt idx="12">
                  <c:v>Vehículo mal estacionado.</c:v>
                </c:pt>
                <c:pt idx="13">
                  <c:v>Adelantar por la derecha.</c:v>
                </c:pt>
                <c:pt idx="14">
                  <c:v>Transitar en contravía.</c:v>
                </c:pt>
                <c:pt idx="15">
                  <c:v>Adelantar invadiendo carril de sentido contrario.</c:v>
                </c:pt>
                <c:pt idx="16">
                  <c:v>Transitar distante de la acera u orilla de la calzada.</c:v>
                </c:pt>
                <c:pt idx="17">
                  <c:v>Transitar por la calzada.</c:v>
                </c:pt>
                <c:pt idx="18">
                  <c:v>Adelantar cerrando.</c:v>
                </c:pt>
                <c:pt idx="19">
                  <c:v>Cruzar sin observar.</c:v>
                </c:pt>
                <c:pt idx="20">
                  <c:v>Falta de señales en vehículo varado</c:v>
                </c:pt>
                <c:pt idx="21">
                  <c:v>Recoger o dejar pasajeros sobre la calzada.</c:v>
                </c:pt>
                <c:pt idx="22">
                  <c:v>Transportar pasajeros en parte exterior.</c:v>
                </c:pt>
                <c:pt idx="23">
                  <c:v>Falta de mantenimiento mecánico.</c:v>
                </c:pt>
                <c:pt idx="24">
                  <c:v>No hacer uso de señales reflectivas o luminosas.</c:v>
                </c:pt>
                <c:pt idx="25">
                  <c:v>Estacionar sin seguridad.</c:v>
                </c:pt>
                <c:pt idx="26">
                  <c:v>Transportar otra persona o cosas.</c:v>
                </c:pt>
                <c:pt idx="27">
                  <c:v>Dejar obstáculos en la vía.</c:v>
                </c:pt>
                <c:pt idx="28">
                  <c:v>Reverso imprudente.</c:v>
                </c:pt>
                <c:pt idx="29">
                  <c:v>Arrancar sin precaución.</c:v>
                </c:pt>
                <c:pt idx="30">
                  <c:v>Conducir vehículo sin adaptaciones.</c:v>
                </c:pt>
                <c:pt idx="31">
                  <c:v>Fallas en los frenos.</c:v>
                </c:pt>
                <c:pt idx="32">
                  <c:v>Exceso en horas de conducción.</c:v>
                </c:pt>
                <c:pt idx="33">
                  <c:v>Transitar con puertas abiertas.</c:v>
                </c:pt>
                <c:pt idx="34">
                  <c:v>Pasajeros obstruyendo al conductor o sobrecupo.</c:v>
                </c:pt>
                <c:pt idx="35">
                  <c:v>Cruzar en estado de embriaguez.</c:v>
                </c:pt>
                <c:pt idx="36">
                  <c:v>Poner en marcha un vehículo sin precauciones.</c:v>
                </c:pt>
                <c:pt idx="37">
                  <c:v>Superficie húmeda.</c:v>
                </c:pt>
                <c:pt idx="38">
                  <c:v>Realizar giro en “U”.</c:v>
                </c:pt>
                <c:pt idx="39">
                  <c:v>Efectos físicos y psíquicos.</c:v>
                </c:pt>
                <c:pt idx="40">
                  <c:v>Desobedecer al agente.</c:v>
                </c:pt>
                <c:pt idx="41">
                  <c:v>Fallas en el sistema eléctrico.</c:v>
                </c:pt>
                <c:pt idx="42">
                  <c:v>Adelantar invadiendo carril del mismo sentido en ZigZag</c:v>
                </c:pt>
                <c:pt idx="43">
                  <c:v>Fallas en las llantas.</c:v>
                </c:pt>
                <c:pt idx="44">
                  <c:v>Adelantar en zona prohibida.</c:v>
                </c:pt>
                <c:pt idx="45">
                  <c:v>Pararse sobre la calzada.</c:v>
                </c:pt>
                <c:pt idx="46">
                  <c:v>Huecos.</c:v>
                </c:pt>
              </c:strCache>
            </c:strRef>
          </c:cat>
          <c:val>
            <c:numRef>
              <c:f>MANEJO_IMPRUDENTE!$B$3:$B$50</c:f>
              <c:numCache>
                <c:formatCode>General</c:formatCode>
                <c:ptCount val="47"/>
                <c:pt idx="0">
                  <c:v>139</c:v>
                </c:pt>
                <c:pt idx="1">
                  <c:v>76</c:v>
                </c:pt>
                <c:pt idx="2">
                  <c:v>51</c:v>
                </c:pt>
                <c:pt idx="3">
                  <c:v>47</c:v>
                </c:pt>
                <c:pt idx="4">
                  <c:v>41</c:v>
                </c:pt>
                <c:pt idx="5">
                  <c:v>21</c:v>
                </c:pt>
                <c:pt idx="6">
                  <c:v>20</c:v>
                </c:pt>
                <c:pt idx="7">
                  <c:v>18</c:v>
                </c:pt>
                <c:pt idx="8">
                  <c:v>18</c:v>
                </c:pt>
                <c:pt idx="9">
                  <c:v>12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55-4676-B014-FB68059A9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897923552"/>
        <c:axId val="897924032"/>
      </c:barChart>
      <c:catAx>
        <c:axId val="897923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97924032"/>
        <c:crosses val="autoZero"/>
        <c:auto val="1"/>
        <c:lblAlgn val="ctr"/>
        <c:lblOffset val="100"/>
        <c:noMultiLvlLbl val="0"/>
      </c:catAx>
      <c:valAx>
        <c:axId val="897924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97923552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[HISTORICO SINIESTROS YOPAL.xlsx]DIAS_MAS_ACCIDENTES!Tabla dinámica13</c:name>
    <c:fmtId val="0"/>
  </c:pivotSource>
  <c:chart>
    <c:autoTitleDeleted val="1"/>
    <c:pivotFmts>
      <c:pivotFmt>
        <c:idx val="0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>
            <a:noFill/>
          </a:ln>
          <a:effectLst/>
        </c:spPr>
      </c:pivotFmt>
      <c:pivotFmt>
        <c:idx val="2"/>
        <c:spPr>
          <a:solidFill>
            <a:srgbClr val="ED733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DIAS_MAS_ACCIDENTES!$B$3</c:f>
              <c:strCache>
                <c:ptCount val="1"/>
                <c:pt idx="0">
                  <c:v>Suma de MUERTOS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DIAS_MAS_ACCIDENTES!$A$4:$A$11</c:f>
              <c:strCache>
                <c:ptCount val="7"/>
                <c:pt idx="0">
                  <c:v>DOMINGO</c:v>
                </c:pt>
                <c:pt idx="1">
                  <c:v>LUNES</c:v>
                </c:pt>
                <c:pt idx="2">
                  <c:v>MARTES</c:v>
                </c:pt>
                <c:pt idx="3">
                  <c:v>MIÉRCOLES</c:v>
                </c:pt>
                <c:pt idx="4">
                  <c:v>JUEVES</c:v>
                </c:pt>
                <c:pt idx="5">
                  <c:v>VIERNES</c:v>
                </c:pt>
                <c:pt idx="6">
                  <c:v>SÁBADO</c:v>
                </c:pt>
              </c:strCache>
            </c:strRef>
          </c:cat>
          <c:val>
            <c:numRef>
              <c:f>DIAS_MAS_ACCIDENTES!$B$4:$B$11</c:f>
              <c:numCache>
                <c:formatCode>General</c:formatCode>
                <c:ptCount val="7"/>
                <c:pt idx="0">
                  <c:v>16</c:v>
                </c:pt>
                <c:pt idx="1">
                  <c:v>3</c:v>
                </c:pt>
                <c:pt idx="2">
                  <c:v>5</c:v>
                </c:pt>
                <c:pt idx="3">
                  <c:v>2</c:v>
                </c:pt>
                <c:pt idx="4">
                  <c:v>7</c:v>
                </c:pt>
                <c:pt idx="5">
                  <c:v>6</c:v>
                </c:pt>
                <c:pt idx="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0D-4B3C-B79D-AFF676C2D3D8}"/>
            </c:ext>
          </c:extLst>
        </c:ser>
        <c:ser>
          <c:idx val="1"/>
          <c:order val="1"/>
          <c:tx>
            <c:strRef>
              <c:f>DIAS_MAS_ACCIDENTES!$C$3</c:f>
              <c:strCache>
                <c:ptCount val="1"/>
                <c:pt idx="0">
                  <c:v>Suma de LESIONADOS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DIAS_MAS_ACCIDENTES!$A$4:$A$11</c:f>
              <c:strCache>
                <c:ptCount val="7"/>
                <c:pt idx="0">
                  <c:v>DOMINGO</c:v>
                </c:pt>
                <c:pt idx="1">
                  <c:v>LUNES</c:v>
                </c:pt>
                <c:pt idx="2">
                  <c:v>MARTES</c:v>
                </c:pt>
                <c:pt idx="3">
                  <c:v>MIÉRCOLES</c:v>
                </c:pt>
                <c:pt idx="4">
                  <c:v>JUEVES</c:v>
                </c:pt>
                <c:pt idx="5">
                  <c:v>VIERNES</c:v>
                </c:pt>
                <c:pt idx="6">
                  <c:v>SÁBADO</c:v>
                </c:pt>
              </c:strCache>
            </c:strRef>
          </c:cat>
          <c:val>
            <c:numRef>
              <c:f>DIAS_MAS_ACCIDENTES!$C$4:$C$11</c:f>
              <c:numCache>
                <c:formatCode>General</c:formatCode>
                <c:ptCount val="7"/>
                <c:pt idx="0">
                  <c:v>52</c:v>
                </c:pt>
                <c:pt idx="1">
                  <c:v>24</c:v>
                </c:pt>
                <c:pt idx="2">
                  <c:v>32</c:v>
                </c:pt>
                <c:pt idx="3">
                  <c:v>25</c:v>
                </c:pt>
                <c:pt idx="4">
                  <c:v>42</c:v>
                </c:pt>
                <c:pt idx="5">
                  <c:v>55</c:v>
                </c:pt>
                <c:pt idx="6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30D-4B3C-B79D-AFF676C2D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897958592"/>
        <c:axId val="897954272"/>
      </c:barChart>
      <c:catAx>
        <c:axId val="89795859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97954272"/>
        <c:crosses val="autoZero"/>
        <c:auto val="1"/>
        <c:lblAlgn val="ctr"/>
        <c:lblOffset val="100"/>
        <c:noMultiLvlLbl val="0"/>
      </c:catAx>
      <c:valAx>
        <c:axId val="897954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MUERTOS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97958592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[HISTORICO SINIESTROS YOPAL.xlsx]CAUSAS!Tabla dinámica14</c:name>
    <c:fmtId val="0"/>
  </c:pivotSource>
  <c:chart>
    <c:autoTitleDeleted val="1"/>
    <c:pivotFmts>
      <c:pivotFmt>
        <c:idx val="0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513499343832021"/>
          <c:y val="4.0945975503062115E-2"/>
          <c:w val="0.41194510061242345"/>
          <c:h val="0.7435032079323418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CAUSAS!$B$3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E5D-4424-9401-9ED30A690232}"/>
              </c:ext>
            </c:extLst>
          </c:dPt>
          <c:cat>
            <c:strRef>
              <c:f>CAUSAS!$A$4:$A$32</c:f>
              <c:strCache>
                <c:ptCount val="28"/>
                <c:pt idx="0">
                  <c:v>Impericia en el manejo.</c:v>
                </c:pt>
                <c:pt idx="1">
                  <c:v>Otra</c:v>
                </c:pt>
                <c:pt idx="2">
                  <c:v>Desobedecer señales o normas de tránsito.</c:v>
                </c:pt>
                <c:pt idx="3">
                  <c:v>Embriaguez aparente.</c:v>
                </c:pt>
                <c:pt idx="4">
                  <c:v>Embriaguez o Sustancias alucinogenas</c:v>
                </c:pt>
                <c:pt idx="5">
                  <c:v>No respetar prelación.</c:v>
                </c:pt>
                <c:pt idx="6">
                  <c:v>No mantener distancia de seguridad.</c:v>
                </c:pt>
                <c:pt idx="7">
                  <c:v>Girar bruscamente.</c:v>
                </c:pt>
                <c:pt idx="8">
                  <c:v>Transitar en contravía.</c:v>
                </c:pt>
                <c:pt idx="9">
                  <c:v>Semáforo en rojo.</c:v>
                </c:pt>
                <c:pt idx="10">
                  <c:v>Exceso de velocidad</c:v>
                </c:pt>
                <c:pt idx="11">
                  <c:v>Adelantar invadiendo carril de sentido contrario.</c:v>
                </c:pt>
                <c:pt idx="12">
                  <c:v>Adelantar en zona prohibida.</c:v>
                </c:pt>
                <c:pt idx="13">
                  <c:v>Transitar distante de la acera u orilla de la calzada.</c:v>
                </c:pt>
                <c:pt idx="14">
                  <c:v>Recoger o dejar pasajeros sobre la calzada.</c:v>
                </c:pt>
                <c:pt idx="15">
                  <c:v>No respetar prelación de intersecciones o giros.</c:v>
                </c:pt>
                <c:pt idx="16">
                  <c:v>SIN INFORMACIÓN</c:v>
                </c:pt>
                <c:pt idx="17">
                  <c:v>Realizar giro en “U”.</c:v>
                </c:pt>
                <c:pt idx="18">
                  <c:v>Fallas en las llantas.</c:v>
                </c:pt>
                <c:pt idx="19">
                  <c:v>Adelantar por la derecha.</c:v>
                </c:pt>
                <c:pt idx="20">
                  <c:v>Conducir vehículo sin adaptaciones.</c:v>
                </c:pt>
                <c:pt idx="21">
                  <c:v>Arrancar sin precaución.</c:v>
                </c:pt>
                <c:pt idx="22">
                  <c:v>Desobedecer al agente.</c:v>
                </c:pt>
                <c:pt idx="23">
                  <c:v>Cruzar sin observar.</c:v>
                </c:pt>
                <c:pt idx="24">
                  <c:v>No hacer uso de señales reflectivas o luminosas.</c:v>
                </c:pt>
                <c:pt idx="25">
                  <c:v>Adelantar cerrando.</c:v>
                </c:pt>
                <c:pt idx="26">
                  <c:v>Efectos físicos y psíquicos.</c:v>
                </c:pt>
                <c:pt idx="27">
                  <c:v>Exceso en horas de conducción.</c:v>
                </c:pt>
              </c:strCache>
            </c:strRef>
          </c:cat>
          <c:val>
            <c:numRef>
              <c:f>CAUSAS!$B$4:$B$32</c:f>
              <c:numCache>
                <c:formatCode>General</c:formatCode>
                <c:ptCount val="28"/>
                <c:pt idx="0">
                  <c:v>90</c:v>
                </c:pt>
                <c:pt idx="1">
                  <c:v>45</c:v>
                </c:pt>
                <c:pt idx="2">
                  <c:v>32</c:v>
                </c:pt>
                <c:pt idx="3">
                  <c:v>23</c:v>
                </c:pt>
                <c:pt idx="4">
                  <c:v>19</c:v>
                </c:pt>
                <c:pt idx="5">
                  <c:v>13</c:v>
                </c:pt>
                <c:pt idx="6">
                  <c:v>11</c:v>
                </c:pt>
                <c:pt idx="7">
                  <c:v>9</c:v>
                </c:pt>
                <c:pt idx="8">
                  <c:v>9</c:v>
                </c:pt>
                <c:pt idx="9">
                  <c:v>7</c:v>
                </c:pt>
                <c:pt idx="10">
                  <c:v>6</c:v>
                </c:pt>
                <c:pt idx="11">
                  <c:v>5</c:v>
                </c:pt>
                <c:pt idx="12">
                  <c:v>3</c:v>
                </c:pt>
                <c:pt idx="13">
                  <c:v>3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5D-4424-9401-9ED30A690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897930752"/>
        <c:axId val="897930272"/>
      </c:barChart>
      <c:catAx>
        <c:axId val="897930752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HIPOTESIS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97930272"/>
        <c:crosses val="autoZero"/>
        <c:auto val="1"/>
        <c:lblAlgn val="ctr"/>
        <c:lblOffset val="100"/>
        <c:noMultiLvlLbl val="0"/>
      </c:catAx>
      <c:valAx>
        <c:axId val="897930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MOTO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97930752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[HISTORICO SINIESTROS YOPAL.xlsx]GENERO!Tabla dinámica1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4995976698472044E-2"/>
          <c:y val="7.3024054982817874E-2"/>
          <c:w val="0.91680305546776764"/>
          <c:h val="0.5977081473063289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GENERO!$B$4</c:f>
              <c:strCache>
                <c:ptCount val="1"/>
                <c:pt idx="0">
                  <c:v>Cuenta de GENERO_MASCULINO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GENERO!$A$5:$A$8</c:f>
              <c:strCache>
                <c:ptCount val="3"/>
                <c:pt idx="0">
                  <c:v>FALLECIDO</c:v>
                </c:pt>
                <c:pt idx="1">
                  <c:v>LESIONADO</c:v>
                </c:pt>
                <c:pt idx="2">
                  <c:v>SOLO DAÑO</c:v>
                </c:pt>
              </c:strCache>
            </c:strRef>
          </c:cat>
          <c:val>
            <c:numRef>
              <c:f>GENERO!$B$5:$B$8</c:f>
              <c:numCache>
                <c:formatCode>General</c:formatCode>
                <c:ptCount val="3"/>
                <c:pt idx="0">
                  <c:v>43</c:v>
                </c:pt>
                <c:pt idx="1">
                  <c:v>161</c:v>
                </c:pt>
                <c:pt idx="2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67-434A-B5FB-6E40200EADDC}"/>
            </c:ext>
          </c:extLst>
        </c:ser>
        <c:ser>
          <c:idx val="1"/>
          <c:order val="1"/>
          <c:tx>
            <c:strRef>
              <c:f>GENERO!$C$4</c:f>
              <c:strCache>
                <c:ptCount val="1"/>
                <c:pt idx="0">
                  <c:v>Cuenta de GENERO_FEMENINO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GENERO!$A$5:$A$8</c:f>
              <c:strCache>
                <c:ptCount val="3"/>
                <c:pt idx="0">
                  <c:v>FALLECIDO</c:v>
                </c:pt>
                <c:pt idx="1">
                  <c:v>LESIONADO</c:v>
                </c:pt>
                <c:pt idx="2">
                  <c:v>SOLO DAÑO</c:v>
                </c:pt>
              </c:strCache>
            </c:strRef>
          </c:cat>
          <c:val>
            <c:numRef>
              <c:f>GENERO!$C$5:$C$8</c:f>
              <c:numCache>
                <c:formatCode>General</c:formatCode>
                <c:ptCount val="3"/>
                <c:pt idx="0">
                  <c:v>28</c:v>
                </c:pt>
                <c:pt idx="1">
                  <c:v>144</c:v>
                </c:pt>
                <c:pt idx="2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67-434A-B5FB-6E40200EA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overlap val="-30"/>
        <c:axId val="897942272"/>
        <c:axId val="897939392"/>
      </c:barChart>
      <c:catAx>
        <c:axId val="897942272"/>
        <c:scaling>
          <c:orientation val="maxMin"/>
        </c:scaling>
        <c:delete val="1"/>
        <c:axPos val="l"/>
        <c:numFmt formatCode="General" sourceLinked="1"/>
        <c:majorTickMark val="none"/>
        <c:minorTickMark val="none"/>
        <c:tickLblPos val="nextTo"/>
        <c:crossAx val="897939392"/>
        <c:crosses val="autoZero"/>
        <c:auto val="1"/>
        <c:lblAlgn val="ctr"/>
        <c:lblOffset val="100"/>
        <c:noMultiLvlLbl val="0"/>
      </c:catAx>
      <c:valAx>
        <c:axId val="89793939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EDAD_LESIONADOS</a:t>
                </a:r>
              </a:p>
            </c:rich>
          </c:tx>
          <c:layout>
            <c:manualLayout>
              <c:xMode val="edge"/>
              <c:yMode val="edge"/>
              <c:x val="0.45046553745256646"/>
              <c:y val="0.851996238872202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97942272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876300</xdr:colOff>
      <xdr:row>8</xdr:row>
      <xdr:rowOff>76200</xdr:rowOff>
    </xdr:from>
    <xdr:to>
      <xdr:col>9</xdr:col>
      <xdr:colOff>152400</xdr:colOff>
      <xdr:row>23</xdr:row>
      <xdr:rowOff>76200</xdr:rowOff>
    </xdr:to>
    <xdr:graphicFrame macro="">
      <xdr:nvGraphicFramePr>
        <xdr:cNvPr id="2" name="Gráfico 1" descr="Tipo de gráfico: Barras agrupadas. &quot;AÑO&quot;: 2022 tiene un valor de &quot;AUTOMOVIL&quot; notablemente superior.&#10;&#10;Descripción generada automáticamente">
          <a:extLst>
            <a:ext uri="{FF2B5EF4-FFF2-40B4-BE49-F238E27FC236}">
              <a16:creationId xmlns:a16="http://schemas.microsoft.com/office/drawing/2014/main" id="{1CBE7465-9188-5F6D-9695-0509CAE734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312420</xdr:colOff>
      <xdr:row>5</xdr:row>
      <xdr:rowOff>68580</xdr:rowOff>
    </xdr:from>
    <xdr:to>
      <xdr:col>9</xdr:col>
      <xdr:colOff>129540</xdr:colOff>
      <xdr:row>20</xdr:row>
      <xdr:rowOff>68580</xdr:rowOff>
    </xdr:to>
    <xdr:graphicFrame macro="">
      <xdr:nvGraphicFramePr>
        <xdr:cNvPr id="2" name="Gráfico 1" descr="Tipo de gráfico: Barras agrupadas. &quot;Descripcion Hipotesis&quot;: Impericia en el manejo. tiene un valor de &quot;LESIONADO&quot; notablemente superior.&#10;&#10;Descripción generada automáticamente">
          <a:extLst>
            <a:ext uri="{FF2B5EF4-FFF2-40B4-BE49-F238E27FC236}">
              <a16:creationId xmlns:a16="http://schemas.microsoft.com/office/drawing/2014/main" id="{28EBAC9A-2A91-10B1-CA80-2D5C2905EF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739140</xdr:colOff>
      <xdr:row>5</xdr:row>
      <xdr:rowOff>106680</xdr:rowOff>
    </xdr:from>
    <xdr:to>
      <xdr:col>8</xdr:col>
      <xdr:colOff>556260</xdr:colOff>
      <xdr:row>20</xdr:row>
      <xdr:rowOff>106680</xdr:rowOff>
    </xdr:to>
    <xdr:graphicFrame macro="">
      <xdr:nvGraphicFramePr>
        <xdr:cNvPr id="2" name="Gráfico 1" descr="Tipo de gráfico: Barras agrupadas. &quot;Descripcion_Hipotesis&quot;: Impericia en el manejo. tiene un valor de &quot;HIPOTESIS_2&quot; notablemente superior.&#10;&#10;Descripción generada automáticamente">
          <a:extLst>
            <a:ext uri="{FF2B5EF4-FFF2-40B4-BE49-F238E27FC236}">
              <a16:creationId xmlns:a16="http://schemas.microsoft.com/office/drawing/2014/main" id="{C75006B9-CC1B-B8C2-7C46-119A0686C2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1158240</xdr:colOff>
      <xdr:row>10</xdr:row>
      <xdr:rowOff>106680</xdr:rowOff>
    </xdr:from>
    <xdr:to>
      <xdr:col>7</xdr:col>
      <xdr:colOff>190500</xdr:colOff>
      <xdr:row>24</xdr:row>
      <xdr:rowOff>106680</xdr:rowOff>
    </xdr:to>
    <xdr:graphicFrame macro="">
      <xdr:nvGraphicFramePr>
        <xdr:cNvPr id="2" name="Gráfico 1" descr="Tipo de gráfico: Barras apiladas. &quot;DIA_DE_LA_SEMANA_&quot;: DOMINGO y SÁBADO tienen valores de &quot;MUERTOS&quot; notablemente superiores.&#10;&#10;Descripción generada automáticamente">
          <a:extLst>
            <a:ext uri="{FF2B5EF4-FFF2-40B4-BE49-F238E27FC236}">
              <a16:creationId xmlns:a16="http://schemas.microsoft.com/office/drawing/2014/main" id="{F8166A18-E305-3400-7E06-5D7E357BEA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441960</xdr:colOff>
      <xdr:row>3</xdr:row>
      <xdr:rowOff>91440</xdr:rowOff>
    </xdr:from>
    <xdr:to>
      <xdr:col>8</xdr:col>
      <xdr:colOff>304800</xdr:colOff>
      <xdr:row>21</xdr:row>
      <xdr:rowOff>53340</xdr:rowOff>
    </xdr:to>
    <xdr:graphicFrame macro="">
      <xdr:nvGraphicFramePr>
        <xdr:cNvPr id="2" name="Gráfico 1" descr="Tipo de gráfico: Barras agrupadas. &quot;Descripcion_Hipotesis&quot;: Impericia en el manejo. tiene un valor de &quot;MOTO&quot; notablemente superior.&#10;&#10;Descripción generada automáticamente">
          <a:extLst>
            <a:ext uri="{FF2B5EF4-FFF2-40B4-BE49-F238E27FC236}">
              <a16:creationId xmlns:a16="http://schemas.microsoft.com/office/drawing/2014/main" id="{8B125520-682F-E4BF-47F1-5A748F3249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167640</xdr:rowOff>
    </xdr:from>
    <xdr:to>
      <xdr:col>5</xdr:col>
      <xdr:colOff>998220</xdr:colOff>
      <xdr:row>24</xdr:row>
      <xdr:rowOff>15240</xdr:rowOff>
    </xdr:to>
    <xdr:graphicFrame macro="">
      <xdr:nvGraphicFramePr>
        <xdr:cNvPr id="2" name="Gráfico 1" descr="Tipo de gráfico: Barras agrupadas. &quot;EDAD_LESIONADOS_CONDUCTOR_1&quot; por &quot;SOLO_DAÑOS&quot; y &quot;Franja_Horaria&quot;&#10;&#10;Descripción generada automáticamente">
          <a:extLst>
            <a:ext uri="{FF2B5EF4-FFF2-40B4-BE49-F238E27FC236}">
              <a16:creationId xmlns:a16="http://schemas.microsoft.com/office/drawing/2014/main" id="{98467D59-4056-B5C7-C1E6-AD025F96A8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cantor" refreshedDate="45987.667883217589" createdVersion="8" refreshedVersion="8" minRefreshableVersion="3" recordCount="28" xr:uid="{84C81EF9-C51F-4295-B38A-39AC0C52638B}">
  <cacheSource type="worksheet">
    <worksheetSource ref="A1:E29" sheet="Hoja11"/>
  </cacheSource>
  <cacheFields count="5">
    <cacheField name="Descripcion Hipotesis" numFmtId="0">
      <sharedItems count="28">
        <s v="Adelantar cerrando."/>
        <s v="Adelantar en zona prohibida."/>
        <s v="Adelantar invadiendo carril de sentido contrario."/>
        <s v="Adelantar por la derecha."/>
        <s v="Arrancar sin precaución."/>
        <s v="Conducir vehículo sin adaptaciones."/>
        <s v="Cruzar sin observar."/>
        <s v="Desobedecer al agente."/>
        <s v="Desobedecer señales o normas de tránsito."/>
        <s v="Efectos físicos y psíquicos."/>
        <s v="Embriaguez aparente."/>
        <s v="Embriaguez o Sustancias alucinogenas"/>
        <s v="Exceso de velocidad"/>
        <s v="Exceso en horas de conducción."/>
        <s v="Fallas en las llantas."/>
        <s v="Girar bruscamente."/>
        <s v="Impericia en el manejo."/>
        <s v="No hacer uso de señales reflectivas o luminosas."/>
        <s v="No mantener distancia de seguridad."/>
        <s v="No respetar prelación de intersecciones o giros."/>
        <s v="No respetar prelación."/>
        <s v="Otra"/>
        <s v="Realizar giro en “U”."/>
        <s v="Recoger o dejar pasajeros sobre la calzada."/>
        <s v="Semáforo en rojo."/>
        <s v="SIN INFORMACIÓN"/>
        <s v="Transitar distante de la acera u orilla de la calzada."/>
        <s v="Transitar en contravía."/>
      </sharedItems>
    </cacheField>
    <cacheField name="FALLECIDO" numFmtId="0">
      <sharedItems containsString="0" containsBlank="1" containsNumber="1" containsInteger="1" minValue="1" maxValue="22"/>
    </cacheField>
    <cacheField name="LESIONADO" numFmtId="0">
      <sharedItems containsString="0" containsBlank="1" containsNumber="1" containsInteger="1" minValue="1" maxValue="45"/>
    </cacheField>
    <cacheField name="SOLO DAÑO" numFmtId="0">
      <sharedItems containsString="0" containsBlank="1" containsNumber="1" containsInteger="1" minValue="1" maxValue="11"/>
    </cacheField>
    <cacheField name="Total general" numFmtId="0">
      <sharedItems containsString="0" containsBlank="1" containsNumber="1" containsInteger="1" minValue="1" maxValue="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cantor" refreshedDate="45987.701544791664" createdVersion="8" refreshedVersion="8" minRefreshableVersion="3" recordCount="1117" xr:uid="{325C190F-FF8D-406C-993E-13CAB4A7CCDB}">
  <cacheSource type="worksheet">
    <worksheetSource name="Tabla1"/>
  </cacheSource>
  <cacheFields count="44">
    <cacheField name="ID" numFmtId="0">
      <sharedItems containsSemiMixedTypes="0" containsString="0" containsNumber="1" containsInteger="1" minValue="1" maxValue="1118"/>
    </cacheField>
    <cacheField name="SOLO_DAÑOS" numFmtId="0">
      <sharedItems containsSemiMixedTypes="0" containsString="0" containsNumber="1" containsInteger="1" minValue="0" maxValue="1" count="2">
        <n v="0"/>
        <n v="1"/>
      </sharedItems>
    </cacheField>
    <cacheField name="LESIONADOS" numFmtId="0">
      <sharedItems containsSemiMixedTypes="0" containsString="0" containsNumber="1" containsInteger="1" minValue="0" maxValue="5"/>
    </cacheField>
    <cacheField name="MUERTOS" numFmtId="0">
      <sharedItems containsSemiMixedTypes="0" containsString="0" containsNumber="1" containsInteger="1" minValue="0" maxValue="2"/>
    </cacheField>
    <cacheField name="GRAVEDAD" numFmtId="0">
      <sharedItems count="3">
        <s v="LESIONADO"/>
        <s v="SOLO DAÑO"/>
        <s v="FALLECIDO"/>
      </sharedItems>
    </cacheField>
    <cacheField name="DIRECCION_" numFmtId="0">
      <sharedItems/>
    </cacheField>
    <cacheField name="LATITUD" numFmtId="0">
      <sharedItems containsMixedTypes="1" containsNumber="1" minValue="5.0691360000000003" maxValue="5.495338888888889"/>
    </cacheField>
    <cacheField name="LONGITUD" numFmtId="0">
      <sharedItems containsMixedTypes="1" containsNumber="1" minValue="-72.520014799999998" maxValue="-72.064522222222223"/>
    </cacheField>
    <cacheField name="COMUNA" numFmtId="0">
      <sharedItems/>
    </cacheField>
    <cacheField name="AREA" numFmtId="0">
      <sharedItems/>
    </cacheField>
    <cacheField name="AÑO" numFmtId="0">
      <sharedItems count="4">
        <s v="2022"/>
        <s v="2023"/>
        <s v="2025"/>
        <s v="2024"/>
      </sharedItems>
    </cacheField>
    <cacheField name="MES" numFmtId="0">
      <sharedItems/>
    </cacheField>
    <cacheField name="FECHA" numFmtId="14">
      <sharedItems containsSemiMixedTypes="0" containsNonDate="0" containsDate="1" containsString="0" minDate="2022-01-01T00:00:00" maxDate="2025-10-08T00:00:00"/>
    </cacheField>
    <cacheField name="DIA_DE_LA_SEMANA_" numFmtId="0">
      <sharedItems count="7">
        <s v="VIERNES"/>
        <s v="JUEVES"/>
        <s v="DOMINGO"/>
        <s v="MIÉRCOLES"/>
        <s v="LUNES"/>
        <s v="SÁBADO"/>
        <s v="MARTES"/>
      </sharedItems>
    </cacheField>
    <cacheField name="HORA_ACCIDENTE" numFmtId="171">
      <sharedItems containsSemiMixedTypes="0" containsNonDate="0" containsDate="1" containsString="0" minDate="1899-12-30T00:00:00" maxDate="1907-07-08T00:00:00"/>
    </cacheField>
    <cacheField name="VEHICULOS_ACCIDENTADOS" numFmtId="0">
      <sharedItems/>
    </cacheField>
    <cacheField name="VEHICULOS_ACCIDENTADOS2" numFmtId="0">
      <sharedItems containsBlank="1"/>
    </cacheField>
    <cacheField name="MOTO" numFmtId="0">
      <sharedItems containsSemiMixedTypes="0" containsString="0" containsNumber="1" containsInteger="1" minValue="0" maxValue="2"/>
    </cacheField>
    <cacheField name="MOTO_CARRO" numFmtId="0">
      <sharedItems containsSemiMixedTypes="0" containsString="0" containsNumber="1" containsInteger="1" minValue="0" maxValue="1"/>
    </cacheField>
    <cacheField name="AUTOMOVIL" numFmtId="0">
      <sharedItems containsSemiMixedTypes="0" containsString="0" containsNumber="1" containsInteger="1" minValue="0" maxValue="2"/>
    </cacheField>
    <cacheField name="CAMPERO" numFmtId="0">
      <sharedItems containsSemiMixedTypes="0" containsString="0" containsNumber="1" containsInteger="1" minValue="0" maxValue="1"/>
    </cacheField>
    <cacheField name="CAMIONETA" numFmtId="0">
      <sharedItems containsSemiMixedTypes="0" containsString="0" containsNumber="1" containsInteger="1" minValue="0" maxValue="2"/>
    </cacheField>
    <cacheField name="MICROBUS" numFmtId="0">
      <sharedItems containsSemiMixedTypes="0" containsString="0" containsNumber="1" containsInteger="1" minValue="0" maxValue="1"/>
    </cacheField>
    <cacheField name="BUS" numFmtId="0">
      <sharedItems containsSemiMixedTypes="0" containsString="0" containsNumber="1" containsInteger="1" minValue="0" maxValue="1"/>
    </cacheField>
    <cacheField name="BUSETA" numFmtId="0">
      <sharedItems containsSemiMixedTypes="0" containsString="0" containsNumber="1" containsInteger="1" minValue="0" maxValue="1"/>
    </cacheField>
    <cacheField name="CAMION" numFmtId="0">
      <sharedItems containsSemiMixedTypes="0" containsString="0" containsNumber="1" containsInteger="1" minValue="0" maxValue="2"/>
    </cacheField>
    <cacheField name="TRACTOCAMION" numFmtId="0">
      <sharedItems containsSemiMixedTypes="0" containsString="0" containsNumber="1" containsInteger="1" minValue="0" maxValue="1"/>
    </cacheField>
    <cacheField name="VOLQUETA" numFmtId="0">
      <sharedItems containsSemiMixedTypes="0" containsString="0" containsNumber="1" containsInteger="1" minValue="0" maxValue="1"/>
    </cacheField>
    <cacheField name="BICICLETA" numFmtId="0">
      <sharedItems containsSemiMixedTypes="0" containsString="0" containsNumber="1" containsInteger="1" minValue="0" maxValue="1"/>
    </cacheField>
    <cacheField name="GENERO_MASCULINO" numFmtId="0">
      <sharedItems containsBlank="1"/>
    </cacheField>
    <cacheField name="GENERO_FEMENINO" numFmtId="0">
      <sharedItems containsBlank="1"/>
    </cacheField>
    <cacheField name="MASCULINO" numFmtId="0">
      <sharedItems containsSemiMixedTypes="0" containsString="0" containsNumber="1" containsInteger="1" minValue="0" maxValue="2"/>
    </cacheField>
    <cacheField name="FEMENINO" numFmtId="0">
      <sharedItems containsSemiMixedTypes="0" containsString="0" containsNumber="1" containsInteger="1" minValue="0" maxValue="2"/>
    </cacheField>
    <cacheField name="EDAD_LESIONADOS_CONDUCTOR_1" numFmtId="0">
      <sharedItems containsString="0" containsBlank="1" containsNumber="1" containsInteger="1" minValue="10" maxValue="82"/>
    </cacheField>
    <cacheField name="EDAD_LESIONADOS_CONDUCTOR_2" numFmtId="0">
      <sharedItems containsString="0" containsBlank="1" containsNumber="1" containsInteger="1" minValue="0" maxValue="80"/>
    </cacheField>
    <cacheField name="EDAD_LESIONADOS_PASAJERO" numFmtId="0">
      <sharedItems containsString="0" containsBlank="1" containsNumber="1" containsInteger="1" minValue="0" maxValue="69"/>
    </cacheField>
    <cacheField name="EDAD_LESIONADOS_PEATON" numFmtId="1">
      <sharedItems containsString="0" containsBlank="1" containsNumber="1" containsInteger="1" minValue="0" maxValue="77"/>
    </cacheField>
    <cacheField name="EDAD_LESIONADO_ACOMÁÑANTE" numFmtId="1">
      <sharedItems containsString="0" containsBlank="1" containsNumber="1" minValue="0.4" maxValue="59"/>
    </cacheField>
    <cacheField name="EDAD_MUERTO" numFmtId="0">
      <sharedItems containsBlank="1" containsMixedTypes="1" containsNumber="1" containsInteger="1" minValue="15" maxValue="76"/>
    </cacheField>
    <cacheField name="HIPOTESIS_1" numFmtId="1">
      <sharedItems containsSemiMixedTypes="0" containsString="0" containsNumber="1" containsInteger="1" minValue="1" maxValue="411"/>
    </cacheField>
    <cacheField name="Descripcion_Hipotesis" numFmtId="0">
      <sharedItems count="47">
        <s v="Impericia en el manejo."/>
        <s v="Otra"/>
        <s v="Girar bruscamente."/>
        <s v="SIN INFORMACIÓN"/>
        <s v="Desobedecer señales o normas de tránsito."/>
        <s v="Embriaguez aparente."/>
        <s v="Fallas en las llantas."/>
        <s v="No mantener distancia de seguridad."/>
        <s v="Adelantar cerrando."/>
        <s v="Adelantar invadiendo carril de sentido contrario."/>
        <s v="Arrancar sin precaución."/>
        <s v="Transitar distante de la acera u orilla de la calzada."/>
        <s v="Embriaguez o Sustancias alucinogenas"/>
        <s v="No respetar prelación."/>
        <s v="Exceso de velocidad"/>
        <s v="Efectos físicos y psíquicos."/>
        <s v="Semáforo en rojo."/>
        <s v="Desobedecer al agente."/>
        <s v="Transitar en contravía."/>
        <s v="Cruzar sin observar."/>
        <s v="No hacer uso de señales reflectivas o luminosas."/>
        <s v="No respetar prelación de intersecciones o giros."/>
        <s v="Cruzar en estado de embriaguez."/>
        <s v="Dejar obstáculos en la vía."/>
        <s v="Reverso imprudente."/>
        <s v="Adelantar invadiendo carril del mismo sentido en ZigZag"/>
        <s v="Conducir vehículo sin adaptaciones."/>
        <s v="Transitar por la calzada."/>
        <s v="Vehículo mal estacionado."/>
        <s v="Adelantar por la derecha."/>
        <s v="Huecos."/>
        <s v="Recoger o dejar pasajeros sobre la calzada."/>
        <s v="Poner en marcha un vehículo sin precauciones."/>
        <s v="Falta de mantenimiento mecánico."/>
        <s v="Transportar otra persona o cosas."/>
        <s v="Transitar con puertas abiertas."/>
        <s v="Realizar giro en “U”."/>
        <s v="Pasajeros obstruyendo al conductor o sobrecupo."/>
        <s v="Exceso en horas de conducción."/>
        <s v="Falta de señales en vehículo varado"/>
        <s v="Pararse sobre la calzada."/>
        <s v="Superficie húmeda."/>
        <s v="Fallas en el sistema eléctrico."/>
        <s v="Transportar pasajeros en parte exterior."/>
        <s v="Adelantar en zona prohibida."/>
        <s v="Fallas en los frenos."/>
        <s v="Estacionar sin seguridad."/>
      </sharedItems>
    </cacheField>
    <cacheField name="HIPOTESIS_2" numFmtId="0">
      <sharedItems containsBlank="1" containsMixedTypes="1" containsNumber="1" containsInteger="1" minValue="90" maxValue="411"/>
    </cacheField>
    <cacheField name="Descripcion_Hipotesis2" numFmtId="0">
      <sharedItems/>
    </cacheField>
    <cacheField name="Franja_Horaria" numFmtId="0">
      <sharedItems count="3">
        <s v="NOCHE"/>
        <s v="TARDE"/>
        <s v="MAÑAN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m/>
    <n v="1"/>
    <m/>
    <n v="1"/>
  </r>
  <r>
    <x v="1"/>
    <m/>
    <n v="2"/>
    <m/>
    <n v="2"/>
  </r>
  <r>
    <x v="2"/>
    <n v="1"/>
    <n v="1"/>
    <n v="1"/>
    <n v="3"/>
  </r>
  <r>
    <x v="3"/>
    <m/>
    <n v="1"/>
    <m/>
    <n v="1"/>
  </r>
  <r>
    <x v="4"/>
    <m/>
    <n v="1"/>
    <m/>
    <n v="1"/>
  </r>
  <r>
    <x v="5"/>
    <m/>
    <n v="1"/>
    <m/>
    <n v="1"/>
  </r>
  <r>
    <x v="6"/>
    <m/>
    <m/>
    <n v="1"/>
    <n v="1"/>
  </r>
  <r>
    <x v="7"/>
    <n v="1"/>
    <m/>
    <m/>
    <n v="1"/>
  </r>
  <r>
    <x v="8"/>
    <n v="2"/>
    <n v="23"/>
    <n v="5"/>
    <n v="30"/>
  </r>
  <r>
    <x v="9"/>
    <n v="1"/>
    <m/>
    <m/>
    <n v="1"/>
  </r>
  <r>
    <x v="10"/>
    <n v="9"/>
    <n v="10"/>
    <n v="5"/>
    <n v="24"/>
  </r>
  <r>
    <x v="11"/>
    <n v="1"/>
    <n v="7"/>
    <n v="10"/>
    <n v="18"/>
  </r>
  <r>
    <x v="12"/>
    <n v="2"/>
    <n v="2"/>
    <n v="2"/>
    <n v="6"/>
  </r>
  <r>
    <x v="13"/>
    <m/>
    <m/>
    <n v="1"/>
    <n v="1"/>
  </r>
  <r>
    <x v="14"/>
    <m/>
    <m/>
    <n v="1"/>
    <n v="1"/>
  </r>
  <r>
    <x v="15"/>
    <n v="2"/>
    <n v="6"/>
    <n v="2"/>
    <n v="10"/>
  </r>
  <r>
    <x v="16"/>
    <n v="22"/>
    <n v="45"/>
    <n v="7"/>
    <n v="74"/>
  </r>
  <r>
    <x v="17"/>
    <m/>
    <m/>
    <n v="1"/>
    <n v="1"/>
  </r>
  <r>
    <x v="18"/>
    <m/>
    <n v="7"/>
    <n v="3"/>
    <n v="10"/>
  </r>
  <r>
    <x v="19"/>
    <m/>
    <n v="3"/>
    <m/>
    <n v="3"/>
  </r>
  <r>
    <x v="20"/>
    <n v="1"/>
    <n v="10"/>
    <n v="1"/>
    <n v="12"/>
  </r>
  <r>
    <x v="21"/>
    <n v="6"/>
    <n v="29"/>
    <n v="11"/>
    <n v="46"/>
  </r>
  <r>
    <x v="22"/>
    <m/>
    <n v="1"/>
    <m/>
    <n v="1"/>
  </r>
  <r>
    <x v="23"/>
    <m/>
    <n v="1"/>
    <n v="1"/>
    <n v="2"/>
  </r>
  <r>
    <x v="24"/>
    <m/>
    <n v="4"/>
    <n v="1"/>
    <n v="5"/>
  </r>
  <r>
    <x v="25"/>
    <m/>
    <m/>
    <m/>
    <m/>
  </r>
  <r>
    <x v="26"/>
    <m/>
    <n v="1"/>
    <n v="2"/>
    <n v="3"/>
  </r>
  <r>
    <x v="27"/>
    <m/>
    <n v="5"/>
    <m/>
    <n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7">
  <r>
    <n v="196"/>
    <x v="0"/>
    <n v="1"/>
    <n v="0"/>
    <x v="0"/>
    <s v=" CARRERA 14A DIAGONAL 47"/>
    <n v="5.3144972222222222"/>
    <n v="-72.394402777777785"/>
    <s v="MOVILIDAD"/>
    <s v="URBANO"/>
    <x v="0"/>
    <s v="MAYO"/>
    <d v="2022-05-27T00:00:00"/>
    <x v="0"/>
    <d v="1899-12-30T18:3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16"/>
    <m/>
    <m/>
    <m/>
    <m/>
    <m/>
    <n v="139"/>
    <x v="0"/>
    <n v="93"/>
    <s v="Transitar distante de la acera u orilla de la calzada."/>
    <x v="0"/>
  </r>
  <r>
    <n v="489"/>
    <x v="0"/>
    <n v="1"/>
    <n v="0"/>
    <x v="0"/>
    <s v=" CARRERA 15A  CALLE 36 "/>
    <n v="5.3240547222222219"/>
    <n v="-72.392741388888894"/>
    <s v="MOVILIDAD"/>
    <s v="URBANO"/>
    <x v="1"/>
    <s v="MAYO"/>
    <d v="2023-05-25T00:00:00"/>
    <x v="1"/>
    <d v="1899-12-30T17:30:00"/>
    <s v="MOTOCICLETA"/>
    <s v="BICICLETA"/>
    <n v="1"/>
    <n v="0"/>
    <n v="0"/>
    <n v="0"/>
    <n v="0"/>
    <n v="0"/>
    <n v="0"/>
    <n v="0"/>
    <n v="0"/>
    <n v="0"/>
    <n v="0"/>
    <n v="1"/>
    <s v="MASCULINO"/>
    <m/>
    <n v="1"/>
    <n v="0"/>
    <n v="27"/>
    <m/>
    <m/>
    <m/>
    <m/>
    <m/>
    <n v="139"/>
    <x v="0"/>
    <m/>
    <s v=""/>
    <x v="1"/>
  </r>
  <r>
    <n v="938"/>
    <x v="1"/>
    <n v="0"/>
    <n v="0"/>
    <x v="1"/>
    <s v=" CARRERA 21 CALLE 27"/>
    <n v="5.3337779999999997"/>
    <n v="-72.391773999999998"/>
    <s v="MOVILIDAD"/>
    <s v="URBANO"/>
    <x v="2"/>
    <s v="ABRIL"/>
    <d v="2025-04-13T00:00:00"/>
    <x v="2"/>
    <d v="1899-12-30T14:40:00"/>
    <s v="MOTOCICLETA"/>
    <s v="MOTOCICLETA"/>
    <n v="2"/>
    <n v="0"/>
    <n v="0"/>
    <n v="0"/>
    <n v="0"/>
    <n v="0"/>
    <n v="0"/>
    <n v="0"/>
    <n v="0"/>
    <n v="0"/>
    <n v="0"/>
    <n v="0"/>
    <s v="MASCULINO"/>
    <s v="MASCULINO"/>
    <n v="2"/>
    <n v="0"/>
    <n v="64"/>
    <n v="26"/>
    <n v="37"/>
    <m/>
    <m/>
    <m/>
    <n v="157"/>
    <x v="1"/>
    <n v="112"/>
    <s v="Desobedecer señales o normas de tránsito."/>
    <x v="1"/>
  </r>
  <r>
    <n v="626"/>
    <x v="0"/>
    <n v="1"/>
    <n v="0"/>
    <x v="0"/>
    <s v=" CARRERA 23 # 40 "/>
    <n v="5.3246861111111112"/>
    <n v="-72.384172222222233"/>
    <s v="MOVILIDAD"/>
    <s v="URBANO"/>
    <x v="1"/>
    <s v="DICIEMBRE"/>
    <d v="2023-12-06T00:00:00"/>
    <x v="3"/>
    <d v="1899-12-30T07:15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26"/>
    <m/>
    <m/>
    <m/>
    <m/>
    <m/>
    <n v="139"/>
    <x v="0"/>
    <n v="112"/>
    <s v="Desobedecer señales o normas de tránsito."/>
    <x v="2"/>
  </r>
  <r>
    <n v="629"/>
    <x v="0"/>
    <n v="1"/>
    <n v="0"/>
    <x v="0"/>
    <s v=" CARRERA 23 # 40 "/>
    <n v="5.3246861111111112"/>
    <n v="-72.384172222222233"/>
    <s v="MOVILIDAD"/>
    <s v="URBANO"/>
    <x v="1"/>
    <s v="DICIEMBRE"/>
    <d v="2023-12-11T00:00:00"/>
    <x v="4"/>
    <d v="1899-12-30T06:15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24"/>
    <m/>
    <m/>
    <m/>
    <m/>
    <m/>
    <n v="122"/>
    <x v="2"/>
    <n v="102"/>
    <s v="Adelantar por la derecha."/>
    <x v="2"/>
  </r>
  <r>
    <n v="697"/>
    <x v="0"/>
    <n v="0"/>
    <n v="1"/>
    <x v="2"/>
    <s v=" CARRERA 27 # CALLE 35 "/>
    <n v="5.331630555555555"/>
    <n v="-72.381688888888888"/>
    <s v="MOVILIDAD"/>
    <s v="URBANO"/>
    <x v="3"/>
    <s v="ABRIL"/>
    <d v="2024-04-21T00:00:00"/>
    <x v="2"/>
    <d v="1899-12-30T03:2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m/>
    <m/>
    <m/>
    <m/>
    <m/>
    <m/>
    <n v="1"/>
    <x v="3"/>
    <m/>
    <s v=""/>
    <x v="2"/>
  </r>
  <r>
    <n v="349"/>
    <x v="0"/>
    <n v="1"/>
    <n v="0"/>
    <x v="0"/>
    <s v=" CARRERA 27C # CALLE 35"/>
    <n v="5.331083333333333"/>
    <n v="-72.382130555555548"/>
    <s v="MOVILIDAD"/>
    <s v="URBANO"/>
    <x v="0"/>
    <s v="NOVIEMBRE"/>
    <d v="2022-11-04T00:00:00"/>
    <x v="0"/>
    <d v="1899-12-30T17:30:00"/>
    <s v="MOTOCICLETA"/>
    <s v="MOTOCICLETA"/>
    <n v="2"/>
    <n v="0"/>
    <n v="0"/>
    <n v="0"/>
    <n v="0"/>
    <n v="0"/>
    <n v="0"/>
    <n v="0"/>
    <n v="0"/>
    <n v="0"/>
    <n v="0"/>
    <n v="0"/>
    <m/>
    <s v="FEMENINO"/>
    <n v="0"/>
    <n v="1"/>
    <n v="43"/>
    <m/>
    <m/>
    <m/>
    <m/>
    <m/>
    <n v="112"/>
    <x v="4"/>
    <n v="139"/>
    <s v="Impericia en el manejo."/>
    <x v="1"/>
  </r>
  <r>
    <n v="587"/>
    <x v="0"/>
    <n v="4"/>
    <n v="0"/>
    <x v="0"/>
    <s v=" CARRERA 40 CALLE 40"/>
    <n v="5.3348411111111105"/>
    <n v="-72.372863055555555"/>
    <s v="MOVILIDAD"/>
    <s v="URBANO"/>
    <x v="1"/>
    <s v="OCTUBRE"/>
    <d v="2023-10-29T00:00:00"/>
    <x v="2"/>
    <d v="1899-12-30T14:30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n v="16"/>
    <n v="28"/>
    <m/>
    <m/>
    <n v="17"/>
    <m/>
    <n v="139"/>
    <x v="0"/>
    <n v="112"/>
    <s v="Desobedecer señales o normas de tránsito."/>
    <x v="1"/>
  </r>
  <r>
    <n v="905"/>
    <x v="0"/>
    <n v="2"/>
    <n v="0"/>
    <x v="0"/>
    <s v=" CARRERA 40D CALLE 40"/>
    <n v="5.3348411111111105"/>
    <n v="-72.372863055555555"/>
    <s v="MOVILIDAD"/>
    <s v="URBANO"/>
    <x v="2"/>
    <s v="MARZO"/>
    <d v="2025-03-16T00:00:00"/>
    <x v="2"/>
    <d v="1899-12-30T16:00:00"/>
    <s v="MOTOCICLETA"/>
    <s v="MOTOCICLETA"/>
    <n v="2"/>
    <n v="0"/>
    <n v="0"/>
    <n v="0"/>
    <n v="0"/>
    <n v="0"/>
    <n v="0"/>
    <n v="0"/>
    <n v="0"/>
    <n v="0"/>
    <n v="0"/>
    <n v="0"/>
    <s v="MASCULINO"/>
    <s v="MASCULINO"/>
    <n v="2"/>
    <n v="0"/>
    <n v="41"/>
    <n v="43"/>
    <m/>
    <m/>
    <m/>
    <m/>
    <n v="157"/>
    <x v="1"/>
    <m/>
    <s v=""/>
    <x v="1"/>
  </r>
  <r>
    <n v="514"/>
    <x v="0"/>
    <n v="1"/>
    <n v="0"/>
    <x v="0"/>
    <s v=" CARRERA9A OESTE CALLE 60"/>
    <n v="5.3037174999999994"/>
    <n v="-72.419971944444455"/>
    <s v="MOVILIDAD"/>
    <s v="URBANO"/>
    <x v="1"/>
    <s v="JUNIO"/>
    <d v="2023-06-23T00:00:00"/>
    <x v="0"/>
    <d v="1899-12-30T21:00:00"/>
    <s v="AUTOMOVIL"/>
    <m/>
    <n v="0"/>
    <n v="0"/>
    <n v="1"/>
    <n v="0"/>
    <n v="0"/>
    <n v="0"/>
    <n v="0"/>
    <n v="0"/>
    <n v="0"/>
    <n v="0"/>
    <n v="0"/>
    <n v="0"/>
    <s v="MASCULINO"/>
    <m/>
    <n v="1"/>
    <n v="0"/>
    <m/>
    <m/>
    <m/>
    <n v="20"/>
    <m/>
    <m/>
    <n v="114"/>
    <x v="5"/>
    <m/>
    <s v=""/>
    <x v="0"/>
  </r>
  <r>
    <n v="606"/>
    <x v="0"/>
    <n v="0"/>
    <n v="1"/>
    <x v="2"/>
    <s v=" DIAGONAL 46 CALLE 47 "/>
    <n v="5.312180555555555"/>
    <n v="-72.397455555555567"/>
    <s v="MOVILIDAD"/>
    <s v="URBANO"/>
    <x v="1"/>
    <s v="NOVIEMBRE"/>
    <d v="2023-11-11T00:00:00"/>
    <x v="5"/>
    <d v="1899-12-30T14:30:00"/>
    <s v="MOTOCICLETA"/>
    <s v="VOLQUETA"/>
    <n v="1"/>
    <n v="0"/>
    <n v="0"/>
    <n v="0"/>
    <n v="0"/>
    <n v="0"/>
    <n v="0"/>
    <n v="0"/>
    <n v="0"/>
    <n v="0"/>
    <n v="1"/>
    <n v="0"/>
    <s v="MASCULINO"/>
    <s v="FEMENINO"/>
    <n v="1"/>
    <n v="1"/>
    <m/>
    <m/>
    <m/>
    <m/>
    <m/>
    <n v="28"/>
    <n v="139"/>
    <x v="0"/>
    <n v="114"/>
    <s v="Embriaguez aparente."/>
    <x v="1"/>
  </r>
  <r>
    <n v="894"/>
    <x v="0"/>
    <n v="0"/>
    <n v="1"/>
    <x v="2"/>
    <s v=" KM 97 +480 LA GUAFILLA"/>
    <n v="5.3036380000000003"/>
    <n v="-72.445944999999995"/>
    <s v="DITRA"/>
    <s v="RURAL"/>
    <x v="2"/>
    <s v="MARZO"/>
    <d v="2025-03-09T00:00:00"/>
    <x v="2"/>
    <d v="1899-12-30T00:55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41"/>
    <m/>
    <m/>
    <m/>
    <m/>
    <m/>
    <n v="139"/>
    <x v="0"/>
    <m/>
    <s v=""/>
    <x v="2"/>
  </r>
  <r>
    <n v="708"/>
    <x v="0"/>
    <n v="2"/>
    <n v="0"/>
    <x v="0"/>
    <s v=" KM. 9 VEREDA LA VEGA YOPAL- MORRO"/>
    <n v="5.4157994444444446"/>
    <n v="-72.44314833333334"/>
    <s v="MOVILIDAD"/>
    <s v="RURAL"/>
    <x v="3"/>
    <s v="MAYO"/>
    <d v="2024-05-12T00:00:00"/>
    <x v="2"/>
    <d v="1899-12-30T18:00:00"/>
    <s v="MOTOCICLETA"/>
    <s v="BICICLETA"/>
    <n v="1"/>
    <n v="0"/>
    <n v="0"/>
    <n v="0"/>
    <n v="0"/>
    <n v="0"/>
    <n v="0"/>
    <n v="0"/>
    <n v="0"/>
    <n v="0"/>
    <n v="0"/>
    <n v="1"/>
    <s v="MASCULINO"/>
    <m/>
    <n v="1"/>
    <n v="0"/>
    <n v="23"/>
    <n v="62"/>
    <m/>
    <m/>
    <m/>
    <m/>
    <n v="114"/>
    <x v="5"/>
    <m/>
    <s v=""/>
    <x v="0"/>
  </r>
  <r>
    <n v="413"/>
    <x v="0"/>
    <n v="0"/>
    <n v="1"/>
    <x v="2"/>
    <s v="84+050 MONTERREY YOPAL "/>
    <n v="5.2044239000000001"/>
    <n v="-72.520014799999998"/>
    <s v="DITRA"/>
    <s v="RURAL"/>
    <x v="1"/>
    <s v="FEBRERO"/>
    <d v="2023-02-05T00:00:00"/>
    <x v="2"/>
    <d v="1899-12-30T22:07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m/>
    <m/>
    <m/>
    <m/>
    <m/>
    <m/>
    <n v="201"/>
    <x v="6"/>
    <m/>
    <s v=""/>
    <x v="0"/>
  </r>
  <r>
    <n v="414"/>
    <x v="0"/>
    <n v="0"/>
    <n v="1"/>
    <x v="2"/>
    <s v="89+860 MONTERREY YOPAL "/>
    <n v="5.2463189000000003"/>
    <n v="-72.488079999999997"/>
    <s v="DITRA"/>
    <s v="RURAL"/>
    <x v="1"/>
    <s v="FEBRERO"/>
    <d v="2023-02-18T00:00:00"/>
    <x v="5"/>
    <d v="1899-12-30T12:25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m/>
    <m/>
    <m/>
    <m/>
    <m/>
    <m/>
    <n v="157"/>
    <x v="1"/>
    <m/>
    <s v=""/>
    <x v="1"/>
  </r>
  <r>
    <n v="563"/>
    <x v="0"/>
    <n v="1"/>
    <n v="0"/>
    <x v="0"/>
    <s v="AVENIDA LA CULTURA # 10 - 62 "/>
    <n v="5.3355380555555554"/>
    <n v="-72.405320000000003"/>
    <s v="MOVILIDAD"/>
    <s v="URBANO"/>
    <x v="1"/>
    <s v="SEPTIEMBRE"/>
    <d v="2023-09-26T00:00:00"/>
    <x v="6"/>
    <d v="1899-12-30T13:0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19"/>
    <m/>
    <m/>
    <m/>
    <m/>
    <m/>
    <n v="121"/>
    <x v="7"/>
    <n v="122"/>
    <s v="Girar bruscamente."/>
    <x v="1"/>
  </r>
  <r>
    <n v="73"/>
    <x v="0"/>
    <n v="2"/>
    <n v="0"/>
    <x v="0"/>
    <s v="AVENIDA LA CULTURA # 10 - 62 "/>
    <n v="5.3355380555555554"/>
    <n v="-72.405320000000003"/>
    <s v="MOVILIDAD"/>
    <s v="URBANO"/>
    <x v="0"/>
    <s v="MARZO"/>
    <d v="2022-03-04T00:00:00"/>
    <x v="0"/>
    <d v="1899-12-30T23:07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n v="16"/>
    <m/>
    <m/>
    <m/>
    <n v="12"/>
    <m/>
    <n v="103"/>
    <x v="8"/>
    <n v="139"/>
    <s v="Impericia en el manejo."/>
    <x v="0"/>
  </r>
  <r>
    <n v="1020"/>
    <x v="0"/>
    <n v="1"/>
    <n v="1"/>
    <x v="2"/>
    <s v="AVENIDA MARGINAL CALLE 9 No 13 B-90"/>
    <n v="5.3397639999999997"/>
    <n v="-72.405540000000002"/>
    <s v="MOVILIDAD"/>
    <s v="URBANO"/>
    <x v="2"/>
    <s v="JULIO"/>
    <d v="2025-07-26T00:00:00"/>
    <x v="5"/>
    <d v="1899-12-30T19:57:00"/>
    <s v="MOTOCICLETA"/>
    <s v="MOTOCICLETA"/>
    <n v="2"/>
    <n v="0"/>
    <n v="0"/>
    <n v="0"/>
    <n v="0"/>
    <n v="0"/>
    <n v="0"/>
    <n v="0"/>
    <n v="0"/>
    <n v="0"/>
    <n v="0"/>
    <n v="0"/>
    <s v="MASCULINO"/>
    <s v="MASCULINO"/>
    <n v="2"/>
    <n v="0"/>
    <n v="24"/>
    <n v="29"/>
    <m/>
    <m/>
    <m/>
    <m/>
    <n v="104"/>
    <x v="9"/>
    <n v="139"/>
    <s v="Impericia en el manejo."/>
    <x v="0"/>
  </r>
  <r>
    <n v="941"/>
    <x v="0"/>
    <n v="0"/>
    <n v="1"/>
    <x v="2"/>
    <s v="BARRIO LA ESMERALDA"/>
    <n v="5.3096829999999997"/>
    <n v="-72.389156999999997"/>
    <s v="MOVILIDAD"/>
    <s v="RURAL"/>
    <x v="2"/>
    <s v="ABRIL"/>
    <d v="2025-04-20T00:00:00"/>
    <x v="2"/>
    <d v="1899-12-30T15:00:00"/>
    <s v="MOTOCICLETA"/>
    <m/>
    <n v="1"/>
    <n v="0"/>
    <n v="0"/>
    <n v="0"/>
    <n v="0"/>
    <n v="0"/>
    <n v="0"/>
    <n v="0"/>
    <n v="0"/>
    <n v="0"/>
    <n v="0"/>
    <n v="0"/>
    <m/>
    <m/>
    <n v="0"/>
    <n v="0"/>
    <m/>
    <m/>
    <m/>
    <m/>
    <m/>
    <m/>
    <n v="139"/>
    <x v="0"/>
    <m/>
    <s v=""/>
    <x v="1"/>
  </r>
  <r>
    <n v="54"/>
    <x v="0"/>
    <n v="2"/>
    <n v="0"/>
    <x v="0"/>
    <s v="CALLE 10  # 22-28"/>
    <n v="5.3479749999999999"/>
    <n v="-72.397802777777784"/>
    <s v="MOVILIDAD"/>
    <s v="URBANO"/>
    <x v="0"/>
    <s v="FEBRERO"/>
    <d v="2022-02-14T00:00:00"/>
    <x v="4"/>
    <d v="1899-12-30T15:00:00"/>
    <s v="MOTOCICLETA"/>
    <s v="AUTOMOVIL"/>
    <n v="1"/>
    <n v="0"/>
    <n v="1"/>
    <n v="0"/>
    <n v="0"/>
    <n v="0"/>
    <n v="0"/>
    <n v="0"/>
    <n v="0"/>
    <n v="0"/>
    <n v="0"/>
    <n v="0"/>
    <s v="MASCULINO"/>
    <s v="FEMENINO"/>
    <n v="1"/>
    <n v="1"/>
    <n v="29"/>
    <n v="19"/>
    <m/>
    <m/>
    <m/>
    <m/>
    <n v="157"/>
    <x v="1"/>
    <m/>
    <s v=""/>
    <x v="1"/>
  </r>
  <r>
    <n v="8"/>
    <x v="1"/>
    <n v="0"/>
    <n v="0"/>
    <x v="1"/>
    <s v="CALLE 10  # 25-20"/>
    <n v="5.349530555555555"/>
    <n v="-72.395211111111124"/>
    <s v="MOVILIDAD"/>
    <s v="URBANO"/>
    <x v="0"/>
    <s v="ENERO"/>
    <d v="2022-01-13T00:00:00"/>
    <x v="1"/>
    <d v="1899-12-30T15:30:00"/>
    <s v="AUTOMOVIL"/>
    <s v="CAMION"/>
    <n v="0"/>
    <n v="0"/>
    <n v="1"/>
    <n v="0"/>
    <n v="0"/>
    <n v="0"/>
    <n v="0"/>
    <n v="0"/>
    <n v="1"/>
    <n v="0"/>
    <n v="0"/>
    <n v="0"/>
    <m/>
    <s v="FEMENINO"/>
    <n v="0"/>
    <n v="1"/>
    <m/>
    <m/>
    <m/>
    <m/>
    <m/>
    <m/>
    <n v="145"/>
    <x v="10"/>
    <n v="157"/>
    <s v="Otra"/>
    <x v="1"/>
  </r>
  <r>
    <n v="1084"/>
    <x v="1"/>
    <n v="0"/>
    <n v="0"/>
    <x v="1"/>
    <s v="CALLE 10 # CARRERA 20"/>
    <n v="5.3467536299998404"/>
    <n v="-72.399740656997494"/>
    <s v="MOVILIDAD"/>
    <s v="URBANO"/>
    <x v="2"/>
    <s v="SEPTIEMBRE"/>
    <d v="2025-09-15T00:00:00"/>
    <x v="4"/>
    <d v="1899-12-30T19:11:00"/>
    <s v="MOTOCICLETA"/>
    <s v="BICICLETA"/>
    <n v="1"/>
    <n v="0"/>
    <n v="0"/>
    <n v="0"/>
    <n v="0"/>
    <n v="0"/>
    <n v="0"/>
    <n v="0"/>
    <n v="0"/>
    <n v="0"/>
    <n v="0"/>
    <n v="1"/>
    <s v="MASCULINO"/>
    <s v="MASCULINO"/>
    <n v="2"/>
    <n v="0"/>
    <m/>
    <m/>
    <m/>
    <m/>
    <m/>
    <m/>
    <n v="93"/>
    <x v="11"/>
    <n v="139"/>
    <s v="Impericia en el manejo."/>
    <x v="0"/>
  </r>
  <r>
    <n v="314"/>
    <x v="0"/>
    <n v="1"/>
    <n v="0"/>
    <x v="0"/>
    <s v="CALLE 11  # 31-30"/>
    <n v="5.350616944444444"/>
    <n v="-72.390874166666677"/>
    <s v="MOVILIDAD"/>
    <s v="URBANO"/>
    <x v="0"/>
    <s v="SEPTIEMBRE"/>
    <d v="2022-09-25T00:00:00"/>
    <x v="2"/>
    <d v="1899-12-30T16:20:00"/>
    <s v="MOTOCICLETA"/>
    <m/>
    <n v="1"/>
    <n v="0"/>
    <n v="0"/>
    <n v="0"/>
    <n v="0"/>
    <n v="0"/>
    <n v="0"/>
    <n v="0"/>
    <n v="0"/>
    <n v="0"/>
    <n v="0"/>
    <n v="0"/>
    <m/>
    <s v="FEMENINO"/>
    <n v="0"/>
    <n v="1"/>
    <n v="26"/>
    <m/>
    <m/>
    <m/>
    <m/>
    <m/>
    <n v="139"/>
    <x v="0"/>
    <m/>
    <s v=""/>
    <x v="1"/>
  </r>
  <r>
    <n v="1028"/>
    <x v="0"/>
    <n v="1"/>
    <n v="0"/>
    <x v="0"/>
    <s v="CALLE 11 # CARRERA 27A "/>
    <n v="5.3295339999999998"/>
    <n v="-72.401787999999996"/>
    <s v="MOVILIDAD"/>
    <s v="URBANO"/>
    <x v="2"/>
    <s v="AGOSTO"/>
    <d v="2025-08-01T00:00:00"/>
    <x v="0"/>
    <d v="1899-12-30T05:50:00"/>
    <s v="MOTOCICLETA"/>
    <s v="CAMPERO"/>
    <n v="1"/>
    <n v="0"/>
    <n v="0"/>
    <n v="1"/>
    <n v="0"/>
    <n v="0"/>
    <n v="0"/>
    <n v="0"/>
    <n v="0"/>
    <n v="0"/>
    <n v="0"/>
    <n v="0"/>
    <s v="MASCULINO"/>
    <s v="MASCULINO"/>
    <n v="2"/>
    <n v="0"/>
    <n v="35"/>
    <n v="48"/>
    <m/>
    <m/>
    <m/>
    <m/>
    <n v="115"/>
    <x v="12"/>
    <n v="139"/>
    <s v="Impericia en el manejo."/>
    <x v="2"/>
  </r>
  <r>
    <n v="267"/>
    <x v="1"/>
    <n v="0"/>
    <n v="0"/>
    <x v="1"/>
    <s v="CALLE 11 VIA MATEPAQNTANO"/>
    <n v="5.3504816666666661"/>
    <n v="-72.381289166666662"/>
    <s v="MOVILIDAD"/>
    <s v="RURAL"/>
    <x v="0"/>
    <s v="JULIO"/>
    <d v="2022-07-28T00:00:00"/>
    <x v="1"/>
    <d v="1899-12-30T12:3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m/>
    <m/>
    <m/>
    <m/>
    <m/>
    <m/>
    <n v="122"/>
    <x v="2"/>
    <m/>
    <s v=""/>
    <x v="1"/>
  </r>
  <r>
    <n v="704"/>
    <x v="0"/>
    <n v="0"/>
    <n v="1"/>
    <x v="2"/>
    <s v="CALLE 14 # CARRERA 7A VIA MIRADOR DE  LA VIRGEN"/>
    <n v="5.3430438888888885"/>
    <n v="-72.408842500000006"/>
    <s v="MOVILIDAD"/>
    <s v="URBANO"/>
    <x v="3"/>
    <s v="MAYO"/>
    <d v="2024-05-05T00:00:00"/>
    <x v="2"/>
    <d v="1899-12-30T06:40:00"/>
    <s v="MOTOCICLETA"/>
    <s v="AUTOMOVIL"/>
    <n v="1"/>
    <n v="0"/>
    <n v="1"/>
    <n v="0"/>
    <n v="0"/>
    <n v="0"/>
    <n v="0"/>
    <n v="0"/>
    <n v="0"/>
    <n v="0"/>
    <n v="0"/>
    <n v="0"/>
    <s v="MASCULINO"/>
    <s v="FEMENINO"/>
    <n v="1"/>
    <n v="1"/>
    <m/>
    <n v="23"/>
    <n v="20"/>
    <m/>
    <m/>
    <n v="52"/>
    <n v="122"/>
    <x v="2"/>
    <n v="157"/>
    <s v="Otra"/>
    <x v="2"/>
  </r>
  <r>
    <n v="42"/>
    <x v="0"/>
    <n v="1"/>
    <n v="0"/>
    <x v="0"/>
    <s v="CALLE 15  # 22-41"/>
    <n v="5.3440805555555553"/>
    <n v="-72.395466666666678"/>
    <s v="MOVILIDAD"/>
    <s v="URBANO"/>
    <x v="0"/>
    <s v="FEBRERO"/>
    <d v="2022-02-04T00:00:00"/>
    <x v="0"/>
    <d v="1899-12-30T12:30:00"/>
    <s v="MOTOCICLETA"/>
    <s v="CAMIONETA"/>
    <n v="1"/>
    <n v="0"/>
    <n v="0"/>
    <n v="0"/>
    <n v="1"/>
    <n v="0"/>
    <n v="0"/>
    <n v="0"/>
    <n v="0"/>
    <n v="0"/>
    <n v="0"/>
    <n v="0"/>
    <m/>
    <s v="FEMENINO"/>
    <n v="0"/>
    <n v="1"/>
    <n v="32"/>
    <m/>
    <m/>
    <m/>
    <m/>
    <m/>
    <n v="157"/>
    <x v="1"/>
    <m/>
    <s v=""/>
    <x v="1"/>
  </r>
  <r>
    <n v="330"/>
    <x v="0"/>
    <n v="1"/>
    <n v="0"/>
    <x v="0"/>
    <s v="CALLE 15 MARGIAL DE LA SELVA KM104"/>
    <n v="5.3417277777777779"/>
    <n v="-72.404694444444445"/>
    <s v="MOVILIDAD"/>
    <s v="URBANO"/>
    <x v="0"/>
    <s v="OCTUBRE"/>
    <d v="2022-10-11T00:00:00"/>
    <x v="6"/>
    <d v="1899-12-30T10:00:00"/>
    <s v="MOTOCICLETA"/>
    <s v="CAMION"/>
    <n v="1"/>
    <n v="0"/>
    <n v="0"/>
    <n v="0"/>
    <n v="0"/>
    <n v="0"/>
    <n v="0"/>
    <n v="0"/>
    <n v="1"/>
    <n v="0"/>
    <n v="0"/>
    <n v="0"/>
    <s v="MASCULINO"/>
    <m/>
    <n v="1"/>
    <n v="0"/>
    <n v="39"/>
    <m/>
    <m/>
    <m/>
    <m/>
    <m/>
    <n v="132"/>
    <x v="13"/>
    <m/>
    <s v=""/>
    <x v="2"/>
  </r>
  <r>
    <n v="20"/>
    <x v="0"/>
    <n v="1"/>
    <n v="0"/>
    <x v="0"/>
    <s v="CALLE 16  # 21-81"/>
    <n v="5.3427388888888885"/>
    <n v="-72.401927777777786"/>
    <s v="MOVILIDAD"/>
    <s v="URBANO"/>
    <x v="0"/>
    <s v="ENERO"/>
    <d v="2022-01-22T00:00:00"/>
    <x v="5"/>
    <d v="1899-12-30T12:2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21"/>
    <m/>
    <m/>
    <m/>
    <m/>
    <m/>
    <n v="157"/>
    <x v="1"/>
    <m/>
    <s v=""/>
    <x v="1"/>
  </r>
  <r>
    <n v="540"/>
    <x v="1"/>
    <n v="0"/>
    <n v="0"/>
    <x v="1"/>
    <s v="CALLE 16  # 25-42"/>
    <n v="5.3446991666666666"/>
    <n v="-72.392585555555556"/>
    <s v="MOVILIDAD"/>
    <s v="URBANO"/>
    <x v="1"/>
    <s v="AGOSTO"/>
    <d v="2023-08-19T00:00:00"/>
    <x v="5"/>
    <d v="1899-12-30T05:30:00"/>
    <s v="AUTOMOVIL"/>
    <s v="CAMIONETA"/>
    <n v="0"/>
    <n v="0"/>
    <n v="1"/>
    <n v="0"/>
    <n v="1"/>
    <n v="0"/>
    <n v="0"/>
    <n v="0"/>
    <n v="0"/>
    <n v="0"/>
    <n v="0"/>
    <n v="0"/>
    <m/>
    <s v="FEMENINO"/>
    <n v="0"/>
    <n v="1"/>
    <m/>
    <m/>
    <m/>
    <m/>
    <m/>
    <m/>
    <n v="157"/>
    <x v="1"/>
    <m/>
    <s v=""/>
    <x v="2"/>
  </r>
  <r>
    <n v="794"/>
    <x v="1"/>
    <n v="0"/>
    <n v="0"/>
    <x v="1"/>
    <s v="CALLE 16  # 31-30"/>
    <n v="5.3488599999999993"/>
    <n v="-72.387747500000003"/>
    <s v="MOVILIDAD"/>
    <s v="URBANO"/>
    <x v="3"/>
    <s v="OCTUBRE"/>
    <d v="2024-10-18T00:00:00"/>
    <x v="0"/>
    <d v="1899-12-30T10:55:00"/>
    <s v="AUTOMOVIL"/>
    <s v="CAMPERO"/>
    <n v="0"/>
    <n v="0"/>
    <n v="1"/>
    <n v="1"/>
    <n v="0"/>
    <n v="0"/>
    <n v="0"/>
    <n v="0"/>
    <n v="0"/>
    <n v="0"/>
    <n v="0"/>
    <n v="0"/>
    <s v="MASCULINO"/>
    <m/>
    <n v="1"/>
    <n v="0"/>
    <n v="33"/>
    <m/>
    <m/>
    <m/>
    <m/>
    <m/>
    <n v="1"/>
    <x v="3"/>
    <n v="115"/>
    <s v="Embriaguez o Sustancias alucinogenas"/>
    <x v="2"/>
  </r>
  <r>
    <n v="713"/>
    <x v="1"/>
    <n v="0"/>
    <n v="0"/>
    <x v="1"/>
    <s v="CALLE 16 ENTRE CARRERA 29 Y 30"/>
    <n v="5.3469638888888884"/>
    <n v="-72.388833333333338"/>
    <s v="MOVILIDAD"/>
    <s v="URBANO"/>
    <x v="3"/>
    <s v="MAYO"/>
    <d v="2024-05-15T00:00:00"/>
    <x v="3"/>
    <d v="1899-12-30T00:20:00"/>
    <s v="AUTOMOVIL"/>
    <m/>
    <n v="0"/>
    <n v="0"/>
    <n v="1"/>
    <n v="0"/>
    <n v="0"/>
    <n v="0"/>
    <n v="0"/>
    <n v="0"/>
    <n v="0"/>
    <n v="0"/>
    <n v="0"/>
    <n v="0"/>
    <s v="MASCULINO"/>
    <m/>
    <n v="1"/>
    <n v="0"/>
    <n v="32"/>
    <m/>
    <m/>
    <m/>
    <m/>
    <m/>
    <n v="115"/>
    <x v="12"/>
    <m/>
    <s v=""/>
    <x v="2"/>
  </r>
  <r>
    <n v="1114"/>
    <x v="1"/>
    <n v="0"/>
    <n v="0"/>
    <x v="1"/>
    <s v="CALLE 17A # CARRERA 13B"/>
    <n v="5.3384599999999898"/>
    <n v="-72.401439999999994"/>
    <s v="MOVILIDAD"/>
    <s v="URBANO"/>
    <x v="2"/>
    <s v="OCTUBRE"/>
    <d v="2025-10-05T00:00:00"/>
    <x v="2"/>
    <d v="1899-12-30T08:43:00"/>
    <s v="MOTOCICLETA"/>
    <m/>
    <n v="1"/>
    <n v="0"/>
    <n v="0"/>
    <n v="0"/>
    <n v="0"/>
    <n v="0"/>
    <n v="0"/>
    <n v="0"/>
    <n v="0"/>
    <n v="0"/>
    <n v="0"/>
    <n v="0"/>
    <s v="FEMENINO"/>
    <m/>
    <n v="0"/>
    <n v="1"/>
    <m/>
    <m/>
    <m/>
    <m/>
    <m/>
    <m/>
    <n v="201"/>
    <x v="6"/>
    <m/>
    <s v=""/>
    <x v="2"/>
  </r>
  <r>
    <n v="1074"/>
    <x v="1"/>
    <n v="0"/>
    <n v="0"/>
    <x v="1"/>
    <s v="CALLE 18 CARRERA 17"/>
    <n v="5.3392900000000001"/>
    <n v="-72.398944999999998"/>
    <s v="MOVILIDAD"/>
    <s v="URBANO"/>
    <x v="2"/>
    <s v="SEPTIEMBRE"/>
    <d v="2025-09-13T00:00:00"/>
    <x v="5"/>
    <d v="1899-12-30T21:30:00"/>
    <s v="MOTOCICLETA"/>
    <s v="CAMIONETA"/>
    <n v="1"/>
    <n v="0"/>
    <n v="0"/>
    <n v="0"/>
    <n v="1"/>
    <n v="0"/>
    <n v="0"/>
    <n v="0"/>
    <n v="0"/>
    <n v="0"/>
    <n v="0"/>
    <n v="0"/>
    <s v="MASCULINO"/>
    <s v="MASCULINO"/>
    <n v="2"/>
    <n v="0"/>
    <n v="36"/>
    <n v="36"/>
    <m/>
    <m/>
    <m/>
    <m/>
    <n v="157"/>
    <x v="1"/>
    <m/>
    <s v=""/>
    <x v="0"/>
  </r>
  <r>
    <n v="1024"/>
    <x v="0"/>
    <n v="1"/>
    <n v="0"/>
    <x v="0"/>
    <s v="CALLE 20 CARRERA 13"/>
    <n v="5.3444450000000003"/>
    <n v="-72.398621000000006"/>
    <s v="MOVILIDAD"/>
    <s v="URBANO"/>
    <x v="2"/>
    <s v="JULIO"/>
    <d v="2025-07-28T00:00:00"/>
    <x v="4"/>
    <d v="1899-12-30T14:20:00"/>
    <s v="MOTOCICLETA"/>
    <s v="CAMIONETA"/>
    <n v="1"/>
    <n v="0"/>
    <n v="0"/>
    <n v="0"/>
    <n v="1"/>
    <n v="0"/>
    <n v="0"/>
    <n v="0"/>
    <n v="0"/>
    <n v="0"/>
    <n v="0"/>
    <n v="0"/>
    <s v="MASCULINO"/>
    <s v="FEMENINO"/>
    <n v="1"/>
    <n v="1"/>
    <n v="23"/>
    <n v="35"/>
    <m/>
    <m/>
    <m/>
    <m/>
    <n v="157"/>
    <x v="1"/>
    <m/>
    <s v=""/>
    <x v="1"/>
  </r>
  <r>
    <n v="1089"/>
    <x v="1"/>
    <n v="0"/>
    <n v="0"/>
    <x v="1"/>
    <s v="CALLE 21 # CARRERA 24"/>
    <n v="5.3401513585220997"/>
    <n v="-72.391459138546495"/>
    <s v="MOVILIDAD"/>
    <s v="URBANO"/>
    <x v="2"/>
    <s v="SEPTIEMBRE"/>
    <d v="2025-09-19T00:00:00"/>
    <x v="0"/>
    <d v="1899-12-30T12:30:00"/>
    <s v="AUTOMOVIL"/>
    <s v="MOTOCICLETA"/>
    <n v="1"/>
    <n v="0"/>
    <n v="1"/>
    <n v="0"/>
    <n v="0"/>
    <n v="0"/>
    <n v="0"/>
    <n v="0"/>
    <n v="0"/>
    <n v="0"/>
    <n v="0"/>
    <n v="0"/>
    <s v="MASCULINO"/>
    <s v="MASCULINO"/>
    <n v="2"/>
    <n v="0"/>
    <m/>
    <m/>
    <m/>
    <m/>
    <m/>
    <m/>
    <n v="112"/>
    <x v="4"/>
    <m/>
    <s v=""/>
    <x v="1"/>
  </r>
  <r>
    <n v="1037"/>
    <x v="0"/>
    <n v="2"/>
    <n v="0"/>
    <x v="0"/>
    <s v="CALLE 21 CARRERA 18 ESQUINA"/>
    <n v="5.337199"/>
    <n v="-72.396885999999995"/>
    <s v="MOVILIDAD"/>
    <s v="URBANO"/>
    <x v="2"/>
    <s v="AGOSTO"/>
    <d v="2025-08-05T00:00:00"/>
    <x v="6"/>
    <d v="1899-12-30T19:50:00"/>
    <s v="CAMPERO"/>
    <s v="MOTOCICLETA"/>
    <n v="1"/>
    <n v="0"/>
    <n v="0"/>
    <n v="1"/>
    <n v="0"/>
    <n v="0"/>
    <n v="0"/>
    <n v="0"/>
    <n v="0"/>
    <n v="0"/>
    <n v="0"/>
    <n v="0"/>
    <s v="MASCULINO"/>
    <s v="MASCULINO"/>
    <n v="2"/>
    <n v="0"/>
    <n v="35"/>
    <n v="25"/>
    <n v="21"/>
    <m/>
    <m/>
    <m/>
    <n v="112"/>
    <x v="4"/>
    <n v="146"/>
    <s v="Realizar giro en “U”."/>
    <x v="0"/>
  </r>
  <r>
    <n v="63"/>
    <x v="0"/>
    <n v="2"/>
    <n v="0"/>
    <x v="0"/>
    <s v="CALLE 24 # 12-90"/>
    <n v="5.333444444444444"/>
    <n v="-72.40088333333334"/>
    <s v="MOVILIDAD"/>
    <s v="URBANO"/>
    <x v="0"/>
    <s v="FEBRERO"/>
    <d v="2022-02-21T00:00:00"/>
    <x v="4"/>
    <d v="1899-12-30T17:30:00"/>
    <s v="MOTOCICLETA"/>
    <m/>
    <n v="1"/>
    <n v="0"/>
    <n v="0"/>
    <n v="0"/>
    <n v="0"/>
    <n v="0"/>
    <n v="0"/>
    <n v="0"/>
    <n v="0"/>
    <n v="0"/>
    <n v="0"/>
    <n v="0"/>
    <s v="MASCULINO"/>
    <s v="FEMENINO"/>
    <n v="1"/>
    <n v="1"/>
    <n v="46"/>
    <n v="37"/>
    <m/>
    <m/>
    <m/>
    <m/>
    <n v="139"/>
    <x v="0"/>
    <n v="102"/>
    <s v="Adelantar por la derecha."/>
    <x v="1"/>
  </r>
  <r>
    <n v="261"/>
    <x v="0"/>
    <n v="1"/>
    <n v="0"/>
    <x v="0"/>
    <s v="CALLE 24 # 13-90"/>
    <n v="5.3336716666666666"/>
    <n v="-72.400023333333337"/>
    <s v="MOVILIDAD"/>
    <s v="URBANO"/>
    <x v="0"/>
    <s v="JULIO"/>
    <d v="2022-07-27T00:00:00"/>
    <x v="3"/>
    <d v="1899-12-30T19:50:00"/>
    <s v="MOTOCICLETA"/>
    <s v="AUTOMOVIL"/>
    <n v="1"/>
    <n v="0"/>
    <n v="1"/>
    <n v="0"/>
    <n v="0"/>
    <n v="0"/>
    <n v="0"/>
    <n v="0"/>
    <n v="0"/>
    <n v="0"/>
    <n v="0"/>
    <n v="0"/>
    <m/>
    <s v="FEMENINO"/>
    <n v="0"/>
    <n v="1"/>
    <n v="37"/>
    <m/>
    <m/>
    <m/>
    <m/>
    <m/>
    <n v="121"/>
    <x v="7"/>
    <m/>
    <s v=""/>
    <x v="0"/>
  </r>
  <r>
    <n v="10"/>
    <x v="1"/>
    <n v="0"/>
    <n v="0"/>
    <x v="1"/>
    <s v="CALLE 24 # 16-36"/>
    <n v="5.3344166666666668"/>
    <n v="-72.397088888888902"/>
    <s v="MOVILIDAD"/>
    <s v="URBANO"/>
    <x v="0"/>
    <s v="ENERO"/>
    <d v="2022-01-17T00:00:00"/>
    <x v="4"/>
    <d v="1899-12-30T08:20:00"/>
    <s v="AUTOMOVIL"/>
    <s v="MICROBUS"/>
    <n v="0"/>
    <n v="0"/>
    <n v="1"/>
    <n v="0"/>
    <n v="0"/>
    <n v="1"/>
    <n v="0"/>
    <n v="0"/>
    <n v="0"/>
    <n v="0"/>
    <n v="0"/>
    <n v="0"/>
    <s v="MASCULINO"/>
    <m/>
    <n v="1"/>
    <n v="0"/>
    <m/>
    <m/>
    <m/>
    <m/>
    <m/>
    <m/>
    <n v="121"/>
    <x v="7"/>
    <m/>
    <s v=""/>
    <x v="2"/>
  </r>
  <r>
    <n v="233"/>
    <x v="1"/>
    <n v="0"/>
    <n v="0"/>
    <x v="1"/>
    <s v="CALLE 24 # 17-60"/>
    <n v="5.3348605555555553"/>
    <n v="-72.395720833333343"/>
    <s v="MOVILIDAD"/>
    <s v="URBANO"/>
    <x v="0"/>
    <s v="JUNIO"/>
    <d v="2022-06-25T00:00:00"/>
    <x v="5"/>
    <d v="1899-12-30T12:30:00"/>
    <s v="AUTOMOVIL"/>
    <s v="CAMION"/>
    <n v="0"/>
    <n v="0"/>
    <n v="1"/>
    <n v="0"/>
    <n v="0"/>
    <n v="0"/>
    <n v="0"/>
    <n v="0"/>
    <n v="1"/>
    <n v="0"/>
    <n v="0"/>
    <n v="0"/>
    <s v="MASCULINO"/>
    <m/>
    <n v="1"/>
    <n v="0"/>
    <m/>
    <m/>
    <m/>
    <m/>
    <m/>
    <m/>
    <n v="157"/>
    <x v="1"/>
    <m/>
    <s v=""/>
    <x v="1"/>
  </r>
  <r>
    <n v="29"/>
    <x v="1"/>
    <n v="0"/>
    <n v="0"/>
    <x v="1"/>
    <s v="CALLE 24 # 18-22"/>
    <n v="5.3350833333333334"/>
    <n v="-72.395113888888901"/>
    <s v="MOVILIDAD"/>
    <s v="URBANO"/>
    <x v="0"/>
    <s v="ENERO"/>
    <d v="2022-01-28T00:00:00"/>
    <x v="0"/>
    <d v="1899-12-30T11:30:00"/>
    <s v="CAMIONETA"/>
    <s v="CAMION"/>
    <n v="0"/>
    <n v="0"/>
    <n v="0"/>
    <n v="0"/>
    <n v="1"/>
    <n v="0"/>
    <n v="0"/>
    <n v="0"/>
    <n v="1"/>
    <n v="0"/>
    <n v="0"/>
    <n v="0"/>
    <s v="MASCULINO"/>
    <m/>
    <n v="1"/>
    <n v="0"/>
    <m/>
    <m/>
    <m/>
    <m/>
    <m/>
    <m/>
    <n v="103"/>
    <x v="8"/>
    <m/>
    <s v=""/>
    <x v="2"/>
  </r>
  <r>
    <n v="217"/>
    <x v="1"/>
    <n v="0"/>
    <n v="0"/>
    <x v="1"/>
    <s v="CALLE 24 # 18A-45"/>
    <n v="5.3350472222222223"/>
    <n v="-72.395455555555557"/>
    <s v="MOVILIDAD"/>
    <s v="URBANO"/>
    <x v="0"/>
    <s v="JUNIO"/>
    <d v="2022-06-13T00:00:00"/>
    <x v="4"/>
    <d v="1899-12-30T16:45:00"/>
    <s v="AUTOMOVIL"/>
    <s v="MICROBUS"/>
    <n v="0"/>
    <n v="0"/>
    <n v="1"/>
    <n v="0"/>
    <n v="0"/>
    <n v="1"/>
    <n v="0"/>
    <n v="0"/>
    <n v="0"/>
    <n v="0"/>
    <n v="0"/>
    <n v="0"/>
    <s v="MASCULINO"/>
    <m/>
    <n v="1"/>
    <n v="0"/>
    <m/>
    <m/>
    <m/>
    <m/>
    <m/>
    <m/>
    <n v="145"/>
    <x v="10"/>
    <m/>
    <s v=""/>
    <x v="1"/>
  </r>
  <r>
    <n v="566"/>
    <x v="0"/>
    <n v="1"/>
    <n v="0"/>
    <x v="0"/>
    <s v="CALLE 24 # 19- 20"/>
    <n v="5.335334722222222"/>
    <n v="-72.394545000000008"/>
    <s v="MOVILIDAD"/>
    <s v="URBANO"/>
    <x v="1"/>
    <s v="SEPTIEMBRE"/>
    <d v="2023-09-29T00:00:00"/>
    <x v="0"/>
    <d v="1899-12-30T21:10:00"/>
    <s v="MOTOCICLETA"/>
    <s v="BICICLETA"/>
    <n v="1"/>
    <n v="0"/>
    <n v="0"/>
    <n v="0"/>
    <n v="0"/>
    <n v="0"/>
    <n v="0"/>
    <n v="0"/>
    <n v="0"/>
    <n v="0"/>
    <n v="0"/>
    <n v="1"/>
    <s v="MASCULINO"/>
    <m/>
    <n v="1"/>
    <n v="0"/>
    <n v="50"/>
    <m/>
    <m/>
    <m/>
    <m/>
    <m/>
    <n v="139"/>
    <x v="0"/>
    <m/>
    <s v=""/>
    <x v="0"/>
  </r>
  <r>
    <n v="190"/>
    <x v="1"/>
    <n v="0"/>
    <n v="0"/>
    <x v="1"/>
    <s v="CALLE 24 # 22-91"/>
    <n v="5.3371277777777779"/>
    <n v="-72.391444444444446"/>
    <s v="MOVILIDAD"/>
    <s v="URBANO"/>
    <x v="0"/>
    <s v="MAYO"/>
    <d v="2022-05-21T00:00:00"/>
    <x v="5"/>
    <d v="1899-12-30T17:00:00"/>
    <s v="AUTOMOVIL"/>
    <s v="CAMIONETA"/>
    <n v="0"/>
    <n v="0"/>
    <n v="1"/>
    <n v="0"/>
    <n v="1"/>
    <n v="0"/>
    <n v="0"/>
    <n v="0"/>
    <n v="0"/>
    <n v="0"/>
    <n v="0"/>
    <n v="0"/>
    <s v="MASCULINO"/>
    <m/>
    <n v="1"/>
    <n v="0"/>
    <m/>
    <m/>
    <m/>
    <m/>
    <m/>
    <m/>
    <n v="121"/>
    <x v="7"/>
    <m/>
    <s v=""/>
    <x v="1"/>
  </r>
  <r>
    <n v="836"/>
    <x v="1"/>
    <n v="0"/>
    <n v="0"/>
    <x v="1"/>
    <s v="CALLE 24 # 29-04"/>
    <n v="5.340325"/>
    <n v="-72.385502777777788"/>
    <s v="MOVILIDAD"/>
    <s v="URBANO"/>
    <x v="3"/>
    <s v="DICIEMBRE"/>
    <d v="2024-12-15T00:00:00"/>
    <x v="2"/>
    <d v="1899-12-30T02:30:00"/>
    <s v="AUTOMOVIL"/>
    <s v="AUTOMOVIL"/>
    <n v="0"/>
    <n v="0"/>
    <n v="2"/>
    <n v="0"/>
    <n v="0"/>
    <n v="0"/>
    <n v="0"/>
    <n v="0"/>
    <n v="0"/>
    <n v="0"/>
    <n v="0"/>
    <n v="0"/>
    <s v="MASCULINO"/>
    <m/>
    <n v="1"/>
    <n v="0"/>
    <n v="41"/>
    <n v="19"/>
    <n v="31"/>
    <m/>
    <m/>
    <m/>
    <n v="115"/>
    <x v="12"/>
    <n v="121"/>
    <s v="No mantener distancia de seguridad."/>
    <x v="2"/>
  </r>
  <r>
    <n v="347"/>
    <x v="0"/>
    <n v="2"/>
    <n v="0"/>
    <x v="0"/>
    <s v="CALLE 24 # 29-04"/>
    <n v="5.340325"/>
    <n v="-72.385502777777788"/>
    <s v="MOVILIDAD"/>
    <s v="URBANO"/>
    <x v="0"/>
    <s v="NOVIEMBRE"/>
    <d v="2022-11-01T00:00:00"/>
    <x v="6"/>
    <d v="1899-12-30T08:3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31"/>
    <m/>
    <m/>
    <n v="75"/>
    <m/>
    <m/>
    <n v="112"/>
    <x v="4"/>
    <m/>
    <s v=""/>
    <x v="2"/>
  </r>
  <r>
    <n v="164"/>
    <x v="1"/>
    <n v="0"/>
    <n v="0"/>
    <x v="1"/>
    <s v="CALLE 24 # 7a-03"/>
    <n v="5.3321194444444444"/>
    <n v="-72.40636111111111"/>
    <s v="MOVILIDAD"/>
    <s v="URBANO"/>
    <x v="0"/>
    <s v="MAYO"/>
    <d v="2022-05-02T00:00:00"/>
    <x v="4"/>
    <d v="1899-12-30T07:20:00"/>
    <s v="AUTOMOVIL"/>
    <s v="CAMIONETA"/>
    <n v="0"/>
    <n v="0"/>
    <n v="1"/>
    <n v="0"/>
    <n v="1"/>
    <n v="0"/>
    <n v="0"/>
    <n v="0"/>
    <n v="0"/>
    <n v="0"/>
    <n v="0"/>
    <n v="0"/>
    <s v="MASCULINO"/>
    <s v="FEMENINO"/>
    <n v="1"/>
    <n v="1"/>
    <m/>
    <m/>
    <m/>
    <m/>
    <m/>
    <m/>
    <n v="121"/>
    <x v="7"/>
    <m/>
    <s v=""/>
    <x v="2"/>
  </r>
  <r>
    <n v="1038"/>
    <x v="0"/>
    <n v="1"/>
    <n v="0"/>
    <x v="0"/>
    <s v="CALLE 24 # CARRERA 15"/>
    <n v="5.3341539999999998"/>
    <n v="-72.398246"/>
    <s v="MOVILIDAD"/>
    <s v="URBANO"/>
    <x v="2"/>
    <s v="AGOSTO"/>
    <d v="2025-08-07T00:00:00"/>
    <x v="1"/>
    <d v="1899-12-30T01:39:00"/>
    <s v="MOTOCICLETA"/>
    <s v="AUTOMOVIL"/>
    <n v="1"/>
    <n v="0"/>
    <n v="1"/>
    <n v="0"/>
    <n v="0"/>
    <n v="0"/>
    <n v="0"/>
    <n v="0"/>
    <n v="0"/>
    <n v="0"/>
    <n v="0"/>
    <n v="0"/>
    <s v="FEMENINO"/>
    <s v="MASCULINO"/>
    <n v="1"/>
    <n v="1"/>
    <n v="39"/>
    <n v="21"/>
    <m/>
    <m/>
    <m/>
    <m/>
    <n v="114"/>
    <x v="5"/>
    <n v="157"/>
    <s v="Otra"/>
    <x v="2"/>
  </r>
  <r>
    <n v="1069"/>
    <x v="0"/>
    <n v="1"/>
    <n v="1"/>
    <x v="2"/>
    <s v="CALLE 24 # CARRERA 19"/>
    <n v="5.3352839999999997"/>
    <n v="-72.394851000000003"/>
    <s v="MOVILIDAD"/>
    <s v="URBANO"/>
    <x v="2"/>
    <s v="SEPTIEMBRE"/>
    <d v="2025-09-16T00:00:00"/>
    <x v="6"/>
    <d v="1899-12-30T15:00:00"/>
    <s v="MOTOCICLETA"/>
    <s v="MOTOCICLETA"/>
    <n v="2"/>
    <n v="0"/>
    <n v="0"/>
    <n v="0"/>
    <n v="0"/>
    <n v="0"/>
    <n v="0"/>
    <n v="0"/>
    <n v="0"/>
    <n v="0"/>
    <n v="0"/>
    <n v="0"/>
    <s v="MASCULINO"/>
    <s v="MASCULINO"/>
    <n v="2"/>
    <n v="0"/>
    <m/>
    <m/>
    <m/>
    <m/>
    <m/>
    <m/>
    <n v="116"/>
    <x v="14"/>
    <m/>
    <s v=""/>
    <x v="1"/>
  </r>
  <r>
    <n v="961"/>
    <x v="0"/>
    <n v="3"/>
    <n v="0"/>
    <x v="0"/>
    <s v="CALLE 24 # CARRERA 21"/>
    <n v="5.3361619999999998"/>
    <n v="-72.393096999999997"/>
    <s v="MOVILIDAD"/>
    <s v="URBANO"/>
    <x v="2"/>
    <s v="MAYO"/>
    <d v="2025-05-11T00:00:00"/>
    <x v="2"/>
    <d v="1899-12-30T01:35:00"/>
    <s v="MOTOCICLETA"/>
    <s v="MOTOCICLETA"/>
    <n v="2"/>
    <n v="0"/>
    <n v="0"/>
    <n v="0"/>
    <n v="0"/>
    <n v="0"/>
    <n v="0"/>
    <n v="0"/>
    <n v="0"/>
    <n v="0"/>
    <n v="0"/>
    <n v="0"/>
    <s v="MASCULINO"/>
    <s v="MASCULINO"/>
    <n v="2"/>
    <n v="0"/>
    <n v="21"/>
    <n v="47"/>
    <m/>
    <m/>
    <m/>
    <m/>
    <n v="157"/>
    <x v="1"/>
    <n v="139"/>
    <s v="Impericia en el manejo."/>
    <x v="2"/>
  </r>
  <r>
    <n v="1022"/>
    <x v="0"/>
    <n v="2"/>
    <n v="0"/>
    <x v="0"/>
    <s v="CALLE 24 # CARRERA 21"/>
    <n v="5.3362280000000002"/>
    <n v="-72.393067000000002"/>
    <s v="MOVILIDAD"/>
    <s v="URBANO"/>
    <x v="2"/>
    <s v="JULIO"/>
    <d v="2025-07-27T00:00:00"/>
    <x v="2"/>
    <d v="1899-12-30T03:20:00"/>
    <s v="MOTOCICLETA"/>
    <s v="AUTOMOVIL"/>
    <n v="1"/>
    <n v="0"/>
    <n v="1"/>
    <n v="0"/>
    <n v="0"/>
    <n v="0"/>
    <n v="0"/>
    <n v="0"/>
    <n v="0"/>
    <n v="0"/>
    <n v="0"/>
    <n v="0"/>
    <s v="MASCULINO"/>
    <s v="FEMENINO"/>
    <n v="1"/>
    <n v="1"/>
    <n v="19"/>
    <n v="27"/>
    <n v="20"/>
    <m/>
    <m/>
    <m/>
    <n v="139"/>
    <x v="0"/>
    <n v="157"/>
    <s v="Otra"/>
    <x v="2"/>
  </r>
  <r>
    <n v="1011"/>
    <x v="0"/>
    <n v="2"/>
    <n v="0"/>
    <x v="0"/>
    <s v="CALLE 24 # CARRERA 24"/>
    <n v="5.3377999999999997"/>
    <n v="-72.390198999999996"/>
    <s v="MOVILIDAD"/>
    <s v="URBANO"/>
    <x v="2"/>
    <s v="JULIO"/>
    <d v="2025-07-07T00:00:00"/>
    <x v="4"/>
    <d v="1899-12-30T08:05:00"/>
    <s v="AUTOMOVIL"/>
    <s v="MOTOCICLETA"/>
    <n v="1"/>
    <n v="0"/>
    <n v="1"/>
    <n v="0"/>
    <n v="0"/>
    <n v="0"/>
    <n v="0"/>
    <n v="0"/>
    <n v="0"/>
    <n v="0"/>
    <n v="0"/>
    <n v="0"/>
    <s v="MASCULINO"/>
    <s v="MASCULINO"/>
    <n v="2"/>
    <n v="0"/>
    <n v="44"/>
    <n v="18"/>
    <n v="28"/>
    <m/>
    <m/>
    <m/>
    <n v="112"/>
    <x v="4"/>
    <n v="112"/>
    <s v="Desobedecer señales o normas de tránsito."/>
    <x v="2"/>
  </r>
  <r>
    <n v="966"/>
    <x v="1"/>
    <n v="0"/>
    <n v="0"/>
    <x v="1"/>
    <s v="CALLE 24 # CARRERA 25"/>
    <n v="5.3383089999999997"/>
    <n v="-72.389279000000002"/>
    <s v="MOVILIDAD"/>
    <s v="URBANO"/>
    <x v="2"/>
    <s v="MAYO"/>
    <d v="2025-05-03T00:00:00"/>
    <x v="5"/>
    <d v="1899-12-30T20:10:00"/>
    <s v="BICICLETA"/>
    <s v="AUTOMOVIL"/>
    <n v="0"/>
    <n v="0"/>
    <n v="1"/>
    <n v="0"/>
    <n v="0"/>
    <n v="0"/>
    <n v="0"/>
    <n v="0"/>
    <n v="0"/>
    <n v="0"/>
    <n v="0"/>
    <n v="1"/>
    <s v="FEMENINO"/>
    <s v="MASCULINO"/>
    <n v="1"/>
    <n v="1"/>
    <n v="42"/>
    <n v="40"/>
    <m/>
    <m/>
    <m/>
    <m/>
    <n v="115"/>
    <x v="12"/>
    <m/>
    <s v=""/>
    <x v="0"/>
  </r>
  <r>
    <n v="1061"/>
    <x v="0"/>
    <n v="1"/>
    <n v="1"/>
    <x v="2"/>
    <s v="CALLE 24 # CARRERA 27"/>
    <n v="5.3391000000000002"/>
    <n v="-72.387732"/>
    <s v="MOVILIDAD"/>
    <s v="URBANO"/>
    <x v="2"/>
    <s v="SEPTIEMBRE"/>
    <d v="2025-09-09T00:00:00"/>
    <x v="6"/>
    <d v="1899-12-30T12:45:00"/>
    <s v="MOTOCICLETA"/>
    <s v="MOTOCICLETA"/>
    <n v="2"/>
    <n v="0"/>
    <n v="0"/>
    <n v="0"/>
    <n v="0"/>
    <n v="0"/>
    <n v="0"/>
    <n v="0"/>
    <n v="0"/>
    <n v="0"/>
    <n v="0"/>
    <n v="0"/>
    <s v="FEMENINO"/>
    <s v="MASCULINO"/>
    <n v="1"/>
    <n v="1"/>
    <n v="32"/>
    <m/>
    <m/>
    <m/>
    <m/>
    <m/>
    <n v="116"/>
    <x v="14"/>
    <n v="139"/>
    <s v="Impericia en el manejo."/>
    <x v="1"/>
  </r>
  <r>
    <n v="810"/>
    <x v="0"/>
    <n v="0"/>
    <n v="1"/>
    <x v="2"/>
    <s v="CALLE 24 # CARRERA 45"/>
    <n v="5.3458933333333327"/>
    <n v="-72.376486666666665"/>
    <s v="MOVILIDAD"/>
    <s v="URBANO"/>
    <x v="3"/>
    <s v="NOVIEMBRE"/>
    <d v="2024-11-09T00:00:00"/>
    <x v="5"/>
    <d v="1899-12-30T11:3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m/>
    <m/>
    <m/>
    <m/>
    <m/>
    <n v="30"/>
    <n v="157"/>
    <x v="1"/>
    <m/>
    <s v=""/>
    <x v="2"/>
  </r>
  <r>
    <n v="1063"/>
    <x v="0"/>
    <n v="1"/>
    <n v="1"/>
    <x v="2"/>
    <s v="CALLE 24 # CARRERA 5 INTERCAMBIADOR "/>
    <n v="5.3305030000000002"/>
    <n v="-72.410185999999996"/>
    <s v="MOVILIDAD"/>
    <s v="URBANO"/>
    <x v="2"/>
    <s v="SEPTIEMBRE"/>
    <d v="2025-09-11T00:00:00"/>
    <x v="1"/>
    <d v="1899-12-30T14:09:00"/>
    <s v="AUTOMOVIL"/>
    <m/>
    <n v="0"/>
    <n v="0"/>
    <n v="1"/>
    <n v="0"/>
    <n v="0"/>
    <n v="0"/>
    <n v="0"/>
    <n v="0"/>
    <n v="0"/>
    <n v="0"/>
    <n v="0"/>
    <n v="0"/>
    <s v="MASCULINO"/>
    <s v="FEMENINO"/>
    <n v="1"/>
    <n v="1"/>
    <n v="59"/>
    <n v="69"/>
    <m/>
    <m/>
    <m/>
    <m/>
    <n v="109"/>
    <x v="15"/>
    <m/>
    <s v=""/>
    <x v="1"/>
  </r>
  <r>
    <n v="1054"/>
    <x v="0"/>
    <n v="1"/>
    <n v="0"/>
    <x v="0"/>
    <s v="CALLE 24 CARRERA 12"/>
    <n v="5.3333281000000001"/>
    <n v="-72.401508699999994"/>
    <s v="MOVILIDAD"/>
    <s v="URBANO"/>
    <x v="2"/>
    <s v="AGOSTO"/>
    <d v="2025-08-21T00:00:00"/>
    <x v="1"/>
    <d v="1899-12-30T23:12:00"/>
    <s v="MOTOCICLETA"/>
    <s v="AUTOMOVIL"/>
    <n v="1"/>
    <n v="0"/>
    <n v="1"/>
    <n v="0"/>
    <n v="0"/>
    <n v="0"/>
    <n v="0"/>
    <n v="0"/>
    <n v="0"/>
    <n v="0"/>
    <n v="0"/>
    <n v="0"/>
    <s v="FEMENINO"/>
    <m/>
    <n v="0"/>
    <n v="1"/>
    <n v="23"/>
    <m/>
    <m/>
    <m/>
    <m/>
    <m/>
    <n v="139"/>
    <x v="0"/>
    <n v="122"/>
    <s v="Girar bruscamente."/>
    <x v="0"/>
  </r>
  <r>
    <n v="660"/>
    <x v="0"/>
    <n v="1"/>
    <n v="0"/>
    <x v="0"/>
    <s v="CALLE 24 ENTRE CARRERA 40 Y 41"/>
    <n v="5.345269444444444"/>
    <n v="-72.377483333333331"/>
    <s v="MOVILIDAD"/>
    <s v="URBANO"/>
    <x v="3"/>
    <s v="FEBRERO"/>
    <d v="2024-02-11T00:00:00"/>
    <x v="2"/>
    <d v="1899-12-30T13:45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36"/>
    <m/>
    <m/>
    <m/>
    <m/>
    <m/>
    <n v="157"/>
    <x v="1"/>
    <m/>
    <s v=""/>
    <x v="1"/>
  </r>
  <r>
    <n v="492"/>
    <x v="1"/>
    <n v="0"/>
    <n v="0"/>
    <x v="1"/>
    <s v="CALLE 30  # 11A- 40 "/>
    <n v="5.3275894444444445"/>
    <n v="-72.401080555555566"/>
    <s v="MOVILIDAD"/>
    <s v="URBANO"/>
    <x v="1"/>
    <s v="MAYO"/>
    <d v="2023-05-30T00:00:00"/>
    <x v="6"/>
    <d v="1899-12-30T20:00:00"/>
    <s v="AUTOMOVIL"/>
    <s v="CAMIONETA"/>
    <n v="0"/>
    <n v="0"/>
    <n v="1"/>
    <n v="0"/>
    <n v="1"/>
    <n v="0"/>
    <n v="0"/>
    <n v="0"/>
    <n v="0"/>
    <n v="0"/>
    <n v="0"/>
    <n v="0"/>
    <s v="MASCULINO"/>
    <m/>
    <n v="1"/>
    <n v="0"/>
    <m/>
    <m/>
    <m/>
    <m/>
    <m/>
    <m/>
    <n v="121"/>
    <x v="7"/>
    <m/>
    <s v=""/>
    <x v="0"/>
  </r>
  <r>
    <n v="811"/>
    <x v="0"/>
    <n v="2"/>
    <n v="0"/>
    <x v="0"/>
    <s v="CALLE 30  # 20-40 "/>
    <n v="5.3311105555555551"/>
    <n v="-72.39094611111112"/>
    <s v="MOVILIDAD"/>
    <s v="URBANO"/>
    <x v="3"/>
    <s v="NOVIEMBRE"/>
    <d v="2024-11-11T00:00:00"/>
    <x v="4"/>
    <d v="1899-12-30T19:40:00"/>
    <s v="MOTOCICLETA"/>
    <m/>
    <n v="1"/>
    <n v="0"/>
    <n v="0"/>
    <n v="0"/>
    <n v="0"/>
    <n v="0"/>
    <n v="0"/>
    <n v="0"/>
    <n v="0"/>
    <n v="0"/>
    <n v="0"/>
    <n v="0"/>
    <s v="MASCULINO"/>
    <s v="FEMENINO"/>
    <n v="1"/>
    <n v="1"/>
    <n v="20"/>
    <n v="39"/>
    <n v="16"/>
    <m/>
    <m/>
    <m/>
    <n v="157"/>
    <x v="1"/>
    <m/>
    <s v=""/>
    <x v="0"/>
  </r>
  <r>
    <n v="57"/>
    <x v="0"/>
    <n v="2"/>
    <n v="0"/>
    <x v="0"/>
    <s v="CALLE 30  # 24-122"/>
    <n v="5.3335222222222223"/>
    <n v="-72.386494444444452"/>
    <s v="MOVILIDAD"/>
    <s v="URBANO"/>
    <x v="0"/>
    <s v="FEBRERO"/>
    <d v="2022-02-16T00:00:00"/>
    <x v="3"/>
    <d v="1899-12-30T09:30:00"/>
    <s v="MOTOCICLETA"/>
    <s v="AUTOMOVIL"/>
    <n v="1"/>
    <n v="0"/>
    <n v="1"/>
    <n v="0"/>
    <n v="0"/>
    <n v="0"/>
    <n v="0"/>
    <n v="0"/>
    <n v="0"/>
    <n v="0"/>
    <n v="0"/>
    <n v="0"/>
    <m/>
    <s v="FEMENINO"/>
    <n v="0"/>
    <n v="1"/>
    <n v="36"/>
    <m/>
    <m/>
    <m/>
    <n v="22"/>
    <m/>
    <n v="121"/>
    <x v="7"/>
    <n v="139"/>
    <s v="Impericia en el manejo."/>
    <x v="2"/>
  </r>
  <r>
    <n v="309"/>
    <x v="0"/>
    <n v="2"/>
    <n v="0"/>
    <x v="0"/>
    <s v="CALLE 30  # 9-99"/>
    <n v="5.3266361111111111"/>
    <n v="-72.402225000000001"/>
    <s v="MOVILIDAD"/>
    <s v="URBANO"/>
    <x v="0"/>
    <s v="SEPTIEMBRE"/>
    <d v="2022-09-14T00:00:00"/>
    <x v="3"/>
    <d v="1899-12-30T21:20:00"/>
    <s v="MOTOCICLETA"/>
    <s v="CAMIONETA"/>
    <n v="1"/>
    <n v="0"/>
    <n v="0"/>
    <n v="0"/>
    <n v="1"/>
    <n v="0"/>
    <n v="0"/>
    <n v="0"/>
    <n v="0"/>
    <n v="0"/>
    <n v="0"/>
    <n v="0"/>
    <s v="MASCULINO"/>
    <s v="FEMENINO"/>
    <n v="1"/>
    <n v="1"/>
    <n v="17"/>
    <m/>
    <m/>
    <m/>
    <n v="41"/>
    <m/>
    <n v="139"/>
    <x v="0"/>
    <n v="122"/>
    <s v="Girar bruscamente."/>
    <x v="0"/>
  </r>
  <r>
    <n v="675"/>
    <x v="0"/>
    <n v="0"/>
    <n v="1"/>
    <x v="2"/>
    <s v="CALLE 30  # 9-99"/>
    <n v="5.3266361111111111"/>
    <n v="-72.402225000000001"/>
    <s v="MOVILIDAD"/>
    <s v="URBANO"/>
    <x v="3"/>
    <s v="MARZO"/>
    <d v="2024-03-09T00:00:00"/>
    <x v="5"/>
    <d v="1899-12-30T23:3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m/>
    <m/>
    <m/>
    <m/>
    <m/>
    <n v="31"/>
    <n v="139"/>
    <x v="0"/>
    <m/>
    <s v=""/>
    <x v="0"/>
  </r>
  <r>
    <n v="1082"/>
    <x v="1"/>
    <n v="0"/>
    <n v="0"/>
    <x v="1"/>
    <s v="CALLE 30 # CARRERA 18"/>
    <n v="5.3299699589840799"/>
    <n v="-72.393091550121795"/>
    <s v="MOVILIDAD"/>
    <s v="URBANO"/>
    <x v="2"/>
    <s v="SEPTIEMBRE"/>
    <d v="2025-09-10T00:00:00"/>
    <x v="3"/>
    <d v="1899-12-30T15:45:00"/>
    <s v="MOTOCICLETA"/>
    <s v="CAMIONETA"/>
    <n v="1"/>
    <n v="0"/>
    <n v="0"/>
    <n v="0"/>
    <n v="1"/>
    <n v="0"/>
    <n v="0"/>
    <n v="0"/>
    <n v="0"/>
    <n v="0"/>
    <n v="0"/>
    <n v="0"/>
    <s v="MASCULINO"/>
    <s v="MASCULINO"/>
    <n v="2"/>
    <n v="0"/>
    <m/>
    <m/>
    <m/>
    <m/>
    <m/>
    <m/>
    <n v="142"/>
    <x v="16"/>
    <n v="139"/>
    <s v="Impericia en el manejo."/>
    <x v="1"/>
  </r>
  <r>
    <n v="1044"/>
    <x v="0"/>
    <n v="1"/>
    <n v="0"/>
    <x v="0"/>
    <s v="CALLE 30 # CARRERA 33"/>
    <n v="5.3376929999999998"/>
    <n v="-72.379278999999997"/>
    <s v="MOVILIDAD"/>
    <s v="URBANO"/>
    <x v="2"/>
    <s v="AGOSTO"/>
    <d v="2025-08-16T00:00:00"/>
    <x v="5"/>
    <d v="1899-12-30T14:55:00"/>
    <s v="MOTOCICLETA"/>
    <s v="CAMPERO"/>
    <n v="1"/>
    <n v="0"/>
    <n v="0"/>
    <n v="1"/>
    <n v="0"/>
    <n v="0"/>
    <n v="0"/>
    <n v="0"/>
    <n v="0"/>
    <n v="0"/>
    <n v="0"/>
    <n v="0"/>
    <s v="FEMENINO"/>
    <s v="MASCULINO"/>
    <n v="1"/>
    <n v="1"/>
    <n v="20"/>
    <n v="16"/>
    <m/>
    <m/>
    <m/>
    <m/>
    <n v="132"/>
    <x v="13"/>
    <n v="139"/>
    <s v="Impericia en el manejo."/>
    <x v="1"/>
  </r>
  <r>
    <n v="1104"/>
    <x v="0"/>
    <n v="1"/>
    <n v="0"/>
    <x v="0"/>
    <s v="CALLE 30 # CARRERA 40"/>
    <n v="5.3400963349283002"/>
    <n v="-72.375605493890504"/>
    <s v="MOVILIDAD"/>
    <s v="URBANO"/>
    <x v="2"/>
    <s v="OCTUBRE"/>
    <d v="2025-10-03T00:00:00"/>
    <x v="0"/>
    <d v="1899-12-30T15:00:00"/>
    <s v="MOTOCICLETA"/>
    <s v="CAMION"/>
    <n v="1"/>
    <n v="0"/>
    <n v="0"/>
    <n v="0"/>
    <n v="0"/>
    <n v="0"/>
    <n v="0"/>
    <n v="0"/>
    <n v="1"/>
    <n v="0"/>
    <n v="0"/>
    <n v="0"/>
    <s v="MASCULINO"/>
    <s v="MASCULINO"/>
    <n v="2"/>
    <n v="0"/>
    <n v="37"/>
    <m/>
    <m/>
    <m/>
    <m/>
    <m/>
    <n v="112"/>
    <x v="4"/>
    <n v="139"/>
    <s v="Impericia en el manejo."/>
    <x v="1"/>
  </r>
  <r>
    <n v="1041"/>
    <x v="0"/>
    <n v="0"/>
    <n v="2"/>
    <x v="2"/>
    <s v="CALLE 30 CARRERA 16 a "/>
    <n v="5.3289799999999996"/>
    <n v="-72.395754999999994"/>
    <s v="MOVILIDAD"/>
    <s v="URBANO"/>
    <x v="2"/>
    <s v="AGOSTO"/>
    <d v="2025-08-10T00:00:00"/>
    <x v="2"/>
    <d v="1899-12-30T01:30:00"/>
    <s v="MOTOCICLETA"/>
    <s v="CAMPERO"/>
    <n v="1"/>
    <n v="0"/>
    <n v="0"/>
    <n v="1"/>
    <n v="0"/>
    <n v="0"/>
    <n v="0"/>
    <n v="0"/>
    <n v="0"/>
    <n v="0"/>
    <n v="0"/>
    <n v="0"/>
    <s v="FEMENINO"/>
    <s v="FEMENINO"/>
    <n v="0"/>
    <n v="2"/>
    <n v="30"/>
    <n v="30"/>
    <m/>
    <m/>
    <m/>
    <m/>
    <n v="113"/>
    <x v="17"/>
    <m/>
    <s v=""/>
    <x v="2"/>
  </r>
  <r>
    <n v="732"/>
    <x v="0"/>
    <n v="1"/>
    <n v="0"/>
    <x v="0"/>
    <s v="CALLE 30 ENTRE CARRERA 11 Y 12"/>
    <n v="5.3278097222222218"/>
    <n v="-72.400271111111124"/>
    <s v="MOVILIDAD"/>
    <s v="URBANO"/>
    <x v="3"/>
    <s v="JUNIO"/>
    <d v="2024-06-18T00:00:00"/>
    <x v="6"/>
    <d v="1899-12-30T15:44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17"/>
    <n v="46"/>
    <m/>
    <m/>
    <m/>
    <m/>
    <n v="127"/>
    <x v="18"/>
    <m/>
    <s v=""/>
    <x v="1"/>
  </r>
  <r>
    <n v="816"/>
    <x v="0"/>
    <n v="2"/>
    <n v="0"/>
    <x v="0"/>
    <s v="CALLE 30 ENTRE CARRERA 12-13"/>
    <n v="5.3279361111111108"/>
    <n v="-72.399783333333346"/>
    <s v="MOVILIDAD"/>
    <s v="URBANO"/>
    <x v="3"/>
    <s v="NOVIEMBRE"/>
    <d v="2024-11-16T00:00:00"/>
    <x v="5"/>
    <d v="1899-12-30T00:35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49"/>
    <n v="33"/>
    <m/>
    <m/>
    <m/>
    <m/>
    <n v="114"/>
    <x v="5"/>
    <n v="116"/>
    <s v="Exceso de velocidad"/>
    <x v="2"/>
  </r>
  <r>
    <n v="463"/>
    <x v="0"/>
    <n v="2"/>
    <n v="0"/>
    <x v="0"/>
    <s v="CALLE 30 ENTRE CARRERA 13 Y 14"/>
    <n v="5.328195"/>
    <n v="-72.398396111111111"/>
    <s v="MOVILIDAD"/>
    <s v="URBANO"/>
    <x v="1"/>
    <s v="ABRIL"/>
    <d v="2023-04-28T00:00:00"/>
    <x v="0"/>
    <d v="1899-12-30T18:2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21"/>
    <m/>
    <m/>
    <n v="49"/>
    <m/>
    <m/>
    <n v="116"/>
    <x v="14"/>
    <m/>
    <s v=""/>
    <x v="0"/>
  </r>
  <r>
    <n v="447"/>
    <x v="0"/>
    <n v="0"/>
    <n v="2"/>
    <x v="2"/>
    <s v="CALLE 30 ENTRE CARRERA 18 Y 19 "/>
    <n v="5.3301866666666662"/>
    <n v="-72.39266527777778"/>
    <s v="MOVILIDAD"/>
    <s v="URBANO"/>
    <x v="1"/>
    <s v="ABRIL"/>
    <d v="2023-04-03T00:00:00"/>
    <x v="4"/>
    <d v="1899-12-30T17:30:00"/>
    <s v="MOTOCICLETA"/>
    <s v="VOLQUETA"/>
    <n v="1"/>
    <n v="0"/>
    <n v="0"/>
    <n v="0"/>
    <n v="0"/>
    <n v="0"/>
    <n v="0"/>
    <n v="0"/>
    <n v="0"/>
    <n v="0"/>
    <n v="1"/>
    <n v="0"/>
    <s v="MASCULINO"/>
    <s v="FEMENINO"/>
    <n v="1"/>
    <n v="1"/>
    <n v="71"/>
    <m/>
    <m/>
    <m/>
    <m/>
    <n v="71"/>
    <n v="139"/>
    <x v="0"/>
    <n v="157"/>
    <s v="Otra"/>
    <x v="1"/>
  </r>
  <r>
    <n v="735"/>
    <x v="0"/>
    <n v="1"/>
    <n v="0"/>
    <x v="0"/>
    <s v="CALLE 30 ENTRE CARRERA 42 Y 43"/>
    <n v="5.340716944444444"/>
    <n v="-72.374431111111107"/>
    <s v="MOVILIDAD"/>
    <s v="URBANO"/>
    <x v="3"/>
    <s v="JUNIO"/>
    <d v="2024-06-25T00:00:00"/>
    <x v="6"/>
    <d v="1899-12-30T11:00:00"/>
    <s v="MOTOCICLETA"/>
    <s v="CAMIONETA"/>
    <n v="1"/>
    <n v="0"/>
    <n v="0"/>
    <n v="0"/>
    <n v="1"/>
    <n v="0"/>
    <n v="0"/>
    <n v="0"/>
    <n v="0"/>
    <n v="0"/>
    <n v="0"/>
    <n v="0"/>
    <s v="MASCULINO"/>
    <m/>
    <n v="1"/>
    <n v="0"/>
    <n v="65"/>
    <n v="19"/>
    <m/>
    <m/>
    <m/>
    <m/>
    <n v="139"/>
    <x v="0"/>
    <n v="121"/>
    <s v="No mantener distancia de seguridad."/>
    <x v="2"/>
  </r>
  <r>
    <n v="964"/>
    <x v="1"/>
    <n v="0"/>
    <n v="0"/>
    <x v="1"/>
    <s v="CALLE 30 No. 12-33"/>
    <n v="5.3279009999999998"/>
    <n v="-72.399811"/>
    <s v="MOVILIDAD"/>
    <s v="URBANO"/>
    <x v="2"/>
    <s v="MAYO"/>
    <d v="2025-05-11T00:00:00"/>
    <x v="2"/>
    <d v="1899-12-30T16:40:00"/>
    <s v="AUTOMOVIL"/>
    <s v="MOTOCICLETA"/>
    <n v="1"/>
    <n v="0"/>
    <n v="1"/>
    <n v="0"/>
    <n v="0"/>
    <n v="0"/>
    <n v="0"/>
    <n v="0"/>
    <n v="0"/>
    <n v="0"/>
    <n v="0"/>
    <n v="0"/>
    <s v="MASCULINO"/>
    <s v="MASCULINO"/>
    <n v="2"/>
    <n v="0"/>
    <n v="58"/>
    <m/>
    <m/>
    <m/>
    <m/>
    <m/>
    <n v="115"/>
    <x v="12"/>
    <n v="115"/>
    <s v="Embriaguez o Sustancias alucinogenas"/>
    <x v="1"/>
  </r>
  <r>
    <n v="965"/>
    <x v="0"/>
    <n v="0"/>
    <n v="2"/>
    <x v="2"/>
    <s v="CALLE 30 No. 16A-73"/>
    <n v="5.328989"/>
    <n v="-72.395173"/>
    <s v="MOVILIDAD"/>
    <s v="URBANO"/>
    <x v="2"/>
    <s v="MAYO"/>
    <d v="2025-05-13T00:00:00"/>
    <x v="6"/>
    <d v="1899-12-30T01:00:00"/>
    <s v="MOTOCICLETA"/>
    <m/>
    <n v="1"/>
    <n v="0"/>
    <n v="0"/>
    <n v="0"/>
    <n v="0"/>
    <n v="0"/>
    <n v="0"/>
    <n v="0"/>
    <n v="0"/>
    <n v="0"/>
    <n v="0"/>
    <n v="0"/>
    <s v="MASCULINO"/>
    <s v="MASCULINO"/>
    <n v="2"/>
    <n v="0"/>
    <n v="18"/>
    <n v="17"/>
    <m/>
    <m/>
    <m/>
    <m/>
    <n v="114"/>
    <x v="5"/>
    <n v="116"/>
    <s v="Exceso de velocidad"/>
    <x v="2"/>
  </r>
  <r>
    <n v="184"/>
    <x v="0"/>
    <n v="1"/>
    <n v="0"/>
    <x v="0"/>
    <s v="CALLE 31  # 11B-50"/>
    <n v="5.3265500000000001"/>
    <n v="-72.400300000000001"/>
    <s v="MOVILIDAD"/>
    <s v="URBANO"/>
    <x v="0"/>
    <s v="MAYO"/>
    <d v="2022-05-17T00:00:00"/>
    <x v="6"/>
    <d v="1899-12-30T10:2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23"/>
    <m/>
    <m/>
    <m/>
    <m/>
    <m/>
    <n v="145"/>
    <x v="10"/>
    <m/>
    <s v=""/>
    <x v="2"/>
  </r>
  <r>
    <n v="481"/>
    <x v="0"/>
    <n v="1"/>
    <n v="0"/>
    <x v="0"/>
    <s v="CALLE 35  #  27B-16 "/>
    <n v="5.330886111111111"/>
    <n v="-72.382244444444439"/>
    <s v="MOVILIDAD"/>
    <s v="URBANO"/>
    <x v="1"/>
    <s v="MAYO"/>
    <d v="2023-05-22T00:00:00"/>
    <x v="4"/>
    <d v="1899-12-30T03:5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22"/>
    <m/>
    <m/>
    <m/>
    <m/>
    <m/>
    <n v="114"/>
    <x v="5"/>
    <m/>
    <s v=""/>
    <x v="2"/>
  </r>
  <r>
    <n v="23"/>
    <x v="0"/>
    <n v="2"/>
    <n v="0"/>
    <x v="0"/>
    <s v="CALLE 35  # 27A-09"/>
    <n v="5.3317611111111107"/>
    <n v="-72.381522222222216"/>
    <s v="MOVILIDAD"/>
    <s v="URBANO"/>
    <x v="0"/>
    <s v="ENERO"/>
    <d v="2022-01-25T00:00:00"/>
    <x v="6"/>
    <d v="1899-12-30T18:0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31"/>
    <m/>
    <m/>
    <n v="51"/>
    <m/>
    <m/>
    <n v="116"/>
    <x v="14"/>
    <m/>
    <s v=""/>
    <x v="0"/>
  </r>
  <r>
    <n v="1013"/>
    <x v="0"/>
    <n v="1"/>
    <n v="1"/>
    <x v="2"/>
    <s v="CALLE 36 ENTRE CALLES 17 Y 18"/>
    <n v="5.3250060000000001"/>
    <n v="-72.391025999999997"/>
    <s v="MOVILIDAD"/>
    <s v="URBANO"/>
    <x v="2"/>
    <s v="JULIO"/>
    <d v="2025-07-19T00:00:00"/>
    <x v="5"/>
    <d v="1899-12-30T19:07:00"/>
    <s v="MOTOCICLETA"/>
    <s v="MOTOCICLETA"/>
    <n v="2"/>
    <n v="0"/>
    <n v="0"/>
    <n v="0"/>
    <n v="0"/>
    <n v="0"/>
    <n v="0"/>
    <n v="0"/>
    <n v="0"/>
    <n v="0"/>
    <n v="0"/>
    <n v="0"/>
    <s v="MASCULINO"/>
    <s v="MASCULINO"/>
    <n v="2"/>
    <n v="0"/>
    <n v="54"/>
    <n v="25"/>
    <m/>
    <m/>
    <m/>
    <m/>
    <n v="139"/>
    <x v="0"/>
    <m/>
    <s v=""/>
    <x v="0"/>
  </r>
  <r>
    <n v="960"/>
    <x v="0"/>
    <n v="1"/>
    <n v="0"/>
    <x v="0"/>
    <s v="CALLE 36 TRANSVERSAL 5-03"/>
    <n v="5.3210309999999996"/>
    <n v="-72.402990000000003"/>
    <s v="MOVILIDAD"/>
    <s v="URBANO"/>
    <x v="2"/>
    <s v="MAYO"/>
    <d v="2025-05-09T00:00:00"/>
    <x v="0"/>
    <d v="1899-12-30T12:55:00"/>
    <s v="MOTOCICLETA"/>
    <m/>
    <n v="1"/>
    <n v="0"/>
    <n v="0"/>
    <n v="0"/>
    <n v="0"/>
    <n v="0"/>
    <n v="0"/>
    <n v="0"/>
    <n v="0"/>
    <n v="0"/>
    <n v="0"/>
    <n v="0"/>
    <s v="MASCULINO"/>
    <s v="MASCULINO"/>
    <n v="2"/>
    <n v="0"/>
    <n v="20"/>
    <n v="43"/>
    <m/>
    <m/>
    <m/>
    <m/>
    <n v="157"/>
    <x v="1"/>
    <m/>
    <s v=""/>
    <x v="1"/>
  </r>
  <r>
    <n v="980"/>
    <x v="0"/>
    <n v="2"/>
    <n v="0"/>
    <x v="0"/>
    <s v="CALLE 37 N°27-70"/>
    <n v="5.3296900000000003"/>
    <n v="-72.380277000000007"/>
    <s v="MOVILIDAD"/>
    <s v="URBANO"/>
    <x v="2"/>
    <s v="JUNIO"/>
    <d v="2025-06-07T00:00:00"/>
    <x v="5"/>
    <d v="1899-12-30T20:35:00"/>
    <s v="MOTOCICLETA"/>
    <m/>
    <n v="1"/>
    <n v="0"/>
    <n v="0"/>
    <n v="0"/>
    <n v="0"/>
    <n v="0"/>
    <n v="0"/>
    <n v="0"/>
    <n v="0"/>
    <n v="0"/>
    <n v="0"/>
    <n v="0"/>
    <s v="MASCULINO"/>
    <s v="MASCULINO"/>
    <n v="2"/>
    <n v="0"/>
    <n v="19"/>
    <n v="14"/>
    <m/>
    <m/>
    <m/>
    <m/>
    <n v="157"/>
    <x v="1"/>
    <m/>
    <s v=""/>
    <x v="0"/>
  </r>
  <r>
    <n v="599"/>
    <x v="0"/>
    <n v="1"/>
    <n v="0"/>
    <x v="0"/>
    <s v="CALLE 38A  # 6-74"/>
    <n v="5.3189166666666665"/>
    <n v="-72.401600000000002"/>
    <s v="MOVILIDAD"/>
    <s v="URBANO"/>
    <x v="1"/>
    <s v="NOVIEMBRE"/>
    <d v="2023-11-05T00:00:00"/>
    <x v="2"/>
    <d v="1899-12-30T18:30:00"/>
    <s v="CAMIONETA"/>
    <m/>
    <n v="0"/>
    <n v="0"/>
    <n v="0"/>
    <n v="0"/>
    <n v="1"/>
    <n v="0"/>
    <n v="0"/>
    <n v="0"/>
    <n v="0"/>
    <n v="0"/>
    <n v="0"/>
    <n v="0"/>
    <s v="MASCULINO"/>
    <m/>
    <n v="1"/>
    <n v="0"/>
    <m/>
    <m/>
    <m/>
    <n v="69"/>
    <m/>
    <m/>
    <n v="115"/>
    <x v="12"/>
    <m/>
    <s v=""/>
    <x v="0"/>
  </r>
  <r>
    <n v="1111"/>
    <x v="1"/>
    <n v="0"/>
    <n v="0"/>
    <x v="1"/>
    <s v="CALLE 38A # TRANSVERSAL 6"/>
    <n v="5.3188383333333302"/>
    <n v="-72.401088333333306"/>
    <s v="MOVILIDAD"/>
    <s v="URBANO"/>
    <x v="2"/>
    <s v="OCTUBRE"/>
    <d v="2025-10-04T00:00:00"/>
    <x v="5"/>
    <d v="1899-12-30T17:24:00"/>
    <s v="MOTOCICLETA"/>
    <m/>
    <n v="1"/>
    <n v="0"/>
    <n v="0"/>
    <n v="0"/>
    <n v="0"/>
    <n v="0"/>
    <n v="0"/>
    <n v="0"/>
    <n v="0"/>
    <n v="0"/>
    <n v="0"/>
    <n v="0"/>
    <m/>
    <m/>
    <n v="0"/>
    <n v="0"/>
    <m/>
    <m/>
    <m/>
    <m/>
    <m/>
    <m/>
    <n v="409"/>
    <x v="19"/>
    <m/>
    <s v=""/>
    <x v="1"/>
  </r>
  <r>
    <n v="1105"/>
    <x v="0"/>
    <n v="2"/>
    <n v="0"/>
    <x v="0"/>
    <s v="CALLE 39 # CARRERA 16"/>
    <n v="5.31986715828491"/>
    <n v="-72.393840993294305"/>
    <s v="MOVILIDAD"/>
    <s v="URBANO"/>
    <x v="2"/>
    <s v="OCTUBRE"/>
    <d v="2025-10-03T00:00:00"/>
    <x v="0"/>
    <d v="1899-12-30T18:00:00"/>
    <s v="MOTOCICLETA"/>
    <s v="MOTOCICLETA"/>
    <n v="2"/>
    <n v="0"/>
    <n v="0"/>
    <n v="0"/>
    <n v="0"/>
    <n v="0"/>
    <n v="0"/>
    <n v="0"/>
    <n v="0"/>
    <n v="0"/>
    <n v="0"/>
    <n v="0"/>
    <s v="MASCULINO"/>
    <s v="MASCULINO"/>
    <n v="2"/>
    <n v="0"/>
    <n v="29"/>
    <n v="28"/>
    <m/>
    <m/>
    <m/>
    <m/>
    <n v="139"/>
    <x v="0"/>
    <m/>
    <s v=""/>
    <x v="0"/>
  </r>
  <r>
    <n v="498"/>
    <x v="0"/>
    <n v="1"/>
    <n v="0"/>
    <x v="0"/>
    <s v="CALLE 39 ENTRE CARRERA 19 Y TRANS 15 "/>
    <n v="5.3223816666666668"/>
    <n v="-72.390037500000005"/>
    <s v="MOVILIDAD"/>
    <s v="URBANO"/>
    <x v="1"/>
    <s v="JUNIO"/>
    <d v="2023-06-04T00:00:00"/>
    <x v="2"/>
    <d v="1899-12-30T20:23:00"/>
    <s v="MOTOCICLETA"/>
    <m/>
    <n v="1"/>
    <n v="0"/>
    <n v="0"/>
    <n v="0"/>
    <n v="0"/>
    <n v="0"/>
    <n v="0"/>
    <n v="0"/>
    <n v="0"/>
    <n v="0"/>
    <n v="0"/>
    <n v="0"/>
    <m/>
    <s v="FEMENINO"/>
    <n v="0"/>
    <n v="1"/>
    <m/>
    <m/>
    <m/>
    <m/>
    <n v="26"/>
    <m/>
    <n v="157"/>
    <x v="1"/>
    <m/>
    <s v=""/>
    <x v="0"/>
  </r>
  <r>
    <n v="986"/>
    <x v="0"/>
    <n v="2"/>
    <n v="0"/>
    <x v="0"/>
    <s v="CALLE 39 N° 20-30"/>
    <n v="5.3239470000000004"/>
    <n v="-72.387145000000004"/>
    <s v="MOVILIDAD"/>
    <s v="URBANO"/>
    <x v="2"/>
    <s v="JUNIO"/>
    <d v="2025-06-11T00:00:00"/>
    <x v="3"/>
    <d v="1899-12-30T18:40:00"/>
    <s v="MOTOCICLETA"/>
    <m/>
    <n v="1"/>
    <n v="0"/>
    <n v="0"/>
    <n v="0"/>
    <n v="0"/>
    <n v="0"/>
    <n v="0"/>
    <n v="0"/>
    <n v="0"/>
    <n v="0"/>
    <n v="0"/>
    <n v="0"/>
    <s v="FEMENINO"/>
    <s v="MASCULINO"/>
    <n v="1"/>
    <n v="1"/>
    <n v="18"/>
    <n v="8"/>
    <m/>
    <m/>
    <m/>
    <m/>
    <n v="139"/>
    <x v="0"/>
    <m/>
    <s v=""/>
    <x v="0"/>
  </r>
  <r>
    <n v="807"/>
    <x v="0"/>
    <n v="0"/>
    <n v="1"/>
    <x v="2"/>
    <s v="CALLE 40  #  23-28"/>
    <n v="5.3269977777777777"/>
    <n v="-72.381861111111107"/>
    <s v="MOVILIDAD"/>
    <s v="URBANO"/>
    <x v="3"/>
    <s v="NOVIEMBRE"/>
    <d v="2024-11-05T00:00:00"/>
    <x v="6"/>
    <d v="1899-12-30T23:48:00"/>
    <s v="MOTOCICLETA"/>
    <m/>
    <n v="1"/>
    <n v="0"/>
    <n v="0"/>
    <n v="0"/>
    <n v="0"/>
    <n v="0"/>
    <n v="0"/>
    <n v="0"/>
    <n v="0"/>
    <n v="0"/>
    <n v="0"/>
    <n v="0"/>
    <m/>
    <s v="FEMENINO"/>
    <n v="0"/>
    <n v="1"/>
    <m/>
    <m/>
    <m/>
    <m/>
    <m/>
    <n v="30"/>
    <n v="116"/>
    <x v="14"/>
    <n v="139"/>
    <s v="Impericia en el manejo."/>
    <x v="0"/>
  </r>
  <r>
    <n v="715"/>
    <x v="0"/>
    <n v="2"/>
    <n v="0"/>
    <x v="0"/>
    <s v="CALLE 40  # 01-04"/>
    <n v="5.3186444444444438"/>
    <n v="-72.411041666666677"/>
    <s v="MOVILIDAD"/>
    <s v="URBANO"/>
    <x v="3"/>
    <s v="MAYO"/>
    <d v="2024-05-18T00:00:00"/>
    <x v="5"/>
    <d v="1899-12-30T20:1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21"/>
    <n v="41"/>
    <m/>
    <m/>
    <m/>
    <m/>
    <n v="115"/>
    <x v="12"/>
    <n v="139"/>
    <s v="Impericia en el manejo."/>
    <x v="0"/>
  </r>
  <r>
    <n v="358"/>
    <x v="0"/>
    <n v="2"/>
    <n v="0"/>
    <x v="0"/>
    <s v="CALLE 40  # 04-15"/>
    <n v="5.3187936111111105"/>
    <n v="-72.40898833333334"/>
    <s v="MOVILIDAD"/>
    <s v="URBANO"/>
    <x v="0"/>
    <s v="NOVIEMBRE"/>
    <d v="2022-11-23T00:00:00"/>
    <x v="3"/>
    <d v="1899-12-30T07:0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37"/>
    <m/>
    <m/>
    <m/>
    <n v="32"/>
    <m/>
    <n v="409"/>
    <x v="19"/>
    <m/>
    <s v=""/>
    <x v="2"/>
  </r>
  <r>
    <n v="802"/>
    <x v="0"/>
    <n v="0"/>
    <n v="1"/>
    <x v="2"/>
    <s v="CALLE 40  # 04-15"/>
    <n v="5.3187936111111105"/>
    <n v="-72.40898833333334"/>
    <s v="MOVILIDAD"/>
    <s v="URBANO"/>
    <x v="3"/>
    <s v="NOVIEMBRE"/>
    <d v="2024-11-02T00:00:00"/>
    <x v="5"/>
    <d v="1899-12-30T20:24:00"/>
    <s v="MOTOCICLETA"/>
    <s v="CAMIONETA"/>
    <n v="1"/>
    <n v="0"/>
    <n v="0"/>
    <n v="0"/>
    <n v="1"/>
    <n v="0"/>
    <n v="0"/>
    <n v="0"/>
    <n v="0"/>
    <n v="0"/>
    <n v="0"/>
    <n v="0"/>
    <s v="MASCULINO"/>
    <m/>
    <n v="1"/>
    <n v="0"/>
    <m/>
    <m/>
    <m/>
    <m/>
    <m/>
    <n v="32"/>
    <n v="157"/>
    <x v="1"/>
    <n v="137"/>
    <s v="Falta de señales en vehículo varado"/>
    <x v="0"/>
  </r>
  <r>
    <n v="288"/>
    <x v="0"/>
    <n v="2"/>
    <n v="0"/>
    <x v="0"/>
    <s v="CALLE 40  # 12-54"/>
    <n v="5.3183788888888888"/>
    <n v="-72.397040000000004"/>
    <s v="MOVILIDAD"/>
    <s v="URBANO"/>
    <x v="0"/>
    <s v="AGOSTO"/>
    <d v="2022-08-27T00:00:00"/>
    <x v="5"/>
    <d v="1899-12-30T17:30:00"/>
    <s v="MOTOCICLETA"/>
    <m/>
    <n v="1"/>
    <n v="0"/>
    <n v="0"/>
    <n v="0"/>
    <n v="0"/>
    <n v="0"/>
    <n v="0"/>
    <n v="0"/>
    <n v="0"/>
    <n v="0"/>
    <n v="0"/>
    <n v="0"/>
    <s v="MASCULINO"/>
    <s v="FEMENINO"/>
    <n v="1"/>
    <n v="1"/>
    <n v="24"/>
    <m/>
    <m/>
    <n v="47"/>
    <m/>
    <m/>
    <n v="157"/>
    <x v="1"/>
    <m/>
    <s v=""/>
    <x v="1"/>
  </r>
  <r>
    <n v="135"/>
    <x v="0"/>
    <n v="2"/>
    <n v="0"/>
    <x v="0"/>
    <s v="CALLE 40  # 14-31"/>
    <n v="5.3187833333333332"/>
    <n v="-72.396027777777789"/>
    <s v="MOVILIDAD"/>
    <s v="URBANO"/>
    <x v="0"/>
    <s v="ABRIL"/>
    <d v="2022-04-15T00:00:00"/>
    <x v="0"/>
    <d v="1899-12-30T02:15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23"/>
    <n v="21"/>
    <m/>
    <m/>
    <m/>
    <m/>
    <n v="157"/>
    <x v="1"/>
    <m/>
    <s v=""/>
    <x v="2"/>
  </r>
  <r>
    <n v="799"/>
    <x v="0"/>
    <n v="1"/>
    <n v="0"/>
    <x v="0"/>
    <s v="CALLE 40  # 14A-04"/>
    <n v="5.3189447222222217"/>
    <n v="-72.395434722222234"/>
    <s v="MOVILIDAD"/>
    <s v="URBANO"/>
    <x v="3"/>
    <s v="OCTUBRE"/>
    <d v="2024-10-25T00:00:00"/>
    <x v="0"/>
    <d v="1899-12-30T18:3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27"/>
    <m/>
    <m/>
    <m/>
    <m/>
    <m/>
    <n v="139"/>
    <x v="0"/>
    <n v="143"/>
    <s v="Poner en marcha un vehículo sin precauciones."/>
    <x v="0"/>
  </r>
  <r>
    <n v="874"/>
    <x v="0"/>
    <n v="3"/>
    <n v="0"/>
    <x v="0"/>
    <s v="CALLE 40  # 18-19"/>
    <n v="5.3209099999999996"/>
    <n v="-72.388130000000004"/>
    <s v="MOVILIDAD"/>
    <s v="URBANO"/>
    <x v="2"/>
    <s v="FEBRERO"/>
    <d v="2025-02-14T00:00:00"/>
    <x v="0"/>
    <d v="1899-12-30T23:20:00"/>
    <s v="MOTOCICLETA"/>
    <m/>
    <n v="1"/>
    <n v="0"/>
    <n v="0"/>
    <n v="0"/>
    <n v="0"/>
    <n v="0"/>
    <n v="0"/>
    <n v="0"/>
    <n v="0"/>
    <n v="0"/>
    <n v="0"/>
    <n v="0"/>
    <s v="MASCULINO"/>
    <s v="MASCULINO"/>
    <n v="2"/>
    <n v="0"/>
    <n v="23"/>
    <n v="16"/>
    <n v="21"/>
    <m/>
    <m/>
    <m/>
    <n v="114"/>
    <x v="5"/>
    <n v="139"/>
    <s v="Impericia en el manejo."/>
    <x v="0"/>
  </r>
  <r>
    <n v="791"/>
    <x v="0"/>
    <n v="0"/>
    <n v="1"/>
    <x v="2"/>
    <s v="CALLE 40  # 21-23"/>
    <n v="5.3235213888888886"/>
    <n v="-72.385292777777778"/>
    <s v="MOVILIDAD"/>
    <s v="URBANO"/>
    <x v="3"/>
    <s v="OCTUBRE"/>
    <d v="2024-10-12T00:00:00"/>
    <x v="5"/>
    <d v="1899-12-30T05:0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m/>
    <m/>
    <m/>
    <m/>
    <m/>
    <n v="19"/>
    <n v="114"/>
    <x v="5"/>
    <n v="157"/>
    <s v="Otra"/>
    <x v="2"/>
  </r>
  <r>
    <n v="677"/>
    <x v="0"/>
    <n v="1"/>
    <n v="0"/>
    <x v="0"/>
    <s v="CALLE 40  # 24-53"/>
    <n v="5.3255694444444446"/>
    <n v="-72.3833388888889"/>
    <s v="MOVILIDAD"/>
    <s v="URBANO"/>
    <x v="3"/>
    <s v="MARZO"/>
    <d v="2024-03-10T00:00:00"/>
    <x v="2"/>
    <d v="1899-12-30T04:0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31"/>
    <m/>
    <m/>
    <m/>
    <m/>
    <m/>
    <n v="139"/>
    <x v="0"/>
    <n v="157"/>
    <s v="Otra"/>
    <x v="2"/>
  </r>
  <r>
    <n v="3"/>
    <x v="0"/>
    <n v="1"/>
    <n v="0"/>
    <x v="0"/>
    <s v="CALLE 40  # 28-03"/>
    <n v="5.3193019444444438"/>
    <n v="-72.389789722222233"/>
    <s v="MOVILIDAD"/>
    <s v="URBANO"/>
    <x v="0"/>
    <s v="ENERO"/>
    <d v="2022-01-07T00:00:00"/>
    <x v="0"/>
    <d v="1899-12-30T13:15:00"/>
    <s v="MOTOCICLETA"/>
    <s v="MOTOCARRO"/>
    <n v="1"/>
    <n v="1"/>
    <n v="0"/>
    <n v="0"/>
    <n v="0"/>
    <n v="0"/>
    <n v="0"/>
    <n v="0"/>
    <n v="0"/>
    <n v="0"/>
    <n v="0"/>
    <n v="0"/>
    <s v="MASCULINO"/>
    <m/>
    <n v="1"/>
    <n v="0"/>
    <n v="41"/>
    <m/>
    <m/>
    <m/>
    <m/>
    <m/>
    <n v="114"/>
    <x v="5"/>
    <n v="139"/>
    <s v="Impericia en el manejo."/>
    <x v="1"/>
  </r>
  <r>
    <n v="476"/>
    <x v="0"/>
    <n v="1"/>
    <n v="0"/>
    <x v="0"/>
    <s v="CALLE 40  # 29-48"/>
    <n v="5.3298833333333331"/>
    <n v="-72.37877499999999"/>
    <s v="MOVILIDAD"/>
    <s v="URBANO"/>
    <x v="1"/>
    <s v="MAYO"/>
    <d v="2023-05-11T00:00:00"/>
    <x v="1"/>
    <d v="1899-12-30T15:10:00"/>
    <s v="MOTOCICLETA"/>
    <s v="CAMIONETA"/>
    <n v="1"/>
    <n v="0"/>
    <n v="0"/>
    <n v="0"/>
    <n v="1"/>
    <n v="0"/>
    <n v="0"/>
    <n v="0"/>
    <n v="0"/>
    <n v="0"/>
    <n v="0"/>
    <n v="0"/>
    <s v="MASCULINO"/>
    <m/>
    <n v="1"/>
    <n v="0"/>
    <n v="16"/>
    <m/>
    <m/>
    <m/>
    <m/>
    <m/>
    <n v="139"/>
    <x v="0"/>
    <n v="157"/>
    <s v="Otra"/>
    <x v="1"/>
  </r>
  <r>
    <n v="543"/>
    <x v="0"/>
    <n v="3"/>
    <n v="0"/>
    <x v="0"/>
    <s v="CALLE 40  # 2E - 75 "/>
    <n v="5.3187813888888886"/>
    <n v="-72.410271666666674"/>
    <s v="MOVILIDAD"/>
    <s v="URBANO"/>
    <x v="1"/>
    <s v="AGOSTO"/>
    <d v="2023-08-29T00:00:00"/>
    <x v="6"/>
    <d v="1899-12-30T14:0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30"/>
    <n v="21"/>
    <m/>
    <m/>
    <n v="36"/>
    <m/>
    <n v="103"/>
    <x v="8"/>
    <m/>
    <s v=""/>
    <x v="1"/>
  </r>
  <r>
    <n v="693"/>
    <x v="0"/>
    <n v="1"/>
    <n v="0"/>
    <x v="0"/>
    <s v="CALLE 40  # 39-26"/>
    <n v="5.3344055555555556"/>
    <n v="-72.373541666666654"/>
    <s v="MOVILIDAD"/>
    <s v="URBANO"/>
    <x v="3"/>
    <s v="ABRIL"/>
    <d v="2024-04-15T00:00:00"/>
    <x v="4"/>
    <d v="1899-12-30T15:10:00"/>
    <s v="BICICLETA"/>
    <m/>
    <n v="0"/>
    <n v="0"/>
    <n v="0"/>
    <n v="0"/>
    <n v="0"/>
    <n v="0"/>
    <n v="0"/>
    <n v="0"/>
    <n v="0"/>
    <n v="0"/>
    <n v="0"/>
    <n v="1"/>
    <m/>
    <s v="FEMENINO"/>
    <n v="0"/>
    <n v="1"/>
    <n v="53"/>
    <m/>
    <m/>
    <m/>
    <m/>
    <m/>
    <n v="1"/>
    <x v="3"/>
    <m/>
    <s v=""/>
    <x v="1"/>
  </r>
  <r>
    <n v="450"/>
    <x v="0"/>
    <n v="2"/>
    <n v="1"/>
    <x v="2"/>
    <s v="CALLE 40  # 6-48"/>
    <n v="5.3185236111111109"/>
    <n v="-72.40307972222223"/>
    <s v="MOVILIDAD"/>
    <s v="URBANO"/>
    <x v="1"/>
    <s v="ABRIL"/>
    <d v="2023-04-06T00:00:00"/>
    <x v="1"/>
    <d v="1901-02-13T00:0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19"/>
    <m/>
    <m/>
    <m/>
    <n v="33"/>
    <n v="19"/>
    <n v="157"/>
    <x v="1"/>
    <n v="139"/>
    <s v="Impericia en el manejo."/>
    <x v="2"/>
  </r>
  <r>
    <n v="467"/>
    <x v="0"/>
    <n v="0"/>
    <n v="1"/>
    <x v="2"/>
    <s v="CALLE 40  # 6-48"/>
    <n v="5.3185236111111109"/>
    <n v="-72.40307972222223"/>
    <s v="MOVILIDAD"/>
    <s v="URBANO"/>
    <x v="1"/>
    <s v="MAYO"/>
    <d v="2023-05-04T00:00:00"/>
    <x v="1"/>
    <d v="1899-12-30T02:0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m/>
    <m/>
    <m/>
    <m/>
    <m/>
    <n v="27"/>
    <n v="114"/>
    <x v="5"/>
    <n v="116"/>
    <s v="Exceso de velocidad"/>
    <x v="2"/>
  </r>
  <r>
    <n v="264"/>
    <x v="0"/>
    <n v="1"/>
    <n v="0"/>
    <x v="0"/>
    <s v="CALLE 40  # 6-48"/>
    <n v="5.3185236111111109"/>
    <n v="-72.40307972222223"/>
    <s v="MOVILIDAD"/>
    <s v="URBANO"/>
    <x v="0"/>
    <s v="JULIO"/>
    <d v="2022-07-30T00:00:00"/>
    <x v="5"/>
    <d v="1907-07-07T00:00:00"/>
    <s v="MOTOCICLETA"/>
    <s v="AUTOMOVIL"/>
    <n v="1"/>
    <n v="0"/>
    <n v="1"/>
    <n v="0"/>
    <n v="0"/>
    <n v="0"/>
    <n v="0"/>
    <n v="0"/>
    <n v="0"/>
    <n v="0"/>
    <n v="0"/>
    <n v="0"/>
    <m/>
    <s v="FEMENINO"/>
    <n v="0"/>
    <n v="1"/>
    <m/>
    <m/>
    <m/>
    <m/>
    <n v="35"/>
    <m/>
    <n v="114"/>
    <x v="5"/>
    <m/>
    <s v=""/>
    <x v="2"/>
  </r>
  <r>
    <n v="752"/>
    <x v="0"/>
    <n v="0"/>
    <n v="1"/>
    <x v="2"/>
    <s v="CALLE 40  # 7a-10"/>
    <n v="5.3184444444444443"/>
    <n v="-72.401908333333338"/>
    <s v="MOVILIDAD"/>
    <s v="URBANO"/>
    <x v="3"/>
    <s v="JULIO"/>
    <d v="2024-07-27T00:00:00"/>
    <x v="5"/>
    <d v="1899-12-30T19:3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m/>
    <n v="34"/>
    <m/>
    <m/>
    <m/>
    <n v="26"/>
    <n v="139"/>
    <x v="0"/>
    <n v="409"/>
    <s v="Cruzar sin observar."/>
    <x v="0"/>
  </r>
  <r>
    <n v="746"/>
    <x v="0"/>
    <n v="1"/>
    <n v="0"/>
    <x v="0"/>
    <s v="CALLE 40  # 7B-20"/>
    <n v="5.3184322222222216"/>
    <n v="-72.401526666666669"/>
    <s v="MOVILIDAD"/>
    <s v="URBANO"/>
    <x v="3"/>
    <s v="JULIO"/>
    <d v="2024-07-18T00:00:00"/>
    <x v="1"/>
    <d v="1899-12-30T15:05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25"/>
    <n v="21"/>
    <m/>
    <m/>
    <m/>
    <m/>
    <n v="122"/>
    <x v="2"/>
    <m/>
    <s v=""/>
    <x v="1"/>
  </r>
  <r>
    <n v="16"/>
    <x v="0"/>
    <n v="1"/>
    <n v="0"/>
    <x v="0"/>
    <s v="CALLE 40  # 7B-20"/>
    <n v="5.3184333333333331"/>
    <n v="-72.40140277777779"/>
    <s v="MOVILIDAD"/>
    <s v="URBANO"/>
    <x v="0"/>
    <s v="ENERO"/>
    <d v="2022-01-15T00:00:00"/>
    <x v="5"/>
    <d v="1899-12-30T20:00:00"/>
    <s v="MOTOCICLETA"/>
    <s v="MOTOCICLETA"/>
    <n v="2"/>
    <n v="0"/>
    <n v="0"/>
    <n v="0"/>
    <n v="0"/>
    <n v="0"/>
    <n v="0"/>
    <n v="0"/>
    <n v="0"/>
    <n v="0"/>
    <n v="0"/>
    <n v="0"/>
    <m/>
    <s v="FEMENINO"/>
    <n v="0"/>
    <n v="1"/>
    <n v="49"/>
    <m/>
    <m/>
    <m/>
    <m/>
    <m/>
    <n v="114"/>
    <x v="5"/>
    <n v="139"/>
    <s v="Impericia en el manejo."/>
    <x v="0"/>
  </r>
  <r>
    <n v="1031"/>
    <x v="0"/>
    <n v="1"/>
    <n v="0"/>
    <x v="0"/>
    <s v="CALLE 40 # CARRERA 11 "/>
    <n v="5.3183280000000002"/>
    <n v="-72.398932000000002"/>
    <s v="MOVILIDAD"/>
    <s v="URBANO"/>
    <x v="2"/>
    <s v="AGOSTO"/>
    <d v="2025-08-01T00:00:00"/>
    <x v="0"/>
    <d v="1899-12-30T23:50:00"/>
    <s v="MOTOCICLETA"/>
    <s v="MOTOCICLETA"/>
    <n v="2"/>
    <n v="0"/>
    <n v="0"/>
    <n v="0"/>
    <n v="0"/>
    <n v="0"/>
    <n v="0"/>
    <n v="0"/>
    <n v="0"/>
    <n v="0"/>
    <n v="0"/>
    <n v="0"/>
    <s v="FEMENINO"/>
    <s v="MASCULINO"/>
    <n v="1"/>
    <n v="1"/>
    <n v="29"/>
    <n v="52"/>
    <m/>
    <m/>
    <m/>
    <m/>
    <n v="114"/>
    <x v="5"/>
    <n v="157"/>
    <s v="Otra"/>
    <x v="0"/>
  </r>
  <r>
    <n v="1113"/>
    <x v="0"/>
    <n v="3"/>
    <n v="0"/>
    <x v="0"/>
    <s v="CALLE 40 # CARRERA 2 OESTE"/>
    <n v="5.3181522965823103"/>
    <n v="-72.414222495760299"/>
    <s v="MOVILIDAD"/>
    <s v="URBANO"/>
    <x v="2"/>
    <s v="OCTUBRE"/>
    <d v="2025-10-04T00:00:00"/>
    <x v="5"/>
    <d v="1899-12-30T21:20:00"/>
    <s v="MOTOCICLETA"/>
    <m/>
    <n v="1"/>
    <n v="0"/>
    <n v="0"/>
    <n v="0"/>
    <n v="0"/>
    <n v="0"/>
    <n v="0"/>
    <n v="0"/>
    <n v="0"/>
    <n v="0"/>
    <n v="0"/>
    <n v="0"/>
    <s v="MASCULINO"/>
    <s v="FEMENINO"/>
    <n v="1"/>
    <n v="1"/>
    <n v="29"/>
    <n v="38"/>
    <m/>
    <m/>
    <m/>
    <m/>
    <n v="114"/>
    <x v="5"/>
    <m/>
    <s v=""/>
    <x v="0"/>
  </r>
  <r>
    <n v="1080"/>
    <x v="0"/>
    <n v="2"/>
    <n v="0"/>
    <x v="0"/>
    <s v="CALLE 40 # CARRERA 33"/>
    <n v="5.3317368280000004"/>
    <n v="-72.376993119999995"/>
    <s v="MOVILIDAD"/>
    <s v="URBANO"/>
    <x v="2"/>
    <s v="SEPTIEMBRE"/>
    <d v="2025-09-28T00:00:00"/>
    <x v="2"/>
    <d v="1899-12-30T12:50:00"/>
    <s v="CAMPERO"/>
    <s v="AUTOMOVIL"/>
    <n v="0"/>
    <n v="0"/>
    <n v="1"/>
    <n v="1"/>
    <n v="0"/>
    <n v="0"/>
    <n v="0"/>
    <n v="0"/>
    <n v="0"/>
    <n v="0"/>
    <n v="0"/>
    <n v="0"/>
    <s v="MASCULINO"/>
    <s v="MASCULINO"/>
    <n v="2"/>
    <n v="0"/>
    <n v="75"/>
    <n v="32"/>
    <m/>
    <m/>
    <m/>
    <m/>
    <n v="112"/>
    <x v="4"/>
    <n v="157"/>
    <s v="Otra"/>
    <x v="1"/>
  </r>
  <r>
    <n v="1036"/>
    <x v="0"/>
    <n v="2"/>
    <n v="0"/>
    <x v="0"/>
    <s v="CALLE 40 # TRANSVERSAL 18"/>
    <n v="5.3192599999999999"/>
    <n v="-72.393129999999999"/>
    <s v="MOVILIDAD"/>
    <s v="URBANO"/>
    <x v="2"/>
    <s v="AGOSTO"/>
    <d v="2025-08-05T00:00:00"/>
    <x v="6"/>
    <d v="1899-12-30T12:20:00"/>
    <s v="MOTOCICLETA"/>
    <s v="MOTOCICLETA"/>
    <n v="2"/>
    <n v="0"/>
    <n v="0"/>
    <n v="0"/>
    <n v="0"/>
    <n v="0"/>
    <n v="0"/>
    <n v="0"/>
    <n v="0"/>
    <n v="0"/>
    <n v="0"/>
    <n v="0"/>
    <s v="FEMENINO"/>
    <s v="FEMENINO"/>
    <n v="0"/>
    <n v="2"/>
    <n v="22"/>
    <n v="32"/>
    <m/>
    <m/>
    <m/>
    <m/>
    <n v="121"/>
    <x v="7"/>
    <n v="139"/>
    <s v="Impericia en el manejo."/>
    <x v="1"/>
  </r>
  <r>
    <n v="1017"/>
    <x v="1"/>
    <n v="0"/>
    <n v="0"/>
    <x v="1"/>
    <s v="CALLE 40 CARRERA 19"/>
    <n v="5.3216229999999998"/>
    <n v="-72.387452999999994"/>
    <s v="MOVILIDAD"/>
    <s v="URBANO"/>
    <x v="2"/>
    <s v="JULIO"/>
    <d v="2025-07-18T00:00:00"/>
    <x v="0"/>
    <d v="1899-12-30T06:50:00"/>
    <s v="MOTOCICLETA"/>
    <s v="AUTOMOVIL"/>
    <n v="1"/>
    <n v="0"/>
    <n v="1"/>
    <n v="0"/>
    <n v="0"/>
    <n v="0"/>
    <n v="0"/>
    <n v="0"/>
    <n v="0"/>
    <n v="0"/>
    <n v="0"/>
    <n v="0"/>
    <s v="MASCULINO"/>
    <s v="FEMENINO"/>
    <n v="1"/>
    <n v="1"/>
    <n v="21"/>
    <n v="34"/>
    <m/>
    <m/>
    <m/>
    <m/>
    <n v="121"/>
    <x v="7"/>
    <m/>
    <s v=""/>
    <x v="2"/>
  </r>
  <r>
    <n v="642"/>
    <x v="0"/>
    <n v="2"/>
    <n v="0"/>
    <x v="0"/>
    <s v="CALLE 40 ENTRE CARRERA 1-2"/>
    <n v="5.3187611111111108"/>
    <n v="-72.411144444444446"/>
    <s v="MOVILIDAD"/>
    <s v="URBANO"/>
    <x v="1"/>
    <s v="DICIEMBRE"/>
    <d v="2023-12-29T00:00:00"/>
    <x v="0"/>
    <d v="1899-12-30T18:30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n v="49"/>
    <m/>
    <n v="20"/>
    <m/>
    <m/>
    <m/>
    <n v="115"/>
    <x v="12"/>
    <n v="139"/>
    <s v="Impericia en el manejo."/>
    <x v="0"/>
  </r>
  <r>
    <n v="762"/>
    <x v="0"/>
    <n v="2"/>
    <n v="0"/>
    <x v="0"/>
    <s v="CALLE 40 ENTRE CARRERA 21 Y 22"/>
    <n v="5.3235861111111111"/>
    <n v="-72.38537222222223"/>
    <s v="MOVILIDAD"/>
    <s v="URBANO"/>
    <x v="3"/>
    <s v="AGOSTO"/>
    <d v="2024-08-12T00:00:00"/>
    <x v="4"/>
    <d v="1899-12-30T17:15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n v="29"/>
    <n v="19"/>
    <n v="29"/>
    <m/>
    <m/>
    <m/>
    <n v="139"/>
    <x v="0"/>
    <n v="121"/>
    <s v="No mantener distancia de seguridad."/>
    <x v="1"/>
  </r>
  <r>
    <n v="878"/>
    <x v="0"/>
    <n v="2"/>
    <n v="0"/>
    <x v="0"/>
    <s v="CALLE 40 ENTRE CARRERA 4 Y 5"/>
    <n v="5.3187620000000004"/>
    <n v="-72.409020999999996"/>
    <s v="MOVILIDAD"/>
    <s v="URBANO"/>
    <x v="2"/>
    <s v="FEBRERO"/>
    <d v="2025-02-19T00:00:00"/>
    <x v="3"/>
    <d v="1899-12-30T13:10:00"/>
    <s v="BICICLETA"/>
    <s v="MOTOCICLETA"/>
    <n v="1"/>
    <n v="0"/>
    <n v="0"/>
    <n v="0"/>
    <n v="0"/>
    <n v="0"/>
    <n v="0"/>
    <n v="0"/>
    <n v="0"/>
    <n v="0"/>
    <n v="0"/>
    <n v="1"/>
    <s v="FEMENINO"/>
    <s v="FEMENINO"/>
    <n v="0"/>
    <n v="2"/>
    <n v="51"/>
    <n v="22"/>
    <m/>
    <m/>
    <m/>
    <m/>
    <n v="139"/>
    <x v="0"/>
    <n v="122"/>
    <s v="Girar bruscamente."/>
    <x v="1"/>
  </r>
  <r>
    <n v="747"/>
    <x v="0"/>
    <n v="1"/>
    <n v="0"/>
    <x v="0"/>
    <s v="CALLE 40 ENTRE CARRERA 7 Y 8"/>
    <n v="5.3185797222222222"/>
    <n v="-72.402120277777783"/>
    <s v="MOVILIDAD"/>
    <s v="URBANO"/>
    <x v="3"/>
    <s v="JULIO"/>
    <d v="2024-07-20T00:00:00"/>
    <x v="5"/>
    <d v="1899-12-30T19:40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n v="37"/>
    <m/>
    <n v="69"/>
    <m/>
    <m/>
    <m/>
    <n v="114"/>
    <x v="5"/>
    <m/>
    <s v=""/>
    <x v="0"/>
  </r>
  <r>
    <n v="848"/>
    <x v="1"/>
    <n v="0"/>
    <n v="0"/>
    <x v="1"/>
    <s v="CALLE 40 ENTRE TRANSVERSAL 7 Y CARRERA 11"/>
    <n v="5.3183211111111106"/>
    <n v="-72.399257222222232"/>
    <s v="MOVILIDAD"/>
    <s v="URBANO"/>
    <x v="3"/>
    <s v="DICIEMBRE"/>
    <d v="2024-12-25T00:00:00"/>
    <x v="3"/>
    <d v="1899-12-30T01:10:00"/>
    <s v="CAMIONETA"/>
    <s v="CAMION"/>
    <n v="0"/>
    <n v="0"/>
    <n v="0"/>
    <n v="0"/>
    <n v="1"/>
    <n v="0"/>
    <n v="0"/>
    <n v="0"/>
    <n v="1"/>
    <n v="0"/>
    <n v="0"/>
    <n v="0"/>
    <s v="MASCULINO"/>
    <s v="FEMENINO"/>
    <n v="1"/>
    <n v="1"/>
    <n v="43"/>
    <n v="32"/>
    <m/>
    <m/>
    <m/>
    <m/>
    <n v="121"/>
    <x v="7"/>
    <m/>
    <s v=""/>
    <x v="2"/>
  </r>
  <r>
    <n v="1027"/>
    <x v="0"/>
    <n v="1"/>
    <n v="0"/>
    <x v="0"/>
    <s v="CALLE 40 N 16-15"/>
    <n v="5.3191959999999998"/>
    <n v="-72.393668000000005"/>
    <s v="MOVILIDAD"/>
    <s v="URBANO"/>
    <x v="2"/>
    <s v="JULIO"/>
    <d v="2025-07-31T00:00:00"/>
    <x v="1"/>
    <d v="1899-12-30T18:45:00"/>
    <s v="MOTOCICLETA"/>
    <m/>
    <n v="1"/>
    <n v="0"/>
    <n v="0"/>
    <n v="0"/>
    <n v="0"/>
    <n v="0"/>
    <n v="0"/>
    <n v="0"/>
    <n v="0"/>
    <n v="0"/>
    <n v="0"/>
    <n v="0"/>
    <s v="MASCULINO"/>
    <s v="MASCULINO"/>
    <n v="2"/>
    <n v="0"/>
    <n v="22"/>
    <n v="65"/>
    <m/>
    <m/>
    <m/>
    <m/>
    <n v="139"/>
    <x v="0"/>
    <n v="409"/>
    <s v="Cruzar sin observar."/>
    <x v="0"/>
  </r>
  <r>
    <n v="954"/>
    <x v="0"/>
    <n v="0"/>
    <n v="1"/>
    <x v="2"/>
    <s v="CALLE 40 No. 2-15"/>
    <n v="5.3187490000000004"/>
    <n v="-72.410743999999994"/>
    <s v="MOVILIDAD"/>
    <s v="URBANO"/>
    <x v="2"/>
    <s v="MAYO"/>
    <d v="2025-05-03T00:00:00"/>
    <x v="5"/>
    <d v="1899-12-30T22:15:00"/>
    <s v="MOTOCICLETA"/>
    <s v="TRACTOCAMION"/>
    <n v="1"/>
    <n v="0"/>
    <n v="0"/>
    <n v="0"/>
    <n v="0"/>
    <n v="0"/>
    <n v="0"/>
    <n v="0"/>
    <n v="0"/>
    <n v="1"/>
    <n v="0"/>
    <n v="0"/>
    <s v="MASCULINO"/>
    <m/>
    <n v="1"/>
    <n v="0"/>
    <n v="19"/>
    <m/>
    <m/>
    <m/>
    <m/>
    <m/>
    <n v="114"/>
    <x v="5"/>
    <n v="139"/>
    <s v="Impericia en el manejo."/>
    <x v="0"/>
  </r>
  <r>
    <n v="952"/>
    <x v="0"/>
    <n v="1"/>
    <n v="0"/>
    <x v="0"/>
    <s v="CALLE 40 No. 4-65"/>
    <n v="5.318873"/>
    <n v="-72.406492"/>
    <s v="MOVILIDAD"/>
    <s v="RURAL"/>
    <x v="2"/>
    <s v="ABRIL"/>
    <d v="2025-04-26T00:00:00"/>
    <x v="5"/>
    <d v="1899-12-30T03:3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17"/>
    <m/>
    <m/>
    <m/>
    <m/>
    <m/>
    <n v="157"/>
    <x v="1"/>
    <n v="116"/>
    <s v="Exceso de velocidad"/>
    <x v="2"/>
  </r>
  <r>
    <n v="133"/>
    <x v="0"/>
    <n v="1"/>
    <n v="0"/>
    <x v="0"/>
    <s v="CALLE 40BIS  # 6-14"/>
    <n v="5.318513888888889"/>
    <n v="-72.4034388888889"/>
    <s v="MOVILIDAD"/>
    <s v="URBANO"/>
    <x v="0"/>
    <s v="ABRIL"/>
    <d v="2022-04-13T00:00:00"/>
    <x v="3"/>
    <d v="1899-12-30T14:00:00"/>
    <s v="MOTOCICLETA"/>
    <m/>
    <n v="1"/>
    <n v="0"/>
    <n v="0"/>
    <n v="0"/>
    <n v="0"/>
    <n v="0"/>
    <n v="0"/>
    <n v="0"/>
    <n v="0"/>
    <n v="0"/>
    <n v="0"/>
    <n v="0"/>
    <m/>
    <s v="FEMENINO"/>
    <n v="0"/>
    <n v="1"/>
    <n v="20"/>
    <m/>
    <m/>
    <m/>
    <m/>
    <m/>
    <n v="139"/>
    <x v="0"/>
    <n v="157"/>
    <s v="Otra"/>
    <x v="1"/>
  </r>
  <r>
    <n v="1094"/>
    <x v="1"/>
    <n v="0"/>
    <n v="0"/>
    <x v="1"/>
    <s v="CALLE 42 # CARRERA 7"/>
    <n v="5.3167202649638003"/>
    <n v="-72.402223628014298"/>
    <s v="MOVILIDAD"/>
    <s v="URBANO"/>
    <x v="2"/>
    <s v="SEPTIEMBRE"/>
    <d v="2025-09-25T00:00:00"/>
    <x v="1"/>
    <d v="1899-12-30T18:59:00"/>
    <s v="MOTOCICLETA"/>
    <s v="BICICLETA"/>
    <n v="1"/>
    <n v="0"/>
    <n v="0"/>
    <n v="0"/>
    <n v="0"/>
    <n v="0"/>
    <n v="0"/>
    <n v="0"/>
    <n v="0"/>
    <n v="0"/>
    <n v="0"/>
    <n v="1"/>
    <s v="MASCULINO"/>
    <s v="MASCULINO"/>
    <n v="2"/>
    <n v="0"/>
    <m/>
    <m/>
    <m/>
    <m/>
    <m/>
    <m/>
    <n v="99"/>
    <x v="20"/>
    <n v="139"/>
    <s v="Impericia en el manejo."/>
    <x v="0"/>
  </r>
  <r>
    <n v="513"/>
    <x v="0"/>
    <n v="1"/>
    <n v="0"/>
    <x v="0"/>
    <s v="CALLE 46  # 7-25"/>
    <n v="5.3130477777777774"/>
    <n v="-72.401732500000008"/>
    <s v="MOVILIDAD"/>
    <s v="URBANO"/>
    <x v="1"/>
    <s v="JUNIO"/>
    <d v="2023-06-24T00:00:00"/>
    <x v="5"/>
    <d v="1899-12-30T18:35:00"/>
    <s v="MOTOCICLETA"/>
    <m/>
    <n v="1"/>
    <n v="0"/>
    <n v="0"/>
    <n v="0"/>
    <n v="0"/>
    <n v="0"/>
    <n v="0"/>
    <n v="0"/>
    <n v="0"/>
    <n v="0"/>
    <n v="0"/>
    <n v="0"/>
    <m/>
    <s v="FEMENINO"/>
    <n v="0"/>
    <n v="1"/>
    <m/>
    <m/>
    <m/>
    <n v="62"/>
    <m/>
    <m/>
    <n v="139"/>
    <x v="0"/>
    <m/>
    <s v=""/>
    <x v="0"/>
  </r>
  <r>
    <n v="1018"/>
    <x v="0"/>
    <n v="2"/>
    <n v="0"/>
    <x v="0"/>
    <s v="CALLE 48 No 19-20"/>
    <n v="5.3174650000000003"/>
    <n v="-72.383050999999995"/>
    <s v="MOVILIDAD"/>
    <s v="URBANO"/>
    <x v="2"/>
    <s v="JULIO"/>
    <d v="2025-07-21T00:00:00"/>
    <x v="4"/>
    <d v="1899-12-30T21:07:00"/>
    <s v="MOTOCICLETA"/>
    <s v="MOTOCICLETA"/>
    <n v="2"/>
    <n v="0"/>
    <n v="0"/>
    <n v="0"/>
    <n v="0"/>
    <n v="0"/>
    <n v="0"/>
    <n v="0"/>
    <n v="0"/>
    <n v="0"/>
    <n v="0"/>
    <n v="0"/>
    <s v="FEMENINO"/>
    <s v="FEMENINO"/>
    <n v="0"/>
    <n v="2"/>
    <n v="54"/>
    <n v="48"/>
    <m/>
    <m/>
    <m/>
    <m/>
    <n v="157"/>
    <x v="1"/>
    <m/>
    <s v=""/>
    <x v="0"/>
  </r>
  <r>
    <n v="210"/>
    <x v="0"/>
    <n v="0"/>
    <n v="1"/>
    <x v="2"/>
    <s v="CALLE 5  # 13-9 CHAPARRERA"/>
    <n v="5.495338888888889"/>
    <n v="-72.224930555555559"/>
    <s v="MOVILIDAD"/>
    <s v="RURAL"/>
    <x v="0"/>
    <s v="JUNIO"/>
    <d v="2022-06-10T00:00:00"/>
    <x v="0"/>
    <d v="1899-12-30T03:4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m/>
    <m/>
    <m/>
    <m/>
    <m/>
    <n v="21"/>
    <n v="139"/>
    <x v="0"/>
    <n v="114"/>
    <s v="Embriaguez aparente."/>
    <x v="2"/>
  </r>
  <r>
    <n v="511"/>
    <x v="0"/>
    <n v="1"/>
    <n v="0"/>
    <x v="0"/>
    <s v="CALLE 50 ENTRE CARRERA 1 Y 2 "/>
    <n v="5.3097525000000001"/>
    <n v="-72.413437777777787"/>
    <s v="MOVILIDAD"/>
    <s v="URBANO"/>
    <x v="1"/>
    <s v="JUNIO"/>
    <d v="2023-06-19T00:00:00"/>
    <x v="4"/>
    <d v="1899-12-30T13:3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23"/>
    <m/>
    <m/>
    <m/>
    <m/>
    <m/>
    <n v="139"/>
    <x v="0"/>
    <m/>
    <s v=""/>
    <x v="1"/>
  </r>
  <r>
    <n v="1109"/>
    <x v="0"/>
    <n v="1"/>
    <n v="0"/>
    <x v="0"/>
    <s v="CALLE 56A # CARRERA 7"/>
    <n v="5.3054319999999997"/>
    <n v="-72.419542000000007"/>
    <s v="MOVILIDAD"/>
    <s v="URBANO"/>
    <x v="2"/>
    <s v="OCTUBRE"/>
    <d v="2025-10-04T00:00:00"/>
    <x v="5"/>
    <d v="1899-12-30T17:50:00"/>
    <s v="MOTOCICLETA"/>
    <s v="VOLQUETA"/>
    <n v="1"/>
    <n v="0"/>
    <n v="0"/>
    <n v="0"/>
    <n v="0"/>
    <n v="0"/>
    <n v="0"/>
    <n v="0"/>
    <n v="0"/>
    <n v="0"/>
    <n v="1"/>
    <n v="0"/>
    <s v="MASCULINO"/>
    <m/>
    <n v="1"/>
    <n v="0"/>
    <n v="26"/>
    <m/>
    <m/>
    <m/>
    <m/>
    <m/>
    <n v="114"/>
    <x v="5"/>
    <n v="139"/>
    <s v="Impericia en el manejo."/>
    <x v="1"/>
  </r>
  <r>
    <n v="58"/>
    <x v="1"/>
    <n v="0"/>
    <n v="0"/>
    <x v="1"/>
    <s v="CALLE 57  # 14-60"/>
    <n v="5.3089409999999999"/>
    <n v="-72.395988000000003"/>
    <s v="MOVILIDAD"/>
    <s v="URBANO"/>
    <x v="0"/>
    <s v="FEBRERO"/>
    <d v="2022-02-16T00:00:00"/>
    <x v="3"/>
    <d v="1899-12-30T13:5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m/>
    <m/>
    <m/>
    <m/>
    <m/>
    <m/>
    <n v="139"/>
    <x v="0"/>
    <n v="145"/>
    <s v="Arrancar sin precaución."/>
    <x v="1"/>
  </r>
  <r>
    <n v="1060"/>
    <x v="1"/>
    <n v="0"/>
    <n v="0"/>
    <x v="1"/>
    <s v="CALLE 6 # CARRERA 21"/>
    <n v="5.3502765600000002"/>
    <n v="-72.40006932"/>
    <s v="MOVILIDAD"/>
    <s v="URBANO"/>
    <x v="2"/>
    <s v="SEPTIEMBRE"/>
    <d v="2025-09-01T00:00:00"/>
    <x v="4"/>
    <d v="1899-12-30T12:51:00"/>
    <s v="MOTOCICLETA"/>
    <s v="AUTOMOVIL"/>
    <n v="1"/>
    <n v="0"/>
    <n v="1"/>
    <n v="0"/>
    <n v="0"/>
    <n v="0"/>
    <n v="0"/>
    <n v="0"/>
    <n v="0"/>
    <n v="0"/>
    <n v="0"/>
    <n v="0"/>
    <m/>
    <m/>
    <n v="0"/>
    <n v="0"/>
    <m/>
    <m/>
    <m/>
    <m/>
    <m/>
    <m/>
    <n v="139"/>
    <x v="0"/>
    <m/>
    <s v=""/>
    <x v="1"/>
  </r>
  <r>
    <n v="342"/>
    <x v="0"/>
    <n v="1"/>
    <n v="0"/>
    <x v="0"/>
    <s v="CALLE 60  # 1ESTE-54"/>
    <n v="5.3135983333333332"/>
    <n v="-72.2675725"/>
    <s v="MOVILIDAD"/>
    <s v="URBANO"/>
    <x v="0"/>
    <s v="OCTUBRE"/>
    <d v="2022-10-28T00:00:00"/>
    <x v="0"/>
    <d v="1899-12-30T13:45:00"/>
    <s v="MOTOCICLETA"/>
    <s v="AUTOMOVIL"/>
    <n v="1"/>
    <n v="0"/>
    <n v="1"/>
    <n v="0"/>
    <n v="0"/>
    <n v="0"/>
    <n v="0"/>
    <n v="0"/>
    <n v="0"/>
    <n v="0"/>
    <n v="0"/>
    <n v="0"/>
    <m/>
    <s v="FEMENINO"/>
    <n v="0"/>
    <n v="1"/>
    <n v="26"/>
    <m/>
    <m/>
    <m/>
    <m/>
    <m/>
    <n v="123"/>
    <x v="21"/>
    <n v="304"/>
    <s v="Superficie húmeda."/>
    <x v="1"/>
  </r>
  <r>
    <n v="451"/>
    <x v="0"/>
    <n v="2"/>
    <n v="0"/>
    <x v="0"/>
    <s v="CALLE 60  # 2 A 20"/>
    <n v="5.3019138888888886"/>
    <n v="-72.410328055555567"/>
    <s v="MOVILIDAD"/>
    <s v="URBANO"/>
    <x v="1"/>
    <s v="ABRIL"/>
    <d v="2023-04-15T00:00:00"/>
    <x v="5"/>
    <d v="1899-12-30T07:00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n v="19"/>
    <n v="17"/>
    <m/>
    <m/>
    <m/>
    <m/>
    <n v="139"/>
    <x v="0"/>
    <n v="122"/>
    <s v="Girar bruscamente."/>
    <x v="2"/>
  </r>
  <r>
    <n v="1106"/>
    <x v="1"/>
    <n v="0"/>
    <n v="0"/>
    <x v="1"/>
    <s v="CALLE 60 # CARRERA 5"/>
    <n v="5.2811271740636299"/>
    <n v="-72.400989958441798"/>
    <s v="MOVILIDAD"/>
    <s v="URBANO"/>
    <x v="2"/>
    <s v="OCTUBRE"/>
    <d v="2025-10-03T00:00:00"/>
    <x v="0"/>
    <d v="1899-12-30T17:40:00"/>
    <s v="AUTOMOVIL"/>
    <s v="CAMION"/>
    <n v="0"/>
    <n v="0"/>
    <n v="1"/>
    <n v="0"/>
    <n v="0"/>
    <n v="0"/>
    <n v="0"/>
    <n v="0"/>
    <n v="1"/>
    <n v="0"/>
    <n v="0"/>
    <n v="0"/>
    <s v="MASCULINO"/>
    <s v="MASCULINO"/>
    <n v="2"/>
    <n v="0"/>
    <m/>
    <m/>
    <m/>
    <m/>
    <m/>
    <m/>
    <n v="121"/>
    <x v="7"/>
    <m/>
    <s v=""/>
    <x v="1"/>
  </r>
  <r>
    <n v="344"/>
    <x v="0"/>
    <n v="1"/>
    <n v="0"/>
    <x v="0"/>
    <s v="CALLE 60 # PUENTE "/>
    <n v="5.301536111111111"/>
    <n v="-72.407908333333339"/>
    <s v="MOVILIDAD"/>
    <s v="URBANO"/>
    <x v="0"/>
    <s v="OCTUBRE"/>
    <d v="2022-10-29T00:00:00"/>
    <x v="5"/>
    <d v="1899-12-30T19:18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48"/>
    <m/>
    <m/>
    <m/>
    <m/>
    <m/>
    <n v="157"/>
    <x v="1"/>
    <m/>
    <s v=""/>
    <x v="0"/>
  </r>
  <r>
    <n v="266"/>
    <x v="1"/>
    <n v="0"/>
    <n v="0"/>
    <x v="1"/>
    <s v="CALLE 60 1ESTE # 59-29"/>
    <n v="5.3032611111111105"/>
    <n v="-72.412829166666668"/>
    <s v="MOVILIDAD"/>
    <s v="URBANO"/>
    <x v="0"/>
    <s v="JULIO"/>
    <d v="2022-07-04T00:00:00"/>
    <x v="4"/>
    <d v="1899-12-30T21:45:00"/>
    <s v="MOTOCICLETA"/>
    <s v="CAMIONETA"/>
    <n v="1"/>
    <n v="0"/>
    <n v="0"/>
    <n v="0"/>
    <n v="1"/>
    <n v="0"/>
    <n v="0"/>
    <n v="0"/>
    <n v="0"/>
    <n v="0"/>
    <n v="0"/>
    <n v="0"/>
    <s v="MASCULINO"/>
    <m/>
    <n v="1"/>
    <n v="0"/>
    <m/>
    <m/>
    <m/>
    <m/>
    <m/>
    <m/>
    <n v="114"/>
    <x v="5"/>
    <m/>
    <s v=""/>
    <x v="0"/>
  </r>
  <r>
    <n v="326"/>
    <x v="0"/>
    <n v="1"/>
    <n v="0"/>
    <x v="0"/>
    <s v="CALLE 60 CAÑO USIVAR"/>
    <n v="5.301536111111111"/>
    <n v="-72.407840000000007"/>
    <s v="MOVILIDAD"/>
    <s v="URBANO"/>
    <x v="0"/>
    <s v="OCTUBRE"/>
    <d v="2022-10-06T00:00:00"/>
    <x v="1"/>
    <d v="1899-12-30T04:40:00"/>
    <s v="MOTOCICLETA"/>
    <s v="BUSETA"/>
    <n v="1"/>
    <n v="0"/>
    <n v="0"/>
    <n v="0"/>
    <n v="0"/>
    <n v="0"/>
    <n v="0"/>
    <n v="1"/>
    <n v="0"/>
    <n v="0"/>
    <n v="0"/>
    <n v="0"/>
    <s v="MASCULINO"/>
    <m/>
    <n v="1"/>
    <n v="0"/>
    <n v="23"/>
    <m/>
    <m/>
    <m/>
    <m/>
    <m/>
    <n v="114"/>
    <x v="5"/>
    <n v="139"/>
    <s v="Impericia en el manejo."/>
    <x v="2"/>
  </r>
  <r>
    <n v="452"/>
    <x v="0"/>
    <n v="0"/>
    <n v="1"/>
    <x v="2"/>
    <s v="CALLE 9   # 18- 77"/>
    <n v="5.3470391666666668"/>
    <n v="-72.401826944444451"/>
    <s v="MOVILIDAD"/>
    <s v="URBANO"/>
    <x v="1"/>
    <s v="ABRIL"/>
    <d v="2023-04-16T00:00:00"/>
    <x v="2"/>
    <d v="1899-12-30T22:07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m/>
    <m/>
    <m/>
    <m/>
    <m/>
    <n v="20"/>
    <n v="1"/>
    <x v="3"/>
    <m/>
    <s v=""/>
    <x v="0"/>
  </r>
  <r>
    <n v="59"/>
    <x v="1"/>
    <n v="0"/>
    <n v="0"/>
    <x v="1"/>
    <s v="CALLE 9 MARGINAL SELVA"/>
    <n v="5.3467361111111105"/>
    <n v="-72.402419444444448"/>
    <s v="MOVILIDAD"/>
    <s v="URBANO"/>
    <x v="0"/>
    <s v="FEBRERO"/>
    <d v="2022-02-18T00:00:00"/>
    <x v="0"/>
    <d v="1899-12-30T12:20:00"/>
    <s v="AUTOMOVIL"/>
    <s v="CAMION"/>
    <n v="0"/>
    <n v="0"/>
    <n v="1"/>
    <n v="0"/>
    <n v="0"/>
    <n v="0"/>
    <n v="0"/>
    <n v="0"/>
    <n v="1"/>
    <n v="0"/>
    <n v="0"/>
    <n v="0"/>
    <m/>
    <s v="FEMENINO"/>
    <n v="0"/>
    <n v="1"/>
    <m/>
    <m/>
    <m/>
    <m/>
    <m/>
    <m/>
    <n v="103"/>
    <x v="8"/>
    <m/>
    <s v=""/>
    <x v="1"/>
  </r>
  <r>
    <n v="723"/>
    <x v="0"/>
    <n v="2"/>
    <n v="0"/>
    <x v="0"/>
    <s v="CARRERA  29 CALLE 26"/>
    <n v="5.3385749999999996"/>
    <n v="-72.384647222222227"/>
    <s v="MOVILIDAD"/>
    <s v="URBANO"/>
    <x v="3"/>
    <s v="JUNIO"/>
    <d v="2024-06-02T00:00:00"/>
    <x v="2"/>
    <d v="1899-12-30T18:40:00"/>
    <s v="MOTOCICLETA"/>
    <s v="BUS"/>
    <n v="1"/>
    <n v="0"/>
    <n v="0"/>
    <n v="0"/>
    <n v="0"/>
    <n v="0"/>
    <n v="1"/>
    <n v="0"/>
    <n v="0"/>
    <n v="0"/>
    <n v="0"/>
    <n v="0"/>
    <m/>
    <s v="FEMENINO"/>
    <n v="0"/>
    <n v="1"/>
    <n v="28"/>
    <n v="34"/>
    <n v="30"/>
    <m/>
    <m/>
    <m/>
    <n v="115"/>
    <x v="12"/>
    <n v="112"/>
    <s v="Desobedecer señales o normas de tránsito."/>
    <x v="0"/>
  </r>
  <r>
    <n v="175"/>
    <x v="1"/>
    <n v="0"/>
    <n v="0"/>
    <x v="1"/>
    <s v="CARRERA  9 DIAGONAL 47"/>
    <n v="5.3109416666666664"/>
    <n v="-72.399841666666674"/>
    <s v="MOVILIDAD"/>
    <s v="URBANO"/>
    <x v="0"/>
    <s v="MAYO"/>
    <d v="2022-05-08T00:00:00"/>
    <x v="2"/>
    <d v="1899-12-30T18:10:00"/>
    <s v="MOTOCICLETA"/>
    <s v="AUTOMOVIL"/>
    <n v="1"/>
    <n v="0"/>
    <n v="1"/>
    <n v="0"/>
    <n v="0"/>
    <n v="0"/>
    <n v="0"/>
    <n v="0"/>
    <n v="0"/>
    <n v="0"/>
    <n v="0"/>
    <n v="0"/>
    <m/>
    <s v="FEMENINO"/>
    <n v="0"/>
    <n v="1"/>
    <m/>
    <m/>
    <m/>
    <m/>
    <m/>
    <m/>
    <n v="121"/>
    <x v="7"/>
    <m/>
    <s v=""/>
    <x v="0"/>
  </r>
  <r>
    <n v="665"/>
    <x v="0"/>
    <n v="0"/>
    <n v="1"/>
    <x v="2"/>
    <s v="CARRERA 1  DIAGONAL 47"/>
    <n v="5.3101472222222217"/>
    <n v="-72.415316666666669"/>
    <s v="MOVILIDAD"/>
    <s v="URBANO"/>
    <x v="3"/>
    <s v="FEBRERO"/>
    <d v="2024-02-21T00:00:00"/>
    <x v="3"/>
    <d v="1899-12-30T23:4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m/>
    <m/>
    <m/>
    <m/>
    <m/>
    <n v="23"/>
    <n v="114"/>
    <x v="5"/>
    <n v="157"/>
    <s v="Otra"/>
    <x v="0"/>
  </r>
  <r>
    <n v="838"/>
    <x v="0"/>
    <n v="0"/>
    <n v="1"/>
    <x v="2"/>
    <s v="CARRERA 1 CALLE 46"/>
    <n v="5.310232222222222"/>
    <n v="-72.415281666666672"/>
    <s v="MOVILIDAD"/>
    <s v="URBANO"/>
    <x v="3"/>
    <s v="DICIEMBRE"/>
    <d v="2024-12-17T00:00:00"/>
    <x v="6"/>
    <d v="1899-12-30T01:5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m/>
    <m/>
    <m/>
    <m/>
    <m/>
    <n v="28"/>
    <n v="157"/>
    <x v="1"/>
    <n v="114"/>
    <s v="Embriaguez aparente."/>
    <x v="2"/>
  </r>
  <r>
    <n v="56"/>
    <x v="0"/>
    <n v="1"/>
    <n v="0"/>
    <x v="0"/>
    <s v="CARRERA 1 CALLE 60"/>
    <n v="5.3022083333333327"/>
    <n v="-72.411988888888899"/>
    <s v="MOVILIDAD"/>
    <s v="URBANO"/>
    <x v="0"/>
    <s v="FEBRERO"/>
    <d v="2022-02-15T00:00:00"/>
    <x v="6"/>
    <d v="1899-12-30T07:30:00"/>
    <s v="MOTOCICLETA"/>
    <s v="AUTOMOVIL"/>
    <n v="1"/>
    <n v="0"/>
    <n v="1"/>
    <n v="0"/>
    <n v="0"/>
    <n v="0"/>
    <n v="0"/>
    <n v="0"/>
    <n v="0"/>
    <n v="0"/>
    <n v="0"/>
    <n v="0"/>
    <s v="MASCULINO"/>
    <s v="FEMENINO"/>
    <n v="1"/>
    <n v="1"/>
    <n v="17"/>
    <m/>
    <m/>
    <m/>
    <m/>
    <m/>
    <n v="139"/>
    <x v="0"/>
    <n v="121"/>
    <s v="No mantener distancia de seguridad."/>
    <x v="2"/>
  </r>
  <r>
    <n v="581"/>
    <x v="0"/>
    <n v="1"/>
    <n v="0"/>
    <x v="0"/>
    <s v="CARRERA 1 CALLE 64 "/>
    <n v="5.2995305555555552"/>
    <n v="-72.412363888888891"/>
    <s v="MOVILIDAD"/>
    <s v="URBANO"/>
    <x v="1"/>
    <s v="OCTUBRE"/>
    <d v="2023-10-23T00:00:00"/>
    <x v="4"/>
    <d v="1899-12-30T18:15:00"/>
    <s v="MOTOCICLETA"/>
    <s v="AUTOMOVIL"/>
    <n v="1"/>
    <n v="0"/>
    <n v="1"/>
    <n v="0"/>
    <n v="0"/>
    <n v="0"/>
    <n v="0"/>
    <n v="0"/>
    <n v="0"/>
    <n v="0"/>
    <n v="0"/>
    <n v="0"/>
    <m/>
    <s v="FEMENINO"/>
    <n v="0"/>
    <n v="1"/>
    <n v="31"/>
    <m/>
    <m/>
    <m/>
    <m/>
    <m/>
    <n v="139"/>
    <x v="0"/>
    <m/>
    <s v=""/>
    <x v="0"/>
  </r>
  <r>
    <n v="193"/>
    <x v="0"/>
    <n v="1"/>
    <n v="0"/>
    <x v="0"/>
    <s v="CARRERA 1 DIAGONAL 47"/>
    <n v="5.3095388888888886"/>
    <n v="-72.411997222222226"/>
    <s v="MOVILIDAD"/>
    <s v="URBANO"/>
    <x v="0"/>
    <s v="MAYO"/>
    <d v="2022-05-22T00:00:00"/>
    <x v="2"/>
    <d v="1899-12-30T17:2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15"/>
    <m/>
    <m/>
    <m/>
    <m/>
    <m/>
    <n v="139"/>
    <x v="0"/>
    <m/>
    <s v=""/>
    <x v="1"/>
  </r>
  <r>
    <n v="985"/>
    <x v="0"/>
    <n v="0"/>
    <n v="1"/>
    <x v="2"/>
    <s v="CARRERA 1 ENTRE CALLE 40 Y 50"/>
    <n v="5.3136900000000002"/>
    <n v="-72.412108000000003"/>
    <s v="MOVILIDAD"/>
    <s v="URBANO"/>
    <x v="2"/>
    <s v="JUNIO"/>
    <d v="2025-06-11T00:00:00"/>
    <x v="3"/>
    <d v="1899-12-30T16:0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20"/>
    <m/>
    <m/>
    <m/>
    <m/>
    <m/>
    <n v="139"/>
    <x v="0"/>
    <m/>
    <s v=""/>
    <x v="1"/>
  </r>
  <r>
    <n v="528"/>
    <x v="1"/>
    <n v="0"/>
    <n v="0"/>
    <x v="1"/>
    <s v="CARRERA 1 ENTRE CALLE 40 Y 50 "/>
    <n v="5.3151527777777776"/>
    <n v="-72.412069444444455"/>
    <s v="MOVILIDAD"/>
    <s v="URBANO"/>
    <x v="1"/>
    <s v="AGOSTO"/>
    <d v="2023-08-07T00:00:00"/>
    <x v="4"/>
    <d v="1899-12-30T08:30:00"/>
    <s v="AUTOMOVIL"/>
    <m/>
    <n v="0"/>
    <n v="0"/>
    <n v="1"/>
    <n v="0"/>
    <n v="0"/>
    <n v="0"/>
    <n v="0"/>
    <n v="0"/>
    <n v="0"/>
    <n v="0"/>
    <n v="0"/>
    <n v="0"/>
    <s v="MASCULINO"/>
    <m/>
    <n v="1"/>
    <n v="0"/>
    <m/>
    <m/>
    <m/>
    <m/>
    <m/>
    <m/>
    <n v="157"/>
    <x v="1"/>
    <m/>
    <s v=""/>
    <x v="2"/>
  </r>
  <r>
    <n v="614"/>
    <x v="0"/>
    <n v="2"/>
    <n v="0"/>
    <x v="0"/>
    <s v="CARRERA 10 #  24"/>
    <n v="5.3327833333333334"/>
    <n v="-72.403641666666672"/>
    <s v="MOVILIDAD"/>
    <s v="URBANO"/>
    <x v="1"/>
    <s v="NOVIEMBRE"/>
    <d v="2023-11-20T00:00:00"/>
    <x v="4"/>
    <d v="1899-12-30T12:43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n v="20"/>
    <n v="48"/>
    <m/>
    <m/>
    <m/>
    <m/>
    <n v="157"/>
    <x v="1"/>
    <n v="123"/>
    <s v="No respetar prelación de intersecciones o giros."/>
    <x v="1"/>
  </r>
  <r>
    <n v="33"/>
    <x v="0"/>
    <n v="1"/>
    <n v="0"/>
    <x v="0"/>
    <s v="CARRERA 10 #  24"/>
    <n v="5.3327833333333334"/>
    <n v="-72.403641666666672"/>
    <s v="MOVILIDAD"/>
    <s v="URBANO"/>
    <x v="0"/>
    <s v="ENERO"/>
    <d v="2022-01-31T00:00:00"/>
    <x v="4"/>
    <d v="1899-12-30T11:4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77"/>
    <m/>
    <m/>
    <m/>
    <m/>
    <m/>
    <n v="157"/>
    <x v="1"/>
    <m/>
    <s v=""/>
    <x v="2"/>
  </r>
  <r>
    <n v="173"/>
    <x v="1"/>
    <n v="0"/>
    <n v="0"/>
    <x v="1"/>
    <s v="CARRERA 10 #  24"/>
    <n v="5.3327833333333334"/>
    <n v="-72.403641666666672"/>
    <s v="MOVILIDAD"/>
    <s v="URBANO"/>
    <x v="0"/>
    <s v="MAYO"/>
    <d v="2022-05-07T00:00:00"/>
    <x v="5"/>
    <d v="1899-12-30T09:59:00"/>
    <s v="AUTOMOVIL"/>
    <s v="AUTOMOVIL"/>
    <n v="0"/>
    <n v="0"/>
    <n v="2"/>
    <n v="0"/>
    <n v="0"/>
    <n v="0"/>
    <n v="0"/>
    <n v="0"/>
    <n v="0"/>
    <n v="0"/>
    <n v="0"/>
    <n v="0"/>
    <s v="MASCULINO"/>
    <m/>
    <n v="1"/>
    <n v="0"/>
    <m/>
    <m/>
    <m/>
    <m/>
    <m/>
    <m/>
    <n v="123"/>
    <x v="21"/>
    <m/>
    <s v=""/>
    <x v="2"/>
  </r>
  <r>
    <n v="93"/>
    <x v="0"/>
    <n v="2"/>
    <n v="0"/>
    <x v="0"/>
    <s v="CARRERA 10 #  24"/>
    <n v="5.3327833333333334"/>
    <n v="-72.403641666666672"/>
    <s v="MOVILIDAD"/>
    <s v="URBANO"/>
    <x v="0"/>
    <s v="MARZO"/>
    <d v="2022-03-19T00:00:00"/>
    <x v="5"/>
    <d v="1899-12-30T07:50:00"/>
    <s v="MOTOCICLETA"/>
    <s v="BICICLETA"/>
    <n v="1"/>
    <n v="0"/>
    <n v="0"/>
    <n v="0"/>
    <n v="0"/>
    <n v="0"/>
    <n v="0"/>
    <n v="0"/>
    <n v="0"/>
    <n v="0"/>
    <n v="0"/>
    <n v="1"/>
    <s v="MASCULINO"/>
    <m/>
    <n v="1"/>
    <n v="0"/>
    <n v="22"/>
    <n v="18"/>
    <m/>
    <m/>
    <m/>
    <m/>
    <n v="122"/>
    <x v="2"/>
    <n v="139"/>
    <s v="Impericia en el manejo."/>
    <x v="2"/>
  </r>
  <r>
    <n v="815"/>
    <x v="0"/>
    <n v="1"/>
    <n v="0"/>
    <x v="0"/>
    <s v="CARRERA 10 #  24  "/>
    <n v="5.3327833333333334"/>
    <n v="-72.403641666666672"/>
    <s v="MOVILIDAD"/>
    <s v="URBANO"/>
    <x v="3"/>
    <s v="NOVIEMBRE"/>
    <d v="2024-11-15T00:00:00"/>
    <x v="0"/>
    <d v="1899-12-30T17:35:00"/>
    <s v="CAMIONETA"/>
    <m/>
    <n v="0"/>
    <n v="0"/>
    <n v="0"/>
    <n v="0"/>
    <n v="1"/>
    <n v="0"/>
    <n v="0"/>
    <n v="0"/>
    <n v="0"/>
    <n v="0"/>
    <n v="0"/>
    <n v="0"/>
    <s v="MASCULINO"/>
    <s v="FEMENINO"/>
    <n v="1"/>
    <n v="1"/>
    <n v="69"/>
    <n v="79"/>
    <m/>
    <m/>
    <m/>
    <m/>
    <n v="157"/>
    <x v="1"/>
    <m/>
    <s v=""/>
    <x v="1"/>
  </r>
  <r>
    <n v="785"/>
    <x v="0"/>
    <n v="1"/>
    <n v="0"/>
    <x v="0"/>
    <s v="CARRERA 10 #  24  "/>
    <n v="5.3327833333333334"/>
    <n v="-72.403641666666672"/>
    <s v="MOVILIDAD"/>
    <s v="URBANO"/>
    <x v="3"/>
    <s v="OCTUBRE"/>
    <d v="2024-10-03T00:00:00"/>
    <x v="1"/>
    <d v="1899-12-30T17:50:00"/>
    <s v="MOTOCICLETA"/>
    <m/>
    <n v="1"/>
    <n v="0"/>
    <n v="0"/>
    <n v="0"/>
    <n v="0"/>
    <n v="0"/>
    <n v="0"/>
    <n v="0"/>
    <n v="0"/>
    <n v="0"/>
    <n v="0"/>
    <n v="0"/>
    <s v="MASCULINO"/>
    <s v="FEMENINO"/>
    <n v="1"/>
    <n v="1"/>
    <n v="21"/>
    <n v="53"/>
    <m/>
    <m/>
    <m/>
    <m/>
    <n v="139"/>
    <x v="0"/>
    <m/>
    <s v=""/>
    <x v="1"/>
  </r>
  <r>
    <n v="783"/>
    <x v="0"/>
    <n v="1"/>
    <n v="0"/>
    <x v="0"/>
    <s v="CARRERA 10 CALLE 19"/>
    <n v="5.3355916666666667"/>
    <n v="-72.40440000000001"/>
    <s v="MOVILIDAD"/>
    <s v="URBANO"/>
    <x v="3"/>
    <s v="SEPTIEMBRE"/>
    <d v="2024-09-28T00:00:00"/>
    <x v="5"/>
    <d v="1899-12-30T21:15:00"/>
    <s v="AUTOMOVIL"/>
    <s v="AUTOMOVIL"/>
    <n v="0"/>
    <n v="0"/>
    <n v="2"/>
    <n v="0"/>
    <n v="0"/>
    <n v="0"/>
    <n v="0"/>
    <n v="0"/>
    <n v="0"/>
    <n v="0"/>
    <n v="0"/>
    <n v="0"/>
    <s v="MASCULINO"/>
    <s v="FEMENINO"/>
    <n v="1"/>
    <n v="1"/>
    <n v="29"/>
    <n v="17"/>
    <m/>
    <m/>
    <m/>
    <m/>
    <n v="132"/>
    <x v="13"/>
    <m/>
    <s v=""/>
    <x v="0"/>
  </r>
  <r>
    <n v="662"/>
    <x v="0"/>
    <n v="0"/>
    <n v="1"/>
    <x v="2"/>
    <s v="CARRERA 10 CALLE 20"/>
    <n v="5.335086111111111"/>
    <n v="-72.404277777777779"/>
    <s v="MOVILIDAD"/>
    <s v="URBANO"/>
    <x v="3"/>
    <s v="FEBRERO"/>
    <d v="2024-02-11T00:00:00"/>
    <x v="2"/>
    <d v="1899-12-30T16:3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m/>
    <n v="24"/>
    <m/>
    <m/>
    <m/>
    <n v="36"/>
    <n v="123"/>
    <x v="21"/>
    <n v="114"/>
    <s v="Embriaguez aparente."/>
    <x v="1"/>
  </r>
  <r>
    <n v="461"/>
    <x v="0"/>
    <n v="2"/>
    <n v="0"/>
    <x v="0"/>
    <s v="CARRERA 10 CALLE 25"/>
    <n v="5.3316808333333334"/>
    <n v="-72.403368888888892"/>
    <s v="MOVILIDAD"/>
    <s v="URBANO"/>
    <x v="1"/>
    <s v="ABRIL"/>
    <d v="2023-04-24T00:00:00"/>
    <x v="4"/>
    <d v="1899-12-30T06:00:00"/>
    <s v="MOTOCICLETA"/>
    <s v="AUTOMOVIL"/>
    <n v="1"/>
    <n v="0"/>
    <n v="1"/>
    <n v="0"/>
    <n v="0"/>
    <n v="0"/>
    <n v="0"/>
    <n v="0"/>
    <n v="0"/>
    <n v="0"/>
    <n v="0"/>
    <n v="0"/>
    <m/>
    <s v="FEMENINO"/>
    <n v="0"/>
    <n v="1"/>
    <n v="20"/>
    <m/>
    <m/>
    <m/>
    <n v="19"/>
    <m/>
    <n v="112"/>
    <x v="4"/>
    <n v="139"/>
    <s v="Impericia en el manejo."/>
    <x v="2"/>
  </r>
  <r>
    <n v="602"/>
    <x v="0"/>
    <n v="2"/>
    <n v="0"/>
    <x v="0"/>
    <s v="CARRERA 10 CALLE 25 "/>
    <n v="5.3316808333333334"/>
    <n v="-72.403368888888892"/>
    <s v="MOVILIDAD"/>
    <s v="URBANO"/>
    <x v="1"/>
    <s v="NOVIEMBRE"/>
    <d v="2023-11-11T00:00:00"/>
    <x v="5"/>
    <d v="1899-12-30T10:3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22"/>
    <n v="23"/>
    <m/>
    <m/>
    <m/>
    <m/>
    <n v="112"/>
    <x v="4"/>
    <m/>
    <s v=""/>
    <x v="2"/>
  </r>
  <r>
    <n v="624"/>
    <x v="1"/>
    <n v="1"/>
    <n v="0"/>
    <x v="0"/>
    <s v="CARRERA 10 DIAGONAL 47  "/>
    <n v="5.3114444444444446"/>
    <n v="-72.398855555555556"/>
    <s v="MOVILIDAD"/>
    <s v="URBANO"/>
    <x v="1"/>
    <s v="DICIEMBRE"/>
    <d v="2023-12-05T00:00:00"/>
    <x v="6"/>
    <d v="1899-12-30T17:0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20"/>
    <m/>
    <m/>
    <m/>
    <m/>
    <m/>
    <n v="139"/>
    <x v="0"/>
    <m/>
    <s v=""/>
    <x v="1"/>
  </r>
  <r>
    <n v="384"/>
    <x v="0"/>
    <n v="2"/>
    <n v="0"/>
    <x v="0"/>
    <s v="CARRERA 10A DIAGONAL 47 "/>
    <n v="5.3113138888888889"/>
    <n v="-72.398851944444445"/>
    <s v="MOVILIDAD"/>
    <s v="URBANO"/>
    <x v="1"/>
    <s v="ENERO"/>
    <d v="2023-01-03T00:00:00"/>
    <x v="6"/>
    <d v="1899-12-30T16:20:00"/>
    <s v="MOTOCICLETA"/>
    <s v="AUTOMOVIL"/>
    <n v="1"/>
    <n v="0"/>
    <n v="1"/>
    <n v="0"/>
    <n v="0"/>
    <n v="0"/>
    <n v="0"/>
    <n v="0"/>
    <n v="0"/>
    <n v="0"/>
    <n v="0"/>
    <n v="0"/>
    <s v="MASCULINO"/>
    <s v="FEMENINO"/>
    <n v="1"/>
    <n v="1"/>
    <n v="24"/>
    <n v="52"/>
    <m/>
    <m/>
    <m/>
    <m/>
    <n v="121"/>
    <x v="7"/>
    <n v="157"/>
    <s v="Otra"/>
    <x v="1"/>
  </r>
  <r>
    <n v="883"/>
    <x v="0"/>
    <n v="1"/>
    <n v="0"/>
    <x v="0"/>
    <s v="CARRERA 11 # 30 "/>
    <n v="5.3267439999999997"/>
    <n v="-72.401947000000007"/>
    <s v="MOVILIDAD"/>
    <s v="URBANO"/>
    <x v="2"/>
    <s v="FEBRERO"/>
    <d v="2025-02-23T00:00:00"/>
    <x v="2"/>
    <d v="1899-12-30T03:0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48"/>
    <m/>
    <m/>
    <m/>
    <m/>
    <m/>
    <n v="157"/>
    <x v="1"/>
    <m/>
    <s v=""/>
    <x v="2"/>
  </r>
  <r>
    <n v="903"/>
    <x v="0"/>
    <n v="1"/>
    <n v="1"/>
    <x v="2"/>
    <s v="CARRERA 11 # 30 "/>
    <n v="5.3275449999999998"/>
    <n v="-72.401246999999998"/>
    <s v="MOVILIDAD"/>
    <s v="URBANO"/>
    <x v="2"/>
    <s v="MARZO"/>
    <d v="2025-03-13T00:00:00"/>
    <x v="1"/>
    <d v="1899-12-30T00:55:00"/>
    <s v="MOTOCICLETA"/>
    <m/>
    <n v="1"/>
    <n v="0"/>
    <n v="0"/>
    <n v="0"/>
    <n v="0"/>
    <n v="0"/>
    <n v="0"/>
    <n v="0"/>
    <n v="0"/>
    <n v="0"/>
    <n v="0"/>
    <n v="0"/>
    <s v="FEMENINO"/>
    <s v="FEMENINO"/>
    <n v="0"/>
    <n v="2"/>
    <n v="21"/>
    <n v="22"/>
    <m/>
    <m/>
    <m/>
    <n v="21"/>
    <n v="139"/>
    <x v="0"/>
    <n v="114"/>
    <s v="Embriaguez aparente."/>
    <x v="2"/>
  </r>
  <r>
    <n v="656"/>
    <x v="0"/>
    <n v="0"/>
    <n v="1"/>
    <x v="2"/>
    <s v="CARRERA 11 # 30 "/>
    <n v="5.3275388888888884"/>
    <n v="-72.401230555555557"/>
    <s v="MOVILIDAD"/>
    <s v="URBANO"/>
    <x v="3"/>
    <s v="FEBRERO"/>
    <d v="2024-02-04T00:00:00"/>
    <x v="2"/>
    <d v="1899-12-30T22:07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m/>
    <m/>
    <m/>
    <m/>
    <m/>
    <m/>
    <n v="1"/>
    <x v="3"/>
    <m/>
    <s v=""/>
    <x v="0"/>
  </r>
  <r>
    <n v="313"/>
    <x v="0"/>
    <n v="2"/>
    <n v="0"/>
    <x v="0"/>
    <s v="CARRERA 11 # 36"/>
    <n v="5.3224174999999994"/>
    <n v="-72.400234722222223"/>
    <s v="MOVILIDAD"/>
    <s v="URBANO"/>
    <x v="0"/>
    <s v="SEPTIEMBRE"/>
    <d v="2022-09-21T00:00:00"/>
    <x v="3"/>
    <d v="1899-12-30T09:4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24"/>
    <n v="52"/>
    <m/>
    <m/>
    <m/>
    <m/>
    <n v="112"/>
    <x v="4"/>
    <n v="116"/>
    <s v="Exceso de velocidad"/>
    <x v="2"/>
  </r>
  <r>
    <n v="25"/>
    <x v="0"/>
    <n v="1"/>
    <n v="0"/>
    <x v="0"/>
    <s v="CARRERA 11 # 36"/>
    <n v="5.3223722222222216"/>
    <n v="-72.400225000000006"/>
    <s v="MOVILIDAD"/>
    <s v="URBANO"/>
    <x v="0"/>
    <s v="ENERO"/>
    <d v="2022-01-26T00:00:00"/>
    <x v="3"/>
    <d v="1899-12-30T14:00:00"/>
    <s v="MOTOCICLETA"/>
    <s v="MOTOCICLETA"/>
    <n v="2"/>
    <n v="0"/>
    <n v="0"/>
    <n v="0"/>
    <n v="0"/>
    <n v="0"/>
    <n v="0"/>
    <n v="0"/>
    <n v="0"/>
    <n v="0"/>
    <n v="0"/>
    <n v="0"/>
    <m/>
    <s v="FEMENINO"/>
    <n v="0"/>
    <n v="1"/>
    <n v="54"/>
    <m/>
    <m/>
    <m/>
    <m/>
    <m/>
    <n v="112"/>
    <x v="4"/>
    <m/>
    <s v=""/>
    <x v="1"/>
  </r>
  <r>
    <n v="159"/>
    <x v="0"/>
    <n v="2"/>
    <n v="0"/>
    <x v="0"/>
    <s v="CARRERA 11 # 36"/>
    <n v="5.3223611111111104"/>
    <n v="-72.40025277777778"/>
    <s v="MOVILIDAD"/>
    <s v="URBANO"/>
    <x v="0"/>
    <s v="ABRIL"/>
    <d v="2022-04-27T00:00:00"/>
    <x v="3"/>
    <d v="1899-12-30T13:00:00"/>
    <s v="MOTOCICLETA"/>
    <s v="AUTOMOVIL"/>
    <n v="1"/>
    <n v="0"/>
    <n v="1"/>
    <n v="0"/>
    <n v="0"/>
    <n v="0"/>
    <n v="0"/>
    <n v="0"/>
    <n v="0"/>
    <n v="0"/>
    <n v="0"/>
    <n v="0"/>
    <m/>
    <s v="FEMENINO"/>
    <n v="0"/>
    <n v="1"/>
    <n v="29"/>
    <m/>
    <m/>
    <m/>
    <n v="47"/>
    <m/>
    <n v="112"/>
    <x v="4"/>
    <m/>
    <s v=""/>
    <x v="1"/>
  </r>
  <r>
    <n v="442"/>
    <x v="0"/>
    <n v="2"/>
    <n v="0"/>
    <x v="0"/>
    <s v="CARRERA 11 # 41"/>
    <n v="5.3173608333333329"/>
    <n v="-72.398762222222231"/>
    <s v="MOVILIDAD"/>
    <s v="URBANO"/>
    <x v="1"/>
    <s v="ABRIL"/>
    <d v="2023-04-01T00:00:00"/>
    <x v="5"/>
    <d v="1899-12-30T12:30:00"/>
    <s v="MOTOCICLETA"/>
    <s v="AUTOMOVIL"/>
    <n v="1"/>
    <n v="0"/>
    <n v="1"/>
    <n v="0"/>
    <n v="0"/>
    <n v="0"/>
    <n v="0"/>
    <n v="0"/>
    <n v="0"/>
    <n v="0"/>
    <n v="0"/>
    <n v="0"/>
    <s v="MASCULINO"/>
    <s v="FEMENINO"/>
    <n v="1"/>
    <n v="1"/>
    <n v="23"/>
    <m/>
    <m/>
    <m/>
    <n v="16"/>
    <m/>
    <n v="157"/>
    <x v="1"/>
    <m/>
    <s v=""/>
    <x v="1"/>
  </r>
  <r>
    <n v="904"/>
    <x v="0"/>
    <n v="1"/>
    <n v="0"/>
    <x v="0"/>
    <s v="CARRERA 11 # 41"/>
    <n v="5.3177060000000003"/>
    <n v="-72.398831999999999"/>
    <s v="MOVILIDAD"/>
    <s v="URBANO"/>
    <x v="2"/>
    <s v="MARZO"/>
    <d v="2025-03-15T00:00:00"/>
    <x v="5"/>
    <d v="1899-12-30T14:40:00"/>
    <s v="MOTOCICLETA"/>
    <s v="CAMPERO"/>
    <n v="1"/>
    <n v="0"/>
    <n v="0"/>
    <n v="1"/>
    <n v="0"/>
    <n v="0"/>
    <n v="0"/>
    <n v="0"/>
    <n v="0"/>
    <n v="0"/>
    <n v="0"/>
    <n v="0"/>
    <s v="MASCULINO"/>
    <s v="MASCULINO"/>
    <n v="2"/>
    <n v="0"/>
    <n v="17"/>
    <n v="54"/>
    <m/>
    <m/>
    <m/>
    <m/>
    <n v="122"/>
    <x v="2"/>
    <n v="157"/>
    <s v="Otra"/>
    <x v="1"/>
  </r>
  <r>
    <n v="199"/>
    <x v="0"/>
    <n v="1"/>
    <n v="0"/>
    <x v="0"/>
    <s v="CARRERA 11 # CALLE 24"/>
    <n v="5.3331138888888887"/>
    <n v="-72.402630555555561"/>
    <s v="MOVILIDAD"/>
    <s v="URBANO"/>
    <x v="0"/>
    <s v="MAYO"/>
    <d v="2022-05-28T00:00:00"/>
    <x v="5"/>
    <d v="1899-12-30T19:41:00"/>
    <s v="AUTOMOVIL"/>
    <s v="CAMPERO"/>
    <n v="0"/>
    <n v="0"/>
    <n v="1"/>
    <n v="1"/>
    <n v="0"/>
    <n v="0"/>
    <n v="0"/>
    <n v="0"/>
    <n v="0"/>
    <n v="0"/>
    <n v="0"/>
    <n v="0"/>
    <s v="MASCULINO"/>
    <m/>
    <n v="1"/>
    <n v="0"/>
    <n v="62"/>
    <m/>
    <m/>
    <m/>
    <m/>
    <m/>
    <n v="115"/>
    <x v="12"/>
    <m/>
    <s v=""/>
    <x v="0"/>
  </r>
  <r>
    <n v="921"/>
    <x v="0"/>
    <n v="1"/>
    <n v="0"/>
    <x v="0"/>
    <s v="CARRERA 11 # CALLE 24 "/>
    <n v="5.3331138888888887"/>
    <n v="-72.402630555555561"/>
    <s v="MOVILIDAD"/>
    <s v="URBANO"/>
    <x v="2"/>
    <s v="ABRIL"/>
    <d v="2025-04-01T00:00:00"/>
    <x v="6"/>
    <d v="1899-12-30T06:00:00"/>
    <s v="MOTOCICLETA"/>
    <m/>
    <n v="1"/>
    <n v="0"/>
    <n v="0"/>
    <n v="0"/>
    <n v="0"/>
    <n v="0"/>
    <n v="0"/>
    <n v="0"/>
    <n v="0"/>
    <n v="0"/>
    <n v="0"/>
    <n v="0"/>
    <s v="FEMENINO"/>
    <m/>
    <n v="0"/>
    <n v="1"/>
    <n v="27"/>
    <m/>
    <m/>
    <m/>
    <m/>
    <m/>
    <n v="157"/>
    <x v="1"/>
    <m/>
    <s v=""/>
    <x v="2"/>
  </r>
  <r>
    <n v="238"/>
    <x v="0"/>
    <n v="1"/>
    <n v="0"/>
    <x v="0"/>
    <s v="CARRERA 11 CALLE 17"/>
    <n v="5.3365219444444438"/>
    <n v="-72.403440833333335"/>
    <s v="MOVILIDAD"/>
    <s v="URBANO"/>
    <x v="0"/>
    <s v="JULIO"/>
    <d v="2022-07-02T00:00:00"/>
    <x v="5"/>
    <d v="1899-12-30T18:4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45"/>
    <m/>
    <m/>
    <m/>
    <m/>
    <m/>
    <n v="112"/>
    <x v="4"/>
    <n v="114"/>
    <s v="Embriaguez aparente."/>
    <x v="0"/>
  </r>
  <r>
    <n v="91"/>
    <x v="0"/>
    <n v="2"/>
    <n v="0"/>
    <x v="0"/>
    <s v="CARRERA 11 CALLE 30"/>
    <n v="5.3267194444444446"/>
    <n v="-72.401947222222233"/>
    <s v="MOVILIDAD"/>
    <s v="URBANO"/>
    <x v="0"/>
    <s v="MARZO"/>
    <d v="2022-03-20T00:00:00"/>
    <x v="2"/>
    <d v="1899-12-30T16:1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20"/>
    <n v="18"/>
    <m/>
    <m/>
    <m/>
    <m/>
    <n v="139"/>
    <x v="0"/>
    <m/>
    <s v=""/>
    <x v="1"/>
  </r>
  <r>
    <n v="926"/>
    <x v="0"/>
    <n v="2"/>
    <n v="0"/>
    <x v="0"/>
    <s v="CARRERA 11 CALLE 32A"/>
    <n v="5.3247980000000004"/>
    <n v="-72.401200000000003"/>
    <s v="MOVILIDAD"/>
    <s v="URBANO"/>
    <x v="2"/>
    <s v="ABRIL"/>
    <d v="2025-04-06T00:00:00"/>
    <x v="2"/>
    <d v="1899-12-30T12:50:00"/>
    <s v="MOTOCICLETA"/>
    <s v="AUTOMOVIL"/>
    <n v="1"/>
    <n v="0"/>
    <n v="1"/>
    <n v="0"/>
    <n v="0"/>
    <n v="0"/>
    <n v="0"/>
    <n v="0"/>
    <n v="0"/>
    <n v="0"/>
    <n v="0"/>
    <n v="0"/>
    <s v="FEMENINO"/>
    <s v="MASCULINO"/>
    <n v="1"/>
    <n v="1"/>
    <n v="25"/>
    <n v="46"/>
    <n v="31"/>
    <m/>
    <m/>
    <m/>
    <n v="121"/>
    <x v="7"/>
    <n v="157"/>
    <s v="Otra"/>
    <x v="1"/>
  </r>
  <r>
    <n v="559"/>
    <x v="1"/>
    <n v="0"/>
    <n v="0"/>
    <x v="1"/>
    <s v="CARRERA 11 CALLE 38"/>
    <n v="5.3195386111111107"/>
    <n v="-72.399218333333337"/>
    <s v="MOVILIDAD"/>
    <s v="URBANO"/>
    <x v="1"/>
    <s v="SEPTIEMBRE"/>
    <d v="2023-09-22T00:00:00"/>
    <x v="0"/>
    <d v="1899-12-30T17:10:00"/>
    <s v="MOTOCICLETA"/>
    <s v="AUTOMOVIL"/>
    <n v="1"/>
    <n v="0"/>
    <n v="1"/>
    <n v="0"/>
    <n v="0"/>
    <n v="0"/>
    <n v="0"/>
    <n v="0"/>
    <n v="0"/>
    <n v="0"/>
    <n v="0"/>
    <n v="0"/>
    <m/>
    <s v="FEMENINO"/>
    <n v="0"/>
    <n v="1"/>
    <m/>
    <m/>
    <m/>
    <m/>
    <m/>
    <m/>
    <n v="115"/>
    <x v="12"/>
    <m/>
    <s v=""/>
    <x v="1"/>
  </r>
  <r>
    <n v="872"/>
    <x v="0"/>
    <n v="3"/>
    <n v="0"/>
    <x v="0"/>
    <s v="CARRERA 11 CALLE 43"/>
    <n v="5.3160080000000001"/>
    <n v="-72.398576000000006"/>
    <s v="MOVILIDAD"/>
    <s v="URBANO"/>
    <x v="2"/>
    <s v="FEBRERO"/>
    <d v="2025-02-14T00:00:00"/>
    <x v="0"/>
    <d v="1899-12-30T17:50:00"/>
    <s v="MOTOCICLETA"/>
    <s v="MOTOCICLETA"/>
    <n v="2"/>
    <n v="0"/>
    <n v="0"/>
    <n v="0"/>
    <n v="0"/>
    <n v="0"/>
    <n v="0"/>
    <n v="0"/>
    <n v="0"/>
    <n v="0"/>
    <n v="0"/>
    <n v="0"/>
    <s v="FEMENINO"/>
    <s v="MASCULINO"/>
    <n v="1"/>
    <n v="1"/>
    <n v="27"/>
    <n v="54"/>
    <n v="28"/>
    <m/>
    <m/>
    <m/>
    <n v="139"/>
    <x v="0"/>
    <n v="115"/>
    <s v="Embriaguez o Sustancias alucinogenas"/>
    <x v="1"/>
  </r>
  <r>
    <n v="45"/>
    <x v="1"/>
    <n v="0"/>
    <n v="0"/>
    <x v="1"/>
    <s v="CARRERA 11 CALLE 47"/>
    <n v="5.3119833333333331"/>
    <n v="-72.398205555555563"/>
    <s v="MOVILIDAD"/>
    <s v="URBANO"/>
    <x v="0"/>
    <s v="FEBRERO"/>
    <d v="2022-02-08T00:00:00"/>
    <x v="6"/>
    <d v="1899-12-30T12:30:00"/>
    <s v="AUTOMOVIL"/>
    <s v="AUTOMOVIL"/>
    <n v="0"/>
    <n v="0"/>
    <n v="2"/>
    <n v="0"/>
    <n v="0"/>
    <n v="0"/>
    <n v="0"/>
    <n v="0"/>
    <n v="0"/>
    <n v="0"/>
    <n v="0"/>
    <n v="0"/>
    <m/>
    <s v="FEMENINO"/>
    <n v="0"/>
    <n v="1"/>
    <m/>
    <m/>
    <m/>
    <m/>
    <m/>
    <m/>
    <n v="132"/>
    <x v="13"/>
    <m/>
    <s v=""/>
    <x v="1"/>
  </r>
  <r>
    <n v="640"/>
    <x v="0"/>
    <n v="1"/>
    <n v="0"/>
    <x v="0"/>
    <s v="CARRERA 11 DIAGONAL 47"/>
    <n v="5.3117694444444439"/>
    <n v="-72.398197222222223"/>
    <s v="MOVILIDAD"/>
    <s v="URBANO"/>
    <x v="1"/>
    <s v="DICIEMBRE"/>
    <d v="2023-12-25T00:00:00"/>
    <x v="4"/>
    <d v="1899-12-30T13:0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m/>
    <m/>
    <m/>
    <n v="66"/>
    <m/>
    <m/>
    <n v="410"/>
    <x v="22"/>
    <m/>
    <s v=""/>
    <x v="1"/>
  </r>
  <r>
    <n v="831"/>
    <x v="0"/>
    <n v="1"/>
    <n v="0"/>
    <x v="0"/>
    <s v="CARRERA 11 DIAGONAL 47"/>
    <n v="5.3117694444444439"/>
    <n v="-72.398197222222223"/>
    <s v="MOVILIDAD"/>
    <s v="URBANO"/>
    <x v="3"/>
    <s v="DICIEMBRE"/>
    <d v="2024-12-10T00:00:00"/>
    <x v="6"/>
    <d v="1899-12-30T18:15:00"/>
    <s v="MOTOCICLETA"/>
    <s v="VOLQUETA"/>
    <n v="1"/>
    <n v="0"/>
    <n v="0"/>
    <n v="0"/>
    <n v="0"/>
    <n v="0"/>
    <n v="0"/>
    <n v="0"/>
    <n v="0"/>
    <n v="0"/>
    <n v="1"/>
    <n v="0"/>
    <s v="MASCULINO"/>
    <m/>
    <n v="1"/>
    <n v="0"/>
    <n v="31"/>
    <n v="15"/>
    <m/>
    <m/>
    <m/>
    <m/>
    <n v="157"/>
    <x v="1"/>
    <n v="139"/>
    <s v="Impericia en el manejo."/>
    <x v="0"/>
  </r>
  <r>
    <n v="436"/>
    <x v="0"/>
    <n v="1"/>
    <n v="0"/>
    <x v="0"/>
    <s v="CARRERA 11 DIAGONAL 47"/>
    <n v="5.3117694444444439"/>
    <n v="-72.398197222222223"/>
    <s v="MOVILIDAD"/>
    <s v="URBANO"/>
    <x v="1"/>
    <s v="MARZO"/>
    <d v="2023-03-20T00:00:00"/>
    <x v="4"/>
    <d v="1899-12-30T18:1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75"/>
    <m/>
    <m/>
    <m/>
    <m/>
    <m/>
    <n v="139"/>
    <x v="0"/>
    <n v="157"/>
    <s v="Otra"/>
    <x v="0"/>
  </r>
  <r>
    <n v="668"/>
    <x v="0"/>
    <n v="0"/>
    <n v="1"/>
    <x v="2"/>
    <s v="CARRERA 11 DIAGONAL 47"/>
    <n v="5.3117694444444439"/>
    <n v="-72.398197222222223"/>
    <s v="MOVILIDAD"/>
    <s v="URBANO"/>
    <x v="3"/>
    <s v="FEBRERO"/>
    <d v="2024-02-26T00:00:00"/>
    <x v="4"/>
    <d v="1899-12-30T17:40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n v="19"/>
    <n v="0"/>
    <n v="0"/>
    <m/>
    <m/>
    <n v="76"/>
    <n v="139"/>
    <x v="0"/>
    <n v="116"/>
    <s v="Exceso de velocidad"/>
    <x v="1"/>
  </r>
  <r>
    <n v="731"/>
    <x v="0"/>
    <n v="1"/>
    <n v="0"/>
    <x v="0"/>
    <s v="CARRERA 11 DIAGONAL 47"/>
    <n v="5.3117694444444439"/>
    <n v="-72.398197222222223"/>
    <s v="MOVILIDAD"/>
    <s v="URBANO"/>
    <x v="3"/>
    <s v="JUNIO"/>
    <d v="2024-06-17T00:00:00"/>
    <x v="4"/>
    <d v="1899-12-30T06:50:00"/>
    <s v="MOTOCICLETA"/>
    <s v="CAMIONETA"/>
    <n v="1"/>
    <n v="0"/>
    <n v="0"/>
    <n v="0"/>
    <n v="1"/>
    <n v="0"/>
    <n v="0"/>
    <n v="0"/>
    <n v="0"/>
    <n v="0"/>
    <n v="0"/>
    <n v="0"/>
    <s v="MASCULINO"/>
    <m/>
    <n v="1"/>
    <n v="0"/>
    <n v="28"/>
    <n v="39"/>
    <m/>
    <m/>
    <m/>
    <m/>
    <n v="139"/>
    <x v="0"/>
    <n v="157"/>
    <s v="Otra"/>
    <x v="2"/>
  </r>
  <r>
    <n v="322"/>
    <x v="0"/>
    <n v="1"/>
    <n v="0"/>
    <x v="0"/>
    <s v="CARRERA 11 DIAGONAL 47"/>
    <n v="5.3117694444444439"/>
    <n v="-72.398197222222223"/>
    <s v="MOVILIDAD"/>
    <s v="URBANO"/>
    <x v="0"/>
    <s v="OCTUBRE"/>
    <d v="2022-10-02T00:00:00"/>
    <x v="2"/>
    <d v="1899-12-30T13:3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22"/>
    <m/>
    <m/>
    <m/>
    <m/>
    <m/>
    <n v="112"/>
    <x v="4"/>
    <n v="139"/>
    <s v="Impericia en el manejo."/>
    <x v="1"/>
  </r>
  <r>
    <n v="694"/>
    <x v="0"/>
    <n v="1"/>
    <n v="0"/>
    <x v="0"/>
    <s v="CARRERA 11 DIAGONAL 47"/>
    <n v="5.3117694444444439"/>
    <n v="-72.398197222222223"/>
    <s v="MOVILIDAD"/>
    <s v="URBANO"/>
    <x v="3"/>
    <s v="ABRIL"/>
    <d v="2024-04-15T00:00:00"/>
    <x v="4"/>
    <d v="1899-12-30T17:40:00"/>
    <s v="MOTOCICLETA"/>
    <s v="AUTOMOVIL"/>
    <n v="1"/>
    <n v="0"/>
    <n v="1"/>
    <n v="0"/>
    <n v="0"/>
    <n v="0"/>
    <n v="0"/>
    <n v="0"/>
    <n v="0"/>
    <n v="0"/>
    <n v="0"/>
    <n v="0"/>
    <s v="MASCULINO"/>
    <s v="FEMENINO"/>
    <n v="1"/>
    <n v="1"/>
    <n v="48"/>
    <n v="19"/>
    <m/>
    <m/>
    <m/>
    <m/>
    <n v="112"/>
    <x v="4"/>
    <n v="139"/>
    <s v="Impericia en el manejo."/>
    <x v="1"/>
  </r>
  <r>
    <n v="837"/>
    <x v="0"/>
    <n v="3"/>
    <n v="0"/>
    <x v="0"/>
    <s v="CARRERA 11 DIAGONAL 47"/>
    <n v="5.3117694444444439"/>
    <n v="-72.398197222222223"/>
    <s v="MOVILIDAD"/>
    <s v="URBANO"/>
    <x v="3"/>
    <s v="DICIEMBRE"/>
    <d v="2024-12-16T00:00:00"/>
    <x v="4"/>
    <d v="1899-12-30T19:55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17"/>
    <n v="25"/>
    <n v="13"/>
    <m/>
    <m/>
    <m/>
    <n v="111"/>
    <x v="23"/>
    <n v="139"/>
    <s v="Impericia en el manejo."/>
    <x v="0"/>
  </r>
  <r>
    <n v="35"/>
    <x v="1"/>
    <n v="0"/>
    <n v="0"/>
    <x v="1"/>
    <s v="CARRERA 11B  # 30-29"/>
    <n v="5.3276777777777777"/>
    <n v="-72.400816666666671"/>
    <s v="MOVILIDAD"/>
    <s v="URBANO"/>
    <x v="0"/>
    <s v="ENERO"/>
    <d v="2022-01-29T00:00:00"/>
    <x v="5"/>
    <d v="1899-12-30T08:30:00"/>
    <s v="CAMIONETA"/>
    <m/>
    <n v="0"/>
    <n v="0"/>
    <n v="0"/>
    <n v="0"/>
    <n v="1"/>
    <n v="0"/>
    <n v="0"/>
    <n v="0"/>
    <n v="0"/>
    <n v="0"/>
    <n v="0"/>
    <n v="0"/>
    <s v="MASCULINO"/>
    <m/>
    <n v="1"/>
    <n v="0"/>
    <m/>
    <m/>
    <m/>
    <m/>
    <m/>
    <m/>
    <n v="157"/>
    <x v="1"/>
    <m/>
    <s v=""/>
    <x v="2"/>
  </r>
  <r>
    <n v="403"/>
    <x v="0"/>
    <n v="2"/>
    <n v="0"/>
    <x v="0"/>
    <s v="CARRERA 12 # 30"/>
    <n v="5.3499786111111112"/>
    <n v="-72.391285000000011"/>
    <s v="MOVILIDAD"/>
    <s v="URBANO"/>
    <x v="1"/>
    <s v="FEBRERO"/>
    <d v="2023-02-06T00:00:00"/>
    <x v="4"/>
    <d v="1899-12-30T16:30:00"/>
    <s v="MOTOCICLETA"/>
    <s v="MICROBUS"/>
    <n v="1"/>
    <n v="0"/>
    <n v="0"/>
    <n v="0"/>
    <n v="0"/>
    <n v="1"/>
    <n v="0"/>
    <n v="0"/>
    <n v="0"/>
    <n v="0"/>
    <n v="0"/>
    <n v="0"/>
    <s v="MASCULINO"/>
    <m/>
    <n v="1"/>
    <n v="0"/>
    <n v="22"/>
    <m/>
    <m/>
    <m/>
    <n v="20"/>
    <m/>
    <n v="139"/>
    <x v="0"/>
    <n v="114"/>
    <s v="Embriaguez aparente."/>
    <x v="1"/>
  </r>
  <r>
    <n v="286"/>
    <x v="0"/>
    <n v="1"/>
    <n v="0"/>
    <x v="0"/>
    <s v="CARRERA 12 # 30"/>
    <n v="5.3499786111111112"/>
    <n v="-72.391285000000011"/>
    <s v="MOVILIDAD"/>
    <s v="URBANO"/>
    <x v="0"/>
    <s v="AGOSTO"/>
    <d v="2022-08-21T00:00:00"/>
    <x v="2"/>
    <d v="1899-12-30T03:3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30"/>
    <m/>
    <m/>
    <m/>
    <m/>
    <m/>
    <n v="115"/>
    <x v="12"/>
    <n v="122"/>
    <s v="Girar bruscamente."/>
    <x v="2"/>
  </r>
  <r>
    <n v="701"/>
    <x v="0"/>
    <n v="2"/>
    <n v="0"/>
    <x v="0"/>
    <s v="CARRERA 12 # 30 "/>
    <n v="5.3499786111111112"/>
    <n v="-72.391285000000011"/>
    <s v="MOVILIDAD"/>
    <s v="URBANO"/>
    <x v="3"/>
    <s v="MAYO"/>
    <d v="2024-05-01T00:00:00"/>
    <x v="3"/>
    <d v="1899-12-30T20:3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18"/>
    <n v="16"/>
    <m/>
    <m/>
    <m/>
    <m/>
    <n v="139"/>
    <x v="0"/>
    <n v="123"/>
    <s v="No respetar prelación de intersecciones o giros."/>
    <x v="0"/>
  </r>
  <r>
    <n v="766"/>
    <x v="0"/>
    <n v="2"/>
    <n v="0"/>
    <x v="0"/>
    <s v="CARRERA 12 # 30 "/>
    <n v="5.3499786111111112"/>
    <n v="-72.391285000000011"/>
    <s v="MOVILIDAD"/>
    <s v="URBANO"/>
    <x v="3"/>
    <s v="AGOSTO"/>
    <d v="2024-08-20T00:00:00"/>
    <x v="6"/>
    <d v="1899-12-30T21:00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n v="23"/>
    <n v="21"/>
    <n v="22"/>
    <m/>
    <m/>
    <m/>
    <n v="139"/>
    <x v="0"/>
    <m/>
    <s v=""/>
    <x v="0"/>
  </r>
  <r>
    <n v="530"/>
    <x v="0"/>
    <n v="1"/>
    <n v="0"/>
    <x v="0"/>
    <s v="CARRERA 12 # 30 "/>
    <n v="5.3499786111111112"/>
    <n v="-72.391285000000011"/>
    <s v="MOVILIDAD"/>
    <s v="URBANO"/>
    <x v="1"/>
    <s v="AGOSTO"/>
    <d v="2023-08-12T00:00:00"/>
    <x v="5"/>
    <d v="1899-12-30T15:10:00"/>
    <s v="MOTOCICLETA"/>
    <s v="CAMIONETA"/>
    <n v="1"/>
    <n v="0"/>
    <n v="0"/>
    <n v="0"/>
    <n v="1"/>
    <n v="0"/>
    <n v="0"/>
    <n v="0"/>
    <n v="0"/>
    <n v="0"/>
    <n v="0"/>
    <n v="0"/>
    <s v="MASCULINO"/>
    <m/>
    <n v="1"/>
    <n v="0"/>
    <m/>
    <m/>
    <m/>
    <m/>
    <n v="24"/>
    <m/>
    <n v="122"/>
    <x v="2"/>
    <m/>
    <s v=""/>
    <x v="1"/>
  </r>
  <r>
    <n v="1116"/>
    <x v="0"/>
    <n v="3"/>
    <n v="0"/>
    <x v="0"/>
    <s v="CARRERA 12 # CALLE 27"/>
    <n v="5.3295167488977304"/>
    <n v="-72.4005060084164"/>
    <s v="MOVILIDAD"/>
    <s v="URBANO"/>
    <x v="2"/>
    <s v="OCTUBRE"/>
    <d v="2025-10-05T00:00:00"/>
    <x v="2"/>
    <d v="1899-12-30T19:19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n v="35"/>
    <n v="36"/>
    <m/>
    <m/>
    <m/>
    <m/>
    <n v="115"/>
    <x v="12"/>
    <n v="127"/>
    <s v="Transitar en contravía."/>
    <x v="0"/>
  </r>
  <r>
    <n v="1087"/>
    <x v="0"/>
    <n v="1"/>
    <n v="0"/>
    <x v="0"/>
    <s v="CARRERA 12 # CALLE 44a"/>
    <n v="5.3152433333333304"/>
    <n v="-72.3964583333333"/>
    <s v="MOVILIDAD"/>
    <s v="URBANO"/>
    <x v="2"/>
    <s v="SEPTIEMBRE"/>
    <d v="2025-09-16T00:00:00"/>
    <x v="6"/>
    <d v="1899-12-30T17:32:00"/>
    <s v="MOTOCICLETA"/>
    <s v="MOTOCICLETA"/>
    <n v="2"/>
    <n v="0"/>
    <n v="0"/>
    <n v="0"/>
    <n v="0"/>
    <n v="0"/>
    <n v="0"/>
    <n v="0"/>
    <n v="0"/>
    <n v="0"/>
    <n v="0"/>
    <n v="0"/>
    <s v="FEMENINO"/>
    <m/>
    <n v="0"/>
    <n v="1"/>
    <n v="25"/>
    <m/>
    <m/>
    <m/>
    <m/>
    <m/>
    <n v="157"/>
    <x v="1"/>
    <m/>
    <s v=""/>
    <x v="1"/>
  </r>
  <r>
    <n v="919"/>
    <x v="0"/>
    <n v="2"/>
    <n v="0"/>
    <x v="0"/>
    <s v="CARRERA 12 CALLE 22"/>
    <n v="5.3340550000000002"/>
    <n v="-72.401527999999999"/>
    <s v="MOVILIDAD"/>
    <s v="URBANO"/>
    <x v="2"/>
    <s v="MARZO"/>
    <d v="2025-03-31T00:00:00"/>
    <x v="4"/>
    <d v="1899-12-30T16:20:00"/>
    <s v="CAMIONETA"/>
    <s v="MOTOCICLETA"/>
    <n v="1"/>
    <n v="0"/>
    <n v="0"/>
    <n v="0"/>
    <n v="1"/>
    <n v="0"/>
    <n v="0"/>
    <n v="0"/>
    <n v="0"/>
    <n v="0"/>
    <n v="0"/>
    <n v="0"/>
    <s v="MASCULINO"/>
    <s v="MASCULINO"/>
    <n v="2"/>
    <n v="0"/>
    <n v="60"/>
    <n v="20"/>
    <n v="21"/>
    <m/>
    <m/>
    <m/>
    <n v="123"/>
    <x v="21"/>
    <m/>
    <s v=""/>
    <x v="1"/>
  </r>
  <r>
    <n v="157"/>
    <x v="0"/>
    <n v="1"/>
    <n v="0"/>
    <x v="0"/>
    <s v="CARRERA 12 CALLE 29"/>
    <n v="5.3285277777777775"/>
    <n v="-72.400308333333342"/>
    <s v="MOVILIDAD"/>
    <s v="URBANO"/>
    <x v="0"/>
    <s v="ABRIL"/>
    <d v="2022-04-28T00:00:00"/>
    <x v="1"/>
    <d v="1899-12-30T21:30:00"/>
    <s v="MOTOCICLETA"/>
    <s v="MOTOCICLETA"/>
    <n v="2"/>
    <n v="0"/>
    <n v="0"/>
    <n v="0"/>
    <n v="0"/>
    <n v="0"/>
    <n v="0"/>
    <n v="0"/>
    <n v="0"/>
    <n v="0"/>
    <n v="0"/>
    <n v="0"/>
    <m/>
    <s v="FEMENINO"/>
    <n v="0"/>
    <n v="1"/>
    <n v="23"/>
    <m/>
    <m/>
    <m/>
    <m/>
    <m/>
    <n v="139"/>
    <x v="0"/>
    <m/>
    <s v=""/>
    <x v="0"/>
  </r>
  <r>
    <n v="969"/>
    <x v="1"/>
    <n v="0"/>
    <n v="0"/>
    <x v="1"/>
    <s v="CARRERA 12 CALLE 34"/>
    <n v="5.3239944444444438"/>
    <n v="-72.399191666666667"/>
    <s v="MOVILIDAD"/>
    <s v="URBANO"/>
    <x v="2"/>
    <s v="MAYO"/>
    <d v="2025-05-14T00:00:00"/>
    <x v="3"/>
    <d v="1899-12-30T11:55:00"/>
    <s v="MICROBUS"/>
    <s v="CAMIONETA"/>
    <n v="0"/>
    <n v="0"/>
    <n v="0"/>
    <n v="0"/>
    <n v="1"/>
    <n v="1"/>
    <n v="0"/>
    <n v="0"/>
    <n v="0"/>
    <n v="0"/>
    <n v="0"/>
    <n v="0"/>
    <s v="FEMENINO"/>
    <s v="MASCULINO"/>
    <n v="1"/>
    <n v="1"/>
    <n v="36"/>
    <n v="25"/>
    <m/>
    <m/>
    <m/>
    <m/>
    <n v="112"/>
    <x v="4"/>
    <m/>
    <s v=""/>
    <x v="2"/>
  </r>
  <r>
    <n v="630"/>
    <x v="0"/>
    <n v="3"/>
    <n v="0"/>
    <x v="0"/>
    <s v="CARRERA 12 CALLE 34 "/>
    <n v="5.3239944444444438"/>
    <n v="-72.399191666666667"/>
    <s v="MOVILIDAD"/>
    <s v="URBANO"/>
    <x v="1"/>
    <s v="DICIEMBRE"/>
    <d v="2023-12-12T00:00:00"/>
    <x v="6"/>
    <d v="1899-12-30T09:30:00"/>
    <s v="AUTOMOVIL"/>
    <s v="CAMIONETA"/>
    <n v="0"/>
    <n v="0"/>
    <n v="1"/>
    <n v="0"/>
    <n v="1"/>
    <n v="0"/>
    <n v="0"/>
    <n v="0"/>
    <n v="0"/>
    <n v="0"/>
    <n v="0"/>
    <n v="0"/>
    <s v="MASCULINO"/>
    <s v="FEMENINO"/>
    <n v="1"/>
    <n v="1"/>
    <n v="24"/>
    <n v="22"/>
    <m/>
    <m/>
    <n v="33"/>
    <m/>
    <n v="112"/>
    <x v="4"/>
    <m/>
    <s v=""/>
    <x v="2"/>
  </r>
  <r>
    <n v="147"/>
    <x v="0"/>
    <n v="1"/>
    <n v="0"/>
    <x v="0"/>
    <s v="CARRERA 12 CALLE 36"/>
    <n v="5.3231611111111112"/>
    <n v="-72.398761111111114"/>
    <s v="MOVILIDAD"/>
    <s v="URBANO"/>
    <x v="0"/>
    <s v="ABRIL"/>
    <d v="2022-04-22T00:00:00"/>
    <x v="0"/>
    <d v="1899-12-30T20:30:00"/>
    <s v="MOTOCICLETA"/>
    <s v="CAMIONETA"/>
    <n v="1"/>
    <n v="0"/>
    <n v="0"/>
    <n v="0"/>
    <n v="1"/>
    <n v="0"/>
    <n v="0"/>
    <n v="0"/>
    <n v="0"/>
    <n v="0"/>
    <n v="0"/>
    <n v="0"/>
    <m/>
    <s v="FEMENINO"/>
    <n v="0"/>
    <n v="1"/>
    <n v="27"/>
    <m/>
    <m/>
    <m/>
    <m/>
    <m/>
    <n v="112"/>
    <x v="4"/>
    <m/>
    <s v=""/>
    <x v="0"/>
  </r>
  <r>
    <n v="840"/>
    <x v="0"/>
    <n v="2"/>
    <n v="0"/>
    <x v="0"/>
    <s v="CARRERA 12 CALLE 37 "/>
    <n v="5.320924166666666"/>
    <n v="-72.398382222222224"/>
    <s v="MOVILIDAD"/>
    <s v="URBANO"/>
    <x v="3"/>
    <s v="DICIEMBRE"/>
    <d v="2024-12-21T00:00:00"/>
    <x v="5"/>
    <d v="1899-12-30T07:38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22"/>
    <n v="40"/>
    <m/>
    <m/>
    <m/>
    <m/>
    <n v="116"/>
    <x v="14"/>
    <m/>
    <s v=""/>
    <x v="2"/>
  </r>
  <r>
    <n v="317"/>
    <x v="1"/>
    <n v="0"/>
    <n v="0"/>
    <x v="1"/>
    <s v="CARRERA 12 CALLE 39"/>
    <n v="5.318985555555555"/>
    <n v="-72.39789027777779"/>
    <s v="MOVILIDAD"/>
    <s v="URBANO"/>
    <x v="0"/>
    <s v="SEPTIEMBRE"/>
    <d v="2022-09-26T00:00:00"/>
    <x v="4"/>
    <d v="1899-12-30T16:00:00"/>
    <s v="MOTOCICLETA"/>
    <s v="CAMIONETA"/>
    <n v="1"/>
    <n v="0"/>
    <n v="0"/>
    <n v="0"/>
    <n v="1"/>
    <n v="0"/>
    <n v="0"/>
    <n v="0"/>
    <n v="0"/>
    <n v="0"/>
    <n v="0"/>
    <n v="0"/>
    <m/>
    <s v="FEMENINO"/>
    <n v="0"/>
    <n v="1"/>
    <m/>
    <m/>
    <m/>
    <m/>
    <m/>
    <m/>
    <n v="114"/>
    <x v="5"/>
    <m/>
    <s v=""/>
    <x v="1"/>
  </r>
  <r>
    <n v="112"/>
    <x v="0"/>
    <n v="1"/>
    <n v="0"/>
    <x v="0"/>
    <s v="CARRERA 12 CALLE 40"/>
    <n v="5.3183444444444445"/>
    <n v="-72.397016666666673"/>
    <s v="MOVILIDAD"/>
    <s v="URBANO"/>
    <x v="0"/>
    <s v="ABRIL"/>
    <d v="2022-04-02T00:00:00"/>
    <x v="5"/>
    <d v="1899-12-30T12:5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32"/>
    <m/>
    <m/>
    <m/>
    <m/>
    <m/>
    <n v="115"/>
    <x v="12"/>
    <n v="409"/>
    <s v="Cruzar sin observar."/>
    <x v="1"/>
  </r>
  <r>
    <n v="934"/>
    <x v="0"/>
    <n v="1"/>
    <n v="0"/>
    <x v="0"/>
    <s v="CARRERA 12 CALLE 40 "/>
    <n v="5.3183444444444445"/>
    <n v="-72.397016666666673"/>
    <s v="MOVILIDAD"/>
    <s v="URBANO"/>
    <x v="2"/>
    <s v="ABRIL"/>
    <d v="2025-04-11T00:00:00"/>
    <x v="0"/>
    <d v="1899-12-30T08:20:00"/>
    <s v="MOTOCICLETA"/>
    <s v="MOTOCICLETA"/>
    <n v="2"/>
    <n v="0"/>
    <n v="0"/>
    <n v="0"/>
    <n v="0"/>
    <n v="0"/>
    <n v="0"/>
    <n v="0"/>
    <n v="0"/>
    <n v="0"/>
    <n v="0"/>
    <n v="0"/>
    <s v="MASCULINO"/>
    <s v="MASCULINO"/>
    <n v="2"/>
    <n v="0"/>
    <n v="19"/>
    <n v="32"/>
    <m/>
    <m/>
    <m/>
    <m/>
    <n v="127"/>
    <x v="18"/>
    <n v="139"/>
    <s v="Impericia en el manejo."/>
    <x v="2"/>
  </r>
  <r>
    <n v="121"/>
    <x v="1"/>
    <n v="0"/>
    <n v="0"/>
    <x v="1"/>
    <s v="CARRERA 12 CALLE 53"/>
    <n v="5.3087805555555549"/>
    <n v="-72.3974388888889"/>
    <s v="MOVILIDAD"/>
    <s v="URBANO"/>
    <x v="0"/>
    <s v="ABRIL"/>
    <d v="2022-04-07T00:00:00"/>
    <x v="1"/>
    <d v="1899-12-30T18:1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m/>
    <m/>
    <m/>
    <m/>
    <m/>
    <m/>
    <n v="134"/>
    <x v="24"/>
    <m/>
    <s v=""/>
    <x v="0"/>
  </r>
  <r>
    <n v="639"/>
    <x v="0"/>
    <n v="1"/>
    <n v="0"/>
    <x v="0"/>
    <s v="CARRERA 12 DIAGONAL 47 "/>
    <n v="5.3118833333333333"/>
    <n v="-72.397727777777789"/>
    <s v="MOVILIDAD"/>
    <s v="URBANO"/>
    <x v="1"/>
    <s v="DICIEMBRE"/>
    <d v="2023-12-23T00:00:00"/>
    <x v="5"/>
    <d v="1899-12-30T18:4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28"/>
    <m/>
    <m/>
    <m/>
    <m/>
    <m/>
    <n v="114"/>
    <x v="5"/>
    <m/>
    <s v=""/>
    <x v="0"/>
  </r>
  <r>
    <n v="527"/>
    <x v="0"/>
    <n v="2"/>
    <n v="0"/>
    <x v="0"/>
    <s v="CARRERA 12A  CALLE 44A"/>
    <n v="5.3154722222222217"/>
    <n v="-72.396538888888898"/>
    <s v="MOVILIDAD"/>
    <s v="URBANO"/>
    <x v="1"/>
    <s v="JULIO"/>
    <d v="2023-07-31T00:00:00"/>
    <x v="4"/>
    <d v="1899-12-30T10:00:00"/>
    <s v="MOTOCICLETA"/>
    <s v="AUTOMOVIL"/>
    <n v="1"/>
    <n v="0"/>
    <n v="1"/>
    <n v="0"/>
    <n v="0"/>
    <n v="0"/>
    <n v="0"/>
    <n v="0"/>
    <n v="0"/>
    <n v="0"/>
    <n v="0"/>
    <n v="0"/>
    <m/>
    <s v="FEMENINO"/>
    <n v="0"/>
    <n v="1"/>
    <n v="22"/>
    <m/>
    <m/>
    <m/>
    <n v="48"/>
    <m/>
    <n v="127"/>
    <x v="18"/>
    <m/>
    <s v=""/>
    <x v="2"/>
  </r>
  <r>
    <n v="31"/>
    <x v="0"/>
    <n v="3"/>
    <n v="0"/>
    <x v="0"/>
    <s v="CARRERA 12B  # 46-58"/>
    <n v="5.3132861111111112"/>
    <n v="-72.396322222222224"/>
    <s v="MOVILIDAD"/>
    <s v="URBANO"/>
    <x v="0"/>
    <s v="ENERO"/>
    <d v="2022-01-28T00:00:00"/>
    <x v="0"/>
    <d v="1899-12-30T17:50:00"/>
    <s v="MOTOCICLETA"/>
    <m/>
    <n v="1"/>
    <n v="0"/>
    <n v="0"/>
    <n v="0"/>
    <n v="0"/>
    <n v="0"/>
    <n v="0"/>
    <n v="0"/>
    <n v="0"/>
    <n v="0"/>
    <n v="0"/>
    <n v="0"/>
    <s v="MASCULINO"/>
    <s v="FEMENINO"/>
    <n v="1"/>
    <n v="1"/>
    <n v="41"/>
    <m/>
    <m/>
    <n v="41"/>
    <n v="27"/>
    <m/>
    <n v="409"/>
    <x v="19"/>
    <n v="410"/>
    <s v="Cruzar en estado de embriaguez."/>
    <x v="1"/>
  </r>
  <r>
    <n v="144"/>
    <x v="0"/>
    <n v="1"/>
    <n v="0"/>
    <x v="0"/>
    <s v="CARRERA 13 #  24"/>
    <n v="5.3332990000000002"/>
    <n v="-72.401500999999996"/>
    <s v="MOVILIDAD"/>
    <s v="URBANO"/>
    <x v="0"/>
    <s v="ABRIL"/>
    <d v="2022-04-23T00:00:00"/>
    <x v="5"/>
    <d v="1899-12-30T18:3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20"/>
    <m/>
    <m/>
    <m/>
    <m/>
    <m/>
    <n v="139"/>
    <x v="0"/>
    <n v="157"/>
    <s v="Otra"/>
    <x v="0"/>
  </r>
  <r>
    <n v="293"/>
    <x v="0"/>
    <n v="2"/>
    <n v="0"/>
    <x v="0"/>
    <s v="CARRERA 13 #  24"/>
    <n v="5.3332990000000002"/>
    <n v="-72.401500999999996"/>
    <s v="MOVILIDAD"/>
    <s v="URBANO"/>
    <x v="0"/>
    <s v="AGOSTO"/>
    <d v="2022-08-31T00:00:00"/>
    <x v="3"/>
    <d v="1899-12-30T11:54:00"/>
    <s v="MOTOCICLETA"/>
    <s v="AUTOMOVIL"/>
    <n v="1"/>
    <n v="0"/>
    <n v="1"/>
    <n v="0"/>
    <n v="0"/>
    <n v="0"/>
    <n v="0"/>
    <n v="0"/>
    <n v="0"/>
    <n v="0"/>
    <n v="0"/>
    <n v="0"/>
    <s v="MASCULINO"/>
    <s v="FEMENINO"/>
    <n v="1"/>
    <n v="1"/>
    <n v="45"/>
    <m/>
    <m/>
    <m/>
    <n v="33"/>
    <m/>
    <n v="139"/>
    <x v="0"/>
    <n v="145"/>
    <s v="Arrancar sin precaución."/>
    <x v="2"/>
  </r>
  <r>
    <n v="71"/>
    <x v="1"/>
    <n v="0"/>
    <n v="0"/>
    <x v="1"/>
    <s v="CARRERA 13 #  24"/>
    <n v="5.3332990000000002"/>
    <n v="-72.401500999999996"/>
    <s v="MOVILIDAD"/>
    <s v="URBANO"/>
    <x v="0"/>
    <s v="MARZO"/>
    <d v="2022-03-02T00:00:00"/>
    <x v="3"/>
    <d v="1899-12-30T09:30:00"/>
    <s v="MOTOCICLETA"/>
    <s v="CAMIONETA"/>
    <n v="1"/>
    <n v="0"/>
    <n v="0"/>
    <n v="0"/>
    <n v="1"/>
    <n v="0"/>
    <n v="0"/>
    <n v="0"/>
    <n v="0"/>
    <n v="0"/>
    <n v="0"/>
    <n v="0"/>
    <s v="MASCULINO"/>
    <m/>
    <n v="1"/>
    <n v="0"/>
    <m/>
    <m/>
    <m/>
    <m/>
    <m/>
    <m/>
    <n v="122"/>
    <x v="2"/>
    <n v="105"/>
    <s v="Adelantar en zona prohibida."/>
    <x v="2"/>
  </r>
  <r>
    <n v="927"/>
    <x v="0"/>
    <n v="1"/>
    <n v="0"/>
    <x v="0"/>
    <s v="CARRERA 13 CALLE 20 "/>
    <n v="5.3359940000000003"/>
    <n v="-72.401473999999993"/>
    <s v="MOVILIDAD"/>
    <s v="URBANO"/>
    <x v="2"/>
    <s v="ABRIL"/>
    <d v="2025-04-03T00:00:00"/>
    <x v="1"/>
    <d v="1899-12-30T11:20:00"/>
    <s v="AUTOMOVIL"/>
    <s v="MOTOCICLETA"/>
    <n v="1"/>
    <n v="0"/>
    <n v="1"/>
    <n v="0"/>
    <n v="0"/>
    <n v="0"/>
    <n v="0"/>
    <n v="0"/>
    <n v="0"/>
    <n v="0"/>
    <n v="0"/>
    <n v="0"/>
    <s v="MASCULINO"/>
    <s v="MASCULINO"/>
    <n v="2"/>
    <n v="0"/>
    <n v="43"/>
    <n v="25"/>
    <m/>
    <m/>
    <m/>
    <m/>
    <n v="132"/>
    <x v="13"/>
    <m/>
    <s v=""/>
    <x v="2"/>
  </r>
  <r>
    <n v="466"/>
    <x v="0"/>
    <n v="1"/>
    <n v="0"/>
    <x v="0"/>
    <s v="CARRERA 13 CALLE 33"/>
    <n v="5.3254361111111113"/>
    <n v="-72.398400000000009"/>
    <s v="MOVILIDAD"/>
    <s v="URBANO"/>
    <x v="1"/>
    <s v="MAYO"/>
    <d v="2023-05-02T00:00:00"/>
    <x v="6"/>
    <d v="1899-12-30T21:15:00"/>
    <s v="MOTOCICLETA"/>
    <s v="MOTOCICLETA"/>
    <n v="2"/>
    <n v="0"/>
    <n v="0"/>
    <n v="0"/>
    <n v="0"/>
    <n v="0"/>
    <n v="0"/>
    <n v="0"/>
    <n v="0"/>
    <n v="0"/>
    <n v="0"/>
    <n v="0"/>
    <m/>
    <s v="FEMENINO"/>
    <n v="0"/>
    <n v="1"/>
    <n v="18"/>
    <m/>
    <m/>
    <m/>
    <m/>
    <m/>
    <n v="139"/>
    <x v="0"/>
    <n v="132"/>
    <s v="No respetar prelación."/>
    <x v="0"/>
  </r>
  <r>
    <n v="124"/>
    <x v="0"/>
    <n v="3"/>
    <n v="0"/>
    <x v="0"/>
    <s v="CARRERA 13 CALLE 35"/>
    <n v="5.3230805555555554"/>
    <n v="-72.397816666666671"/>
    <s v="MOVILIDAD"/>
    <s v="URBANO"/>
    <x v="0"/>
    <s v="ABRIL"/>
    <d v="2022-04-09T00:00:00"/>
    <x v="5"/>
    <d v="1899-12-30T22:10:00"/>
    <s v="MOTOCICLETA"/>
    <m/>
    <n v="1"/>
    <n v="0"/>
    <n v="0"/>
    <n v="0"/>
    <n v="0"/>
    <n v="0"/>
    <n v="0"/>
    <n v="0"/>
    <n v="0"/>
    <n v="0"/>
    <n v="0"/>
    <n v="0"/>
    <s v="MASCULINO"/>
    <s v="FEMENINO"/>
    <n v="1"/>
    <n v="1"/>
    <n v="47"/>
    <n v="27"/>
    <m/>
    <m/>
    <n v="49"/>
    <m/>
    <n v="104"/>
    <x v="9"/>
    <m/>
    <s v=""/>
    <x v="0"/>
  </r>
  <r>
    <n v="682"/>
    <x v="0"/>
    <n v="2"/>
    <n v="0"/>
    <x v="0"/>
    <s v="CARRERA 13 DIAGONAL 47 "/>
    <n v="5.3130555555555556"/>
    <n v="-72.395925000000005"/>
    <s v="MOVILIDAD"/>
    <s v="URBANO"/>
    <x v="3"/>
    <s v="MARZO"/>
    <d v="2024-03-22T00:00:00"/>
    <x v="0"/>
    <d v="1899-12-30T18:00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n v="46"/>
    <n v="0"/>
    <m/>
    <n v="0"/>
    <m/>
    <m/>
    <n v="115"/>
    <x v="12"/>
    <n v="127"/>
    <s v="Transitar en contravía."/>
    <x v="0"/>
  </r>
  <r>
    <n v="1056"/>
    <x v="0"/>
    <n v="1"/>
    <n v="0"/>
    <x v="0"/>
    <s v="CARRERA 13 N 32 A 21"/>
    <n v="5.3256690000000004"/>
    <n v="-72.398450999999994"/>
    <s v="MOVILIDAD"/>
    <s v="URBANO"/>
    <x v="2"/>
    <s v="AGOSTO"/>
    <d v="2025-08-30T00:00:00"/>
    <x v="5"/>
    <d v="1899-12-30T06:30:00"/>
    <s v="MOTOCICLETA"/>
    <m/>
    <n v="1"/>
    <n v="0"/>
    <n v="0"/>
    <n v="0"/>
    <n v="0"/>
    <n v="0"/>
    <n v="0"/>
    <n v="0"/>
    <n v="0"/>
    <n v="0"/>
    <n v="0"/>
    <n v="0"/>
    <s v="MASCULINO"/>
    <s v="FEMENINO"/>
    <n v="1"/>
    <n v="1"/>
    <n v="19"/>
    <n v="28"/>
    <m/>
    <m/>
    <m/>
    <m/>
    <n v="139"/>
    <x v="0"/>
    <m/>
    <s v=""/>
    <x v="2"/>
  </r>
  <r>
    <n v="100"/>
    <x v="1"/>
    <n v="0"/>
    <n v="0"/>
    <x v="1"/>
    <s v="CARRERA 14  # 24-183"/>
    <n v="5.3334111111111104"/>
    <n v="-72.399258333333336"/>
    <s v="MOVILIDAD"/>
    <s v="URBANO"/>
    <x v="0"/>
    <s v="MARZO"/>
    <d v="2022-03-26T00:00:00"/>
    <x v="5"/>
    <d v="1899-12-30T16:15:00"/>
    <s v="AUTOMOVIL"/>
    <s v="AUTOMOVIL"/>
    <n v="0"/>
    <n v="0"/>
    <n v="2"/>
    <n v="0"/>
    <n v="0"/>
    <n v="0"/>
    <n v="0"/>
    <n v="0"/>
    <n v="0"/>
    <n v="0"/>
    <n v="0"/>
    <n v="0"/>
    <m/>
    <s v="FEMENINO"/>
    <n v="0"/>
    <n v="1"/>
    <m/>
    <m/>
    <m/>
    <m/>
    <m/>
    <m/>
    <n v="106"/>
    <x v="25"/>
    <m/>
    <s v=""/>
    <x v="1"/>
  </r>
  <r>
    <n v="402"/>
    <x v="0"/>
    <n v="1"/>
    <n v="0"/>
    <x v="0"/>
    <s v="CARRERA 14 #  24"/>
    <n v="5.333882222222222"/>
    <n v="-72.399435833333342"/>
    <s v="MOVILIDAD"/>
    <s v="URBANO"/>
    <x v="1"/>
    <s v="FEBRERO"/>
    <d v="2023-02-05T00:00:00"/>
    <x v="2"/>
    <d v="1899-12-30T21:50:00"/>
    <s v="MOTOCICLETA"/>
    <s v="AUTOMOVIL"/>
    <n v="1"/>
    <n v="0"/>
    <n v="1"/>
    <n v="0"/>
    <n v="0"/>
    <n v="0"/>
    <n v="0"/>
    <n v="0"/>
    <n v="0"/>
    <n v="0"/>
    <n v="0"/>
    <n v="0"/>
    <m/>
    <s v="FEMENINO"/>
    <n v="0"/>
    <n v="1"/>
    <n v="17"/>
    <m/>
    <m/>
    <m/>
    <m/>
    <m/>
    <n v="122"/>
    <x v="2"/>
    <m/>
    <s v=""/>
    <x v="0"/>
  </r>
  <r>
    <n v="398"/>
    <x v="1"/>
    <n v="0"/>
    <n v="0"/>
    <x v="1"/>
    <s v="CARRERA 14 #  24"/>
    <n v="5.333882222222222"/>
    <n v="-72.399435833333342"/>
    <s v="MOVILIDAD"/>
    <s v="URBANO"/>
    <x v="1"/>
    <s v="ENERO"/>
    <d v="2023-01-26T00:00:00"/>
    <x v="1"/>
    <d v="1899-12-30T22:05:00"/>
    <s v="AUTOMOVIL"/>
    <s v="AUTOMOVIL"/>
    <n v="0"/>
    <n v="0"/>
    <n v="2"/>
    <n v="0"/>
    <n v="0"/>
    <n v="0"/>
    <n v="0"/>
    <n v="0"/>
    <n v="0"/>
    <n v="0"/>
    <n v="0"/>
    <n v="0"/>
    <s v="MASCULINO"/>
    <s v="FEMENINO"/>
    <n v="1"/>
    <n v="1"/>
    <n v="21"/>
    <m/>
    <m/>
    <m/>
    <m/>
    <m/>
    <n v="115"/>
    <x v="12"/>
    <n v="139"/>
    <s v="Impericia en el manejo."/>
    <x v="0"/>
  </r>
  <r>
    <n v="851"/>
    <x v="1"/>
    <n v="0"/>
    <n v="0"/>
    <x v="1"/>
    <s v="CARRERA 14 # 21"/>
    <n v="5.3440349999999999"/>
    <n v="-72.397409999999994"/>
    <s v="MOVILIDAD"/>
    <s v="URBANO"/>
    <x v="3"/>
    <s v="DICIEMBRE"/>
    <d v="2024-12-27T00:00:00"/>
    <x v="0"/>
    <d v="1899-12-30T01:50:00"/>
    <s v="AUTOMOVIL"/>
    <s v="AUTOMOVIL"/>
    <n v="0"/>
    <n v="0"/>
    <n v="2"/>
    <n v="0"/>
    <n v="0"/>
    <n v="0"/>
    <n v="0"/>
    <n v="0"/>
    <n v="0"/>
    <n v="0"/>
    <n v="0"/>
    <n v="0"/>
    <s v="MASCULINO"/>
    <s v="FEMENINO"/>
    <n v="1"/>
    <n v="1"/>
    <n v="35"/>
    <n v="33"/>
    <m/>
    <m/>
    <m/>
    <m/>
    <n v="157"/>
    <x v="1"/>
    <m/>
    <s v=""/>
    <x v="2"/>
  </r>
  <r>
    <n v="657"/>
    <x v="0"/>
    <n v="2"/>
    <n v="0"/>
    <x v="0"/>
    <s v="CARRERA 14 # 21"/>
    <n v="5.3440349999999999"/>
    <n v="-72.397409999999994"/>
    <s v="MOVILIDAD"/>
    <s v="URBANO"/>
    <x v="3"/>
    <s v="FEBRERO"/>
    <d v="2024-02-06T00:00:00"/>
    <x v="6"/>
    <d v="1899-12-30T18:00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n v="24"/>
    <n v="0"/>
    <m/>
    <m/>
    <m/>
    <m/>
    <n v="121"/>
    <x v="7"/>
    <m/>
    <s v=""/>
    <x v="0"/>
  </r>
  <r>
    <n v="281"/>
    <x v="0"/>
    <n v="1"/>
    <n v="0"/>
    <x v="0"/>
    <s v="CARRERA 14 # 21"/>
    <n v="5.3440349999999999"/>
    <n v="-72.397409999999994"/>
    <s v="MOVILIDAD"/>
    <s v="URBANO"/>
    <x v="0"/>
    <s v="AGOSTO"/>
    <d v="2022-08-17T00:00:00"/>
    <x v="3"/>
    <d v="1899-12-30T08:15:00"/>
    <s v="MOTOCICLETA"/>
    <s v="CAMPERO"/>
    <n v="1"/>
    <n v="0"/>
    <n v="0"/>
    <n v="1"/>
    <n v="0"/>
    <n v="0"/>
    <n v="0"/>
    <n v="0"/>
    <n v="0"/>
    <n v="0"/>
    <n v="0"/>
    <n v="0"/>
    <s v="MASCULINO"/>
    <m/>
    <n v="1"/>
    <n v="0"/>
    <n v="38"/>
    <m/>
    <m/>
    <m/>
    <m/>
    <m/>
    <n v="112"/>
    <x v="4"/>
    <n v="139"/>
    <s v="Impericia en el manejo."/>
    <x v="2"/>
  </r>
  <r>
    <n v="188"/>
    <x v="0"/>
    <n v="1"/>
    <n v="0"/>
    <x v="0"/>
    <s v="CARRERA 14 # 30"/>
    <n v="5.3282472222222221"/>
    <n v="-72.398072222222225"/>
    <s v="MOVILIDAD"/>
    <s v="URBANO"/>
    <x v="0"/>
    <s v="MAYO"/>
    <d v="2022-05-19T00:00:00"/>
    <x v="1"/>
    <d v="1899-12-30T15:3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20"/>
    <m/>
    <m/>
    <m/>
    <m/>
    <m/>
    <n v="157"/>
    <x v="1"/>
    <m/>
    <s v=""/>
    <x v="1"/>
  </r>
  <r>
    <n v="249"/>
    <x v="0"/>
    <n v="1"/>
    <n v="0"/>
    <x v="0"/>
    <s v="CARRERA 14 # 30"/>
    <n v="5.3282472222222221"/>
    <n v="-72.398072222222225"/>
    <s v="MOVILIDAD"/>
    <s v="URBANO"/>
    <x v="0"/>
    <s v="JULIO"/>
    <d v="2022-07-12T00:00:00"/>
    <x v="6"/>
    <d v="1899-12-30T13:10:00"/>
    <s v="AUTOMOVIL"/>
    <m/>
    <n v="0"/>
    <n v="0"/>
    <n v="1"/>
    <n v="0"/>
    <n v="0"/>
    <n v="0"/>
    <n v="0"/>
    <n v="0"/>
    <n v="0"/>
    <n v="0"/>
    <n v="0"/>
    <n v="0"/>
    <s v="MASCULINO"/>
    <m/>
    <n v="1"/>
    <n v="0"/>
    <m/>
    <m/>
    <m/>
    <m/>
    <m/>
    <m/>
    <n v="157"/>
    <x v="1"/>
    <m/>
    <s v=""/>
    <x v="1"/>
  </r>
  <r>
    <n v="339"/>
    <x v="0"/>
    <n v="1"/>
    <n v="0"/>
    <x v="0"/>
    <s v="CARRERA 14 # 30"/>
    <n v="5.3282472222222221"/>
    <n v="-72.398072222222225"/>
    <s v="MOVILIDAD"/>
    <s v="URBANO"/>
    <x v="0"/>
    <s v="OCTUBRE"/>
    <d v="2022-10-22T00:00:00"/>
    <x v="5"/>
    <d v="1899-12-30T22:30:00"/>
    <s v="MOTOCICLETA"/>
    <s v="MOTOCICLETA"/>
    <n v="2"/>
    <n v="0"/>
    <n v="0"/>
    <n v="0"/>
    <n v="0"/>
    <n v="0"/>
    <n v="0"/>
    <n v="0"/>
    <n v="0"/>
    <n v="0"/>
    <n v="0"/>
    <n v="0"/>
    <m/>
    <s v="FEMENINO"/>
    <n v="0"/>
    <n v="1"/>
    <m/>
    <m/>
    <m/>
    <m/>
    <m/>
    <m/>
    <n v="157"/>
    <x v="1"/>
    <n v="157"/>
    <s v="Otra"/>
    <x v="0"/>
  </r>
  <r>
    <n v="405"/>
    <x v="0"/>
    <n v="1"/>
    <n v="0"/>
    <x v="0"/>
    <s v="CARRERA 14 # 30"/>
    <n v="5.3282472222222221"/>
    <n v="-72.398072222222225"/>
    <s v="MOVILIDAD"/>
    <s v="URBANO"/>
    <x v="1"/>
    <s v="FEBRERO"/>
    <d v="2023-02-11T00:00:00"/>
    <x v="5"/>
    <d v="1899-12-30T22:05:00"/>
    <s v="MOTOCICLETA"/>
    <s v="MOTOCICLETA"/>
    <n v="2"/>
    <n v="0"/>
    <n v="0"/>
    <n v="0"/>
    <n v="0"/>
    <n v="0"/>
    <n v="0"/>
    <n v="0"/>
    <n v="0"/>
    <n v="0"/>
    <n v="0"/>
    <n v="0"/>
    <m/>
    <s v="FEMENINO"/>
    <n v="0"/>
    <n v="1"/>
    <n v="47"/>
    <m/>
    <m/>
    <m/>
    <m/>
    <m/>
    <n v="157"/>
    <x v="1"/>
    <n v="157"/>
    <s v="Otra"/>
    <x v="0"/>
  </r>
  <r>
    <n v="214"/>
    <x v="0"/>
    <n v="1"/>
    <n v="1"/>
    <x v="2"/>
    <s v="CARRERA 14 # 30"/>
    <n v="5.3282472222222221"/>
    <n v="-72.398072222222225"/>
    <s v="MOVILIDAD"/>
    <s v="URBANO"/>
    <x v="0"/>
    <s v="JUNIO"/>
    <d v="2022-06-12T00:00:00"/>
    <x v="2"/>
    <d v="1899-12-30T02:15:00"/>
    <s v="MOTOCICLETA"/>
    <s v="AUTOMOVIL"/>
    <n v="1"/>
    <n v="0"/>
    <n v="1"/>
    <n v="0"/>
    <n v="0"/>
    <n v="0"/>
    <n v="0"/>
    <n v="0"/>
    <n v="0"/>
    <n v="0"/>
    <n v="0"/>
    <n v="0"/>
    <m/>
    <s v="FEMENINO"/>
    <n v="0"/>
    <n v="1"/>
    <m/>
    <m/>
    <m/>
    <m/>
    <n v="31"/>
    <n v="27"/>
    <n v="114"/>
    <x v="5"/>
    <n v="116"/>
    <s v="Exceso de velocidad"/>
    <x v="2"/>
  </r>
  <r>
    <n v="232"/>
    <x v="0"/>
    <n v="1"/>
    <n v="0"/>
    <x v="0"/>
    <s v="CARRERA 14 # 40"/>
    <n v="5.3187705555555551"/>
    <n v="-72.395789722222233"/>
    <s v="MOVILIDAD"/>
    <s v="URBANO"/>
    <x v="0"/>
    <s v="JUNIO"/>
    <d v="2022-06-24T00:00:00"/>
    <x v="0"/>
    <d v="1899-12-30T23:00:00"/>
    <s v="AUTOMOVIL"/>
    <m/>
    <n v="0"/>
    <n v="0"/>
    <n v="1"/>
    <n v="0"/>
    <n v="0"/>
    <n v="0"/>
    <n v="0"/>
    <n v="0"/>
    <n v="0"/>
    <n v="0"/>
    <n v="0"/>
    <n v="0"/>
    <s v="MASCULINO"/>
    <m/>
    <n v="1"/>
    <n v="0"/>
    <n v="26"/>
    <m/>
    <m/>
    <m/>
    <m/>
    <m/>
    <n v="409"/>
    <x v="19"/>
    <m/>
    <s v=""/>
    <x v="0"/>
  </r>
  <r>
    <n v="158"/>
    <x v="0"/>
    <n v="1"/>
    <n v="0"/>
    <x v="0"/>
    <s v="CARRERA 14 # 40"/>
    <n v="5.3187705555555551"/>
    <n v="-72.395789722222233"/>
    <s v="MOVILIDAD"/>
    <s v="URBANO"/>
    <x v="0"/>
    <s v="ABRIL"/>
    <d v="2022-04-30T00:00:00"/>
    <x v="5"/>
    <d v="1899-12-30T16:00:00"/>
    <s v="MOTOCICLETA"/>
    <s v="CAMIONETA"/>
    <n v="1"/>
    <n v="0"/>
    <n v="0"/>
    <n v="0"/>
    <n v="1"/>
    <n v="0"/>
    <n v="0"/>
    <n v="0"/>
    <n v="0"/>
    <n v="0"/>
    <n v="0"/>
    <n v="0"/>
    <s v="MASCULINO"/>
    <m/>
    <n v="1"/>
    <n v="0"/>
    <n v="15"/>
    <m/>
    <m/>
    <m/>
    <m/>
    <m/>
    <n v="139"/>
    <x v="0"/>
    <n v="122"/>
    <s v="Girar bruscamente."/>
    <x v="1"/>
  </r>
  <r>
    <n v="1058"/>
    <x v="0"/>
    <n v="2"/>
    <n v="0"/>
    <x v="0"/>
    <s v="CARRERA 14 # 40"/>
    <n v="5.3186470000000003"/>
    <n v="-72.396232999999995"/>
    <s v="MOVILIDAD"/>
    <s v="URBANO"/>
    <x v="2"/>
    <s v="SEPTIEMBRE"/>
    <d v="2025-09-06T00:00:00"/>
    <x v="5"/>
    <d v="1899-12-30T21:21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n v="27"/>
    <n v="24"/>
    <m/>
    <m/>
    <m/>
    <m/>
    <n v="139"/>
    <x v="0"/>
    <n v="157"/>
    <s v="Otra"/>
    <x v="0"/>
  </r>
  <r>
    <n v="898"/>
    <x v="0"/>
    <n v="2"/>
    <n v="0"/>
    <x v="0"/>
    <s v="CARRERA 14 # 40 "/>
    <n v="5.3187705555555551"/>
    <n v="-72.395789722222233"/>
    <s v="MOVILIDAD"/>
    <s v="URBANO"/>
    <x v="2"/>
    <s v="MARZO"/>
    <d v="2025-03-07T00:00:00"/>
    <x v="0"/>
    <d v="1899-12-30T12:30:00"/>
    <s v="AUTOMOVIL"/>
    <s v="MOTOCICLETA"/>
    <n v="1"/>
    <n v="0"/>
    <n v="1"/>
    <n v="0"/>
    <n v="0"/>
    <n v="0"/>
    <n v="0"/>
    <n v="0"/>
    <n v="0"/>
    <n v="0"/>
    <n v="0"/>
    <n v="0"/>
    <s v="MASCULINO"/>
    <s v="FEMENINO"/>
    <n v="1"/>
    <n v="1"/>
    <n v="53"/>
    <n v="28"/>
    <n v="40"/>
    <m/>
    <m/>
    <m/>
    <n v="147"/>
    <x v="26"/>
    <n v="139"/>
    <s v="Impericia en el manejo."/>
    <x v="1"/>
  </r>
  <r>
    <n v="910"/>
    <x v="0"/>
    <n v="1"/>
    <n v="0"/>
    <x v="0"/>
    <s v="CARRERA 14 # 40 "/>
    <n v="5.3187705555555551"/>
    <n v="-72.395789722222233"/>
    <s v="MOVILIDAD"/>
    <s v="URBANO"/>
    <x v="2"/>
    <s v="MARZO"/>
    <d v="2025-03-24T00:00:00"/>
    <x v="4"/>
    <d v="1899-12-30T19:17:00"/>
    <s v="AUTOMOVIL"/>
    <s v="MOTOCICLETA"/>
    <n v="1"/>
    <n v="0"/>
    <n v="1"/>
    <n v="0"/>
    <n v="0"/>
    <n v="0"/>
    <n v="0"/>
    <n v="0"/>
    <n v="0"/>
    <n v="0"/>
    <n v="0"/>
    <n v="0"/>
    <s v="MASCULINO"/>
    <s v="MASCULINO"/>
    <n v="2"/>
    <n v="0"/>
    <n v="60"/>
    <n v="23"/>
    <m/>
    <m/>
    <m/>
    <m/>
    <n v="112"/>
    <x v="4"/>
    <n v="139"/>
    <s v="Impericia en el manejo."/>
    <x v="0"/>
  </r>
  <r>
    <n v="939"/>
    <x v="1"/>
    <n v="0"/>
    <n v="0"/>
    <x v="1"/>
    <s v="CARRERA 14 BIS No 38 74"/>
    <n v="5.3204250000000002"/>
    <n v="-72.395482000000001"/>
    <s v="MOVILIDAD"/>
    <s v="URBANO"/>
    <x v="2"/>
    <s v="ABRIL"/>
    <d v="2025-04-16T00:00:00"/>
    <x v="3"/>
    <d v="1899-12-30T03:40:00"/>
    <s v="MOTOCICLETA"/>
    <s v="MOTOCICLETA"/>
    <n v="2"/>
    <n v="0"/>
    <n v="0"/>
    <n v="0"/>
    <n v="0"/>
    <n v="0"/>
    <n v="0"/>
    <n v="0"/>
    <n v="0"/>
    <n v="0"/>
    <n v="0"/>
    <n v="0"/>
    <s v="MASCULINO"/>
    <s v="MASCULINO"/>
    <n v="2"/>
    <n v="0"/>
    <n v="36"/>
    <m/>
    <m/>
    <m/>
    <m/>
    <m/>
    <n v="139"/>
    <x v="0"/>
    <m/>
    <s v=""/>
    <x v="2"/>
  </r>
  <r>
    <n v="957"/>
    <x v="0"/>
    <n v="2"/>
    <n v="0"/>
    <x v="0"/>
    <s v="CARRERA 14 CALLE 18"/>
    <n v="5.3380450000000002"/>
    <n v="-72.401452000000006"/>
    <s v="MOVILIDAD"/>
    <s v="URBANO"/>
    <x v="2"/>
    <s v="MAYO"/>
    <d v="2025-05-05T00:00:00"/>
    <x v="4"/>
    <d v="1899-12-30T18:50:00"/>
    <s v="MOTOCICLETA"/>
    <s v="CAMIONETA"/>
    <n v="1"/>
    <n v="0"/>
    <n v="0"/>
    <n v="0"/>
    <n v="1"/>
    <n v="0"/>
    <n v="0"/>
    <n v="0"/>
    <n v="0"/>
    <n v="0"/>
    <n v="0"/>
    <n v="0"/>
    <s v="FEMENINO"/>
    <s v="MASCULINO"/>
    <n v="1"/>
    <n v="1"/>
    <n v="24"/>
    <n v="51"/>
    <n v="25"/>
    <m/>
    <m/>
    <m/>
    <n v="112"/>
    <x v="4"/>
    <m/>
    <s v=""/>
    <x v="0"/>
  </r>
  <r>
    <n v="611"/>
    <x v="0"/>
    <n v="0"/>
    <n v="1"/>
    <x v="2"/>
    <s v="CARRERA 14 CALLE 26"/>
    <n v="5.3316944444444445"/>
    <n v="-72.398930555555566"/>
    <s v="MOVILIDAD"/>
    <s v="URBANO"/>
    <x v="1"/>
    <s v="NOVIEMBRE"/>
    <d v="2023-11-19T00:00:00"/>
    <x v="2"/>
    <d v="1899-12-30T01:15:00"/>
    <s v="MOTOCICLETA"/>
    <m/>
    <n v="1"/>
    <n v="0"/>
    <n v="0"/>
    <n v="0"/>
    <n v="0"/>
    <n v="0"/>
    <n v="0"/>
    <n v="0"/>
    <n v="0"/>
    <n v="0"/>
    <n v="0"/>
    <n v="0"/>
    <s v="MASCULINO"/>
    <s v="FEMENINO"/>
    <n v="1"/>
    <n v="1"/>
    <m/>
    <m/>
    <m/>
    <m/>
    <m/>
    <n v="25"/>
    <n v="114"/>
    <x v="5"/>
    <n v="139"/>
    <s v="Impericia en el manejo."/>
    <x v="2"/>
  </r>
  <r>
    <n v="979"/>
    <x v="0"/>
    <n v="2"/>
    <n v="0"/>
    <x v="0"/>
    <s v="CARRERA 14 CALLE 27"/>
    <n v="5.3306310000000003"/>
    <n v="-72.398572000000001"/>
    <s v="MOVILIDAD"/>
    <s v="URBANO"/>
    <x v="2"/>
    <s v="JUNIO"/>
    <d v="2025-06-05T00:00:00"/>
    <x v="1"/>
    <d v="1899-12-30T20:30:00"/>
    <s v="MOTOCICLETA"/>
    <s v="BICICLETA"/>
    <n v="1"/>
    <n v="0"/>
    <n v="0"/>
    <n v="0"/>
    <n v="0"/>
    <n v="0"/>
    <n v="0"/>
    <n v="0"/>
    <n v="0"/>
    <n v="0"/>
    <n v="0"/>
    <n v="1"/>
    <s v="MASCULINO"/>
    <s v="MASCULINO"/>
    <n v="2"/>
    <n v="0"/>
    <n v="23"/>
    <n v="58"/>
    <m/>
    <m/>
    <m/>
    <m/>
    <n v="112"/>
    <x v="4"/>
    <m/>
    <s v=""/>
    <x v="0"/>
  </r>
  <r>
    <n v="949"/>
    <x v="1"/>
    <n v="0"/>
    <n v="0"/>
    <x v="1"/>
    <s v="CARRERA 14 CALLE 30 "/>
    <n v="5.3282472222222221"/>
    <n v="-72.398072222222225"/>
    <s v="MOVILIDAD"/>
    <s v="URBANO"/>
    <x v="2"/>
    <s v="ABRIL"/>
    <d v="2025-04-12T00:00:00"/>
    <x v="5"/>
    <d v="1899-12-30T17:00:00"/>
    <s v="MOTOCICLETA"/>
    <s v="CAMIONETA"/>
    <n v="1"/>
    <n v="0"/>
    <n v="0"/>
    <n v="0"/>
    <n v="1"/>
    <n v="0"/>
    <n v="0"/>
    <n v="0"/>
    <n v="0"/>
    <n v="0"/>
    <n v="0"/>
    <n v="0"/>
    <s v="FEMENINO"/>
    <s v="MASCULINO"/>
    <n v="1"/>
    <n v="1"/>
    <n v="22"/>
    <n v="41"/>
    <m/>
    <m/>
    <m/>
    <m/>
    <n v="114"/>
    <x v="5"/>
    <n v="157"/>
    <s v="Otra"/>
    <x v="1"/>
  </r>
  <r>
    <n v="218"/>
    <x v="1"/>
    <n v="0"/>
    <n v="0"/>
    <x v="1"/>
    <s v="CARRERA 14 CALLE 33 B"/>
    <n v="5.3249527777777779"/>
    <n v="-72.397247222222234"/>
    <s v="MOVILIDAD"/>
    <s v="URBANO"/>
    <x v="0"/>
    <s v="JUNIO"/>
    <d v="2022-06-16T00:00:00"/>
    <x v="1"/>
    <d v="1899-12-30T10:4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m/>
    <m/>
    <m/>
    <m/>
    <m/>
    <m/>
    <n v="121"/>
    <x v="7"/>
    <m/>
    <s v=""/>
    <x v="2"/>
  </r>
  <r>
    <n v="305"/>
    <x v="0"/>
    <n v="1"/>
    <n v="0"/>
    <x v="0"/>
    <s v="CARRERA 14 CALLE 34B"/>
    <n v="5.3245066666666663"/>
    <n v="-72.397102777777789"/>
    <s v="MOVILIDAD"/>
    <s v="URBANO"/>
    <x v="0"/>
    <s v="SEPTIEMBRE"/>
    <d v="2022-09-10T00:00:00"/>
    <x v="5"/>
    <d v="1899-12-30T19:10:00"/>
    <s v="MOTOCICLETA"/>
    <s v="CAMIONETA"/>
    <n v="1"/>
    <n v="0"/>
    <n v="0"/>
    <n v="0"/>
    <n v="1"/>
    <n v="0"/>
    <n v="0"/>
    <n v="0"/>
    <n v="0"/>
    <n v="0"/>
    <n v="0"/>
    <n v="0"/>
    <s v="MASCULINO"/>
    <m/>
    <n v="1"/>
    <n v="0"/>
    <m/>
    <m/>
    <m/>
    <m/>
    <n v="5"/>
    <m/>
    <n v="122"/>
    <x v="2"/>
    <n v="139"/>
    <s v="Impericia en el manejo."/>
    <x v="0"/>
  </r>
  <r>
    <n v="864"/>
    <x v="0"/>
    <n v="3"/>
    <n v="0"/>
    <x v="0"/>
    <s v="CARRERA 14 CALLE 36"/>
    <n v="5.3228679999999997"/>
    <n v="-72.396485999999996"/>
    <s v="MOVILIDAD"/>
    <s v="URBANO"/>
    <x v="2"/>
    <s v="ENERO"/>
    <d v="2025-01-30T00:00:00"/>
    <x v="1"/>
    <d v="1899-12-30T19:50:00"/>
    <s v="MOTOCICLETA"/>
    <s v="BICICLETA"/>
    <n v="1"/>
    <n v="0"/>
    <n v="0"/>
    <n v="0"/>
    <n v="0"/>
    <n v="0"/>
    <n v="0"/>
    <n v="0"/>
    <n v="0"/>
    <n v="0"/>
    <n v="0"/>
    <n v="1"/>
    <s v="MASCULINO"/>
    <s v="FEMENINO"/>
    <n v="1"/>
    <n v="1"/>
    <n v="18"/>
    <n v="22"/>
    <n v="23"/>
    <m/>
    <m/>
    <m/>
    <n v="157"/>
    <x v="1"/>
    <n v="139"/>
    <s v="Impericia en el manejo."/>
    <x v="0"/>
  </r>
  <r>
    <n v="1065"/>
    <x v="0"/>
    <n v="3"/>
    <n v="0"/>
    <x v="0"/>
    <s v="CARRERA 14 N # CALLE 25"/>
    <s v="_x0009_5.33217833"/>
    <s v="_x0009_-72.39902"/>
    <s v="MOVILIDAD"/>
    <s v="URBANO"/>
    <x v="2"/>
    <s v="SEPTIEMBRE"/>
    <d v="2025-09-12T00:00:00"/>
    <x v="0"/>
    <d v="1899-12-30T15:05:00"/>
    <s v="MOTOCICLETA"/>
    <s v="BICICLETA"/>
    <n v="1"/>
    <n v="0"/>
    <n v="0"/>
    <n v="0"/>
    <n v="0"/>
    <n v="0"/>
    <n v="0"/>
    <n v="0"/>
    <n v="0"/>
    <n v="0"/>
    <n v="0"/>
    <n v="1"/>
    <s v="FEMENINO"/>
    <s v="MASCULINO"/>
    <n v="1"/>
    <n v="1"/>
    <n v="40"/>
    <n v="14"/>
    <n v="7"/>
    <m/>
    <m/>
    <m/>
    <n v="121"/>
    <x v="7"/>
    <n v="90"/>
    <s v="Transportar otra persona o cosas."/>
    <x v="1"/>
  </r>
  <r>
    <n v="944"/>
    <x v="0"/>
    <n v="1"/>
    <n v="0"/>
    <x v="0"/>
    <s v="CARRERA 14 No. 33-40"/>
    <n v="5.3254989999999998"/>
    <n v="-72.397363999999996"/>
    <s v="MOVILIDAD"/>
    <s v="URBANO"/>
    <x v="2"/>
    <s v="ABRIL"/>
    <d v="2025-04-22T00:00:00"/>
    <x v="6"/>
    <d v="1899-12-30T11:50:00"/>
    <s v="MOTOCICLETA"/>
    <s v="MOTOCICLETA"/>
    <n v="2"/>
    <n v="0"/>
    <n v="0"/>
    <n v="0"/>
    <n v="0"/>
    <n v="0"/>
    <n v="0"/>
    <n v="0"/>
    <n v="0"/>
    <n v="0"/>
    <n v="0"/>
    <n v="0"/>
    <s v="MASCULINO"/>
    <s v="MASCULINO"/>
    <n v="2"/>
    <n v="0"/>
    <n v="22"/>
    <n v="25"/>
    <m/>
    <m/>
    <m/>
    <m/>
    <n v="139"/>
    <x v="0"/>
    <n v="122"/>
    <s v="Girar bruscamente."/>
    <x v="2"/>
  </r>
  <r>
    <n v="85"/>
    <x v="0"/>
    <n v="0"/>
    <n v="1"/>
    <x v="2"/>
    <s v="CARRERA 14A TRASVERSAL 18"/>
    <n v="5.3396363888888887"/>
    <n v="-72.392344444444447"/>
    <s v="MOVILIDAD"/>
    <s v="URBANO"/>
    <x v="0"/>
    <s v="MARZO"/>
    <d v="2022-03-13T00:00:00"/>
    <x v="2"/>
    <d v="1899-12-30T13:10:00"/>
    <s v="AUTOMOVIL"/>
    <s v="BICICLETA"/>
    <n v="0"/>
    <n v="0"/>
    <n v="1"/>
    <n v="0"/>
    <n v="0"/>
    <n v="0"/>
    <n v="0"/>
    <n v="0"/>
    <n v="0"/>
    <n v="0"/>
    <n v="0"/>
    <n v="1"/>
    <s v="MASCULINO"/>
    <s v="FEMENINO"/>
    <n v="1"/>
    <n v="1"/>
    <m/>
    <m/>
    <m/>
    <m/>
    <m/>
    <n v="59"/>
    <n v="104"/>
    <x v="9"/>
    <m/>
    <s v=""/>
    <x v="1"/>
  </r>
  <r>
    <n v="538"/>
    <x v="0"/>
    <n v="1"/>
    <n v="0"/>
    <x v="0"/>
    <s v="CARRERA 14B CALLE 42 "/>
    <n v="5.3170344444444444"/>
    <n v="-72.394653333333338"/>
    <s v="MOVILIDAD"/>
    <s v="URBANO"/>
    <x v="1"/>
    <s v="AGOSTO"/>
    <d v="2023-08-18T00:00:00"/>
    <x v="0"/>
    <d v="1899-12-30T22:30:00"/>
    <s v="MOTOCICLETA"/>
    <s v="AUTOMOVIL"/>
    <n v="1"/>
    <n v="0"/>
    <n v="1"/>
    <n v="0"/>
    <n v="0"/>
    <n v="0"/>
    <n v="0"/>
    <n v="0"/>
    <n v="0"/>
    <n v="0"/>
    <n v="0"/>
    <n v="0"/>
    <m/>
    <s v="FEMENINO"/>
    <n v="0"/>
    <n v="1"/>
    <m/>
    <m/>
    <m/>
    <m/>
    <n v="18"/>
    <m/>
    <n v="132"/>
    <x v="13"/>
    <n v="116"/>
    <s v="Exceso de velocidad"/>
    <x v="0"/>
  </r>
  <r>
    <n v="976"/>
    <x v="0"/>
    <n v="3"/>
    <n v="0"/>
    <x v="0"/>
    <s v="CARRERA 15 # 40 "/>
    <n v="5.3189805555555552"/>
    <n v="-72.394608333333338"/>
    <s v="MOVILIDAD"/>
    <s v="URBANO"/>
    <x v="2"/>
    <s v="MAYO"/>
    <d v="2025-05-30T00:00:00"/>
    <x v="0"/>
    <d v="1899-12-30T19:55:00"/>
    <s v="MOTOCICLETA"/>
    <s v="MOTOCICLETA"/>
    <n v="2"/>
    <n v="0"/>
    <n v="0"/>
    <n v="0"/>
    <n v="0"/>
    <n v="0"/>
    <n v="0"/>
    <n v="0"/>
    <n v="0"/>
    <n v="0"/>
    <n v="0"/>
    <n v="0"/>
    <s v="FEMENINO"/>
    <s v="MASCULINO"/>
    <n v="1"/>
    <n v="1"/>
    <n v="36"/>
    <n v="25"/>
    <n v="58"/>
    <m/>
    <m/>
    <m/>
    <n v="132"/>
    <x v="13"/>
    <n v="139"/>
    <s v="Impericia en el manejo."/>
    <x v="0"/>
  </r>
  <r>
    <n v="182"/>
    <x v="0"/>
    <n v="0"/>
    <n v="1"/>
    <x v="2"/>
    <s v="CARRERA 15 # 40 "/>
    <n v="5.3189805555555552"/>
    <n v="-72.394608333333338"/>
    <s v="MOVILIDAD"/>
    <s v="URBANO"/>
    <x v="0"/>
    <s v="MAYO"/>
    <d v="2022-05-14T00:00:00"/>
    <x v="5"/>
    <d v="1899-12-30T19:50:00"/>
    <s v="MOTOCICLETA"/>
    <s v="AUTOMOVIL"/>
    <n v="1"/>
    <n v="0"/>
    <n v="1"/>
    <n v="0"/>
    <n v="0"/>
    <n v="0"/>
    <n v="0"/>
    <n v="0"/>
    <n v="0"/>
    <n v="0"/>
    <n v="0"/>
    <n v="0"/>
    <m/>
    <s v="FEMENINO"/>
    <n v="0"/>
    <n v="1"/>
    <m/>
    <m/>
    <m/>
    <m/>
    <m/>
    <n v="45"/>
    <n v="114"/>
    <x v="5"/>
    <n v="141"/>
    <s v="Vehículo mal estacionado."/>
    <x v="0"/>
  </r>
  <r>
    <n v="631"/>
    <x v="1"/>
    <n v="0"/>
    <n v="0"/>
    <x v="1"/>
    <s v="CARRERA 15 # CALLE 24 "/>
    <n v="5.3340861111111106"/>
    <n v="-72.398258333333345"/>
    <s v="MOVILIDAD"/>
    <s v="URBANO"/>
    <x v="1"/>
    <s v="DICIEMBRE"/>
    <d v="2023-12-11T00:00:00"/>
    <x v="4"/>
    <d v="1899-12-30T01:14:00"/>
    <s v="AUTOMOVIL"/>
    <s v="CAMIONETA"/>
    <n v="0"/>
    <n v="0"/>
    <n v="1"/>
    <n v="0"/>
    <n v="1"/>
    <n v="0"/>
    <n v="0"/>
    <n v="0"/>
    <n v="0"/>
    <n v="0"/>
    <n v="0"/>
    <n v="0"/>
    <m/>
    <s v="FEMENINO"/>
    <n v="0"/>
    <n v="1"/>
    <m/>
    <m/>
    <m/>
    <m/>
    <m/>
    <m/>
    <n v="121"/>
    <x v="7"/>
    <m/>
    <s v=""/>
    <x v="2"/>
  </r>
  <r>
    <n v="391"/>
    <x v="0"/>
    <n v="1"/>
    <n v="0"/>
    <x v="0"/>
    <s v="CARRERA 15 CALLE 18"/>
    <n v="5.338496666666666"/>
    <n v="-72.400572777777782"/>
    <s v="MOVILIDAD"/>
    <s v="URBANO"/>
    <x v="1"/>
    <s v="ENERO"/>
    <d v="2023-01-20T00:00:00"/>
    <x v="0"/>
    <d v="1899-12-30T07:30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n v="31"/>
    <n v="33"/>
    <m/>
    <m/>
    <m/>
    <m/>
    <n v="123"/>
    <x v="21"/>
    <m/>
    <s v=""/>
    <x v="2"/>
  </r>
  <r>
    <n v="282"/>
    <x v="0"/>
    <n v="1"/>
    <n v="0"/>
    <x v="0"/>
    <s v="CARRERA 15 DIAGONAL 47"/>
    <n v="5.315063888888889"/>
    <n v="-72.393892777777779"/>
    <s v="MOVILIDAD"/>
    <s v="URBANO"/>
    <x v="0"/>
    <s v="AGOSTO"/>
    <d v="2022-08-17T00:00:00"/>
    <x v="3"/>
    <d v="1899-12-30T14:0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m/>
    <m/>
    <m/>
    <n v="35"/>
    <m/>
    <m/>
    <n v="404"/>
    <x v="27"/>
    <m/>
    <s v=""/>
    <x v="1"/>
  </r>
  <r>
    <n v="709"/>
    <x v="0"/>
    <n v="2"/>
    <n v="0"/>
    <x v="0"/>
    <s v="CARRERA 15 DIAGONAL 47"/>
    <n v="5.315063888888889"/>
    <n v="-72.393892777777779"/>
    <s v="MOVILIDAD"/>
    <s v="URBANO"/>
    <x v="3"/>
    <s v="MAYO"/>
    <d v="2024-05-13T00:00:00"/>
    <x v="4"/>
    <d v="1899-12-30T17:30:00"/>
    <s v="MOTOCICLETA"/>
    <s v="CAMION"/>
    <n v="1"/>
    <n v="0"/>
    <n v="0"/>
    <n v="0"/>
    <n v="0"/>
    <n v="0"/>
    <n v="0"/>
    <n v="0"/>
    <n v="1"/>
    <n v="0"/>
    <n v="0"/>
    <n v="0"/>
    <s v="MASCULINO"/>
    <s v="FEMENINO"/>
    <n v="1"/>
    <n v="1"/>
    <n v="42"/>
    <n v="24"/>
    <n v="10"/>
    <m/>
    <m/>
    <m/>
    <n v="141"/>
    <x v="28"/>
    <m/>
    <s v=""/>
    <x v="1"/>
  </r>
  <r>
    <n v="454"/>
    <x v="0"/>
    <n v="2"/>
    <n v="0"/>
    <x v="0"/>
    <s v="CARRERA 15 DIAGONAL 47"/>
    <n v="5.315063888888889"/>
    <n v="-72.393892777777779"/>
    <s v="MOVILIDAD"/>
    <s v="URBANO"/>
    <x v="1"/>
    <s v="ABRIL"/>
    <d v="2023-04-20T00:00:00"/>
    <x v="1"/>
    <d v="1899-12-30T18:5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24"/>
    <n v="55"/>
    <m/>
    <m/>
    <m/>
    <m/>
    <n v="139"/>
    <x v="0"/>
    <m/>
    <s v=""/>
    <x v="0"/>
  </r>
  <r>
    <n v="789"/>
    <x v="0"/>
    <n v="1"/>
    <n v="0"/>
    <x v="0"/>
    <s v="CARRERA 15 DIAGONAL 47"/>
    <n v="5.315063888888889"/>
    <n v="-72.393892777777779"/>
    <s v="MOVILIDAD"/>
    <s v="URBANO"/>
    <x v="3"/>
    <s v="OCTUBRE"/>
    <d v="2024-10-11T00:00:00"/>
    <x v="0"/>
    <d v="1899-12-30T07:45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27"/>
    <n v="50"/>
    <m/>
    <m/>
    <m/>
    <m/>
    <n v="121"/>
    <x v="7"/>
    <n v="141"/>
    <s v="Vehículo mal estacionado."/>
    <x v="2"/>
  </r>
  <r>
    <n v="627"/>
    <x v="0"/>
    <n v="1"/>
    <n v="0"/>
    <x v="0"/>
    <s v="CARRERA 15A CALLE 36 "/>
    <n v="5.3240547222222219"/>
    <n v="-72.392741388888894"/>
    <s v="MOVILIDAD"/>
    <s v="URBANO"/>
    <x v="1"/>
    <s v="DICIEMBRE"/>
    <d v="2023-12-10T00:00:00"/>
    <x v="2"/>
    <d v="1899-12-30T05:30:00"/>
    <s v="MOTOCICLETA"/>
    <s v="CAMIONETA"/>
    <n v="1"/>
    <n v="0"/>
    <n v="0"/>
    <n v="0"/>
    <n v="1"/>
    <n v="0"/>
    <n v="0"/>
    <n v="0"/>
    <n v="0"/>
    <n v="0"/>
    <n v="0"/>
    <n v="0"/>
    <m/>
    <s v="FEMENINO"/>
    <n v="0"/>
    <n v="1"/>
    <n v="34"/>
    <m/>
    <m/>
    <m/>
    <m/>
    <m/>
    <n v="157"/>
    <x v="1"/>
    <m/>
    <s v=""/>
    <x v="2"/>
  </r>
  <r>
    <n v="1072"/>
    <x v="0"/>
    <n v="0"/>
    <n v="1"/>
    <x v="2"/>
    <s v="CARRERA 16 # CALLE 40"/>
    <n v="5.31911166666666"/>
    <n v="-72.393685000000005"/>
    <s v="MOVILIDAD"/>
    <s v="URBANO"/>
    <x v="2"/>
    <s v="SEPTIEMBRE"/>
    <d v="2025-09-14T00:00:00"/>
    <x v="2"/>
    <d v="1899-12-30T04:5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30"/>
    <m/>
    <m/>
    <m/>
    <m/>
    <m/>
    <n v="114"/>
    <x v="5"/>
    <n v="127"/>
    <s v="Transitar en contravía."/>
    <x v="2"/>
  </r>
  <r>
    <n v="991"/>
    <x v="0"/>
    <n v="2"/>
    <n v="0"/>
    <x v="0"/>
    <s v="CARRERA 16 A CALLE 29"/>
    <n v="5.3298909999999999"/>
    <n v="-72.395865000000001"/>
    <s v="MOVILIDAD"/>
    <s v="URBANO"/>
    <x v="2"/>
    <s v="JUNIO"/>
    <d v="2025-06-15T00:00:00"/>
    <x v="2"/>
    <d v="1899-12-30T17:30:00"/>
    <s v="MOTOCICLETA"/>
    <s v="MOTOCICLETA"/>
    <n v="2"/>
    <n v="0"/>
    <n v="0"/>
    <n v="0"/>
    <n v="0"/>
    <n v="0"/>
    <n v="0"/>
    <n v="0"/>
    <n v="0"/>
    <n v="0"/>
    <n v="0"/>
    <n v="0"/>
    <s v="FEMENINO"/>
    <s v="MASCULINO"/>
    <n v="1"/>
    <n v="1"/>
    <n v="30"/>
    <n v="28"/>
    <m/>
    <m/>
    <m/>
    <m/>
    <n v="139"/>
    <x v="0"/>
    <m/>
    <s v=""/>
    <x v="1"/>
  </r>
  <r>
    <n v="597"/>
    <x v="0"/>
    <n v="2"/>
    <n v="0"/>
    <x v="0"/>
    <s v="CARRERA 16 CALLE 18"/>
    <n v="5.3388611111111111"/>
    <n v="-72.399752777777778"/>
    <s v="MOVILIDAD"/>
    <s v="URBANO"/>
    <x v="1"/>
    <s v="NOVIEMBRE"/>
    <d v="2023-11-02T00:00:00"/>
    <x v="1"/>
    <d v="1899-12-30T16:00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n v="47"/>
    <n v="38"/>
    <m/>
    <m/>
    <m/>
    <m/>
    <n v="112"/>
    <x v="4"/>
    <n v="115"/>
    <s v="Embriaguez o Sustancias alucinogenas"/>
    <x v="1"/>
  </r>
  <r>
    <n v="936"/>
    <x v="0"/>
    <n v="2"/>
    <n v="0"/>
    <x v="0"/>
    <s v="CARRERA 16 CALLE 22"/>
    <n v="5.335458"/>
    <n v="-72.398094999999998"/>
    <s v="MOVILIDAD"/>
    <s v="URBANO"/>
    <x v="2"/>
    <s v="ABRIL"/>
    <d v="2025-04-17T00:00:00"/>
    <x v="1"/>
    <d v="1899-12-30T11:41:00"/>
    <s v="MOTOCICLETA"/>
    <s v="AUTOMOVIL"/>
    <n v="1"/>
    <n v="0"/>
    <n v="1"/>
    <n v="0"/>
    <n v="0"/>
    <n v="0"/>
    <n v="0"/>
    <n v="0"/>
    <n v="0"/>
    <n v="0"/>
    <n v="0"/>
    <n v="0"/>
    <s v="MASCULINO"/>
    <s v="FEMENINO"/>
    <n v="1"/>
    <n v="1"/>
    <n v="17"/>
    <n v="35"/>
    <n v="15"/>
    <m/>
    <m/>
    <m/>
    <n v="112"/>
    <x v="4"/>
    <n v="139"/>
    <s v="Impericia en el manejo."/>
    <x v="2"/>
  </r>
  <r>
    <n v="951"/>
    <x v="0"/>
    <n v="2"/>
    <n v="0"/>
    <x v="0"/>
    <s v="CARRERA 16 CALLE 23"/>
    <n v="5.3347170000000004"/>
    <n v="-72.397724999999994"/>
    <s v="MOVILIDAD"/>
    <s v="URBANO"/>
    <x v="2"/>
    <s v="ABRIL"/>
    <d v="2025-04-27T00:00:00"/>
    <x v="2"/>
    <d v="1899-12-30T20:00:00"/>
    <s v="MOTOCICLETA"/>
    <s v="MOTOCICLETA"/>
    <n v="2"/>
    <n v="0"/>
    <n v="0"/>
    <n v="0"/>
    <n v="0"/>
    <n v="0"/>
    <n v="0"/>
    <n v="0"/>
    <n v="0"/>
    <n v="0"/>
    <n v="0"/>
    <n v="0"/>
    <s v="FEMENINO"/>
    <s v="FEMENINO"/>
    <n v="0"/>
    <n v="2"/>
    <n v="48"/>
    <n v="20"/>
    <m/>
    <m/>
    <m/>
    <m/>
    <n v="127"/>
    <x v="18"/>
    <m/>
    <s v=""/>
    <x v="0"/>
  </r>
  <r>
    <n v="152"/>
    <x v="1"/>
    <n v="0"/>
    <n v="0"/>
    <x v="1"/>
    <s v="CARRERA 16 CALLE 38"/>
    <n v="5.3207972222222217"/>
    <n v="-72.394088888888902"/>
    <s v="MOVILIDAD"/>
    <s v="URBANO"/>
    <x v="0"/>
    <s v="ABRIL"/>
    <d v="2022-04-21T00:00:00"/>
    <x v="1"/>
    <d v="1899-12-30T15:1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m/>
    <m/>
    <m/>
    <m/>
    <m/>
    <m/>
    <n v="157"/>
    <x v="1"/>
    <m/>
    <s v=""/>
    <x v="1"/>
  </r>
  <r>
    <n v="1003"/>
    <x v="0"/>
    <n v="3"/>
    <n v="0"/>
    <x v="0"/>
    <s v="CARRERA 16 CALLE 47 DETRÁS DEL AEROPUERTO"/>
    <n v="5.309348"/>
    <n v="-72.390827999999999"/>
    <s v="MOVILIDAD"/>
    <s v="URBANO"/>
    <x v="2"/>
    <s v="JUNIO"/>
    <d v="2025-06-23T00:00:00"/>
    <x v="4"/>
    <d v="1899-12-30T18:33:00"/>
    <s v="MOTOCICLETA"/>
    <s v="MOTOCICLETA"/>
    <n v="2"/>
    <n v="0"/>
    <n v="0"/>
    <n v="0"/>
    <n v="0"/>
    <n v="0"/>
    <n v="0"/>
    <n v="0"/>
    <n v="0"/>
    <n v="0"/>
    <n v="0"/>
    <n v="0"/>
    <s v="MASCULINO"/>
    <s v="MASCULINO"/>
    <n v="2"/>
    <n v="0"/>
    <n v="53"/>
    <n v="35"/>
    <n v="18"/>
    <m/>
    <m/>
    <m/>
    <n v="139"/>
    <x v="0"/>
    <m/>
    <s v=""/>
    <x v="0"/>
  </r>
  <r>
    <n v="972"/>
    <x v="0"/>
    <n v="4"/>
    <n v="0"/>
    <x v="0"/>
    <s v="CARRERA 16A CALLE30"/>
    <n v="5.3289590000000002"/>
    <n v="-72.395758000000001"/>
    <s v="MOVILIDAD"/>
    <s v="URBANO"/>
    <x v="2"/>
    <s v="MAYO"/>
    <d v="2025-05-24T00:00:00"/>
    <x v="5"/>
    <d v="1899-12-30T16:35:00"/>
    <s v="MOTOCICLETA"/>
    <s v="MOTOCICLETA"/>
    <n v="2"/>
    <n v="0"/>
    <n v="0"/>
    <n v="0"/>
    <n v="0"/>
    <n v="0"/>
    <n v="0"/>
    <n v="0"/>
    <n v="0"/>
    <n v="0"/>
    <n v="0"/>
    <n v="0"/>
    <s v="MASCULINO"/>
    <s v="MASCULINO"/>
    <n v="2"/>
    <n v="0"/>
    <n v="64"/>
    <n v="29"/>
    <n v="32"/>
    <m/>
    <m/>
    <m/>
    <n v="112"/>
    <x v="4"/>
    <n v="114"/>
    <s v="Embriaguez aparente."/>
    <x v="1"/>
  </r>
  <r>
    <n v="517"/>
    <x v="1"/>
    <n v="0"/>
    <n v="0"/>
    <x v="1"/>
    <s v="CARRERA 17  # 11-64"/>
    <n v="5.3440833333333329"/>
    <n v="-72.40173611111112"/>
    <s v="MOVILIDAD"/>
    <s v="URBANO"/>
    <x v="1"/>
    <s v="JULIO"/>
    <d v="2023-07-10T00:00:00"/>
    <x v="4"/>
    <d v="1899-12-30T11:30:00"/>
    <s v="AUTOMOVIL"/>
    <m/>
    <n v="0"/>
    <n v="0"/>
    <n v="1"/>
    <n v="0"/>
    <n v="0"/>
    <n v="0"/>
    <n v="0"/>
    <n v="0"/>
    <n v="0"/>
    <n v="0"/>
    <n v="0"/>
    <n v="0"/>
    <m/>
    <s v="FEMENINO"/>
    <n v="0"/>
    <n v="1"/>
    <m/>
    <m/>
    <m/>
    <m/>
    <m/>
    <m/>
    <n v="1"/>
    <x v="3"/>
    <m/>
    <s v=""/>
    <x v="2"/>
  </r>
  <r>
    <n v="841"/>
    <x v="0"/>
    <n v="0"/>
    <n v="1"/>
    <x v="2"/>
    <s v="CARRERA 17  # 26-26A"/>
    <n v="5.3321836111111107"/>
    <n v="-72.395910000000001"/>
    <s v="MOVILIDAD"/>
    <s v="URBANO"/>
    <x v="3"/>
    <s v="DICIEMBRE"/>
    <d v="2024-12-22T00:00:00"/>
    <x v="2"/>
    <d v="1899-12-30T08:5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m/>
    <m/>
    <m/>
    <m/>
    <m/>
    <n v="25"/>
    <n v="139"/>
    <x v="0"/>
    <n v="116"/>
    <s v="Exceso de velocidad"/>
    <x v="2"/>
  </r>
  <r>
    <n v="818"/>
    <x v="1"/>
    <n v="0"/>
    <n v="0"/>
    <x v="1"/>
    <s v="CARRERA 17 # 18"/>
    <n v="5.3392783333333327"/>
    <n v="-72.398980555555568"/>
    <s v="MOVILIDAD"/>
    <s v="URBANO"/>
    <x v="3"/>
    <s v="NOVIEMBRE"/>
    <d v="2024-11-19T00:00:00"/>
    <x v="6"/>
    <d v="1899-12-30T15:12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40"/>
    <n v="20"/>
    <m/>
    <m/>
    <m/>
    <m/>
    <n v="157"/>
    <x v="1"/>
    <m/>
    <s v=""/>
    <x v="1"/>
  </r>
  <r>
    <n v="506"/>
    <x v="0"/>
    <n v="1"/>
    <n v="0"/>
    <x v="0"/>
    <s v="CARRERA 17 # 18"/>
    <n v="5.3392783333333327"/>
    <n v="-72.398980555555568"/>
    <s v="MOVILIDAD"/>
    <s v="URBANO"/>
    <x v="1"/>
    <s v="JUNIO"/>
    <d v="2023-06-13T00:00:00"/>
    <x v="6"/>
    <d v="1899-12-30T13:10:00"/>
    <s v="MOTOCICLETA"/>
    <s v="AUTOMOVIL"/>
    <n v="1"/>
    <n v="0"/>
    <n v="1"/>
    <n v="0"/>
    <n v="0"/>
    <n v="0"/>
    <n v="0"/>
    <n v="0"/>
    <n v="0"/>
    <n v="0"/>
    <n v="0"/>
    <n v="0"/>
    <m/>
    <s v="FEMENINO"/>
    <n v="0"/>
    <n v="1"/>
    <n v="26"/>
    <m/>
    <m/>
    <m/>
    <m/>
    <m/>
    <n v="132"/>
    <x v="13"/>
    <m/>
    <s v=""/>
    <x v="1"/>
  </r>
  <r>
    <n v="1099"/>
    <x v="0"/>
    <n v="2"/>
    <n v="0"/>
    <x v="0"/>
    <s v="CARRERA 17 # CALLE 19"/>
    <n v="5.3384430457970096"/>
    <n v="-72.398547945187005"/>
    <s v="MOVILIDAD"/>
    <s v="URBANO"/>
    <x v="2"/>
    <s v="SEPTIEMBRE"/>
    <d v="2025-09-30T00:00:00"/>
    <x v="6"/>
    <d v="1899-12-30T08:00:00"/>
    <s v="AUTOMOVIL"/>
    <s v="CAMIONETA"/>
    <n v="0"/>
    <n v="0"/>
    <n v="1"/>
    <n v="0"/>
    <n v="1"/>
    <n v="0"/>
    <n v="0"/>
    <n v="0"/>
    <n v="0"/>
    <n v="0"/>
    <n v="0"/>
    <n v="0"/>
    <s v="FEMENINO"/>
    <s v="FEMENINO"/>
    <n v="0"/>
    <n v="2"/>
    <n v="42"/>
    <n v="25"/>
    <m/>
    <m/>
    <m/>
    <m/>
    <n v="112"/>
    <x v="4"/>
    <m/>
    <s v=""/>
    <x v="2"/>
  </r>
  <r>
    <n v="1019"/>
    <x v="1"/>
    <n v="0"/>
    <n v="0"/>
    <x v="1"/>
    <s v="CARRERA 17 A # CALLE 21"/>
    <n v="5.3369929999999997"/>
    <n v="-72.397463000000002"/>
    <s v="MOVILIDAD"/>
    <s v="URBANO"/>
    <x v="2"/>
    <s v="JULIO"/>
    <d v="2025-07-24T00:00:00"/>
    <x v="1"/>
    <d v="1899-12-30T16:30:00"/>
    <s v="CAMIONETA"/>
    <s v="MOTOCICLETA"/>
    <n v="1"/>
    <n v="0"/>
    <n v="0"/>
    <n v="0"/>
    <n v="1"/>
    <n v="0"/>
    <n v="0"/>
    <n v="0"/>
    <n v="0"/>
    <n v="0"/>
    <n v="0"/>
    <n v="0"/>
    <s v="MASCULINO"/>
    <s v="MASCULINO"/>
    <n v="2"/>
    <n v="0"/>
    <n v="48"/>
    <n v="29"/>
    <m/>
    <m/>
    <m/>
    <m/>
    <n v="112"/>
    <x v="4"/>
    <m/>
    <s v=""/>
    <x v="1"/>
  </r>
  <r>
    <n v="583"/>
    <x v="0"/>
    <n v="1"/>
    <n v="0"/>
    <x v="0"/>
    <s v="CARRERA 17 A CALLE 22"/>
    <n v="5.3361944444444438"/>
    <n v="-72.396727777777784"/>
    <s v="MOVILIDAD"/>
    <s v="URBANO"/>
    <x v="1"/>
    <s v="OCTUBRE"/>
    <d v="2023-10-26T00:00:00"/>
    <x v="1"/>
    <d v="1899-12-30T08:00:00"/>
    <s v="SIN INFORMACION"/>
    <m/>
    <n v="0"/>
    <n v="0"/>
    <n v="0"/>
    <n v="0"/>
    <n v="0"/>
    <n v="0"/>
    <n v="0"/>
    <n v="0"/>
    <n v="0"/>
    <n v="0"/>
    <n v="0"/>
    <n v="0"/>
    <s v="MASCULINO"/>
    <m/>
    <n v="1"/>
    <n v="0"/>
    <n v="70"/>
    <m/>
    <m/>
    <m/>
    <m/>
    <m/>
    <n v="112"/>
    <x v="4"/>
    <m/>
    <s v=""/>
    <x v="2"/>
  </r>
  <r>
    <n v="691"/>
    <x v="0"/>
    <n v="2"/>
    <n v="0"/>
    <x v="0"/>
    <s v="CARRERA 17 CALLE 13"/>
    <n v="5.3430777777777774"/>
    <n v="-72.401063888888899"/>
    <s v="MOVILIDAD"/>
    <s v="URBANO"/>
    <x v="3"/>
    <s v="ABRIL"/>
    <d v="2024-04-08T00:00:00"/>
    <x v="4"/>
    <d v="1899-12-30T10:0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21"/>
    <n v="23"/>
    <n v="32"/>
    <m/>
    <m/>
    <m/>
    <n v="127"/>
    <x v="18"/>
    <m/>
    <s v=""/>
    <x v="2"/>
  </r>
  <r>
    <n v="343"/>
    <x v="0"/>
    <n v="2"/>
    <n v="0"/>
    <x v="0"/>
    <s v="CARRERA 17 CALLE 17"/>
    <n v="5.3400749999999997"/>
    <n v="-72.399369444444446"/>
    <s v="MOVILIDAD"/>
    <s v="URBANO"/>
    <x v="0"/>
    <s v="OCTUBRE"/>
    <d v="2022-10-30T00:00:00"/>
    <x v="2"/>
    <d v="1899-12-30T22:15:00"/>
    <s v="MOTOCICLETA"/>
    <s v="AUTOMOVIL"/>
    <n v="1"/>
    <n v="0"/>
    <n v="1"/>
    <n v="0"/>
    <n v="0"/>
    <n v="0"/>
    <n v="0"/>
    <n v="0"/>
    <n v="0"/>
    <n v="0"/>
    <n v="0"/>
    <n v="0"/>
    <m/>
    <s v="FEMENINO"/>
    <n v="0"/>
    <n v="1"/>
    <n v="22"/>
    <m/>
    <m/>
    <m/>
    <n v="0.9"/>
    <m/>
    <n v="112"/>
    <x v="4"/>
    <n v="157"/>
    <s v="Otra"/>
    <x v="0"/>
  </r>
  <r>
    <n v="858"/>
    <x v="0"/>
    <n v="2"/>
    <n v="0"/>
    <x v="0"/>
    <s v="CARRERA 17 CALLE 33"/>
    <n v="5.327108"/>
    <n v="-72.392713999999998"/>
    <s v="MOVILIDAD"/>
    <s v="URBANO"/>
    <x v="2"/>
    <s v="ENERO"/>
    <d v="2025-01-15T00:00:00"/>
    <x v="3"/>
    <d v="1899-12-30T12:50:00"/>
    <s v="MOTOCICLETA"/>
    <s v="MOTOCICLETA"/>
    <n v="2"/>
    <n v="0"/>
    <n v="0"/>
    <n v="0"/>
    <n v="0"/>
    <n v="0"/>
    <n v="0"/>
    <n v="0"/>
    <n v="0"/>
    <n v="0"/>
    <n v="0"/>
    <n v="0"/>
    <s v="MASCULINO"/>
    <s v="MASCULINO"/>
    <n v="2"/>
    <n v="0"/>
    <n v="27"/>
    <n v="18"/>
    <m/>
    <m/>
    <m/>
    <m/>
    <n v="139"/>
    <x v="0"/>
    <m/>
    <s v=""/>
    <x v="1"/>
  </r>
  <r>
    <n v="508"/>
    <x v="0"/>
    <n v="1"/>
    <n v="0"/>
    <x v="0"/>
    <s v="CARRERA 17 CALLE 36 "/>
    <n v="5.324771666666666"/>
    <n v="-72.391436111111119"/>
    <s v="MOVILIDAD"/>
    <s v="URBANO"/>
    <x v="1"/>
    <s v="JUNIO"/>
    <d v="2023-06-17T00:00:00"/>
    <x v="5"/>
    <d v="1899-12-30T23:13:00"/>
    <s v="MOTOCICLETA"/>
    <s v="CAMIONETA"/>
    <n v="1"/>
    <n v="0"/>
    <n v="0"/>
    <n v="0"/>
    <n v="1"/>
    <n v="0"/>
    <n v="0"/>
    <n v="0"/>
    <n v="0"/>
    <n v="0"/>
    <n v="0"/>
    <n v="0"/>
    <s v="MASCULINO"/>
    <m/>
    <n v="1"/>
    <n v="0"/>
    <n v="34"/>
    <m/>
    <m/>
    <m/>
    <m/>
    <m/>
    <n v="139"/>
    <x v="0"/>
    <m/>
    <s v=""/>
    <x v="0"/>
  </r>
  <r>
    <n v="494"/>
    <x v="0"/>
    <n v="3"/>
    <n v="0"/>
    <x v="0"/>
    <s v="CARRERA 17A  CALLE 30 "/>
    <n v="5.3297286111111113"/>
    <n v="-72.393563333333347"/>
    <s v="MOVILIDAD"/>
    <s v="URBANO"/>
    <x v="1"/>
    <s v="JUNIO"/>
    <d v="2023-06-02T00:00:00"/>
    <x v="0"/>
    <d v="1899-12-30T13:45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n v="20"/>
    <n v="20"/>
    <m/>
    <m/>
    <n v="18"/>
    <m/>
    <n v="112"/>
    <x v="4"/>
    <n v="139"/>
    <s v="Impericia en el manejo."/>
    <x v="1"/>
  </r>
  <r>
    <n v="549"/>
    <x v="0"/>
    <n v="1"/>
    <n v="0"/>
    <x v="0"/>
    <s v="CARRERA 17A CALLE 21 "/>
    <n v="5.3369497222222222"/>
    <n v="-72.397475"/>
    <s v="MOVILIDAD"/>
    <s v="URBANO"/>
    <x v="1"/>
    <s v="SEPTIEMBRE"/>
    <d v="2023-09-01T00:00:00"/>
    <x v="0"/>
    <d v="1899-12-30T07:15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57"/>
    <m/>
    <m/>
    <m/>
    <m/>
    <m/>
    <n v="112"/>
    <x v="4"/>
    <m/>
    <s v=""/>
    <x v="2"/>
  </r>
  <r>
    <n v="320"/>
    <x v="0"/>
    <n v="1"/>
    <n v="0"/>
    <x v="0"/>
    <s v="CARRERA 17B CALLE 21"/>
    <n v="5.336970833333333"/>
    <n v="-72.397405000000006"/>
    <s v="MOVILIDAD"/>
    <s v="URBANO"/>
    <x v="0"/>
    <s v="SEPTIEMBRE"/>
    <d v="2022-09-30T00:00:00"/>
    <x v="0"/>
    <d v="1899-12-30T16:40:00"/>
    <s v="MOTOCICLETA"/>
    <s v="AUTOMOVIL"/>
    <n v="1"/>
    <n v="0"/>
    <n v="1"/>
    <n v="0"/>
    <n v="0"/>
    <n v="0"/>
    <n v="0"/>
    <n v="0"/>
    <n v="0"/>
    <n v="0"/>
    <n v="0"/>
    <n v="0"/>
    <m/>
    <s v="FEMENINO"/>
    <n v="0"/>
    <n v="1"/>
    <n v="39"/>
    <m/>
    <m/>
    <m/>
    <m/>
    <m/>
    <n v="112"/>
    <x v="4"/>
    <n v="139"/>
    <s v="Impericia en el manejo."/>
    <x v="1"/>
  </r>
  <r>
    <n v="101"/>
    <x v="0"/>
    <n v="1"/>
    <n v="0"/>
    <x v="0"/>
    <s v="CARRERA 18  # 16-76"/>
    <n v="5.340608333333333"/>
    <n v="-72.398658333333344"/>
    <s v="MOVILIDAD"/>
    <s v="URBANO"/>
    <x v="0"/>
    <s v="MARZO"/>
    <d v="2022-03-27T00:00:00"/>
    <x v="2"/>
    <d v="1899-12-30T07:00:00"/>
    <s v="MOTOCARRO"/>
    <m/>
    <n v="0"/>
    <n v="1"/>
    <n v="0"/>
    <n v="0"/>
    <n v="0"/>
    <n v="0"/>
    <n v="0"/>
    <n v="0"/>
    <n v="0"/>
    <n v="0"/>
    <n v="0"/>
    <n v="0"/>
    <m/>
    <s v="FEMENINO"/>
    <n v="0"/>
    <n v="1"/>
    <m/>
    <m/>
    <m/>
    <n v="42"/>
    <m/>
    <m/>
    <n v="157"/>
    <x v="1"/>
    <m/>
    <s v=""/>
    <x v="2"/>
  </r>
  <r>
    <n v="582"/>
    <x v="0"/>
    <n v="2"/>
    <n v="0"/>
    <x v="0"/>
    <s v="CARRERA 18 #  24 "/>
    <n v="5.3349736111111108"/>
    <n v="-72.395715833333341"/>
    <s v="MOVILIDAD"/>
    <s v="URBANO"/>
    <x v="1"/>
    <s v="OCTUBRE"/>
    <d v="2023-10-25T00:00:00"/>
    <x v="3"/>
    <d v="1899-12-30T12:20:00"/>
    <s v="MOTOCICLETA"/>
    <m/>
    <n v="1"/>
    <n v="0"/>
    <n v="0"/>
    <n v="0"/>
    <n v="0"/>
    <n v="0"/>
    <n v="0"/>
    <n v="0"/>
    <n v="0"/>
    <n v="0"/>
    <n v="0"/>
    <n v="0"/>
    <m/>
    <s v="FEMENINO"/>
    <n v="0"/>
    <n v="1"/>
    <n v="21"/>
    <m/>
    <m/>
    <n v="36"/>
    <m/>
    <m/>
    <n v="409"/>
    <x v="19"/>
    <m/>
    <s v=""/>
    <x v="1"/>
  </r>
  <r>
    <n v="560"/>
    <x v="1"/>
    <n v="0"/>
    <n v="0"/>
    <x v="1"/>
    <s v="CARRERA 18 #  24 "/>
    <n v="5.3349736111111108"/>
    <n v="-72.395715833333341"/>
    <s v="MOVILIDAD"/>
    <s v="URBANO"/>
    <x v="1"/>
    <s v="SEPTIEMBRE"/>
    <d v="2023-09-23T00:00:00"/>
    <x v="5"/>
    <d v="1899-12-30T03:00:00"/>
    <s v="MOTOCICLETA"/>
    <s v="CAMIONETA"/>
    <n v="1"/>
    <n v="0"/>
    <n v="0"/>
    <n v="0"/>
    <n v="1"/>
    <n v="0"/>
    <n v="0"/>
    <n v="0"/>
    <n v="0"/>
    <n v="0"/>
    <n v="0"/>
    <n v="0"/>
    <s v="MASCULINO"/>
    <m/>
    <n v="1"/>
    <n v="0"/>
    <m/>
    <m/>
    <m/>
    <m/>
    <m/>
    <m/>
    <n v="157"/>
    <x v="1"/>
    <m/>
    <s v=""/>
    <x v="2"/>
  </r>
  <r>
    <n v="74"/>
    <x v="1"/>
    <n v="0"/>
    <n v="0"/>
    <x v="1"/>
    <s v="CARRERA 18 # 10"/>
    <n v="5.3458030000000001"/>
    <n v="-72.401646"/>
    <s v="MOVILIDAD"/>
    <s v="URBANO"/>
    <x v="0"/>
    <s v="MARZO"/>
    <d v="2022-03-04T00:00:00"/>
    <x v="0"/>
    <d v="1899-12-30T14:30:00"/>
    <s v="MOTOCICLETA"/>
    <s v="CAMIONETA"/>
    <n v="1"/>
    <n v="0"/>
    <n v="0"/>
    <n v="0"/>
    <n v="1"/>
    <n v="0"/>
    <n v="0"/>
    <n v="0"/>
    <n v="0"/>
    <n v="0"/>
    <n v="0"/>
    <n v="0"/>
    <m/>
    <s v="FEMENINO"/>
    <n v="0"/>
    <n v="1"/>
    <m/>
    <m/>
    <m/>
    <m/>
    <m/>
    <m/>
    <n v="139"/>
    <x v="0"/>
    <n v="114"/>
    <s v="Embriaguez aparente."/>
    <x v="1"/>
  </r>
  <r>
    <n v="131"/>
    <x v="0"/>
    <n v="1"/>
    <n v="0"/>
    <x v="0"/>
    <s v="CARRERA 18 # 10"/>
    <n v="5.3458030000000001"/>
    <n v="-72.401646"/>
    <s v="MOVILIDAD"/>
    <s v="URBANO"/>
    <x v="0"/>
    <s v="ABRIL"/>
    <d v="2022-04-11T00:00:00"/>
    <x v="4"/>
    <d v="1899-12-30T15:15:00"/>
    <s v="MOTOCICLETA"/>
    <s v="CAMIONETA"/>
    <n v="1"/>
    <n v="0"/>
    <n v="0"/>
    <n v="0"/>
    <n v="1"/>
    <n v="0"/>
    <n v="0"/>
    <n v="0"/>
    <n v="0"/>
    <n v="0"/>
    <n v="0"/>
    <n v="0"/>
    <m/>
    <s v="FEMENINO"/>
    <n v="0"/>
    <n v="1"/>
    <n v="31"/>
    <m/>
    <m/>
    <m/>
    <m/>
    <m/>
    <n v="112"/>
    <x v="4"/>
    <n v="139"/>
    <s v="Impericia en el manejo."/>
    <x v="1"/>
  </r>
  <r>
    <n v="212"/>
    <x v="0"/>
    <n v="2"/>
    <n v="0"/>
    <x v="0"/>
    <s v="CARRERA 18 # 10"/>
    <n v="5.3458030000000001"/>
    <n v="-72.401646"/>
    <s v="MOVILIDAD"/>
    <s v="URBANO"/>
    <x v="0"/>
    <s v="JUNIO"/>
    <d v="2022-06-10T00:00:00"/>
    <x v="0"/>
    <d v="1899-12-30T13:10:00"/>
    <s v="MOTOCICLETA"/>
    <s v="AUTOMOVIL"/>
    <n v="1"/>
    <n v="0"/>
    <n v="1"/>
    <n v="0"/>
    <n v="0"/>
    <n v="0"/>
    <n v="0"/>
    <n v="0"/>
    <n v="0"/>
    <n v="0"/>
    <n v="0"/>
    <n v="0"/>
    <m/>
    <s v="FEMENINO"/>
    <n v="0"/>
    <n v="1"/>
    <n v="44"/>
    <m/>
    <m/>
    <m/>
    <n v="25"/>
    <m/>
    <n v="112"/>
    <x v="4"/>
    <m/>
    <s v=""/>
    <x v="1"/>
  </r>
  <r>
    <n v="222"/>
    <x v="0"/>
    <n v="1"/>
    <n v="0"/>
    <x v="0"/>
    <s v="CARRERA 18 # 16"/>
    <n v="5.3413055555555555"/>
    <n v="-72.398861111111117"/>
    <s v="MOVILIDAD"/>
    <s v="URBANO"/>
    <x v="0"/>
    <s v="JUNIO"/>
    <d v="2022-06-20T00:00:00"/>
    <x v="4"/>
    <d v="1899-12-30T12:30:00"/>
    <s v="MOTOCICLETA"/>
    <s v="MICROBUS"/>
    <n v="1"/>
    <n v="0"/>
    <n v="0"/>
    <n v="0"/>
    <n v="0"/>
    <n v="1"/>
    <n v="0"/>
    <n v="0"/>
    <n v="0"/>
    <n v="0"/>
    <n v="0"/>
    <n v="0"/>
    <s v="MASCULINO"/>
    <m/>
    <n v="1"/>
    <n v="0"/>
    <n v="23"/>
    <m/>
    <m/>
    <m/>
    <m/>
    <m/>
    <n v="112"/>
    <x v="4"/>
    <m/>
    <s v=""/>
    <x v="1"/>
  </r>
  <r>
    <n v="239"/>
    <x v="0"/>
    <n v="2"/>
    <n v="0"/>
    <x v="0"/>
    <s v="CARRERA 18 # 16"/>
    <n v="5.3413055555555555"/>
    <n v="-72.398861111111117"/>
    <s v="MOVILIDAD"/>
    <s v="URBANO"/>
    <x v="0"/>
    <s v="JULIO"/>
    <d v="2022-07-04T00:00:00"/>
    <x v="4"/>
    <d v="1899-12-30T13:20:00"/>
    <s v="MOTOCICLETA"/>
    <s v="MICROBUS"/>
    <n v="1"/>
    <n v="0"/>
    <n v="0"/>
    <n v="0"/>
    <n v="0"/>
    <n v="1"/>
    <n v="0"/>
    <n v="0"/>
    <n v="0"/>
    <n v="0"/>
    <n v="0"/>
    <n v="0"/>
    <s v="MASCULINO"/>
    <s v="FEMENINO"/>
    <n v="1"/>
    <n v="1"/>
    <n v="29"/>
    <m/>
    <m/>
    <m/>
    <n v="29"/>
    <m/>
    <n v="112"/>
    <x v="4"/>
    <m/>
    <s v=""/>
    <x v="1"/>
  </r>
  <r>
    <n v="850"/>
    <x v="0"/>
    <n v="1"/>
    <n v="0"/>
    <x v="0"/>
    <s v="CARRERA 18 # 16"/>
    <n v="5.3413055555555555"/>
    <n v="-72.398861111111117"/>
    <s v="MOVILIDAD"/>
    <s v="URBANO"/>
    <x v="3"/>
    <s v="DICIEMBRE"/>
    <d v="2024-12-26T00:00:00"/>
    <x v="1"/>
    <d v="1899-12-30T14:20:00"/>
    <s v="MOTOCICLETA"/>
    <s v="CAMPERO"/>
    <n v="1"/>
    <n v="0"/>
    <n v="0"/>
    <n v="1"/>
    <n v="0"/>
    <n v="0"/>
    <n v="0"/>
    <n v="0"/>
    <n v="0"/>
    <n v="0"/>
    <n v="0"/>
    <n v="0"/>
    <s v="MASCULINO"/>
    <s v="FEMENINO"/>
    <n v="1"/>
    <n v="1"/>
    <n v="16"/>
    <n v="21"/>
    <m/>
    <m/>
    <m/>
    <m/>
    <n v="112"/>
    <x v="4"/>
    <n v="139"/>
    <s v="Impericia en el manejo."/>
    <x v="1"/>
  </r>
  <r>
    <n v="50"/>
    <x v="0"/>
    <n v="2"/>
    <n v="0"/>
    <x v="0"/>
    <s v="CARRERA 18 # 16"/>
    <n v="5.3413055555555555"/>
    <n v="-72.398861111111117"/>
    <s v="MOVILIDAD"/>
    <s v="URBANO"/>
    <x v="0"/>
    <s v="FEBRERO"/>
    <d v="2022-02-14T00:00:00"/>
    <x v="4"/>
    <d v="1899-12-30T06:30:00"/>
    <s v="CAMION"/>
    <s v="MICROBUS"/>
    <n v="0"/>
    <n v="0"/>
    <n v="0"/>
    <n v="0"/>
    <n v="0"/>
    <n v="1"/>
    <n v="0"/>
    <n v="0"/>
    <n v="1"/>
    <n v="0"/>
    <n v="0"/>
    <n v="0"/>
    <s v="MASCULINO"/>
    <s v="FEMENINO"/>
    <n v="1"/>
    <n v="1"/>
    <n v="20"/>
    <m/>
    <m/>
    <m/>
    <n v="42"/>
    <m/>
    <n v="112"/>
    <x v="4"/>
    <m/>
    <s v=""/>
    <x v="2"/>
  </r>
  <r>
    <n v="1002"/>
    <x v="0"/>
    <n v="2"/>
    <n v="0"/>
    <x v="0"/>
    <s v="CARRERA 18 # 17"/>
    <n v="5.3404670000000003"/>
    <n v="-72.398532000000003"/>
    <s v="MOVILIDAD"/>
    <s v="URBANO"/>
    <x v="2"/>
    <s v="JUNIO"/>
    <d v="2025-06-17T00:00:00"/>
    <x v="6"/>
    <d v="1899-12-30T11:20:00"/>
    <s v="MOTOCICLETA"/>
    <s v="CAMIONETA"/>
    <n v="1"/>
    <n v="0"/>
    <n v="0"/>
    <n v="0"/>
    <n v="1"/>
    <n v="0"/>
    <n v="0"/>
    <n v="0"/>
    <n v="0"/>
    <n v="0"/>
    <n v="0"/>
    <n v="0"/>
    <s v="FEMENINO"/>
    <s v="MASCULINO"/>
    <n v="1"/>
    <n v="1"/>
    <n v="25"/>
    <n v="23"/>
    <n v="7"/>
    <m/>
    <m/>
    <m/>
    <n v="139"/>
    <x v="0"/>
    <m/>
    <s v=""/>
    <x v="2"/>
  </r>
  <r>
    <n v="743"/>
    <x v="0"/>
    <n v="1"/>
    <n v="0"/>
    <x v="0"/>
    <s v="CARRERA 18 # 17"/>
    <n v="5.3404944444444444"/>
    <n v="-72.39851666666668"/>
    <s v="MOVILIDAD"/>
    <s v="URBANO"/>
    <x v="3"/>
    <s v="JULIO"/>
    <d v="2024-07-10T00:00:00"/>
    <x v="3"/>
    <d v="1899-12-30T08:20:00"/>
    <s v="MOTOCICLETA"/>
    <s v="CAMIONETA"/>
    <n v="1"/>
    <n v="0"/>
    <n v="0"/>
    <n v="0"/>
    <n v="1"/>
    <n v="0"/>
    <n v="0"/>
    <n v="0"/>
    <n v="0"/>
    <n v="0"/>
    <n v="0"/>
    <n v="0"/>
    <s v="MASCULINO"/>
    <s v="FEMENINO"/>
    <n v="1"/>
    <n v="1"/>
    <n v="21"/>
    <n v="26"/>
    <m/>
    <m/>
    <m/>
    <m/>
    <n v="139"/>
    <x v="0"/>
    <n v="112"/>
    <s v="Desobedecer señales o normas de tránsito."/>
    <x v="2"/>
  </r>
  <r>
    <n v="142"/>
    <x v="0"/>
    <n v="3"/>
    <n v="0"/>
    <x v="0"/>
    <s v="CARRERA 18 # 17"/>
    <n v="5.3404944444444444"/>
    <n v="-72.39851666666668"/>
    <s v="MOVILIDAD"/>
    <s v="URBANO"/>
    <x v="0"/>
    <s v="ABRIL"/>
    <d v="2022-04-20T00:00:00"/>
    <x v="3"/>
    <d v="1899-12-30T20:04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23"/>
    <n v="64"/>
    <m/>
    <m/>
    <n v="35"/>
    <m/>
    <n v="123"/>
    <x v="21"/>
    <m/>
    <s v=""/>
    <x v="0"/>
  </r>
  <r>
    <n v="801"/>
    <x v="0"/>
    <n v="3"/>
    <n v="0"/>
    <x v="0"/>
    <s v="CARRERA 18 # 21"/>
    <n v="5.3371894444444443"/>
    <n v="-72.396872222222228"/>
    <s v="MOVILIDAD"/>
    <s v="URBANO"/>
    <x v="3"/>
    <s v="OCTUBRE"/>
    <d v="2024-10-27T00:00:00"/>
    <x v="2"/>
    <d v="1899-12-30T00:15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n v="49"/>
    <n v="32"/>
    <n v="22"/>
    <n v="27"/>
    <m/>
    <m/>
    <n v="123"/>
    <x v="21"/>
    <n v="139"/>
    <s v="Impericia en el manejo."/>
    <x v="2"/>
  </r>
  <r>
    <n v="368"/>
    <x v="0"/>
    <n v="1"/>
    <n v="0"/>
    <x v="0"/>
    <s v="CARRERA 18 # 21"/>
    <n v="5.3371894444444443"/>
    <n v="-72.396872222222228"/>
    <s v="MOVILIDAD"/>
    <s v="URBANO"/>
    <x v="0"/>
    <s v="DICIEMBRE"/>
    <d v="2022-12-03T00:00:00"/>
    <x v="5"/>
    <d v="1899-12-30T01:15:00"/>
    <s v="AUTOMOVIL"/>
    <s v="CAMIONETA"/>
    <n v="0"/>
    <n v="0"/>
    <n v="1"/>
    <n v="0"/>
    <n v="1"/>
    <n v="0"/>
    <n v="0"/>
    <n v="0"/>
    <n v="0"/>
    <n v="0"/>
    <n v="0"/>
    <n v="0"/>
    <s v="MASCULINO"/>
    <m/>
    <n v="1"/>
    <n v="0"/>
    <n v="41"/>
    <m/>
    <m/>
    <m/>
    <m/>
    <m/>
    <n v="112"/>
    <x v="4"/>
    <m/>
    <s v=""/>
    <x v="2"/>
  </r>
  <r>
    <n v="290"/>
    <x v="0"/>
    <n v="3"/>
    <n v="0"/>
    <x v="0"/>
    <s v="CARRERA 18 # 21"/>
    <n v="5.3371894444444443"/>
    <n v="-72.396872222222228"/>
    <s v="MOVILIDAD"/>
    <s v="URBANO"/>
    <x v="0"/>
    <s v="AGOSTO"/>
    <d v="2022-08-29T00:00:00"/>
    <x v="4"/>
    <d v="1899-12-30T15:00:00"/>
    <s v="AUTOMOVIL"/>
    <s v="AUTOMOVIL"/>
    <n v="0"/>
    <n v="0"/>
    <n v="2"/>
    <n v="0"/>
    <n v="0"/>
    <n v="0"/>
    <n v="0"/>
    <n v="0"/>
    <n v="0"/>
    <n v="0"/>
    <n v="0"/>
    <n v="0"/>
    <m/>
    <s v="FEMENINO"/>
    <n v="0"/>
    <n v="1"/>
    <n v="34"/>
    <m/>
    <m/>
    <m/>
    <n v="12"/>
    <m/>
    <n v="112"/>
    <x v="4"/>
    <m/>
    <s v=""/>
    <x v="1"/>
  </r>
  <r>
    <n v="283"/>
    <x v="0"/>
    <n v="2"/>
    <n v="0"/>
    <x v="0"/>
    <s v="CARRERA 18 # 30"/>
    <n v="5.3299839999999996"/>
    <n v="-72.393114999999995"/>
    <s v="MOVILIDAD"/>
    <s v="URBANO"/>
    <x v="0"/>
    <s v="AGOSTO"/>
    <d v="2022-08-20T00:00:00"/>
    <x v="5"/>
    <d v="1899-12-30T19:40:00"/>
    <s v="MOTOCICLETA"/>
    <s v="CAMPERO"/>
    <n v="1"/>
    <n v="0"/>
    <n v="0"/>
    <n v="1"/>
    <n v="0"/>
    <n v="0"/>
    <n v="0"/>
    <n v="0"/>
    <n v="0"/>
    <n v="0"/>
    <n v="0"/>
    <n v="0"/>
    <s v="MASCULINO"/>
    <s v="FEMENINO"/>
    <n v="1"/>
    <n v="1"/>
    <n v="42"/>
    <m/>
    <m/>
    <m/>
    <n v="26"/>
    <m/>
    <n v="123"/>
    <x v="21"/>
    <m/>
    <s v=""/>
    <x v="0"/>
  </r>
  <r>
    <n v="83"/>
    <x v="1"/>
    <n v="0"/>
    <n v="0"/>
    <x v="1"/>
    <s v="CARRERA 18 # 30"/>
    <n v="5.3299839999999996"/>
    <n v="-72.393114999999995"/>
    <s v="MOVILIDAD"/>
    <s v="URBANO"/>
    <x v="0"/>
    <s v="MARZO"/>
    <d v="2022-03-12T00:00:00"/>
    <x v="5"/>
    <d v="1899-12-30T18:0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m/>
    <m/>
    <m/>
    <m/>
    <m/>
    <m/>
    <n v="102"/>
    <x v="29"/>
    <m/>
    <s v=""/>
    <x v="0"/>
  </r>
  <r>
    <n v="632"/>
    <x v="0"/>
    <n v="1"/>
    <n v="0"/>
    <x v="0"/>
    <s v="CARRERA 18 # 11"/>
    <n v="5.3450166666666661"/>
    <n v="-72.401202777777783"/>
    <s v="MOVILIDAD"/>
    <s v="URBANO"/>
    <x v="1"/>
    <s v="DICIEMBRE"/>
    <d v="2023-12-12T00:00:00"/>
    <x v="6"/>
    <d v="1899-12-30T14:15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44"/>
    <m/>
    <m/>
    <m/>
    <m/>
    <m/>
    <n v="132"/>
    <x v="13"/>
    <m/>
    <s v=""/>
    <x v="1"/>
  </r>
  <r>
    <n v="792"/>
    <x v="0"/>
    <n v="1"/>
    <n v="0"/>
    <x v="0"/>
    <s v="CARRERA 18 # 13"/>
    <n v="5.3434425000000001"/>
    <n v="-72.400355000000005"/>
    <s v="MOVILIDAD"/>
    <s v="URBANO"/>
    <x v="3"/>
    <s v="OCTUBRE"/>
    <d v="2024-10-14T00:00:00"/>
    <x v="4"/>
    <d v="1899-12-30T04:50:00"/>
    <s v="MOTOCICLETA"/>
    <s v="CAMIONETA"/>
    <n v="1"/>
    <n v="0"/>
    <n v="0"/>
    <n v="0"/>
    <n v="1"/>
    <n v="0"/>
    <n v="0"/>
    <n v="0"/>
    <n v="0"/>
    <n v="0"/>
    <n v="0"/>
    <n v="0"/>
    <s v="MASCULINO"/>
    <m/>
    <n v="1"/>
    <n v="0"/>
    <n v="22"/>
    <n v="25"/>
    <m/>
    <m/>
    <m/>
    <m/>
    <n v="115"/>
    <x v="12"/>
    <n v="112"/>
    <s v="Desobedecer señales o normas de tránsito."/>
    <x v="2"/>
  </r>
  <r>
    <n v="114"/>
    <x v="0"/>
    <n v="1"/>
    <n v="0"/>
    <x v="0"/>
    <s v="CARRERA 18 # 26"/>
    <n v="5.3331722222222222"/>
    <n v="-72.394813888888891"/>
    <s v="MOVILIDAD"/>
    <s v="URBANO"/>
    <x v="0"/>
    <s v="ABRIL"/>
    <d v="2022-04-05T00:00:00"/>
    <x v="6"/>
    <d v="1899-12-30T13:20:00"/>
    <s v="MOTOCICLETA"/>
    <s v="CAMIONETA"/>
    <n v="1"/>
    <n v="0"/>
    <n v="0"/>
    <n v="0"/>
    <n v="1"/>
    <n v="0"/>
    <n v="0"/>
    <n v="0"/>
    <n v="0"/>
    <n v="0"/>
    <n v="0"/>
    <n v="0"/>
    <s v="MASCULINO"/>
    <m/>
    <n v="1"/>
    <n v="0"/>
    <n v="16"/>
    <m/>
    <m/>
    <m/>
    <m/>
    <m/>
    <n v="139"/>
    <x v="0"/>
    <n v="132"/>
    <s v="No respetar prelación."/>
    <x v="1"/>
  </r>
  <r>
    <n v="612"/>
    <x v="0"/>
    <n v="0"/>
    <n v="1"/>
    <x v="2"/>
    <s v="CARRERA 18 # 30 "/>
    <n v="5.3299839999999996"/>
    <n v="-72.393114999999995"/>
    <s v="MOVILIDAD"/>
    <s v="URBANO"/>
    <x v="1"/>
    <s v="NOVIEMBRE"/>
    <d v="2023-11-19T00:00:00"/>
    <x v="2"/>
    <d v="1899-12-30T01:00:00"/>
    <s v="MOTOCICLETA"/>
    <m/>
    <n v="1"/>
    <n v="0"/>
    <n v="0"/>
    <n v="0"/>
    <n v="0"/>
    <n v="0"/>
    <n v="0"/>
    <n v="0"/>
    <n v="0"/>
    <n v="0"/>
    <n v="0"/>
    <n v="0"/>
    <m/>
    <s v="FEMENINO"/>
    <n v="0"/>
    <n v="1"/>
    <m/>
    <m/>
    <m/>
    <m/>
    <m/>
    <m/>
    <n v="1"/>
    <x v="3"/>
    <m/>
    <s v=""/>
    <x v="2"/>
  </r>
  <r>
    <n v="298"/>
    <x v="0"/>
    <n v="5"/>
    <n v="0"/>
    <x v="0"/>
    <s v="CARRERA 18 # 33"/>
    <n v="5.3276230555555557"/>
    <n v="-72.391824444444453"/>
    <s v="MOVILIDAD"/>
    <s v="URBANO"/>
    <x v="0"/>
    <s v="SEPTIEMBRE"/>
    <d v="2022-09-05T00:00:00"/>
    <x v="4"/>
    <d v="1899-12-30T17:50:00"/>
    <s v="MOTOCICLETA"/>
    <s v="AUTOMOVIL"/>
    <n v="1"/>
    <n v="0"/>
    <n v="1"/>
    <n v="0"/>
    <n v="0"/>
    <n v="0"/>
    <n v="0"/>
    <n v="0"/>
    <n v="0"/>
    <n v="0"/>
    <n v="0"/>
    <n v="0"/>
    <s v="MASCULINO"/>
    <s v="FEMENINO"/>
    <n v="1"/>
    <n v="1"/>
    <n v="23"/>
    <m/>
    <m/>
    <n v="21"/>
    <m/>
    <m/>
    <n v="139"/>
    <x v="0"/>
    <n v="157"/>
    <s v="Otra"/>
    <x v="1"/>
  </r>
  <r>
    <n v="247"/>
    <x v="0"/>
    <n v="1"/>
    <n v="0"/>
    <x v="0"/>
    <s v="CARRERA 18 # 35"/>
    <n v="5.4388888888888882"/>
    <n v="-72.391004166666676"/>
    <s v="MOVILIDAD"/>
    <s v="URBANO"/>
    <x v="0"/>
    <s v="JULIO"/>
    <d v="2022-07-12T00:00:00"/>
    <x v="6"/>
    <d v="1899-12-30T20:16:00"/>
    <s v="MOTOCICLETA"/>
    <s v="BICICLETA"/>
    <n v="1"/>
    <n v="0"/>
    <n v="0"/>
    <n v="0"/>
    <n v="0"/>
    <n v="0"/>
    <n v="0"/>
    <n v="0"/>
    <n v="0"/>
    <n v="0"/>
    <n v="0"/>
    <n v="1"/>
    <s v="MASCULINO"/>
    <m/>
    <n v="1"/>
    <n v="0"/>
    <n v="34"/>
    <m/>
    <m/>
    <m/>
    <m/>
    <m/>
    <n v="157"/>
    <x v="1"/>
    <m/>
    <s v=""/>
    <x v="0"/>
  </r>
  <r>
    <n v="206"/>
    <x v="0"/>
    <n v="2"/>
    <n v="0"/>
    <x v="0"/>
    <s v="CARRERA 18 # 36"/>
    <n v="5.3252527777777772"/>
    <n v="-72.390508333333344"/>
    <s v="MOVILIDAD"/>
    <s v="URBANO"/>
    <x v="0"/>
    <s v="JUNIO"/>
    <d v="2022-06-04T00:00:00"/>
    <x v="5"/>
    <d v="1899-12-30T08:2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20"/>
    <n v="24"/>
    <m/>
    <m/>
    <m/>
    <m/>
    <n v="139"/>
    <x v="0"/>
    <m/>
    <s v=""/>
    <x v="2"/>
  </r>
  <r>
    <n v="771"/>
    <x v="0"/>
    <n v="1"/>
    <n v="0"/>
    <x v="0"/>
    <s v="CARRERA 18 # 36 "/>
    <n v="5.3252527777777772"/>
    <n v="-72.390508333333344"/>
    <s v="MOVILIDAD"/>
    <s v="URBANO"/>
    <x v="3"/>
    <s v="AGOSTO"/>
    <d v="2024-08-29T00:00:00"/>
    <x v="1"/>
    <d v="1899-12-30T21:50:00"/>
    <s v="MOTOCICLETA"/>
    <m/>
    <n v="1"/>
    <n v="0"/>
    <n v="0"/>
    <n v="0"/>
    <n v="0"/>
    <n v="0"/>
    <n v="0"/>
    <n v="0"/>
    <n v="0"/>
    <n v="0"/>
    <n v="0"/>
    <n v="0"/>
    <m/>
    <s v="FEMENINO"/>
    <n v="0"/>
    <n v="1"/>
    <n v="32"/>
    <m/>
    <m/>
    <m/>
    <m/>
    <m/>
    <n v="306"/>
    <x v="30"/>
    <m/>
    <s v=""/>
    <x v="0"/>
  </r>
  <r>
    <n v="153"/>
    <x v="1"/>
    <n v="0"/>
    <n v="0"/>
    <x v="1"/>
    <s v="CARRERA 18 # 9"/>
    <n v="5.3467805555555552"/>
    <n v="-72.402163888888893"/>
    <s v="MOVILIDAD"/>
    <s v="URBANO"/>
    <x v="0"/>
    <s v="ABRIL"/>
    <d v="2022-04-29T00:00:00"/>
    <x v="0"/>
    <d v="1899-12-30T16:03:00"/>
    <s v="AUTOMOVIL"/>
    <s v="CAMIONETA"/>
    <n v="0"/>
    <n v="0"/>
    <n v="1"/>
    <n v="0"/>
    <n v="1"/>
    <n v="0"/>
    <n v="0"/>
    <n v="0"/>
    <n v="0"/>
    <n v="0"/>
    <n v="0"/>
    <n v="0"/>
    <m/>
    <s v="FEMENINO"/>
    <n v="0"/>
    <n v="1"/>
    <m/>
    <m/>
    <m/>
    <m/>
    <m/>
    <m/>
    <n v="123"/>
    <x v="21"/>
    <m/>
    <s v=""/>
    <x v="1"/>
  </r>
  <r>
    <n v="607"/>
    <x v="0"/>
    <n v="1"/>
    <n v="0"/>
    <x v="0"/>
    <s v="CARRERA 18 # 9 "/>
    <n v="5.3467805555555552"/>
    <n v="-72.402163888888893"/>
    <s v="MOVILIDAD"/>
    <s v="URBANO"/>
    <x v="1"/>
    <s v="NOVIEMBRE"/>
    <d v="2023-11-11T00:00:00"/>
    <x v="5"/>
    <d v="1899-12-30T11:3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24"/>
    <m/>
    <m/>
    <m/>
    <m/>
    <m/>
    <n v="112"/>
    <x v="4"/>
    <m/>
    <s v=""/>
    <x v="2"/>
  </r>
  <r>
    <n v="1103"/>
    <x v="0"/>
    <n v="1"/>
    <n v="0"/>
    <x v="0"/>
    <s v="CARRERA 18 ENTRE 12 Y 13"/>
    <n v="5.34381280139488"/>
    <n v="-72.400621815073507"/>
    <s v="MOVILIDAD"/>
    <s v="URBANO"/>
    <x v="2"/>
    <s v="OCTUBRE"/>
    <d v="2025-10-03T00:00:00"/>
    <x v="0"/>
    <d v="1899-12-30T16:30:00"/>
    <s v="MOTOCICLETA"/>
    <s v="MOTOCICLETA"/>
    <n v="2"/>
    <n v="0"/>
    <n v="0"/>
    <n v="0"/>
    <n v="0"/>
    <n v="0"/>
    <n v="0"/>
    <n v="0"/>
    <n v="0"/>
    <n v="0"/>
    <n v="0"/>
    <n v="0"/>
    <s v="MASCULINO"/>
    <s v="MASCULINO"/>
    <n v="2"/>
    <n v="0"/>
    <n v="24"/>
    <m/>
    <m/>
    <m/>
    <m/>
    <m/>
    <n v="157"/>
    <x v="1"/>
    <m/>
    <s v=""/>
    <x v="1"/>
  </r>
  <r>
    <n v="897"/>
    <x v="1"/>
    <n v="0"/>
    <n v="0"/>
    <x v="1"/>
    <s v="CARRERA 19  # 20-69"/>
    <n v="5.3394300000000001"/>
    <n v="-72.397135000000006"/>
    <s v="MOVILIDAD"/>
    <s v="URBANO"/>
    <x v="2"/>
    <s v="MARZO"/>
    <d v="2025-03-08T00:00:00"/>
    <x v="5"/>
    <d v="1899-12-30T23:30:00"/>
    <s v="MOTOCICLETA"/>
    <m/>
    <n v="1"/>
    <n v="0"/>
    <n v="0"/>
    <n v="0"/>
    <n v="0"/>
    <n v="0"/>
    <n v="0"/>
    <n v="0"/>
    <n v="0"/>
    <n v="0"/>
    <n v="0"/>
    <n v="0"/>
    <s v="MASCULINO"/>
    <s v="MASCULINO"/>
    <n v="2"/>
    <n v="0"/>
    <n v="35"/>
    <n v="35"/>
    <m/>
    <m/>
    <m/>
    <m/>
    <n v="115"/>
    <x v="12"/>
    <n v="127"/>
    <s v="Transitar en contravía."/>
    <x v="0"/>
  </r>
  <r>
    <n v="504"/>
    <x v="0"/>
    <n v="0"/>
    <n v="1"/>
    <x v="2"/>
    <s v="CARRERA 19  # 21 - 42"/>
    <n v="5.3372399999999995"/>
    <n v="-72.395954722222228"/>
    <s v="MOVILIDAD"/>
    <s v="URBANO"/>
    <x v="1"/>
    <s v="JUNIO"/>
    <d v="2023-06-11T00:00:00"/>
    <x v="2"/>
    <d v="1899-12-30T07:42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m/>
    <m/>
    <m/>
    <m/>
    <m/>
    <n v="24"/>
    <n v="139"/>
    <x v="0"/>
    <n v="114"/>
    <s v="Embriaguez aparente."/>
    <x v="2"/>
  </r>
  <r>
    <n v="325"/>
    <x v="0"/>
    <n v="1"/>
    <n v="0"/>
    <x v="0"/>
    <s v="CARRERA 19  # 25A-25"/>
    <n v="5.3341277777777778"/>
    <n v="-72.394177777777784"/>
    <s v="MOVILIDAD"/>
    <s v="URBANO"/>
    <x v="0"/>
    <s v="OCTUBRE"/>
    <d v="2022-10-05T00:00:00"/>
    <x v="3"/>
    <d v="1899-12-30T14:0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22"/>
    <m/>
    <m/>
    <m/>
    <m/>
    <m/>
    <n v="123"/>
    <x v="21"/>
    <n v="157"/>
    <s v="Otra"/>
    <x v="1"/>
  </r>
  <r>
    <n v="510"/>
    <x v="0"/>
    <n v="0"/>
    <n v="1"/>
    <x v="2"/>
    <s v="CARRERA 19  # 26-84 "/>
    <n v="5.3330124999999997"/>
    <n v="-72.393681944444452"/>
    <s v="MOVILIDAD"/>
    <s v="URBANO"/>
    <x v="1"/>
    <s v="JUNIO"/>
    <d v="2023-06-17T00:00:00"/>
    <x v="5"/>
    <d v="1899-12-30T19:2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m/>
    <m/>
    <m/>
    <m/>
    <m/>
    <n v="75"/>
    <n v="116"/>
    <x v="14"/>
    <n v="114"/>
    <s v="Embriaguez aparente."/>
    <x v="0"/>
  </r>
  <r>
    <n v="775"/>
    <x v="0"/>
    <n v="1"/>
    <n v="0"/>
    <x v="0"/>
    <s v="CARRERA 19  # 28-49"/>
    <n v="5.3317777777777779"/>
    <n v="-72.392888888888891"/>
    <s v="MOVILIDAD"/>
    <s v="URBANO"/>
    <x v="3"/>
    <s v="SEPTIEMBRE"/>
    <d v="2024-09-04T00:00:00"/>
    <x v="3"/>
    <d v="1899-12-30T02:05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34"/>
    <n v="22"/>
    <m/>
    <m/>
    <m/>
    <m/>
    <n v="114"/>
    <x v="5"/>
    <n v="139"/>
    <s v="Impericia en el manejo."/>
    <x v="2"/>
  </r>
  <r>
    <n v="372"/>
    <x v="0"/>
    <n v="2"/>
    <n v="0"/>
    <x v="0"/>
    <s v="CARRERA 19  # 36-68"/>
    <n v="5.3250388888888889"/>
    <n v="-72.389369444444455"/>
    <s v="MOVILIDAD"/>
    <s v="URBANO"/>
    <x v="0"/>
    <s v="DICIEMBRE"/>
    <d v="2022-12-13T00:00:00"/>
    <x v="6"/>
    <d v="1899-12-30T22:20:00"/>
    <s v="MOTOCICLETA"/>
    <s v="CAMIONETA"/>
    <n v="1"/>
    <n v="0"/>
    <n v="0"/>
    <n v="0"/>
    <n v="1"/>
    <n v="0"/>
    <n v="0"/>
    <n v="0"/>
    <n v="0"/>
    <n v="0"/>
    <n v="0"/>
    <n v="0"/>
    <s v="MASCULINO"/>
    <m/>
    <n v="1"/>
    <n v="0"/>
    <n v="18"/>
    <m/>
    <m/>
    <m/>
    <n v="29"/>
    <m/>
    <n v="116"/>
    <x v="14"/>
    <n v="121"/>
    <s v="No mantener distancia de seguridad."/>
    <x v="0"/>
  </r>
  <r>
    <n v="820"/>
    <x v="1"/>
    <n v="0"/>
    <n v="0"/>
    <x v="1"/>
    <s v="CARRERA 19  CALLE 11"/>
    <n v="5.345558333333333"/>
    <n v="-72.400261111111121"/>
    <s v="MOVILIDAD"/>
    <s v="URBANO"/>
    <x v="3"/>
    <s v="NOVIEMBRE"/>
    <d v="2024-11-23T00:00:00"/>
    <x v="5"/>
    <d v="1899-12-30T14:10:00"/>
    <s v="MOTOCICLETA"/>
    <s v="AUTOMOVIL"/>
    <n v="1"/>
    <n v="0"/>
    <n v="1"/>
    <n v="0"/>
    <n v="0"/>
    <n v="0"/>
    <n v="0"/>
    <n v="0"/>
    <n v="0"/>
    <n v="0"/>
    <n v="0"/>
    <n v="0"/>
    <s v="MASCULINO"/>
    <s v="FEMENINO"/>
    <n v="1"/>
    <n v="1"/>
    <n v="36"/>
    <n v="28"/>
    <n v="28"/>
    <m/>
    <m/>
    <m/>
    <n v="123"/>
    <x v="21"/>
    <m/>
    <s v=""/>
    <x v="1"/>
  </r>
  <r>
    <n v="973"/>
    <x v="0"/>
    <n v="3"/>
    <n v="0"/>
    <x v="0"/>
    <s v="CARRERA 19  CALLE 30"/>
    <n v="5.3304169999999997"/>
    <n v="-72.392283000000006"/>
    <s v="MOVILIDAD"/>
    <s v="URBANO"/>
    <x v="2"/>
    <s v="MAYO"/>
    <d v="2025-05-27T00:00:00"/>
    <x v="6"/>
    <d v="1899-12-30T04:24:00"/>
    <s v="MOTOCICLETA"/>
    <s v="MOTOCICLETA"/>
    <n v="2"/>
    <n v="0"/>
    <n v="0"/>
    <n v="0"/>
    <n v="0"/>
    <n v="0"/>
    <n v="0"/>
    <n v="0"/>
    <n v="0"/>
    <n v="0"/>
    <n v="0"/>
    <n v="0"/>
    <s v="MASCULINO"/>
    <s v="MASCULINO"/>
    <n v="2"/>
    <n v="0"/>
    <n v="18"/>
    <n v="21"/>
    <n v="23"/>
    <m/>
    <m/>
    <m/>
    <n v="114"/>
    <x v="5"/>
    <n v="139"/>
    <s v="Impericia en el manejo."/>
    <x v="2"/>
  </r>
  <r>
    <n v="666"/>
    <x v="0"/>
    <n v="2"/>
    <n v="0"/>
    <x v="0"/>
    <s v="CARRERA 19  CALLE 36"/>
    <n v="5.3256999999999994"/>
    <n v="-72.389655555555564"/>
    <s v="MOVILIDAD"/>
    <s v="URBANO"/>
    <x v="3"/>
    <s v="FEBRERO"/>
    <d v="2024-02-21T00:00:00"/>
    <x v="3"/>
    <d v="1899-12-30T10:3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56"/>
    <n v="18"/>
    <m/>
    <m/>
    <m/>
    <m/>
    <n v="112"/>
    <x v="4"/>
    <n v="157"/>
    <s v="Otra"/>
    <x v="2"/>
  </r>
  <r>
    <n v="664"/>
    <x v="0"/>
    <n v="1"/>
    <n v="0"/>
    <x v="0"/>
    <s v="CARRERA 19  ENTRE CALLE 17 Y 18"/>
    <n v="5.340325"/>
    <n v="-72.397594444444451"/>
    <s v="MOVILIDAD"/>
    <s v="URBANO"/>
    <x v="3"/>
    <s v="FEBRERO"/>
    <d v="2024-02-20T00:00:00"/>
    <x v="6"/>
    <d v="1899-12-30T08:2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24"/>
    <n v="78"/>
    <m/>
    <m/>
    <m/>
    <m/>
    <n v="139"/>
    <x v="0"/>
    <n v="409"/>
    <s v="Cruzar sin observar."/>
    <x v="2"/>
  </r>
  <r>
    <n v="291"/>
    <x v="0"/>
    <n v="2"/>
    <n v="0"/>
    <x v="0"/>
    <s v="CARRERA 19 # 19"/>
    <n v="5.3392036111111105"/>
    <n v="-72.396914722222235"/>
    <s v="MOVILIDAD"/>
    <s v="URBANO"/>
    <x v="0"/>
    <s v="AGOSTO"/>
    <d v="2022-08-30T00:00:00"/>
    <x v="6"/>
    <d v="1899-12-30T13:15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67"/>
    <n v="29"/>
    <m/>
    <m/>
    <m/>
    <m/>
    <n v="112"/>
    <x v="4"/>
    <m/>
    <s v=""/>
    <x v="1"/>
  </r>
  <r>
    <n v="1007"/>
    <x v="1"/>
    <n v="0"/>
    <n v="0"/>
    <x v="1"/>
    <s v="CARRERA 19 # 19"/>
    <n v="5.3392210000000002"/>
    <n v="-72.396925999999993"/>
    <s v="MOVILIDAD"/>
    <s v="URBANO"/>
    <x v="2"/>
    <s v="JUNIO"/>
    <d v="2025-06-25T00:00:00"/>
    <x v="3"/>
    <d v="1899-12-30T17:40:00"/>
    <s v="AUTOMOVIL"/>
    <s v="MOTOCICLETA"/>
    <n v="1"/>
    <n v="0"/>
    <n v="1"/>
    <n v="0"/>
    <n v="0"/>
    <n v="0"/>
    <n v="0"/>
    <n v="0"/>
    <n v="0"/>
    <n v="0"/>
    <n v="0"/>
    <n v="0"/>
    <s v="MASCULINO"/>
    <s v="FEMENINO"/>
    <n v="1"/>
    <n v="1"/>
    <n v="38"/>
    <n v="20"/>
    <m/>
    <m/>
    <m/>
    <m/>
    <n v="122"/>
    <x v="2"/>
    <m/>
    <s v=""/>
    <x v="1"/>
  </r>
  <r>
    <n v="44"/>
    <x v="1"/>
    <n v="0"/>
    <n v="0"/>
    <x v="1"/>
    <s v="CARRERA 19 # 23-90"/>
    <n v="5.3353833333333327"/>
    <n v="-72.394972222222222"/>
    <s v="MOVILIDAD"/>
    <s v="URBANO"/>
    <x v="0"/>
    <s v="FEBRERO"/>
    <d v="2022-02-03T00:00:00"/>
    <x v="1"/>
    <d v="1899-12-30T21:45:00"/>
    <s v="MOTOCICLETA"/>
    <s v="AUTOMOVIL"/>
    <n v="1"/>
    <n v="0"/>
    <n v="1"/>
    <n v="0"/>
    <n v="0"/>
    <n v="0"/>
    <n v="0"/>
    <n v="0"/>
    <n v="0"/>
    <n v="0"/>
    <n v="0"/>
    <n v="0"/>
    <m/>
    <s v="FEMENINO"/>
    <n v="0"/>
    <n v="1"/>
    <m/>
    <m/>
    <m/>
    <m/>
    <m/>
    <m/>
    <n v="157"/>
    <x v="1"/>
    <m/>
    <s v=""/>
    <x v="0"/>
  </r>
  <r>
    <n v="102"/>
    <x v="1"/>
    <n v="0"/>
    <n v="0"/>
    <x v="1"/>
    <s v="CARRERA 19 # 26"/>
    <n v="5.3336027777777772"/>
    <n v="-72.393975000000012"/>
    <s v="MOVILIDAD"/>
    <s v="URBANO"/>
    <x v="0"/>
    <s v="MARZO"/>
    <d v="2022-03-26T00:00:00"/>
    <x v="5"/>
    <d v="1899-12-30T03:10:00"/>
    <s v="MOTOCICLETA"/>
    <s v="AUTOMOVIL"/>
    <n v="1"/>
    <n v="0"/>
    <n v="1"/>
    <n v="0"/>
    <n v="0"/>
    <n v="0"/>
    <n v="0"/>
    <n v="0"/>
    <n v="0"/>
    <n v="0"/>
    <n v="0"/>
    <n v="0"/>
    <m/>
    <s v="FEMENINO"/>
    <n v="0"/>
    <n v="1"/>
    <m/>
    <m/>
    <m/>
    <m/>
    <m/>
    <m/>
    <n v="121"/>
    <x v="7"/>
    <n v="122"/>
    <s v="Girar bruscamente."/>
    <x v="2"/>
  </r>
  <r>
    <n v="443"/>
    <x v="0"/>
    <n v="0"/>
    <n v="1"/>
    <x v="2"/>
    <s v="CARRERA 19 # 26"/>
    <n v="5.3336027777777772"/>
    <n v="-72.393975000000012"/>
    <s v="MOVILIDAD"/>
    <s v="URBANO"/>
    <x v="1"/>
    <s v="ABRIL"/>
    <d v="2023-04-02T00:00:00"/>
    <x v="2"/>
    <d v="1899-12-30T05:0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m/>
    <m/>
    <m/>
    <m/>
    <m/>
    <n v="35"/>
    <n v="116"/>
    <x v="14"/>
    <n v="114"/>
    <s v="Embriaguez aparente."/>
    <x v="2"/>
  </r>
  <r>
    <n v="738"/>
    <x v="0"/>
    <n v="1"/>
    <n v="0"/>
    <x v="0"/>
    <s v="CARRERA 19 # 30"/>
    <n v="5.3304388888888887"/>
    <n v="-72.392241666666678"/>
    <s v="MOVILIDAD"/>
    <s v="URBANO"/>
    <x v="3"/>
    <s v="JUNIO"/>
    <d v="2024-06-30T00:00:00"/>
    <x v="2"/>
    <d v="1899-12-30T03:05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n v="20"/>
    <m/>
    <m/>
    <m/>
    <m/>
    <m/>
    <n v="157"/>
    <x v="1"/>
    <m/>
    <s v=""/>
    <x v="2"/>
  </r>
  <r>
    <n v="978"/>
    <x v="0"/>
    <n v="2"/>
    <n v="0"/>
    <x v="0"/>
    <s v="CARRERA 19 # 30"/>
    <n v="5.330438"/>
    <n v="-72.392251000000002"/>
    <s v="MOVILIDAD"/>
    <s v="URBANO"/>
    <x v="2"/>
    <s v="JUNIO"/>
    <d v="2025-06-03T00:00:00"/>
    <x v="6"/>
    <d v="1899-12-30T15:10:00"/>
    <s v="MOTOCICLETA"/>
    <s v="CAMIONETA"/>
    <n v="1"/>
    <n v="0"/>
    <n v="0"/>
    <n v="0"/>
    <n v="1"/>
    <n v="0"/>
    <n v="0"/>
    <n v="0"/>
    <n v="0"/>
    <n v="0"/>
    <n v="0"/>
    <n v="0"/>
    <s v="MASCULINO"/>
    <s v="FEMENINO"/>
    <n v="1"/>
    <n v="1"/>
    <n v="19"/>
    <n v="44"/>
    <m/>
    <m/>
    <m/>
    <m/>
    <n v="139"/>
    <x v="0"/>
    <n v="116"/>
    <s v="Exceso de velocidad"/>
    <x v="1"/>
  </r>
  <r>
    <n v="983"/>
    <x v="0"/>
    <n v="1"/>
    <n v="0"/>
    <x v="0"/>
    <s v="CARRERA 19 # 30"/>
    <n v="5.330438"/>
    <n v="-72.392251000000002"/>
    <s v="MOVILIDAD"/>
    <s v="URBANO"/>
    <x v="2"/>
    <s v="JUNIO"/>
    <d v="2025-06-08T00:00:00"/>
    <x v="2"/>
    <d v="1899-12-30T18:30:00"/>
    <s v="MOTOCICLETA"/>
    <s v="AUTOMOVIL"/>
    <n v="1"/>
    <n v="0"/>
    <n v="1"/>
    <n v="0"/>
    <n v="0"/>
    <n v="0"/>
    <n v="0"/>
    <n v="0"/>
    <n v="0"/>
    <n v="0"/>
    <n v="0"/>
    <n v="0"/>
    <s v="MASCULINO"/>
    <s v="MASCULINO"/>
    <n v="2"/>
    <n v="0"/>
    <n v="32"/>
    <n v="36"/>
    <m/>
    <m/>
    <m/>
    <m/>
    <n v="139"/>
    <x v="0"/>
    <n v="157"/>
    <s v="Otra"/>
    <x v="0"/>
  </r>
  <r>
    <n v="779"/>
    <x v="0"/>
    <n v="2"/>
    <n v="0"/>
    <x v="0"/>
    <s v="CARRERA 19 # 30"/>
    <n v="5.3304388888888887"/>
    <n v="-72.392241666666678"/>
    <s v="MOVILIDAD"/>
    <s v="URBANO"/>
    <x v="3"/>
    <s v="SEPTIEMBRE"/>
    <d v="2024-09-08T00:00:00"/>
    <x v="2"/>
    <d v="1899-12-30T08:20:00"/>
    <s v="MOTOCICLETA"/>
    <s v="AUTOMOVIL"/>
    <n v="1"/>
    <n v="0"/>
    <n v="1"/>
    <n v="0"/>
    <n v="0"/>
    <n v="0"/>
    <n v="0"/>
    <n v="0"/>
    <n v="0"/>
    <n v="0"/>
    <n v="0"/>
    <n v="0"/>
    <s v="MASCULINO"/>
    <s v="FEMENINO"/>
    <n v="1"/>
    <n v="1"/>
    <n v="19"/>
    <n v="18"/>
    <n v="22"/>
    <m/>
    <m/>
    <m/>
    <n v="139"/>
    <x v="0"/>
    <m/>
    <s v=""/>
    <x v="2"/>
  </r>
  <r>
    <n v="108"/>
    <x v="0"/>
    <n v="1"/>
    <n v="0"/>
    <x v="0"/>
    <s v="CARRERA 19 # 30"/>
    <n v="5.3304388888888887"/>
    <n v="-72.392241666666678"/>
    <s v="MOVILIDAD"/>
    <s v="URBANO"/>
    <x v="0"/>
    <s v="MARZO"/>
    <d v="2022-03-31T00:00:00"/>
    <x v="1"/>
    <d v="1899-12-30T14:00:00"/>
    <s v="MOTOCICLETA"/>
    <s v="CAMIONETA"/>
    <n v="1"/>
    <n v="0"/>
    <n v="0"/>
    <n v="0"/>
    <n v="1"/>
    <n v="0"/>
    <n v="0"/>
    <n v="0"/>
    <n v="0"/>
    <n v="0"/>
    <n v="0"/>
    <n v="0"/>
    <s v="MASCULINO"/>
    <m/>
    <n v="1"/>
    <n v="0"/>
    <n v="28"/>
    <m/>
    <m/>
    <m/>
    <m/>
    <m/>
    <n v="112"/>
    <x v="4"/>
    <n v="157"/>
    <s v="Otra"/>
    <x v="1"/>
  </r>
  <r>
    <n v="32"/>
    <x v="0"/>
    <n v="1"/>
    <n v="0"/>
    <x v="0"/>
    <s v="CARRERA 19 # 36"/>
    <n v="5.3256972222222219"/>
    <n v="-72.389644444444457"/>
    <s v="MOVILIDAD"/>
    <s v="URBANO"/>
    <x v="0"/>
    <s v="ENERO"/>
    <d v="2022-01-28T00:00:00"/>
    <x v="0"/>
    <d v="1899-12-30T08:25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18"/>
    <m/>
    <m/>
    <m/>
    <m/>
    <m/>
    <n v="157"/>
    <x v="1"/>
    <m/>
    <s v=""/>
    <x v="2"/>
  </r>
  <r>
    <n v="134"/>
    <x v="0"/>
    <n v="1"/>
    <n v="0"/>
    <x v="0"/>
    <s v="CARRERA 19 # 36"/>
    <n v="5.3257111111111106"/>
    <n v="-72.389622222222229"/>
    <s v="MOVILIDAD"/>
    <s v="URBANO"/>
    <x v="0"/>
    <s v="ABRIL"/>
    <d v="2022-04-12T00:00:00"/>
    <x v="6"/>
    <d v="1899-12-30T16:3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23"/>
    <m/>
    <m/>
    <m/>
    <m/>
    <m/>
    <n v="112"/>
    <x v="4"/>
    <m/>
    <s v=""/>
    <x v="1"/>
  </r>
  <r>
    <n v="1086"/>
    <x v="1"/>
    <n v="0"/>
    <n v="0"/>
    <x v="1"/>
    <s v="CARRERA 19 # CALLE 17"/>
    <n v="5.3408239478386097"/>
    <n v="-72.397773372734306"/>
    <s v="MOVILIDAD"/>
    <s v="URBANO"/>
    <x v="2"/>
    <s v="SEPTIEMBRE"/>
    <d v="2025-09-16T00:00:00"/>
    <x v="6"/>
    <d v="1899-12-30T13:46:00"/>
    <s v="MOTOCICLETA"/>
    <s v="AUTOMOVIL"/>
    <n v="1"/>
    <n v="0"/>
    <n v="1"/>
    <n v="0"/>
    <n v="0"/>
    <n v="0"/>
    <n v="0"/>
    <n v="0"/>
    <n v="0"/>
    <n v="0"/>
    <n v="0"/>
    <n v="0"/>
    <s v="MASCULINO"/>
    <s v="MASCULINO"/>
    <n v="2"/>
    <n v="0"/>
    <m/>
    <m/>
    <m/>
    <m/>
    <m/>
    <m/>
    <n v="128"/>
    <x v="31"/>
    <n v="139"/>
    <s v="Impericia en el manejo."/>
    <x v="1"/>
  </r>
  <r>
    <n v="416"/>
    <x v="0"/>
    <n v="1"/>
    <n v="0"/>
    <x v="0"/>
    <s v="CARRERA 19 # CALLE 24"/>
    <n v="5.3352463888888888"/>
    <n v="-72.394839166666671"/>
    <s v="MOVILIDAD"/>
    <s v="URBANO"/>
    <x v="1"/>
    <s v="FEBRERO"/>
    <d v="2023-02-26T00:00:00"/>
    <x v="2"/>
    <d v="1899-12-30T04:40:00"/>
    <s v="MOTOCICLETA"/>
    <s v="AUTOMOVIL"/>
    <n v="1"/>
    <n v="0"/>
    <n v="1"/>
    <n v="0"/>
    <n v="0"/>
    <n v="0"/>
    <n v="0"/>
    <n v="0"/>
    <n v="0"/>
    <n v="0"/>
    <n v="0"/>
    <n v="0"/>
    <m/>
    <s v="FEMENINO"/>
    <n v="0"/>
    <n v="1"/>
    <m/>
    <m/>
    <m/>
    <m/>
    <n v="33"/>
    <m/>
    <n v="112"/>
    <x v="4"/>
    <m/>
    <s v=""/>
    <x v="2"/>
  </r>
  <r>
    <n v="561"/>
    <x v="0"/>
    <n v="1"/>
    <n v="0"/>
    <x v="0"/>
    <s v="CARRERA 19 # CALLE 24 "/>
    <n v="5.3352463888888888"/>
    <n v="-72.394839166666671"/>
    <s v="MOVILIDAD"/>
    <s v="URBANO"/>
    <x v="1"/>
    <s v="SEPTIEMBRE"/>
    <d v="2023-09-23T00:00:00"/>
    <x v="5"/>
    <d v="1899-12-30T03:0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31"/>
    <m/>
    <m/>
    <m/>
    <m/>
    <m/>
    <n v="157"/>
    <x v="1"/>
    <m/>
    <s v=""/>
    <x v="2"/>
  </r>
  <r>
    <n v="617"/>
    <x v="0"/>
    <n v="3"/>
    <n v="0"/>
    <x v="0"/>
    <s v="CARRERA 19 # CALLE 24 "/>
    <n v="5.3352463888888888"/>
    <n v="-72.394839166666671"/>
    <s v="MOVILIDAD"/>
    <s v="URBANO"/>
    <x v="1"/>
    <s v="NOVIEMBRE"/>
    <d v="2023-11-21T00:00:00"/>
    <x v="6"/>
    <d v="1899-12-30T21:20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n v="23"/>
    <n v="23"/>
    <m/>
    <m/>
    <n v="15"/>
    <m/>
    <n v="116"/>
    <x v="14"/>
    <n v="157"/>
    <s v="Otra"/>
    <x v="0"/>
  </r>
  <r>
    <n v="1090"/>
    <x v="1"/>
    <n v="0"/>
    <n v="0"/>
    <x v="1"/>
    <s v="CARRERA 19 # CALLE 25"/>
    <n v="5.3344365488737804"/>
    <n v="-72.394449748098793"/>
    <s v="MOVILIDAD"/>
    <s v="URBANO"/>
    <x v="2"/>
    <s v="SEPTIEMBRE"/>
    <d v="2025-09-22T00:00:00"/>
    <x v="4"/>
    <d v="1899-12-30T04:13:00"/>
    <s v="MOTOCICLETA"/>
    <s v="AUTOMOVIL"/>
    <n v="1"/>
    <n v="0"/>
    <n v="1"/>
    <n v="0"/>
    <n v="0"/>
    <n v="0"/>
    <n v="0"/>
    <n v="0"/>
    <n v="0"/>
    <n v="0"/>
    <n v="0"/>
    <n v="0"/>
    <s v="MASCULINO"/>
    <s v="MASCULINO"/>
    <n v="2"/>
    <n v="0"/>
    <m/>
    <m/>
    <m/>
    <m/>
    <m/>
    <m/>
    <n v="114"/>
    <x v="5"/>
    <n v="139"/>
    <s v="Impericia en el manejo."/>
    <x v="2"/>
  </r>
  <r>
    <n v="1085"/>
    <x v="1"/>
    <n v="0"/>
    <n v="0"/>
    <x v="1"/>
    <s v="CARRERA 19 # CALLE 8"/>
    <n v="5.3487475852798196"/>
    <n v="-72.401946816796297"/>
    <s v="MOVILIDAD"/>
    <s v="URBANO"/>
    <x v="2"/>
    <s v="SEPTIEMBRE"/>
    <d v="2025-09-16T00:00:00"/>
    <x v="6"/>
    <d v="1899-12-30T09:32:00"/>
    <s v="MOTOCICLETA"/>
    <s v="AUTOMOVIL"/>
    <n v="1"/>
    <n v="0"/>
    <n v="1"/>
    <n v="0"/>
    <n v="0"/>
    <n v="0"/>
    <n v="0"/>
    <n v="0"/>
    <n v="0"/>
    <n v="0"/>
    <n v="0"/>
    <n v="0"/>
    <s v="FEMENINO"/>
    <s v="MASCULINO"/>
    <n v="1"/>
    <n v="1"/>
    <m/>
    <m/>
    <m/>
    <m/>
    <m/>
    <m/>
    <n v="139"/>
    <x v="0"/>
    <n v="139"/>
    <s v="Impericia en el manejo."/>
    <x v="2"/>
  </r>
  <r>
    <n v="383"/>
    <x v="0"/>
    <n v="0"/>
    <n v="1"/>
    <x v="2"/>
    <s v="CARRERA 19 CALLE 13"/>
    <n v="5.3439977777777772"/>
    <n v="-72.399411388888893"/>
    <s v="MOVILIDAD"/>
    <s v="URBANO"/>
    <x v="1"/>
    <s v="ENERO"/>
    <d v="2023-01-01T00:00:00"/>
    <x v="2"/>
    <d v="1899-12-30T08:5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m/>
    <m/>
    <m/>
    <m/>
    <m/>
    <n v="23"/>
    <n v="114"/>
    <x v="5"/>
    <n v="139"/>
    <s v="Impericia en el manejo."/>
    <x v="2"/>
  </r>
  <r>
    <n v="552"/>
    <x v="0"/>
    <n v="1"/>
    <n v="0"/>
    <x v="0"/>
    <s v="CARRERA 19 CALLE 15 "/>
    <n v="5.3424955555555549"/>
    <n v="-72.398578055555561"/>
    <s v="MOVILIDAD"/>
    <s v="URBANO"/>
    <x v="1"/>
    <s v="SEPTIEMBRE"/>
    <d v="2023-09-05T00:00:00"/>
    <x v="6"/>
    <d v="1899-12-30T21:35:00"/>
    <s v="CAMIONETA"/>
    <m/>
    <n v="0"/>
    <n v="0"/>
    <n v="0"/>
    <n v="0"/>
    <n v="1"/>
    <n v="0"/>
    <n v="0"/>
    <n v="0"/>
    <n v="0"/>
    <n v="0"/>
    <n v="0"/>
    <n v="0"/>
    <m/>
    <s v="FEMENINO"/>
    <n v="0"/>
    <n v="1"/>
    <n v="30"/>
    <m/>
    <m/>
    <m/>
    <m/>
    <m/>
    <n v="157"/>
    <x v="1"/>
    <m/>
    <s v=""/>
    <x v="0"/>
  </r>
  <r>
    <n v="14"/>
    <x v="1"/>
    <n v="0"/>
    <n v="0"/>
    <x v="1"/>
    <s v="CARRERA 19 CALLE 16"/>
    <n v="5.3416333333333332"/>
    <n v="-72.398169444444449"/>
    <s v="MOVILIDAD"/>
    <s v="URBANO"/>
    <x v="0"/>
    <s v="ENERO"/>
    <d v="2022-01-15T00:00:00"/>
    <x v="5"/>
    <d v="1899-12-30T21:5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m/>
    <m/>
    <m/>
    <m/>
    <m/>
    <m/>
    <n v="157"/>
    <x v="1"/>
    <m/>
    <s v=""/>
    <x v="0"/>
  </r>
  <r>
    <n v="488"/>
    <x v="0"/>
    <n v="1"/>
    <n v="0"/>
    <x v="0"/>
    <s v="CARRERA 19 CALLE 17 "/>
    <n v="5.3408527777777772"/>
    <n v="-72.397766666666669"/>
    <s v="MOVILIDAD"/>
    <s v="URBANO"/>
    <x v="1"/>
    <s v="MAYO"/>
    <d v="2023-05-17T00:00:00"/>
    <x v="3"/>
    <d v="1899-12-30T04:40:00"/>
    <s v="AUTOMOVIL"/>
    <s v="CAMIONETA"/>
    <n v="0"/>
    <n v="0"/>
    <n v="1"/>
    <n v="0"/>
    <n v="1"/>
    <n v="0"/>
    <n v="0"/>
    <n v="0"/>
    <n v="0"/>
    <n v="0"/>
    <n v="0"/>
    <n v="0"/>
    <m/>
    <s v="FEMENINO"/>
    <n v="0"/>
    <n v="1"/>
    <m/>
    <m/>
    <m/>
    <n v="51"/>
    <m/>
    <m/>
    <n v="1"/>
    <x v="3"/>
    <n v="115"/>
    <s v="Embriaguez o Sustancias alucinogenas"/>
    <x v="2"/>
  </r>
  <r>
    <n v="512"/>
    <x v="0"/>
    <n v="1"/>
    <n v="0"/>
    <x v="0"/>
    <s v="CARRERA 19 CALLE 18"/>
    <n v="5.3399736111111107"/>
    <n v="-72.397359166666675"/>
    <s v="MOVILIDAD"/>
    <s v="URBANO"/>
    <x v="1"/>
    <s v="JUNIO"/>
    <d v="2023-06-12T00:00:00"/>
    <x v="4"/>
    <d v="1899-12-30T10:5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55"/>
    <m/>
    <m/>
    <m/>
    <m/>
    <m/>
    <n v="112"/>
    <x v="4"/>
    <m/>
    <s v=""/>
    <x v="2"/>
  </r>
  <r>
    <n v="428"/>
    <x v="0"/>
    <n v="1"/>
    <n v="0"/>
    <x v="0"/>
    <s v="CARRERA 19 CALLE 19"/>
    <n v="5.3392036111111105"/>
    <n v="-72.396914722222235"/>
    <s v="MOVILIDAD"/>
    <s v="URBANO"/>
    <x v="1"/>
    <s v="MARZO"/>
    <d v="2023-03-13T00:00:00"/>
    <x v="4"/>
    <d v="1899-12-30T21:30:00"/>
    <s v="MOTOCICLETA"/>
    <s v="MOTOCICLETA"/>
    <n v="2"/>
    <n v="0"/>
    <n v="0"/>
    <n v="0"/>
    <n v="0"/>
    <n v="0"/>
    <n v="0"/>
    <n v="0"/>
    <n v="0"/>
    <n v="0"/>
    <n v="0"/>
    <n v="0"/>
    <m/>
    <s v="FEMENINO"/>
    <n v="0"/>
    <n v="1"/>
    <m/>
    <m/>
    <m/>
    <m/>
    <n v="23"/>
    <m/>
    <n v="115"/>
    <x v="12"/>
    <n v="112"/>
    <s v="Desobedecer señales o normas de tránsito."/>
    <x v="0"/>
  </r>
  <r>
    <n v="609"/>
    <x v="0"/>
    <n v="2"/>
    <n v="0"/>
    <x v="0"/>
    <s v="CARRERA 19 CALLE 20 "/>
    <n v="5.3383750000000001"/>
    <n v="-72.396538888888898"/>
    <s v="MOVILIDAD"/>
    <s v="URBANO"/>
    <x v="1"/>
    <s v="NOVIEMBRE"/>
    <d v="2023-11-14T00:00:00"/>
    <x v="6"/>
    <d v="1899-12-30T11:10:00"/>
    <s v="MOTOCICLETA"/>
    <s v="AUTOMOVIL"/>
    <n v="1"/>
    <n v="0"/>
    <n v="1"/>
    <n v="0"/>
    <n v="0"/>
    <n v="0"/>
    <n v="0"/>
    <n v="0"/>
    <n v="0"/>
    <n v="0"/>
    <n v="0"/>
    <n v="0"/>
    <m/>
    <s v="FEMENINO"/>
    <n v="0"/>
    <n v="1"/>
    <n v="29"/>
    <m/>
    <m/>
    <m/>
    <n v="0.4"/>
    <m/>
    <n v="121"/>
    <x v="7"/>
    <n v="157"/>
    <s v="Otra"/>
    <x v="2"/>
  </r>
  <r>
    <n v="469"/>
    <x v="0"/>
    <n v="1"/>
    <n v="0"/>
    <x v="0"/>
    <s v="CARRERA 19 CALLE 21"/>
    <n v="5.3375694444444441"/>
    <n v="-72.396091666666678"/>
    <s v="MOVILIDAD"/>
    <s v="URBANO"/>
    <x v="1"/>
    <s v="MAYO"/>
    <d v="2023-05-05T00:00:00"/>
    <x v="0"/>
    <d v="1899-12-30T11:3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29"/>
    <m/>
    <m/>
    <m/>
    <m/>
    <m/>
    <n v="122"/>
    <x v="2"/>
    <m/>
    <s v=""/>
    <x v="2"/>
  </r>
  <r>
    <n v="418"/>
    <x v="0"/>
    <n v="2"/>
    <n v="0"/>
    <x v="0"/>
    <s v="CARRERA 19 CALLE 21 "/>
    <n v="5.3375694444444441"/>
    <n v="-72.396091666666678"/>
    <s v="MOVILIDAD"/>
    <s v="URBANO"/>
    <x v="1"/>
    <s v="FEBRERO"/>
    <d v="2023-02-25T00:00:00"/>
    <x v="5"/>
    <d v="1899-12-30T21:0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21"/>
    <n v="56"/>
    <m/>
    <m/>
    <m/>
    <m/>
    <n v="139"/>
    <x v="0"/>
    <n v="115"/>
    <s v="Embriaguez o Sustancias alucinogenas"/>
    <x v="0"/>
  </r>
  <r>
    <n v="971"/>
    <x v="0"/>
    <n v="1"/>
    <n v="0"/>
    <x v="0"/>
    <s v="CARRERA 19 CALLE 22"/>
    <n v="5.3368080000000004"/>
    <n v="-72.395600999999999"/>
    <s v="MOVILIDAD"/>
    <s v="URBANO"/>
    <x v="2"/>
    <s v="MAYO"/>
    <d v="2025-05-23T00:00:00"/>
    <x v="0"/>
    <d v="1899-12-30T17:45:00"/>
    <s v="MOTOCICLETA"/>
    <s v="MOTOCICLETA"/>
    <n v="2"/>
    <n v="0"/>
    <n v="0"/>
    <n v="0"/>
    <n v="0"/>
    <n v="0"/>
    <n v="0"/>
    <n v="0"/>
    <n v="0"/>
    <n v="0"/>
    <n v="0"/>
    <n v="0"/>
    <s v="MASCULINO"/>
    <s v="MASCULINO"/>
    <n v="2"/>
    <n v="0"/>
    <n v="43"/>
    <n v="21"/>
    <m/>
    <n v="14"/>
    <m/>
    <m/>
    <n v="139"/>
    <x v="0"/>
    <n v="157"/>
    <s v="Otra"/>
    <x v="1"/>
  </r>
  <r>
    <n v="975"/>
    <x v="0"/>
    <n v="2"/>
    <n v="0"/>
    <x v="0"/>
    <s v="CARRERA 19 CALLE 25-60"/>
    <n v="5.3339650000000001"/>
    <n v="-72.394199999999998"/>
    <s v="MOVILIDAD"/>
    <s v="URBANO"/>
    <x v="2"/>
    <s v="MAYO"/>
    <d v="2025-05-27T00:00:00"/>
    <x v="6"/>
    <d v="1899-12-30T19:40:00"/>
    <s v="MOTOCICLETA"/>
    <s v="BICICLETA"/>
    <n v="1"/>
    <n v="0"/>
    <n v="0"/>
    <n v="0"/>
    <n v="0"/>
    <n v="0"/>
    <n v="0"/>
    <n v="0"/>
    <n v="0"/>
    <n v="0"/>
    <n v="0"/>
    <n v="1"/>
    <s v="MASCULINO"/>
    <s v="MASCULINO"/>
    <n v="2"/>
    <n v="0"/>
    <n v="38"/>
    <n v="49"/>
    <m/>
    <m/>
    <m/>
    <m/>
    <n v="157"/>
    <x v="1"/>
    <m/>
    <s v=""/>
    <x v="0"/>
  </r>
  <r>
    <n v="819"/>
    <x v="0"/>
    <n v="2"/>
    <n v="0"/>
    <x v="0"/>
    <s v="CARRERA 19 CALLE 27"/>
    <n v="5.332841666666666"/>
    <n v="-72.393502777777783"/>
    <s v="MOVILIDAD"/>
    <s v="URBANO"/>
    <x v="3"/>
    <s v="NOVIEMBRE"/>
    <d v="2024-11-22T00:00:00"/>
    <x v="0"/>
    <d v="1899-12-30T23:43:00"/>
    <s v="MOTOCICLETA"/>
    <s v="CAMPERO"/>
    <n v="1"/>
    <n v="0"/>
    <n v="0"/>
    <n v="1"/>
    <n v="0"/>
    <n v="0"/>
    <n v="0"/>
    <n v="0"/>
    <n v="0"/>
    <n v="0"/>
    <n v="0"/>
    <n v="0"/>
    <s v="MASCULINO"/>
    <s v="FEMENINO"/>
    <n v="1"/>
    <n v="1"/>
    <n v="30"/>
    <n v="16"/>
    <n v="15"/>
    <m/>
    <m/>
    <m/>
    <n v="123"/>
    <x v="21"/>
    <n v="157"/>
    <s v="Otra"/>
    <x v="0"/>
  </r>
  <r>
    <n v="360"/>
    <x v="0"/>
    <n v="3"/>
    <n v="0"/>
    <x v="0"/>
    <s v="CARRERA 19 CALLE 33"/>
    <n v="5.3280777777777777"/>
    <n v="-72.390938888888897"/>
    <s v="MOVILIDAD"/>
    <s v="URBANO"/>
    <x v="0"/>
    <s v="NOVIEMBRE"/>
    <d v="2022-11-22T00:00:00"/>
    <x v="6"/>
    <d v="1899-12-30T18:30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n v="19"/>
    <n v="15"/>
    <m/>
    <m/>
    <n v="18"/>
    <m/>
    <n v="1"/>
    <x v="3"/>
    <m/>
    <s v=""/>
    <x v="0"/>
  </r>
  <r>
    <n v="284"/>
    <x v="0"/>
    <n v="2"/>
    <n v="0"/>
    <x v="0"/>
    <s v="CARRERA 19 CALLE 37"/>
    <n v="5.3248799999999994"/>
    <n v="-72.389209444444447"/>
    <s v="MOVILIDAD"/>
    <s v="URBANO"/>
    <x v="0"/>
    <s v="AGOSTO"/>
    <d v="2022-08-17T00:00:00"/>
    <x v="3"/>
    <d v="1899-12-30T15:1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38"/>
    <n v="21"/>
    <m/>
    <m/>
    <m/>
    <m/>
    <n v="132"/>
    <x v="13"/>
    <m/>
    <s v=""/>
    <x v="1"/>
  </r>
  <r>
    <n v="556"/>
    <x v="0"/>
    <n v="1"/>
    <n v="0"/>
    <x v="0"/>
    <s v="CARRERA 19 CALLE 9"/>
    <n v="5.3473672222222222"/>
    <n v="-72.401217500000001"/>
    <s v="MOVILIDAD"/>
    <s v="URBANO"/>
    <x v="1"/>
    <s v="SEPTIEMBRE"/>
    <d v="2023-09-16T00:00:00"/>
    <x v="5"/>
    <d v="1899-12-30T23:1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28"/>
    <m/>
    <m/>
    <m/>
    <m/>
    <m/>
    <n v="1"/>
    <x v="3"/>
    <m/>
    <s v=""/>
    <x v="0"/>
  </r>
  <r>
    <n v="562"/>
    <x v="0"/>
    <n v="1"/>
    <n v="0"/>
    <x v="0"/>
    <s v="CARRERA 19 ENTRE CALLE 34 Y 35 "/>
    <n v="5.3268641666666667"/>
    <n v="-72.390249166666678"/>
    <s v="MOVILIDAD"/>
    <s v="URBANO"/>
    <x v="1"/>
    <s v="SEPTIEMBRE"/>
    <d v="2023-09-28T00:00:00"/>
    <x v="1"/>
    <d v="1899-12-30T15:45:00"/>
    <s v="AUTOMOVIL"/>
    <m/>
    <n v="0"/>
    <n v="0"/>
    <n v="1"/>
    <n v="0"/>
    <n v="0"/>
    <n v="0"/>
    <n v="0"/>
    <n v="0"/>
    <n v="0"/>
    <n v="0"/>
    <n v="0"/>
    <n v="0"/>
    <m/>
    <s v="FEMENINO"/>
    <n v="0"/>
    <n v="1"/>
    <m/>
    <m/>
    <m/>
    <n v="38"/>
    <m/>
    <m/>
    <n v="157"/>
    <x v="1"/>
    <n v="116"/>
    <s v="Exceso de velocidad"/>
    <x v="1"/>
  </r>
  <r>
    <n v="389"/>
    <x v="0"/>
    <n v="1"/>
    <n v="0"/>
    <x v="0"/>
    <s v="CARRERA 2 # 6 MORICHAL "/>
    <n v="5.2280763888888888"/>
    <n v="-72.387115555555567"/>
    <s v="MOVILIDAD"/>
    <s v="RURAL"/>
    <x v="1"/>
    <s v="ENERO"/>
    <d v="2023-01-15T00:00:00"/>
    <x v="2"/>
    <d v="1899-12-30T14:4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19"/>
    <m/>
    <m/>
    <m/>
    <m/>
    <m/>
    <n v="127"/>
    <x v="18"/>
    <m/>
    <s v=""/>
    <x v="1"/>
  </r>
  <r>
    <n v="429"/>
    <x v="0"/>
    <n v="0"/>
    <n v="1"/>
    <x v="2"/>
    <s v="CARRERA 2 # 6 MORICHAL "/>
    <n v="5.228059"/>
    <n v="-72.387102999999996"/>
    <s v="MOVILIDAD"/>
    <s v="URBANO"/>
    <x v="1"/>
    <s v="MARZO"/>
    <d v="2023-03-14T00:00:00"/>
    <x v="6"/>
    <d v="1899-12-30T22:30:00"/>
    <s v="SIN INFORMACION"/>
    <m/>
    <n v="0"/>
    <n v="0"/>
    <n v="0"/>
    <n v="0"/>
    <n v="0"/>
    <n v="0"/>
    <n v="0"/>
    <n v="0"/>
    <n v="0"/>
    <n v="0"/>
    <n v="0"/>
    <n v="0"/>
    <m/>
    <m/>
    <n v="0"/>
    <n v="0"/>
    <m/>
    <m/>
    <m/>
    <m/>
    <m/>
    <m/>
    <n v="1"/>
    <x v="3"/>
    <m/>
    <s v=""/>
    <x v="0"/>
  </r>
  <r>
    <n v="411"/>
    <x v="0"/>
    <n v="1"/>
    <n v="0"/>
    <x v="0"/>
    <s v="CARRERA 2 CALLE 36"/>
    <n v="5.3201541666666667"/>
    <n v="-72.410947777777778"/>
    <s v="MOVILIDAD"/>
    <s v="URBANO"/>
    <x v="1"/>
    <s v="FEBRERO"/>
    <d v="2023-02-19T00:00:00"/>
    <x v="2"/>
    <d v="1899-12-30T04:15:00"/>
    <s v="SIN INFORMACION"/>
    <m/>
    <n v="0"/>
    <n v="0"/>
    <n v="0"/>
    <n v="0"/>
    <n v="0"/>
    <n v="0"/>
    <n v="0"/>
    <n v="0"/>
    <n v="0"/>
    <n v="0"/>
    <n v="0"/>
    <n v="0"/>
    <m/>
    <s v="FEMENINO"/>
    <n v="0"/>
    <n v="1"/>
    <n v="29"/>
    <m/>
    <m/>
    <m/>
    <m/>
    <m/>
    <n v="157"/>
    <x v="1"/>
    <m/>
    <s v=""/>
    <x v="2"/>
  </r>
  <r>
    <n v="431"/>
    <x v="0"/>
    <n v="2"/>
    <n v="0"/>
    <x v="0"/>
    <s v="CARRERA 2 CALLE 59"/>
    <n v="5.3036366666666668"/>
    <n v="-72.41057722222223"/>
    <s v="MOVILIDAD"/>
    <s v="URBANO"/>
    <x v="1"/>
    <s v="MARZO"/>
    <d v="2023-03-17T00:00:00"/>
    <x v="0"/>
    <d v="1899-12-30T10:1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25"/>
    <m/>
    <m/>
    <m/>
    <n v="22"/>
    <m/>
    <n v="139"/>
    <x v="0"/>
    <n v="157"/>
    <s v="Otra"/>
    <x v="2"/>
  </r>
  <r>
    <n v="553"/>
    <x v="1"/>
    <n v="0"/>
    <n v="0"/>
    <x v="1"/>
    <s v="CARRERA 20  # 16-46"/>
    <n v="5.3417427777777773"/>
    <n v="-72.397216666666679"/>
    <s v="MOVILIDAD"/>
    <s v="URBANO"/>
    <x v="1"/>
    <s v="SEPTIEMBRE"/>
    <d v="2023-09-08T00:00:00"/>
    <x v="0"/>
    <d v="1899-12-30T09:0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m/>
    <m/>
    <m/>
    <m/>
    <m/>
    <m/>
    <n v="139"/>
    <x v="0"/>
    <n v="114"/>
    <s v="Embriaguez aparente."/>
    <x v="2"/>
  </r>
  <r>
    <n v="741"/>
    <x v="0"/>
    <n v="0"/>
    <n v="1"/>
    <x v="2"/>
    <s v="CARRERA 20  # 18-09"/>
    <n v="5.3402691666666664"/>
    <n v="-72.396330277777778"/>
    <s v="MOVILIDAD"/>
    <s v="URBANO"/>
    <x v="3"/>
    <s v="JULIO"/>
    <d v="2024-07-06T00:00:00"/>
    <x v="5"/>
    <d v="1899-12-30T22:20:00"/>
    <s v="MOTOCICLETA"/>
    <m/>
    <n v="1"/>
    <n v="0"/>
    <n v="0"/>
    <n v="0"/>
    <n v="0"/>
    <n v="0"/>
    <n v="0"/>
    <n v="0"/>
    <n v="0"/>
    <n v="0"/>
    <n v="0"/>
    <n v="0"/>
    <m/>
    <s v="FEMENINO"/>
    <n v="0"/>
    <n v="1"/>
    <m/>
    <m/>
    <m/>
    <m/>
    <m/>
    <n v="26"/>
    <n v="139"/>
    <x v="0"/>
    <n v="157"/>
    <s v="Otra"/>
    <x v="0"/>
  </r>
  <r>
    <n v="797"/>
    <x v="0"/>
    <n v="1"/>
    <n v="0"/>
    <x v="0"/>
    <s v="CARRERA 20  # 18-66"/>
    <n v="5.3406152777777773"/>
    <n v="-72.395572777777787"/>
    <s v="MOVILIDAD"/>
    <s v="URBANO"/>
    <x v="3"/>
    <s v="OCTUBRE"/>
    <d v="2024-10-24T00:00:00"/>
    <x v="1"/>
    <d v="1899-12-30T08:42:00"/>
    <s v="MOTOCICLETA"/>
    <s v="AUTOMOVIL"/>
    <n v="1"/>
    <n v="0"/>
    <n v="1"/>
    <n v="0"/>
    <n v="0"/>
    <n v="0"/>
    <n v="0"/>
    <n v="0"/>
    <n v="0"/>
    <n v="0"/>
    <n v="0"/>
    <n v="0"/>
    <s v="MASCULINO"/>
    <s v="FEMENINO"/>
    <n v="1"/>
    <n v="1"/>
    <n v="20"/>
    <n v="50"/>
    <m/>
    <m/>
    <m/>
    <m/>
    <n v="139"/>
    <x v="0"/>
    <m/>
    <s v=""/>
    <x v="2"/>
  </r>
  <r>
    <n v="381"/>
    <x v="0"/>
    <n v="2"/>
    <n v="0"/>
    <x v="0"/>
    <s v="CARRERA 20  # 34-90"/>
    <n v="5.3271888888888883"/>
    <n v="-72.38933611111112"/>
    <s v="MOVILIDAD"/>
    <s v="URBANO"/>
    <x v="0"/>
    <s v="DICIEMBRE"/>
    <d v="2022-12-30T00:00:00"/>
    <x v="0"/>
    <d v="1899-12-30T08:4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25"/>
    <n v="33"/>
    <m/>
    <m/>
    <m/>
    <m/>
    <n v="157"/>
    <x v="1"/>
    <m/>
    <s v=""/>
    <x v="2"/>
  </r>
  <r>
    <n v="623"/>
    <x v="0"/>
    <n v="2"/>
    <n v="0"/>
    <x v="0"/>
    <s v="CARRERA 20  # 35-41"/>
    <n v="5.3266777777777774"/>
    <n v="-72.388938888888902"/>
    <s v="MOVILIDAD"/>
    <s v="URBANO"/>
    <x v="1"/>
    <s v="NOVIEMBRE"/>
    <d v="2023-11-28T00:00:00"/>
    <x v="6"/>
    <d v="1899-12-30T14:00:00"/>
    <s v="MOTOCICLETA"/>
    <m/>
    <n v="1"/>
    <n v="0"/>
    <n v="0"/>
    <n v="0"/>
    <n v="0"/>
    <n v="0"/>
    <n v="0"/>
    <n v="0"/>
    <n v="0"/>
    <n v="0"/>
    <n v="0"/>
    <n v="0"/>
    <s v="MASCULINO"/>
    <s v="FEMENINO"/>
    <n v="1"/>
    <n v="1"/>
    <n v="17"/>
    <n v="80"/>
    <m/>
    <m/>
    <m/>
    <m/>
    <n v="1"/>
    <x v="3"/>
    <m/>
    <s v=""/>
    <x v="1"/>
  </r>
  <r>
    <n v="292"/>
    <x v="0"/>
    <n v="2"/>
    <n v="0"/>
    <x v="0"/>
    <s v="CARRERA 20 #  24"/>
    <n v="5.3357260000000002"/>
    <n v="-72.393918999999997"/>
    <s v="MOVILIDAD"/>
    <s v="URBANO"/>
    <x v="0"/>
    <s v="AGOSTO"/>
    <d v="2022-08-31T00:00:00"/>
    <x v="3"/>
    <d v="1899-12-30T05:3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22"/>
    <n v="23"/>
    <m/>
    <m/>
    <m/>
    <m/>
    <n v="122"/>
    <x v="2"/>
    <m/>
    <s v=""/>
    <x v="2"/>
  </r>
  <r>
    <n v="118"/>
    <x v="0"/>
    <n v="1"/>
    <n v="0"/>
    <x v="0"/>
    <s v="CARRERA 20 #  24"/>
    <n v="5.3357260000000002"/>
    <n v="-72.393918999999997"/>
    <s v="MOVILIDAD"/>
    <s v="URBANO"/>
    <x v="0"/>
    <s v="ABRIL"/>
    <d v="2022-04-06T00:00:00"/>
    <x v="3"/>
    <d v="1899-12-30T13:22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20"/>
    <m/>
    <m/>
    <m/>
    <m/>
    <m/>
    <n v="122"/>
    <x v="2"/>
    <m/>
    <s v=""/>
    <x v="1"/>
  </r>
  <r>
    <n v="363"/>
    <x v="0"/>
    <n v="1"/>
    <n v="0"/>
    <x v="0"/>
    <s v="CARRERA 20 #  24"/>
    <n v="5.3357260000000002"/>
    <n v="-72.393918999999997"/>
    <s v="MOVILIDAD"/>
    <s v="URBANO"/>
    <x v="0"/>
    <s v="NOVIEMBRE"/>
    <d v="2022-11-23T00:00:00"/>
    <x v="3"/>
    <d v="1899-12-30T20:30:00"/>
    <s v="MOTOCICLETA"/>
    <s v="AUTOMOVIL"/>
    <n v="1"/>
    <n v="0"/>
    <n v="1"/>
    <n v="0"/>
    <n v="0"/>
    <n v="0"/>
    <n v="0"/>
    <n v="0"/>
    <n v="0"/>
    <n v="0"/>
    <n v="0"/>
    <n v="0"/>
    <m/>
    <s v="FEMENINO"/>
    <n v="0"/>
    <n v="1"/>
    <n v="20"/>
    <m/>
    <m/>
    <m/>
    <m/>
    <m/>
    <n v="115"/>
    <x v="12"/>
    <n v="104"/>
    <s v="Adelantar invadiendo carril de sentido contrario."/>
    <x v="0"/>
  </r>
  <r>
    <n v="558"/>
    <x v="0"/>
    <n v="1"/>
    <n v="0"/>
    <x v="0"/>
    <s v="CARRERA 20 #  24"/>
    <n v="5.3357260000000002"/>
    <n v="-72.393918999999997"/>
    <s v="MOVILIDAD"/>
    <s v="URBANO"/>
    <x v="1"/>
    <s v="SEPTIEMBRE"/>
    <d v="2023-09-09T00:00:00"/>
    <x v="5"/>
    <d v="1899-12-30T21:50:00"/>
    <s v="MOTOCICLETA"/>
    <s v="MOTOCICLETA"/>
    <n v="2"/>
    <n v="0"/>
    <n v="0"/>
    <n v="0"/>
    <n v="0"/>
    <n v="0"/>
    <n v="0"/>
    <n v="0"/>
    <n v="0"/>
    <n v="0"/>
    <n v="0"/>
    <n v="0"/>
    <m/>
    <s v="FEMENINO"/>
    <n v="0"/>
    <n v="1"/>
    <m/>
    <m/>
    <m/>
    <m/>
    <n v="10"/>
    <m/>
    <n v="115"/>
    <x v="12"/>
    <m/>
    <s v=""/>
    <x v="0"/>
  </r>
  <r>
    <n v="376"/>
    <x v="0"/>
    <n v="1"/>
    <n v="0"/>
    <x v="0"/>
    <s v="CARRERA 20 #  24"/>
    <n v="5.3357260000000002"/>
    <n v="-72.393918999999997"/>
    <s v="MOVILIDAD"/>
    <s v="URBANO"/>
    <x v="0"/>
    <s v="DICIEMBRE"/>
    <d v="2022-12-21T00:00:00"/>
    <x v="3"/>
    <d v="1899-12-30T15:0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23"/>
    <n v="25"/>
    <m/>
    <m/>
    <m/>
    <m/>
    <n v="112"/>
    <x v="4"/>
    <m/>
    <s v=""/>
    <x v="1"/>
  </r>
  <r>
    <n v="502"/>
    <x v="0"/>
    <n v="2"/>
    <n v="0"/>
    <x v="0"/>
    <s v="CARRERA 20 # 10"/>
    <n v="5.3467961111111109"/>
    <n v="-72.39990111111112"/>
    <s v="MOVILIDAD"/>
    <s v="URBANO"/>
    <x v="1"/>
    <s v="JUNIO"/>
    <d v="2023-06-07T00:00:00"/>
    <x v="3"/>
    <d v="1899-12-30T21:0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17"/>
    <m/>
    <m/>
    <m/>
    <n v="27"/>
    <m/>
    <n v="157"/>
    <x v="1"/>
    <n v="139"/>
    <s v="Impericia en el manejo."/>
    <x v="0"/>
  </r>
  <r>
    <n v="303"/>
    <x v="0"/>
    <n v="1"/>
    <n v="0"/>
    <x v="0"/>
    <s v="CARRERA 20 # 10"/>
    <n v="5.3467961111111109"/>
    <n v="-72.39990111111112"/>
    <s v="MOVILIDAD"/>
    <s v="URBANO"/>
    <x v="0"/>
    <s v="SEPTIEMBRE"/>
    <d v="2022-09-10T00:00:00"/>
    <x v="5"/>
    <d v="1899-12-31T02:15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21"/>
    <m/>
    <m/>
    <m/>
    <m/>
    <m/>
    <n v="139"/>
    <x v="0"/>
    <n v="157"/>
    <s v="Otra"/>
    <x v="2"/>
  </r>
  <r>
    <n v="942"/>
    <x v="0"/>
    <n v="1"/>
    <n v="0"/>
    <x v="0"/>
    <s v="CARRERA 20 # 10"/>
    <n v="5.3467961111111109"/>
    <n v="-72.39990111111112"/>
    <s v="MOVILIDAD"/>
    <s v="URBANO"/>
    <x v="2"/>
    <s v="ABRIL"/>
    <d v="2025-04-18T00:00:00"/>
    <x v="0"/>
    <d v="1899-12-30T19:30:00"/>
    <s v="MOTOCICLETA"/>
    <s v="CAMIONETA"/>
    <n v="1"/>
    <n v="0"/>
    <n v="0"/>
    <n v="0"/>
    <n v="1"/>
    <n v="0"/>
    <n v="0"/>
    <n v="0"/>
    <n v="0"/>
    <n v="0"/>
    <n v="0"/>
    <n v="0"/>
    <s v="FEMENINO"/>
    <s v="FEMENINO"/>
    <n v="0"/>
    <n v="2"/>
    <n v="26"/>
    <n v="36"/>
    <m/>
    <m/>
    <m/>
    <m/>
    <n v="122"/>
    <x v="2"/>
    <m/>
    <s v=""/>
    <x v="0"/>
  </r>
  <r>
    <n v="161"/>
    <x v="1"/>
    <n v="0"/>
    <n v="0"/>
    <x v="1"/>
    <s v="CARRERA 20 # 10-54"/>
    <n v="5.3462805555555555"/>
    <n v="-72.399638888888902"/>
    <s v="MOVILIDAD"/>
    <s v="URBANO"/>
    <x v="0"/>
    <s v="ABRIL"/>
    <d v="2022-04-30T00:00:00"/>
    <x v="5"/>
    <d v="1899-12-30T15:10:00"/>
    <s v="AUTOMOVIL"/>
    <s v="MICROBUS"/>
    <n v="0"/>
    <n v="0"/>
    <n v="1"/>
    <n v="0"/>
    <n v="0"/>
    <n v="1"/>
    <n v="0"/>
    <n v="0"/>
    <n v="0"/>
    <n v="0"/>
    <n v="0"/>
    <n v="0"/>
    <m/>
    <s v="FEMENINO"/>
    <n v="0"/>
    <n v="1"/>
    <m/>
    <m/>
    <m/>
    <m/>
    <m/>
    <m/>
    <n v="143"/>
    <x v="32"/>
    <m/>
    <s v=""/>
    <x v="1"/>
  </r>
  <r>
    <n v="625"/>
    <x v="0"/>
    <n v="1"/>
    <n v="0"/>
    <x v="0"/>
    <s v="CARRERA 20 # 12"/>
    <n v="5.3451972222222217"/>
    <n v="-72.399041666666676"/>
    <s v="MOVILIDAD"/>
    <s v="URBANO"/>
    <x v="1"/>
    <s v="DICIEMBRE"/>
    <d v="2023-12-05T00:00:00"/>
    <x v="6"/>
    <d v="1899-12-30T05:40:00"/>
    <s v="MOTOCICLETA"/>
    <s v="CAMIONETA"/>
    <n v="1"/>
    <n v="0"/>
    <n v="0"/>
    <n v="0"/>
    <n v="1"/>
    <n v="0"/>
    <n v="0"/>
    <n v="0"/>
    <n v="0"/>
    <n v="0"/>
    <n v="0"/>
    <n v="0"/>
    <s v="MASCULINO"/>
    <s v="FEMENINO"/>
    <n v="1"/>
    <n v="1"/>
    <n v="46"/>
    <m/>
    <m/>
    <m/>
    <m/>
    <m/>
    <n v="112"/>
    <x v="4"/>
    <m/>
    <s v=""/>
    <x v="2"/>
  </r>
  <r>
    <n v="786"/>
    <x v="0"/>
    <n v="1"/>
    <n v="0"/>
    <x v="0"/>
    <s v="CARRERA 20 # 12"/>
    <n v="5.3451972222222217"/>
    <n v="-72.399041666666676"/>
    <s v="MOVILIDAD"/>
    <s v="URBANO"/>
    <x v="3"/>
    <s v="OCTUBRE"/>
    <d v="2024-10-03T00:00:00"/>
    <x v="1"/>
    <d v="1899-12-30T14:03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49"/>
    <m/>
    <m/>
    <m/>
    <m/>
    <m/>
    <n v="102"/>
    <x v="29"/>
    <m/>
    <s v=""/>
    <x v="1"/>
  </r>
  <r>
    <n v="739"/>
    <x v="0"/>
    <n v="1"/>
    <n v="0"/>
    <x v="0"/>
    <s v="CARRERA 20 # 15"/>
    <n v="5.3428688888888889"/>
    <n v="-72.397781388888902"/>
    <s v="MOVILIDAD"/>
    <s v="URBANO"/>
    <x v="3"/>
    <s v="JULIO"/>
    <d v="2024-07-01T00:00:00"/>
    <x v="4"/>
    <d v="1899-12-30T18:3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29"/>
    <m/>
    <m/>
    <m/>
    <m/>
    <m/>
    <n v="157"/>
    <x v="1"/>
    <m/>
    <s v=""/>
    <x v="0"/>
  </r>
  <r>
    <n v="386"/>
    <x v="0"/>
    <n v="3"/>
    <n v="0"/>
    <x v="0"/>
    <s v="CARRERA 20 # 15"/>
    <n v="5.3428688888888889"/>
    <n v="-72.397781388888902"/>
    <s v="MOVILIDAD"/>
    <s v="URBANO"/>
    <x v="1"/>
    <s v="ENERO"/>
    <d v="2023-01-08T00:00:00"/>
    <x v="2"/>
    <d v="1899-12-30T18:20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n v="24"/>
    <n v="23"/>
    <m/>
    <m/>
    <n v="22"/>
    <m/>
    <n v="139"/>
    <x v="0"/>
    <n v="139"/>
    <s v="Impericia en el manejo."/>
    <x v="0"/>
  </r>
  <r>
    <n v="655"/>
    <x v="0"/>
    <n v="1"/>
    <n v="0"/>
    <x v="0"/>
    <s v="CARRERA 20 # 18"/>
    <n v="5.3404333333333334"/>
    <n v="-72.396502777777783"/>
    <s v="MOVILIDAD"/>
    <s v="URBANO"/>
    <x v="3"/>
    <s v="ENERO"/>
    <d v="2024-01-31T00:00:00"/>
    <x v="3"/>
    <d v="1899-12-30T17:3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18"/>
    <n v="73"/>
    <m/>
    <m/>
    <m/>
    <m/>
    <n v="139"/>
    <x v="0"/>
    <m/>
    <s v=""/>
    <x v="1"/>
  </r>
  <r>
    <n v="911"/>
    <x v="1"/>
    <n v="0"/>
    <n v="0"/>
    <x v="1"/>
    <s v="CARRERA 20 # 18"/>
    <n v="5.3404333333333334"/>
    <n v="-72.396502777777783"/>
    <s v="MOVILIDAD"/>
    <s v="URBANO"/>
    <x v="2"/>
    <s v="MARZO"/>
    <d v="2025-03-26T00:00:00"/>
    <x v="3"/>
    <d v="1899-12-30T01:30:00"/>
    <s v="CAMPERO"/>
    <m/>
    <n v="0"/>
    <n v="0"/>
    <n v="0"/>
    <n v="1"/>
    <n v="0"/>
    <n v="0"/>
    <n v="0"/>
    <n v="0"/>
    <n v="0"/>
    <n v="0"/>
    <n v="0"/>
    <n v="0"/>
    <s v="MASCULINO"/>
    <m/>
    <n v="1"/>
    <n v="0"/>
    <n v="28"/>
    <m/>
    <m/>
    <m/>
    <m/>
    <m/>
    <n v="115"/>
    <x v="12"/>
    <m/>
    <s v=""/>
    <x v="2"/>
  </r>
  <r>
    <n v="648"/>
    <x v="0"/>
    <n v="1"/>
    <n v="0"/>
    <x v="0"/>
    <s v="CARRERA 20 # 20"/>
    <n v="5.3388722222222222"/>
    <n v="-72.395641666666677"/>
    <s v="MOVILIDAD"/>
    <s v="URBANO"/>
    <x v="3"/>
    <s v="ENERO"/>
    <d v="2024-01-25T00:00:00"/>
    <x v="1"/>
    <d v="1899-12-30T15:15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18"/>
    <n v="72"/>
    <m/>
    <m/>
    <m/>
    <m/>
    <n v="157"/>
    <x v="1"/>
    <n v="409"/>
    <s v="Cruzar sin observar."/>
    <x v="1"/>
  </r>
  <r>
    <n v="334"/>
    <x v="0"/>
    <n v="1"/>
    <n v="0"/>
    <x v="0"/>
    <s v="CARRERA 20 # 20"/>
    <n v="5.3388722222222222"/>
    <n v="-72.395641666666677"/>
    <s v="MOVILIDAD"/>
    <s v="URBANO"/>
    <x v="0"/>
    <s v="OCTUBRE"/>
    <d v="2022-10-18T00:00:00"/>
    <x v="6"/>
    <d v="1899-12-30T10:50:00"/>
    <s v="MOTOCICLETA"/>
    <s v="CAMIONETA"/>
    <n v="1"/>
    <n v="0"/>
    <n v="0"/>
    <n v="0"/>
    <n v="1"/>
    <n v="0"/>
    <n v="0"/>
    <n v="0"/>
    <n v="0"/>
    <n v="0"/>
    <n v="0"/>
    <n v="0"/>
    <s v="MASCULINO"/>
    <m/>
    <n v="1"/>
    <n v="0"/>
    <n v="28"/>
    <m/>
    <m/>
    <m/>
    <m/>
    <m/>
    <n v="139"/>
    <x v="0"/>
    <n v="157"/>
    <s v="Otra"/>
    <x v="2"/>
  </r>
  <r>
    <n v="714"/>
    <x v="0"/>
    <n v="1"/>
    <n v="0"/>
    <x v="0"/>
    <s v="CARRERA 20 # 20"/>
    <n v="5.3388722222222222"/>
    <n v="-72.395641666666677"/>
    <s v="MOVILIDAD"/>
    <s v="URBANO"/>
    <x v="3"/>
    <s v="MAYO"/>
    <d v="2024-05-15T00:00:00"/>
    <x v="3"/>
    <d v="1899-12-30T21:25:00"/>
    <s v="MOTOCICLETA"/>
    <s v="CAMPERO"/>
    <n v="1"/>
    <n v="0"/>
    <n v="0"/>
    <n v="1"/>
    <n v="0"/>
    <n v="0"/>
    <n v="0"/>
    <n v="0"/>
    <n v="0"/>
    <n v="0"/>
    <n v="0"/>
    <n v="0"/>
    <s v="MASCULINO"/>
    <s v="FEMENINO"/>
    <n v="1"/>
    <n v="1"/>
    <n v="32"/>
    <n v="0"/>
    <m/>
    <m/>
    <m/>
    <m/>
    <n v="112"/>
    <x v="4"/>
    <n v="139"/>
    <s v="Impericia en el manejo."/>
    <x v="0"/>
  </r>
  <r>
    <n v="869"/>
    <x v="0"/>
    <n v="1"/>
    <n v="0"/>
    <x v="0"/>
    <s v="CARRERA 20 # 21"/>
    <n v="5.3380789999999996"/>
    <n v="-72.395188000000005"/>
    <s v="MOVILIDAD"/>
    <s v="URBANO"/>
    <x v="2"/>
    <s v="FEBRERO"/>
    <d v="2025-02-06T00:00:00"/>
    <x v="1"/>
    <d v="1899-12-30T17:30:00"/>
    <s v="MOTOCICLETA"/>
    <s v="AUTOMOVIL"/>
    <n v="1"/>
    <n v="0"/>
    <n v="1"/>
    <n v="0"/>
    <n v="0"/>
    <n v="0"/>
    <n v="0"/>
    <n v="0"/>
    <n v="0"/>
    <n v="0"/>
    <n v="0"/>
    <n v="0"/>
    <s v="FEMENINO"/>
    <s v="MASCULINO"/>
    <n v="1"/>
    <n v="1"/>
    <n v="54"/>
    <n v="16"/>
    <m/>
    <m/>
    <m/>
    <m/>
    <n v="132"/>
    <x v="13"/>
    <n v="139"/>
    <s v="Impericia en el manejo."/>
    <x v="1"/>
  </r>
  <r>
    <n v="999"/>
    <x v="0"/>
    <n v="1"/>
    <n v="0"/>
    <x v="0"/>
    <s v="CARRERA 20 # 21"/>
    <n v="5.3380789999999996"/>
    <n v="-72.395205000000004"/>
    <s v="MOVILIDAD"/>
    <s v="URBANO"/>
    <x v="2"/>
    <s v="JUNIO"/>
    <d v="2025-06-21T00:00:00"/>
    <x v="5"/>
    <d v="1899-12-30T15:10:00"/>
    <s v="MOTOCICLETA"/>
    <s v="MOTOCICLETA"/>
    <n v="2"/>
    <n v="0"/>
    <n v="0"/>
    <n v="0"/>
    <n v="0"/>
    <n v="0"/>
    <n v="0"/>
    <n v="0"/>
    <n v="0"/>
    <n v="0"/>
    <n v="0"/>
    <n v="0"/>
    <s v="MASCULINO"/>
    <s v="MASCULINO"/>
    <n v="2"/>
    <n v="0"/>
    <n v="39"/>
    <n v="39"/>
    <m/>
    <m/>
    <m/>
    <m/>
    <n v="127"/>
    <x v="18"/>
    <m/>
    <s v=""/>
    <x v="1"/>
  </r>
  <r>
    <n v="253"/>
    <x v="0"/>
    <n v="1"/>
    <n v="0"/>
    <x v="0"/>
    <s v="CARRERA 20 # 27"/>
    <n v="5.3333416666666666"/>
    <n v="-72.392600000000002"/>
    <s v="MOVILIDAD"/>
    <s v="URBANO"/>
    <x v="0"/>
    <s v="JULIO"/>
    <d v="2022-07-16T00:00:00"/>
    <x v="5"/>
    <d v="1899-12-30T10:20:00"/>
    <s v="MOTOCICLETA"/>
    <s v="CAMION"/>
    <n v="1"/>
    <n v="0"/>
    <n v="0"/>
    <n v="0"/>
    <n v="0"/>
    <n v="0"/>
    <n v="0"/>
    <n v="0"/>
    <n v="1"/>
    <n v="0"/>
    <n v="0"/>
    <n v="0"/>
    <s v="MASCULINO"/>
    <m/>
    <n v="1"/>
    <n v="0"/>
    <n v="45"/>
    <m/>
    <m/>
    <m/>
    <m/>
    <m/>
    <n v="139"/>
    <x v="0"/>
    <n v="114"/>
    <s v="Embriaguez aparente."/>
    <x v="2"/>
  </r>
  <r>
    <n v="136"/>
    <x v="0"/>
    <n v="2"/>
    <n v="0"/>
    <x v="0"/>
    <s v="CARRERA 20 # 27"/>
    <n v="5.3333416666666666"/>
    <n v="-72.392600000000002"/>
    <s v="MOVILIDAD"/>
    <s v="URBANO"/>
    <x v="0"/>
    <s v="ABRIL"/>
    <d v="2022-04-14T00:00:00"/>
    <x v="1"/>
    <d v="1899-12-30T12:30:00"/>
    <s v="MOTOCICLETA"/>
    <s v="MICROBUS"/>
    <n v="1"/>
    <n v="0"/>
    <n v="0"/>
    <n v="0"/>
    <n v="0"/>
    <n v="1"/>
    <n v="0"/>
    <n v="0"/>
    <n v="0"/>
    <n v="0"/>
    <n v="0"/>
    <n v="0"/>
    <s v="MASCULINO"/>
    <s v="FEMENINO"/>
    <n v="1"/>
    <n v="1"/>
    <n v="23"/>
    <m/>
    <m/>
    <m/>
    <n v="24"/>
    <m/>
    <n v="112"/>
    <x v="4"/>
    <n v="115"/>
    <s v="Embriaguez o Sustancias alucinogenas"/>
    <x v="1"/>
  </r>
  <r>
    <n v="620"/>
    <x v="0"/>
    <n v="2"/>
    <n v="0"/>
    <x v="0"/>
    <s v="CARRERA 20 # 27"/>
    <n v="5.3333416666666666"/>
    <n v="-72.392600000000002"/>
    <s v="MOVILIDAD"/>
    <s v="URBANO"/>
    <x v="1"/>
    <s v="NOVIEMBRE"/>
    <d v="2023-11-26T00:00:00"/>
    <x v="2"/>
    <d v="1899-12-30T18:10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n v="24"/>
    <n v="25"/>
    <m/>
    <m/>
    <m/>
    <m/>
    <n v="112"/>
    <x v="4"/>
    <n v="116"/>
    <s v="Exceso de velocidad"/>
    <x v="0"/>
  </r>
  <r>
    <n v="764"/>
    <x v="1"/>
    <n v="0"/>
    <n v="0"/>
    <x v="1"/>
    <s v="CARRERA 20 # 30"/>
    <n v="5.3308972222222222"/>
    <n v="-72.391325000000009"/>
    <s v="MOVILIDAD"/>
    <s v="URBANO"/>
    <x v="3"/>
    <s v="AGOSTO"/>
    <d v="2024-08-19T00:00:00"/>
    <x v="4"/>
    <d v="1899-12-30T16:30:00"/>
    <s v="AUTOMOVIL"/>
    <s v="MICROBUS"/>
    <n v="0"/>
    <n v="0"/>
    <n v="1"/>
    <n v="0"/>
    <n v="0"/>
    <n v="1"/>
    <n v="0"/>
    <n v="0"/>
    <n v="0"/>
    <n v="0"/>
    <n v="0"/>
    <n v="0"/>
    <s v="MASCULINO"/>
    <s v="FEMENINO"/>
    <n v="1"/>
    <n v="1"/>
    <n v="27"/>
    <n v="51"/>
    <m/>
    <m/>
    <m/>
    <m/>
    <n v="157"/>
    <x v="1"/>
    <m/>
    <s v=""/>
    <x v="1"/>
  </r>
  <r>
    <n v="138"/>
    <x v="1"/>
    <n v="0"/>
    <n v="0"/>
    <x v="1"/>
    <s v="CARRERA 20 # 30"/>
    <n v="5.3308972222222222"/>
    <n v="-72.391325000000009"/>
    <s v="MOVILIDAD"/>
    <s v="URBANO"/>
    <x v="0"/>
    <s v="ABRIL"/>
    <d v="2022-04-16T00:00:00"/>
    <x v="5"/>
    <d v="1899-12-30T23:00:00"/>
    <s v="MOTOCICLETA"/>
    <s v="MOTOCICLETA"/>
    <n v="2"/>
    <n v="0"/>
    <n v="0"/>
    <n v="0"/>
    <n v="0"/>
    <n v="0"/>
    <n v="0"/>
    <n v="0"/>
    <n v="0"/>
    <n v="0"/>
    <n v="0"/>
    <n v="0"/>
    <m/>
    <s v="FEMENINO"/>
    <n v="0"/>
    <n v="1"/>
    <m/>
    <m/>
    <m/>
    <m/>
    <m/>
    <m/>
    <n v="157"/>
    <x v="1"/>
    <m/>
    <s v=""/>
    <x v="0"/>
  </r>
  <r>
    <n v="649"/>
    <x v="0"/>
    <n v="2"/>
    <n v="0"/>
    <x v="0"/>
    <s v="CARRERA 20 # 30"/>
    <n v="5.3308972222222222"/>
    <n v="-72.391325000000009"/>
    <s v="MOVILIDAD"/>
    <s v="URBANO"/>
    <x v="3"/>
    <s v="ENERO"/>
    <d v="2024-01-25T00:00:00"/>
    <x v="1"/>
    <d v="1899-12-30T13:40:00"/>
    <s v="AUTOMOVIL"/>
    <s v="AUTOMOVIL"/>
    <n v="0"/>
    <n v="0"/>
    <n v="2"/>
    <n v="0"/>
    <n v="0"/>
    <n v="0"/>
    <n v="0"/>
    <n v="0"/>
    <n v="0"/>
    <n v="0"/>
    <n v="0"/>
    <n v="0"/>
    <m/>
    <s v="FEMENINO"/>
    <n v="0"/>
    <n v="1"/>
    <n v="43"/>
    <n v="26"/>
    <m/>
    <m/>
    <m/>
    <m/>
    <n v="157"/>
    <x v="1"/>
    <m/>
    <s v=""/>
    <x v="1"/>
  </r>
  <r>
    <n v="278"/>
    <x v="0"/>
    <n v="1"/>
    <n v="0"/>
    <x v="0"/>
    <s v="CARRERA 20 # 30"/>
    <n v="5.3308972222222222"/>
    <n v="-72.391325000000009"/>
    <s v="MOVILIDAD"/>
    <s v="URBANO"/>
    <x v="0"/>
    <s v="AGOSTO"/>
    <d v="2022-08-13T00:00:00"/>
    <x v="5"/>
    <d v="1899-12-30T04:20:00"/>
    <s v="MOTOCICLETA"/>
    <s v="CAMPERO"/>
    <n v="1"/>
    <n v="0"/>
    <n v="0"/>
    <n v="1"/>
    <n v="0"/>
    <n v="0"/>
    <n v="0"/>
    <n v="0"/>
    <n v="0"/>
    <n v="0"/>
    <n v="0"/>
    <n v="0"/>
    <s v="MASCULINO"/>
    <m/>
    <n v="1"/>
    <n v="0"/>
    <n v="35"/>
    <m/>
    <m/>
    <m/>
    <m/>
    <m/>
    <n v="139"/>
    <x v="0"/>
    <n v="142"/>
    <s v="Semáforo en rojo."/>
    <x v="2"/>
  </r>
  <r>
    <n v="150"/>
    <x v="1"/>
    <n v="0"/>
    <n v="0"/>
    <x v="1"/>
    <s v="CARRERA 20 # 30"/>
    <n v="5.3308972222222222"/>
    <n v="-72.391325000000009"/>
    <s v="MOVILIDAD"/>
    <s v="URBANO"/>
    <x v="0"/>
    <s v="ABRIL"/>
    <d v="2022-04-22T00:00:00"/>
    <x v="0"/>
    <d v="1899-12-30T06:40:00"/>
    <s v="AUTOMOVIL"/>
    <s v="AUTOMOVIL"/>
    <n v="0"/>
    <n v="0"/>
    <n v="2"/>
    <n v="0"/>
    <n v="0"/>
    <n v="0"/>
    <n v="0"/>
    <n v="0"/>
    <n v="0"/>
    <n v="0"/>
    <n v="0"/>
    <n v="0"/>
    <s v="MASCULINO"/>
    <m/>
    <n v="1"/>
    <n v="0"/>
    <m/>
    <m/>
    <m/>
    <m/>
    <m/>
    <m/>
    <n v="122"/>
    <x v="2"/>
    <m/>
    <s v=""/>
    <x v="2"/>
  </r>
  <r>
    <n v="955"/>
    <x v="0"/>
    <n v="3"/>
    <n v="0"/>
    <x v="0"/>
    <s v="CARRERA 20 # 30"/>
    <n v="5.3308972222222222"/>
    <n v="-72.391325000000009"/>
    <s v="MOVILIDAD"/>
    <s v="URBANO"/>
    <x v="2"/>
    <s v="MAYO"/>
    <d v="2025-05-04T00:00:00"/>
    <x v="2"/>
    <d v="1899-12-30T02:00:00"/>
    <s v="MOTOCICLETA"/>
    <m/>
    <n v="1"/>
    <n v="0"/>
    <n v="0"/>
    <n v="0"/>
    <n v="0"/>
    <n v="0"/>
    <n v="0"/>
    <n v="0"/>
    <n v="0"/>
    <n v="0"/>
    <n v="0"/>
    <n v="0"/>
    <s v="MASCULINO"/>
    <s v="MASCULINO"/>
    <n v="2"/>
    <n v="0"/>
    <n v="24"/>
    <n v="18"/>
    <n v="30"/>
    <m/>
    <m/>
    <m/>
    <n v="115"/>
    <x v="12"/>
    <m/>
    <s v=""/>
    <x v="2"/>
  </r>
  <r>
    <n v="273"/>
    <x v="0"/>
    <n v="2"/>
    <n v="0"/>
    <x v="0"/>
    <s v="CARRERA 20 # 30"/>
    <n v="5.3308972222222222"/>
    <n v="-72.391325000000009"/>
    <s v="MOVILIDAD"/>
    <s v="URBANO"/>
    <x v="0"/>
    <s v="AGOSTO"/>
    <d v="2022-08-07T00:00:00"/>
    <x v="2"/>
    <d v="1899-12-30T16:30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n v="26"/>
    <n v="50"/>
    <m/>
    <m/>
    <m/>
    <m/>
    <n v="115"/>
    <x v="12"/>
    <n v="142"/>
    <s v="Semáforo en rojo."/>
    <x v="1"/>
  </r>
  <r>
    <n v="499"/>
    <x v="0"/>
    <n v="1"/>
    <n v="0"/>
    <x v="0"/>
    <s v="CARRERA 20 # 33"/>
    <n v="5.328551"/>
    <n v="-72.390023999999997"/>
    <s v="MOVILIDAD"/>
    <s v="URBANO"/>
    <x v="1"/>
    <s v="JUNIO"/>
    <d v="2023-06-06T00:00:00"/>
    <x v="6"/>
    <d v="1899-12-30T14:20:00"/>
    <s v="MOTOCICLETA"/>
    <s v="CAMIONETA"/>
    <n v="1"/>
    <n v="0"/>
    <n v="0"/>
    <n v="0"/>
    <n v="1"/>
    <n v="0"/>
    <n v="0"/>
    <n v="0"/>
    <n v="0"/>
    <n v="0"/>
    <n v="0"/>
    <n v="0"/>
    <s v="MASCULINO"/>
    <m/>
    <n v="1"/>
    <n v="0"/>
    <n v="25"/>
    <m/>
    <m/>
    <m/>
    <m/>
    <m/>
    <n v="157"/>
    <x v="1"/>
    <m/>
    <s v=""/>
    <x v="1"/>
  </r>
  <r>
    <n v="4"/>
    <x v="1"/>
    <n v="0"/>
    <n v="0"/>
    <x v="1"/>
    <s v="CARRERA 20 # 33"/>
    <n v="5.328551"/>
    <n v="-72.390023999999997"/>
    <s v="MOVILIDAD"/>
    <s v="URBANO"/>
    <x v="0"/>
    <s v="ENERO"/>
    <d v="2022-01-07T00:00:00"/>
    <x v="0"/>
    <d v="1899-12-30T23:00:00"/>
    <s v="MOTOCICLETA"/>
    <s v="MOTOCICLETA"/>
    <n v="2"/>
    <n v="0"/>
    <n v="0"/>
    <n v="0"/>
    <n v="0"/>
    <n v="0"/>
    <n v="0"/>
    <n v="0"/>
    <n v="0"/>
    <n v="0"/>
    <n v="0"/>
    <n v="0"/>
    <m/>
    <s v="FEMENINO"/>
    <n v="0"/>
    <n v="1"/>
    <m/>
    <m/>
    <m/>
    <m/>
    <m/>
    <m/>
    <n v="115"/>
    <x v="12"/>
    <n v="122"/>
    <s v="Girar bruscamente."/>
    <x v="0"/>
  </r>
  <r>
    <n v="459"/>
    <x v="0"/>
    <n v="3"/>
    <n v="0"/>
    <x v="0"/>
    <s v="CARRERA 20 # 33 "/>
    <n v="5.328551"/>
    <n v="-72.390023999999997"/>
    <s v="MOVILIDAD"/>
    <s v="URBANO"/>
    <x v="1"/>
    <s v="ABRIL"/>
    <d v="2023-04-24T00:00:00"/>
    <x v="4"/>
    <d v="1899-12-30T19:40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n v="18"/>
    <n v="56"/>
    <m/>
    <m/>
    <n v="17"/>
    <m/>
    <n v="112"/>
    <x v="4"/>
    <m/>
    <s v=""/>
    <x v="0"/>
  </r>
  <r>
    <n v="516"/>
    <x v="1"/>
    <n v="0"/>
    <n v="0"/>
    <x v="1"/>
    <s v="CARRERA 20 # 33 "/>
    <n v="5.328551"/>
    <n v="-72.390023999999997"/>
    <s v="MOVILIDAD"/>
    <s v="URBANO"/>
    <x v="1"/>
    <s v="JUNIO"/>
    <d v="2023-06-30T00:00:00"/>
    <x v="0"/>
    <d v="1899-12-30T10:00:00"/>
    <s v="AUTOMOVIL"/>
    <s v="CAMIONETA"/>
    <n v="0"/>
    <n v="0"/>
    <n v="1"/>
    <n v="0"/>
    <n v="1"/>
    <n v="0"/>
    <n v="0"/>
    <n v="0"/>
    <n v="0"/>
    <n v="0"/>
    <n v="0"/>
    <n v="0"/>
    <m/>
    <s v="FEMENINO"/>
    <n v="0"/>
    <n v="1"/>
    <m/>
    <m/>
    <m/>
    <m/>
    <m/>
    <m/>
    <n v="112"/>
    <x v="4"/>
    <m/>
    <s v=""/>
    <x v="2"/>
  </r>
  <r>
    <n v="174"/>
    <x v="1"/>
    <n v="0"/>
    <n v="0"/>
    <x v="1"/>
    <s v="CARRERA 20 # 40"/>
    <n v="5.3223549999999999"/>
    <n v="-72.386674722222224"/>
    <s v="MOVILIDAD"/>
    <s v="URBANO"/>
    <x v="0"/>
    <s v="MAYO"/>
    <d v="2022-05-08T00:00:00"/>
    <x v="2"/>
    <d v="1899-12-30T14:0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m/>
    <m/>
    <m/>
    <m/>
    <m/>
    <m/>
    <n v="142"/>
    <x v="16"/>
    <m/>
    <s v=""/>
    <x v="1"/>
  </r>
  <r>
    <n v="425"/>
    <x v="0"/>
    <n v="1"/>
    <n v="0"/>
    <x v="0"/>
    <s v="CARRERA 20 # 40"/>
    <n v="5.3223549999999999"/>
    <n v="-72.386674722222224"/>
    <s v="MOVILIDAD"/>
    <s v="URBANO"/>
    <x v="1"/>
    <s v="MARZO"/>
    <d v="2023-03-01T00:00:00"/>
    <x v="3"/>
    <d v="1899-12-30T15:40:00"/>
    <s v="MOTOCICLETA"/>
    <s v="AUTOMOVIL"/>
    <n v="1"/>
    <n v="0"/>
    <n v="1"/>
    <n v="0"/>
    <n v="0"/>
    <n v="0"/>
    <n v="0"/>
    <n v="0"/>
    <n v="0"/>
    <n v="0"/>
    <n v="0"/>
    <n v="0"/>
    <m/>
    <s v="FEMENINO"/>
    <n v="0"/>
    <n v="1"/>
    <n v="42"/>
    <m/>
    <m/>
    <m/>
    <m/>
    <m/>
    <n v="122"/>
    <x v="2"/>
    <m/>
    <s v=""/>
    <x v="1"/>
  </r>
  <r>
    <n v="1088"/>
    <x v="1"/>
    <n v="0"/>
    <n v="0"/>
    <x v="1"/>
    <s v="CARRERA 20 # CALLE 12"/>
    <n v="5.3452266666666599"/>
    <n v="-72.399044999999902"/>
    <s v="MOVILIDAD"/>
    <s v="URBANO"/>
    <x v="2"/>
    <s v="SEPTIEMBRE"/>
    <d v="2025-09-17T00:00:00"/>
    <x v="3"/>
    <d v="1899-12-30T20:12:00"/>
    <s v="CAMIONETA"/>
    <s v="MOTOCICLETA"/>
    <n v="1"/>
    <n v="0"/>
    <n v="0"/>
    <n v="0"/>
    <n v="1"/>
    <n v="0"/>
    <n v="0"/>
    <n v="0"/>
    <n v="0"/>
    <n v="0"/>
    <n v="0"/>
    <n v="0"/>
    <s v="MASCULINO"/>
    <s v="MASCULINO"/>
    <n v="2"/>
    <n v="0"/>
    <m/>
    <m/>
    <m/>
    <m/>
    <m/>
    <m/>
    <n v="112"/>
    <x v="4"/>
    <m/>
    <s v=""/>
    <x v="0"/>
  </r>
  <r>
    <n v="1097"/>
    <x v="1"/>
    <n v="0"/>
    <n v="0"/>
    <x v="1"/>
    <s v="CARRERA 20 # CALLE 21"/>
    <n v="5.3380696629999598"/>
    <n v="-72.395218901998703"/>
    <s v="MOVILIDAD"/>
    <s v="URBANO"/>
    <x v="2"/>
    <s v="SEPTIEMBRE"/>
    <d v="2025-09-27T00:00:00"/>
    <x v="5"/>
    <d v="1899-12-30T07:52:00"/>
    <s v="AUTOMOVIL"/>
    <s v="MOTOCICLETA"/>
    <n v="1"/>
    <n v="0"/>
    <n v="1"/>
    <n v="0"/>
    <n v="0"/>
    <n v="0"/>
    <n v="0"/>
    <n v="0"/>
    <n v="0"/>
    <n v="0"/>
    <n v="0"/>
    <n v="0"/>
    <s v="MASCULINO"/>
    <s v="MASCULINO"/>
    <n v="2"/>
    <n v="0"/>
    <m/>
    <m/>
    <m/>
    <m/>
    <m/>
    <m/>
    <n v="157"/>
    <x v="1"/>
    <m/>
    <s v=""/>
    <x v="2"/>
  </r>
  <r>
    <n v="1100"/>
    <x v="1"/>
    <n v="0"/>
    <n v="0"/>
    <x v="1"/>
    <s v="CARRERA 20 # CALLE 40"/>
    <n v="5.3223963221534998"/>
    <n v="-72.386745689436793"/>
    <s v="MOVILIDAD"/>
    <s v="URBANO"/>
    <x v="2"/>
    <s v="OCTUBRE"/>
    <d v="2025-10-01T00:00:00"/>
    <x v="3"/>
    <d v="1899-12-30T13:50:00"/>
    <s v="AUTOMOVIL"/>
    <s v="CAMIONETA"/>
    <n v="0"/>
    <n v="0"/>
    <n v="1"/>
    <n v="0"/>
    <n v="1"/>
    <n v="0"/>
    <n v="0"/>
    <n v="0"/>
    <n v="0"/>
    <n v="0"/>
    <n v="0"/>
    <n v="0"/>
    <s v="MASCULINO"/>
    <s v="MASCULINO"/>
    <n v="2"/>
    <n v="0"/>
    <m/>
    <m/>
    <m/>
    <m/>
    <m/>
    <m/>
    <n v="157"/>
    <x v="1"/>
    <m/>
    <s v=""/>
    <x v="1"/>
  </r>
  <r>
    <n v="69"/>
    <x v="0"/>
    <n v="2"/>
    <n v="0"/>
    <x v="0"/>
    <s v="CARRERA 20 CALLE 16"/>
    <n v="5.3420666666666667"/>
    <n v="-72.397308333333342"/>
    <s v="MOVILIDAD"/>
    <s v="URBANO"/>
    <x v="0"/>
    <s v="FEBRERO"/>
    <d v="2022-02-28T00:00:00"/>
    <x v="4"/>
    <d v="1899-12-30T19:10:00"/>
    <s v="MOTOCICLETA"/>
    <s v="CAMIONETA"/>
    <n v="1"/>
    <n v="0"/>
    <n v="0"/>
    <n v="0"/>
    <n v="1"/>
    <n v="0"/>
    <n v="0"/>
    <n v="0"/>
    <n v="0"/>
    <n v="0"/>
    <n v="0"/>
    <n v="0"/>
    <s v="MASCULINO"/>
    <m/>
    <n v="1"/>
    <n v="0"/>
    <n v="16"/>
    <m/>
    <m/>
    <m/>
    <n v="26"/>
    <m/>
    <n v="139"/>
    <x v="0"/>
    <n v="123"/>
    <s v="No respetar prelación de intersecciones o giros."/>
    <x v="0"/>
  </r>
  <r>
    <n v="956"/>
    <x v="0"/>
    <n v="1"/>
    <n v="0"/>
    <x v="0"/>
    <s v="CARRERA 20 CALLE 19"/>
    <n v="5.3396822222222218"/>
    <n v="-72.39606527777778"/>
    <s v="MOVILIDAD"/>
    <s v="URBANO"/>
    <x v="2"/>
    <s v="MAYO"/>
    <d v="2025-05-04T00:00:00"/>
    <x v="2"/>
    <d v="1899-12-30T12:55:00"/>
    <s v="MOTOCICLETA"/>
    <s v="AUTOMOVIL"/>
    <n v="1"/>
    <n v="0"/>
    <n v="1"/>
    <n v="0"/>
    <n v="0"/>
    <n v="0"/>
    <n v="0"/>
    <n v="0"/>
    <n v="0"/>
    <n v="0"/>
    <n v="0"/>
    <n v="0"/>
    <s v="MASCULINO"/>
    <s v="MASCULINO"/>
    <n v="2"/>
    <n v="0"/>
    <n v="18"/>
    <n v="40"/>
    <m/>
    <m/>
    <m/>
    <m/>
    <n v="121"/>
    <x v="7"/>
    <n v="122"/>
    <s v="Girar bruscamente."/>
    <x v="1"/>
  </r>
  <r>
    <n v="505"/>
    <x v="0"/>
    <n v="0"/>
    <n v="1"/>
    <x v="2"/>
    <s v="CARRERA 20 CALLE 19 "/>
    <n v="5.3396822222222218"/>
    <n v="-72.39606527777778"/>
    <s v="MOVILIDAD"/>
    <s v="URBANO"/>
    <x v="1"/>
    <s v="JUNIO"/>
    <d v="2023-06-11T00:00:00"/>
    <x v="2"/>
    <d v="1899-12-30T00:25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m/>
    <m/>
    <m/>
    <m/>
    <m/>
    <n v="22"/>
    <n v="139"/>
    <x v="0"/>
    <n v="112"/>
    <s v="Desobedecer señales o normas de tránsito."/>
    <x v="2"/>
  </r>
  <r>
    <n v="453"/>
    <x v="0"/>
    <n v="1"/>
    <n v="0"/>
    <x v="0"/>
    <s v="CARRERA 20 CALLE 26"/>
    <n v="5.3341552777777776"/>
    <n v="-72.393056666666666"/>
    <s v="MOVILIDAD"/>
    <s v="URBANO"/>
    <x v="1"/>
    <s v="ABRIL"/>
    <d v="2023-04-18T00:00:00"/>
    <x v="6"/>
    <d v="1899-12-30T21:15:00"/>
    <s v="MOTOCICLETA"/>
    <s v="MOTOCARRO"/>
    <n v="1"/>
    <n v="1"/>
    <n v="0"/>
    <n v="0"/>
    <n v="0"/>
    <n v="0"/>
    <n v="0"/>
    <n v="0"/>
    <n v="0"/>
    <n v="0"/>
    <n v="0"/>
    <n v="0"/>
    <s v="MASCULINO"/>
    <m/>
    <n v="1"/>
    <n v="0"/>
    <n v="19"/>
    <m/>
    <m/>
    <m/>
    <m/>
    <m/>
    <n v="112"/>
    <x v="4"/>
    <n v="157"/>
    <s v="Otra"/>
    <x v="0"/>
  </r>
  <r>
    <n v="482"/>
    <x v="0"/>
    <n v="0"/>
    <n v="1"/>
    <x v="2"/>
    <s v="CARRERA 20 CALLE 28 "/>
    <n v="5.332588888888889"/>
    <n v="-72.392172222222229"/>
    <s v="MOVILIDAD"/>
    <s v="URBANO"/>
    <x v="1"/>
    <s v="MAYO"/>
    <d v="2023-05-14T00:00:00"/>
    <x v="2"/>
    <d v="1899-12-30T10:40:00"/>
    <s v="MOTOCICLETA"/>
    <s v="CAMPERO"/>
    <n v="1"/>
    <n v="0"/>
    <n v="0"/>
    <n v="1"/>
    <n v="0"/>
    <n v="0"/>
    <n v="0"/>
    <n v="0"/>
    <n v="0"/>
    <n v="0"/>
    <n v="0"/>
    <n v="0"/>
    <m/>
    <s v="FEMENINO"/>
    <n v="0"/>
    <n v="1"/>
    <m/>
    <m/>
    <m/>
    <m/>
    <m/>
    <m/>
    <n v="1"/>
    <x v="3"/>
    <m/>
    <s v=""/>
    <x v="2"/>
  </r>
  <r>
    <n v="832"/>
    <x v="0"/>
    <n v="2"/>
    <n v="0"/>
    <x v="0"/>
    <s v="CARRERA 20 CALLE 35"/>
    <n v="5.3269719444444439"/>
    <n v="-72.389151111111119"/>
    <s v="MOVILIDAD"/>
    <s v="URBANO"/>
    <x v="3"/>
    <s v="DICIEMBRE"/>
    <d v="2024-12-10T00:00:00"/>
    <x v="6"/>
    <d v="1899-12-30T13:47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58"/>
    <n v="30"/>
    <m/>
    <m/>
    <m/>
    <m/>
    <n v="123"/>
    <x v="21"/>
    <n v="116"/>
    <s v="Exceso de velocidad"/>
    <x v="1"/>
  </r>
  <r>
    <n v="501"/>
    <x v="0"/>
    <n v="0"/>
    <n v="1"/>
    <x v="2"/>
    <s v="CARRERA 20 CALLE 36"/>
    <n v="5.3261669999999999"/>
    <n v="-72.388723999999996"/>
    <s v="MOVILIDAD"/>
    <s v="URBANO"/>
    <x v="1"/>
    <s v="JUNIO"/>
    <d v="2023-06-12T00:00:00"/>
    <x v="4"/>
    <d v="1899-12-30T08:25:00"/>
    <s v="MOTOCICLETA"/>
    <s v="CAMIONETA"/>
    <n v="1"/>
    <n v="0"/>
    <n v="0"/>
    <n v="0"/>
    <n v="1"/>
    <n v="0"/>
    <n v="0"/>
    <n v="0"/>
    <n v="0"/>
    <n v="0"/>
    <n v="0"/>
    <n v="0"/>
    <m/>
    <s v="FEMENINO"/>
    <n v="0"/>
    <n v="1"/>
    <n v="19"/>
    <m/>
    <m/>
    <m/>
    <m/>
    <n v="19"/>
    <n v="123"/>
    <x v="21"/>
    <n v="139"/>
    <s v="Impericia en el manejo."/>
    <x v="2"/>
  </r>
  <r>
    <n v="477"/>
    <x v="1"/>
    <n v="0"/>
    <n v="0"/>
    <x v="1"/>
    <s v="CARRERA 20 CALLE 39"/>
    <n v="5.3237555555555556"/>
    <n v="-72.387486111111116"/>
    <s v="MOVILIDAD"/>
    <s v="URBANO"/>
    <x v="1"/>
    <s v="MAYO"/>
    <d v="2023-05-12T00:00:00"/>
    <x v="0"/>
    <d v="1899-12-30T15:3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m/>
    <m/>
    <m/>
    <m/>
    <m/>
    <m/>
    <n v="139"/>
    <x v="0"/>
    <m/>
    <s v=""/>
    <x v="1"/>
  </r>
  <r>
    <n v="745"/>
    <x v="0"/>
    <n v="1"/>
    <n v="0"/>
    <x v="0"/>
    <s v="CARRERA 20 CALLE 40 "/>
    <n v="5.3223549999999999"/>
    <n v="-72.386674722222224"/>
    <s v="MOVILIDAD"/>
    <s v="URBANO"/>
    <x v="3"/>
    <s v="JULIO"/>
    <d v="2024-07-17T00:00:00"/>
    <x v="3"/>
    <d v="1899-12-30T14:48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27"/>
    <n v="46"/>
    <m/>
    <m/>
    <m/>
    <m/>
    <n v="112"/>
    <x v="4"/>
    <n v="132"/>
    <s v="No respetar prelación."/>
    <x v="1"/>
  </r>
  <r>
    <n v="989"/>
    <x v="1"/>
    <n v="0"/>
    <n v="0"/>
    <x v="1"/>
    <s v="CARRERA 20 CALLE 46B"/>
    <n v="5.3141470000000002"/>
    <n v="-72.386382999999995"/>
    <s v="MOVILIDAD"/>
    <s v="URBANO"/>
    <x v="2"/>
    <s v="JUNIO"/>
    <d v="2025-06-14T00:00:00"/>
    <x v="5"/>
    <d v="1899-12-30T02:55:00"/>
    <s v="MOTOCICLETA"/>
    <s v="MOTOCICLETA"/>
    <n v="2"/>
    <n v="0"/>
    <n v="0"/>
    <n v="0"/>
    <n v="0"/>
    <n v="0"/>
    <n v="0"/>
    <n v="0"/>
    <n v="0"/>
    <n v="0"/>
    <n v="0"/>
    <n v="0"/>
    <s v="MASCULINO"/>
    <s v="MASCULINO"/>
    <n v="2"/>
    <n v="0"/>
    <n v="25"/>
    <n v="40"/>
    <m/>
    <m/>
    <m/>
    <m/>
    <n v="139"/>
    <x v="0"/>
    <m/>
    <s v=""/>
    <x v="2"/>
  </r>
  <r>
    <n v="236"/>
    <x v="0"/>
    <n v="1"/>
    <n v="0"/>
    <x v="0"/>
    <s v="CARRERA 20 CALLE 7"/>
    <n v="5.3495830555555557"/>
    <n v="-72.401347222222228"/>
    <s v="MOVILIDAD"/>
    <s v="URBANO"/>
    <x v="0"/>
    <s v="JULIO"/>
    <d v="2022-07-19T00:00:00"/>
    <x v="6"/>
    <d v="1899-12-30T17:40:00"/>
    <s v="MOTOCICLETA"/>
    <m/>
    <n v="1"/>
    <n v="0"/>
    <n v="0"/>
    <n v="0"/>
    <n v="0"/>
    <n v="0"/>
    <n v="0"/>
    <n v="0"/>
    <n v="0"/>
    <n v="0"/>
    <n v="0"/>
    <n v="0"/>
    <m/>
    <s v="FEMENINO"/>
    <n v="0"/>
    <n v="1"/>
    <m/>
    <m/>
    <m/>
    <m/>
    <n v="26"/>
    <m/>
    <n v="1"/>
    <x v="3"/>
    <m/>
    <s v=""/>
    <x v="1"/>
  </r>
  <r>
    <n v="855"/>
    <x v="0"/>
    <n v="1"/>
    <n v="0"/>
    <x v="0"/>
    <s v="CARRERA 20 ENTRE CALLE 27 Y 28"/>
    <n v="5.332986"/>
    <n v="-72.392478999999994"/>
    <s v="MOVILIDAD"/>
    <s v="URBANO"/>
    <x v="2"/>
    <s v="ENERO"/>
    <d v="2025-01-12T00:00:00"/>
    <x v="2"/>
    <d v="1899-12-30T10:05:00"/>
    <s v="MOTOCICLETA"/>
    <m/>
    <n v="1"/>
    <n v="0"/>
    <n v="0"/>
    <n v="0"/>
    <n v="0"/>
    <n v="0"/>
    <n v="0"/>
    <n v="0"/>
    <n v="0"/>
    <n v="0"/>
    <n v="0"/>
    <n v="0"/>
    <s v="FEMENINO"/>
    <m/>
    <n v="0"/>
    <n v="1"/>
    <n v="25"/>
    <m/>
    <m/>
    <m/>
    <m/>
    <m/>
    <n v="157"/>
    <x v="1"/>
    <m/>
    <s v=""/>
    <x v="2"/>
  </r>
  <r>
    <n v="143"/>
    <x v="0"/>
    <n v="1"/>
    <n v="0"/>
    <x v="0"/>
    <s v="CARRERA 20A # 20"/>
    <n v="5.3386189999999996"/>
    <n v="-72.396057999999996"/>
    <s v="MOVILIDAD"/>
    <s v="URBANO"/>
    <x v="0"/>
    <s v="ABRIL"/>
    <d v="2022-04-20T00:00:00"/>
    <x v="3"/>
    <d v="1899-12-30T22:2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23"/>
    <m/>
    <m/>
    <m/>
    <m/>
    <m/>
    <n v="122"/>
    <x v="2"/>
    <m/>
    <s v=""/>
    <x v="0"/>
  </r>
  <r>
    <n v="130"/>
    <x v="0"/>
    <n v="1"/>
    <n v="0"/>
    <x v="0"/>
    <s v="CARRERA 20A # 20"/>
    <n v="5.3386189999999996"/>
    <n v="-72.396057999999996"/>
    <s v="MOVILIDAD"/>
    <s v="URBANO"/>
    <x v="0"/>
    <s v="ABRIL"/>
    <d v="2022-04-11T00:00:00"/>
    <x v="4"/>
    <d v="1899-12-30T15:50:00"/>
    <s v="VOLQUETA"/>
    <s v="BICICLETA"/>
    <n v="0"/>
    <n v="0"/>
    <n v="0"/>
    <n v="0"/>
    <n v="0"/>
    <n v="0"/>
    <n v="0"/>
    <n v="0"/>
    <n v="0"/>
    <n v="0"/>
    <n v="1"/>
    <n v="1"/>
    <s v="MASCULINO"/>
    <m/>
    <n v="1"/>
    <n v="0"/>
    <n v="65"/>
    <m/>
    <m/>
    <m/>
    <m/>
    <m/>
    <n v="114"/>
    <x v="5"/>
    <m/>
    <s v=""/>
    <x v="1"/>
  </r>
  <r>
    <n v="711"/>
    <x v="1"/>
    <n v="0"/>
    <n v="0"/>
    <x v="1"/>
    <s v="CARRERA 21  # 21-22"/>
    <n v="5.3382194444444444"/>
    <n v="-72.394208333333339"/>
    <s v="MOVILIDAD"/>
    <s v="URBANO"/>
    <x v="3"/>
    <s v="MAYO"/>
    <d v="2024-05-13T00:00:00"/>
    <x v="4"/>
    <d v="1899-12-30T19:58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40"/>
    <m/>
    <m/>
    <m/>
    <m/>
    <m/>
    <n v="115"/>
    <x v="12"/>
    <m/>
    <s v=""/>
    <x v="0"/>
  </r>
  <r>
    <n v="580"/>
    <x v="0"/>
    <n v="0"/>
    <n v="1"/>
    <x v="2"/>
    <s v="CARRERA 21  # 22-17"/>
    <n v="5.337502777777777"/>
    <n v="-72.393797222222233"/>
    <s v="MOVILIDAD"/>
    <s v="URBANO"/>
    <x v="1"/>
    <s v="OCTUBRE"/>
    <d v="2023-10-23T00:00:00"/>
    <x v="4"/>
    <d v="1899-12-30T16:0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m/>
    <m/>
    <m/>
    <m/>
    <m/>
    <n v="68"/>
    <n v="139"/>
    <x v="0"/>
    <n v="409"/>
    <s v="Cruzar sin observar."/>
    <x v="1"/>
  </r>
  <r>
    <n v="17"/>
    <x v="1"/>
    <n v="0"/>
    <n v="0"/>
    <x v="1"/>
    <s v="CARRERA 21  # 25-26"/>
    <n v="5.3350638888888886"/>
    <n v="-72.392494444444452"/>
    <s v="MOVILIDAD"/>
    <s v="URBANO"/>
    <x v="0"/>
    <s v="ENERO"/>
    <d v="2022-01-18T00:00:00"/>
    <x v="6"/>
    <d v="1899-12-30T10:15:00"/>
    <s v="CAMIONETA"/>
    <s v="MICROBUS"/>
    <n v="0"/>
    <n v="0"/>
    <n v="0"/>
    <n v="0"/>
    <n v="1"/>
    <n v="1"/>
    <n v="0"/>
    <n v="0"/>
    <n v="0"/>
    <n v="0"/>
    <n v="0"/>
    <n v="0"/>
    <s v="MASCULINO"/>
    <m/>
    <n v="1"/>
    <n v="0"/>
    <m/>
    <m/>
    <m/>
    <m/>
    <m/>
    <m/>
    <n v="122"/>
    <x v="2"/>
    <m/>
    <s v=""/>
    <x v="2"/>
  </r>
  <r>
    <n v="328"/>
    <x v="0"/>
    <n v="0"/>
    <n v="1"/>
    <x v="2"/>
    <s v="CARRERA 21  # 7-67"/>
    <n v="5.3495777777777773"/>
    <n v="-72.400400000000005"/>
    <s v="MOVILIDAD"/>
    <s v="URBANO"/>
    <x v="0"/>
    <s v="OCTUBRE"/>
    <d v="2022-10-09T00:00:00"/>
    <x v="2"/>
    <d v="1899-12-30T04:55:00"/>
    <s v="MOTOCICLETA"/>
    <m/>
    <n v="1"/>
    <n v="0"/>
    <n v="0"/>
    <n v="0"/>
    <n v="0"/>
    <n v="0"/>
    <n v="0"/>
    <n v="0"/>
    <n v="0"/>
    <n v="0"/>
    <n v="0"/>
    <n v="0"/>
    <m/>
    <s v="FEMENINO"/>
    <n v="0"/>
    <n v="1"/>
    <m/>
    <m/>
    <m/>
    <m/>
    <m/>
    <n v="20"/>
    <n v="114"/>
    <x v="5"/>
    <n v="127"/>
    <s v="Transitar en contravía."/>
    <x v="2"/>
  </r>
  <r>
    <n v="472"/>
    <x v="1"/>
    <n v="0"/>
    <n v="0"/>
    <x v="1"/>
    <s v="CARRERA 21  CALLE 21 "/>
    <n v="5.3385166666666661"/>
    <n v="-72.39436666666667"/>
    <s v="MOVILIDAD"/>
    <s v="URBANO"/>
    <x v="1"/>
    <s v="MAYO"/>
    <d v="2023-05-03T00:00:00"/>
    <x v="3"/>
    <d v="1899-12-30T18:5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m/>
    <m/>
    <m/>
    <m/>
    <m/>
    <m/>
    <n v="116"/>
    <x v="14"/>
    <n v="112"/>
    <s v="Desobedecer señales o normas de tránsito."/>
    <x v="0"/>
  </r>
  <r>
    <n v="1096"/>
    <x v="0"/>
    <n v="1"/>
    <n v="0"/>
    <x v="0"/>
    <s v="CARRERA 21 #  24 "/>
    <n v="5.33622833333333"/>
    <n v="-72.393045000000001"/>
    <s v="MOVILIDAD"/>
    <s v="URBANO"/>
    <x v="2"/>
    <s v="SEPTIEMBRE"/>
    <d v="2025-09-26T00:00:00"/>
    <x v="0"/>
    <d v="1899-12-30T14:35:00"/>
    <s v="MOTOCICLETA"/>
    <s v="MOTOCICLETA"/>
    <n v="2"/>
    <n v="0"/>
    <n v="0"/>
    <n v="0"/>
    <n v="0"/>
    <n v="0"/>
    <n v="0"/>
    <n v="0"/>
    <n v="0"/>
    <n v="0"/>
    <n v="0"/>
    <n v="0"/>
    <s v="FEMENINO"/>
    <s v="MASCULINO"/>
    <n v="1"/>
    <n v="1"/>
    <n v="25"/>
    <m/>
    <m/>
    <m/>
    <m/>
    <m/>
    <n v="142"/>
    <x v="16"/>
    <m/>
    <s v=""/>
    <x v="1"/>
  </r>
  <r>
    <n v="1102"/>
    <x v="0"/>
    <n v="2"/>
    <n v="0"/>
    <x v="0"/>
    <s v="CARRERA 21 #  24 "/>
    <n v="5.3361199831238801"/>
    <n v="-72.393067640013101"/>
    <s v="MOVILIDAD"/>
    <s v="URBANO"/>
    <x v="2"/>
    <s v="OCTUBRE"/>
    <d v="2025-10-02T00:00:00"/>
    <x v="1"/>
    <d v="1899-12-30T21:50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n v="26"/>
    <n v="21"/>
    <m/>
    <m/>
    <m/>
    <m/>
    <n v="142"/>
    <x v="16"/>
    <n v="139"/>
    <s v="Impericia en el manejo."/>
    <x v="0"/>
  </r>
  <r>
    <n v="719"/>
    <x v="0"/>
    <n v="1"/>
    <n v="0"/>
    <x v="0"/>
    <s v="CARRERA 21 #  24 "/>
    <n v="5.3361840000000003"/>
    <n v="-72.393091999999996"/>
    <s v="MOVILIDAD"/>
    <s v="URBANO"/>
    <x v="3"/>
    <s v="MAYO"/>
    <d v="2024-05-27T00:00:00"/>
    <x v="4"/>
    <d v="1899-12-30T22:30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n v="21"/>
    <n v="19"/>
    <m/>
    <m/>
    <m/>
    <m/>
    <n v="139"/>
    <x v="0"/>
    <n v="157"/>
    <s v="Otra"/>
    <x v="0"/>
  </r>
  <r>
    <n v="890"/>
    <x v="0"/>
    <n v="3"/>
    <n v="0"/>
    <x v="0"/>
    <s v="CARRERA 21 #  24 "/>
    <n v="5.3361840000000003"/>
    <n v="-72.393091999999996"/>
    <s v="MOVILIDAD"/>
    <s v="URBANO"/>
    <x v="2"/>
    <s v="MARZO"/>
    <d v="2025-03-02T00:00:00"/>
    <x v="2"/>
    <d v="1899-12-30T15:15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n v="17"/>
    <n v="24"/>
    <n v="17"/>
    <m/>
    <m/>
    <m/>
    <n v="139"/>
    <x v="0"/>
    <n v="157"/>
    <s v="Otra"/>
    <x v="1"/>
  </r>
  <r>
    <n v="163"/>
    <x v="1"/>
    <n v="0"/>
    <n v="0"/>
    <x v="1"/>
    <s v="CARRERA 21 # 16"/>
    <n v="5.3424480000000001"/>
    <n v="-72.396553999999995"/>
    <s v="MOVILIDAD"/>
    <s v="URBANO"/>
    <x v="0"/>
    <s v="MAYO"/>
    <d v="2022-05-01T00:00:00"/>
    <x v="2"/>
    <d v="1899-12-30T14:00:00"/>
    <s v="MOTOCICLETA"/>
    <s v="AUTOMOVIL"/>
    <n v="1"/>
    <n v="0"/>
    <n v="1"/>
    <n v="0"/>
    <n v="0"/>
    <n v="0"/>
    <n v="0"/>
    <n v="0"/>
    <n v="0"/>
    <n v="0"/>
    <n v="0"/>
    <n v="0"/>
    <s v="MASCULINO"/>
    <s v="FEMENINO"/>
    <n v="1"/>
    <n v="1"/>
    <m/>
    <m/>
    <m/>
    <m/>
    <m/>
    <m/>
    <n v="157"/>
    <x v="1"/>
    <n v="114"/>
    <s v="Embriaguez aparente."/>
    <x v="1"/>
  </r>
  <r>
    <n v="141"/>
    <x v="0"/>
    <n v="1"/>
    <n v="0"/>
    <x v="0"/>
    <s v="CARRERA 21 # 16"/>
    <n v="5.3424480000000001"/>
    <n v="-72.396553999999995"/>
    <s v="MOVILIDAD"/>
    <s v="URBANO"/>
    <x v="0"/>
    <s v="ABRIL"/>
    <d v="2022-04-21T00:00:00"/>
    <x v="1"/>
    <d v="1899-12-30T09:30:00"/>
    <s v="AUTOMOVIL"/>
    <s v="CAMIONETA"/>
    <n v="0"/>
    <n v="0"/>
    <n v="1"/>
    <n v="0"/>
    <n v="1"/>
    <n v="0"/>
    <n v="0"/>
    <n v="0"/>
    <n v="0"/>
    <n v="0"/>
    <n v="0"/>
    <n v="0"/>
    <s v="MASCULINO"/>
    <m/>
    <n v="1"/>
    <n v="0"/>
    <n v="45"/>
    <m/>
    <m/>
    <m/>
    <m/>
    <m/>
    <n v="157"/>
    <x v="1"/>
    <m/>
    <s v=""/>
    <x v="2"/>
  </r>
  <r>
    <n v="371"/>
    <x v="0"/>
    <n v="1"/>
    <n v="0"/>
    <x v="0"/>
    <s v="CARRERA 21 # 16"/>
    <n v="5.3424480000000001"/>
    <n v="-72.396553999999995"/>
    <s v="MOVILIDAD"/>
    <s v="URBANO"/>
    <x v="0"/>
    <s v="DICIEMBRE"/>
    <d v="2022-12-08T00:00:00"/>
    <x v="1"/>
    <d v="1899-12-30T07:20:00"/>
    <s v="MOTOCICLETA"/>
    <s v="CAMIONETA"/>
    <n v="1"/>
    <n v="0"/>
    <n v="0"/>
    <n v="0"/>
    <n v="1"/>
    <n v="0"/>
    <n v="0"/>
    <n v="0"/>
    <n v="0"/>
    <n v="0"/>
    <n v="0"/>
    <n v="0"/>
    <s v="MASCULINO"/>
    <m/>
    <n v="1"/>
    <n v="0"/>
    <n v="26"/>
    <m/>
    <m/>
    <m/>
    <m/>
    <m/>
    <n v="142"/>
    <x v="16"/>
    <n v="115"/>
    <s v="Embriaguez o Sustancias alucinogenas"/>
    <x v="2"/>
  </r>
  <r>
    <n v="19"/>
    <x v="1"/>
    <n v="0"/>
    <n v="0"/>
    <x v="1"/>
    <s v="CARRERA 21 # 16"/>
    <n v="5.3424480000000001"/>
    <n v="-72.396553999999995"/>
    <s v="MOVILIDAD"/>
    <s v="URBANO"/>
    <x v="0"/>
    <s v="ENERO"/>
    <d v="2022-01-19T00:00:00"/>
    <x v="3"/>
    <d v="1899-12-30T12:3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m/>
    <m/>
    <m/>
    <m/>
    <m/>
    <m/>
    <n v="112"/>
    <x v="4"/>
    <n v="139"/>
    <s v="Impericia en el manejo."/>
    <x v="1"/>
  </r>
  <r>
    <n v="319"/>
    <x v="0"/>
    <n v="2"/>
    <n v="0"/>
    <x v="0"/>
    <s v="CARRERA 21 # 18"/>
    <n v="5.3409055555555556"/>
    <n v="-72.395700000000005"/>
    <s v="MOVILIDAD"/>
    <s v="URBANO"/>
    <x v="0"/>
    <s v="SEPTIEMBRE"/>
    <d v="2022-09-30T00:00:00"/>
    <x v="0"/>
    <d v="1899-12-30T10:10:00"/>
    <s v="MOTOCICLETA"/>
    <s v="CAMION"/>
    <n v="1"/>
    <n v="0"/>
    <n v="0"/>
    <n v="0"/>
    <n v="0"/>
    <n v="0"/>
    <n v="0"/>
    <n v="0"/>
    <n v="1"/>
    <n v="0"/>
    <n v="0"/>
    <n v="0"/>
    <s v="MASCULINO"/>
    <s v="FEMENINO"/>
    <n v="1"/>
    <n v="1"/>
    <n v="22"/>
    <m/>
    <m/>
    <m/>
    <n v="58"/>
    <m/>
    <n v="139"/>
    <x v="0"/>
    <n v="112"/>
    <s v="Desobedecer señales o normas de tránsito."/>
    <x v="2"/>
  </r>
  <r>
    <n v="195"/>
    <x v="0"/>
    <n v="1"/>
    <n v="0"/>
    <x v="0"/>
    <s v="CARRERA 21 # 18"/>
    <n v="5.3409055555555556"/>
    <n v="-72.395700000000005"/>
    <s v="MOVILIDAD"/>
    <s v="URBANO"/>
    <x v="0"/>
    <s v="MAYO"/>
    <d v="2022-05-26T00:00:00"/>
    <x v="1"/>
    <d v="1899-12-30T17:45:00"/>
    <s v="MOTOCICLETA"/>
    <s v="CAMIONETA"/>
    <n v="1"/>
    <n v="0"/>
    <n v="0"/>
    <n v="0"/>
    <n v="1"/>
    <n v="0"/>
    <n v="0"/>
    <n v="0"/>
    <n v="0"/>
    <n v="0"/>
    <n v="0"/>
    <n v="0"/>
    <s v="MASCULINO"/>
    <m/>
    <n v="1"/>
    <n v="0"/>
    <n v="21"/>
    <m/>
    <m/>
    <m/>
    <m/>
    <m/>
    <n v="112"/>
    <x v="4"/>
    <m/>
    <s v=""/>
    <x v="1"/>
  </r>
  <r>
    <n v="432"/>
    <x v="0"/>
    <n v="1"/>
    <n v="0"/>
    <x v="0"/>
    <s v="CARRERA 21 # 18"/>
    <n v="5.3409055555555556"/>
    <n v="-72.395700000000005"/>
    <s v="MOVILIDAD"/>
    <s v="URBANO"/>
    <x v="1"/>
    <s v="MARZO"/>
    <d v="2023-03-18T00:00:00"/>
    <x v="5"/>
    <d v="1899-12-30T21:04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18"/>
    <m/>
    <m/>
    <m/>
    <m/>
    <m/>
    <n v="112"/>
    <x v="4"/>
    <m/>
    <s v=""/>
    <x v="0"/>
  </r>
  <r>
    <n v="885"/>
    <x v="1"/>
    <n v="0"/>
    <n v="0"/>
    <x v="1"/>
    <s v="CARRERA 21 # 22"/>
    <n v="5.3376944444444439"/>
    <n v="-72.393930555555556"/>
    <s v="MOVILIDAD"/>
    <s v="URBANO"/>
    <x v="2"/>
    <s v="FEBRERO"/>
    <d v="2025-02-28T00:00:00"/>
    <x v="0"/>
    <d v="1899-12-30T06:30:00"/>
    <s v="AUTOMOVIL"/>
    <m/>
    <n v="0"/>
    <n v="0"/>
    <n v="1"/>
    <n v="0"/>
    <n v="0"/>
    <n v="0"/>
    <n v="0"/>
    <n v="0"/>
    <n v="0"/>
    <n v="0"/>
    <n v="0"/>
    <n v="0"/>
    <s v="MASCULINO"/>
    <s v="FEMENINO"/>
    <n v="1"/>
    <n v="1"/>
    <n v="40"/>
    <n v="22"/>
    <m/>
    <m/>
    <m/>
    <m/>
    <n v="114"/>
    <x v="5"/>
    <m/>
    <s v=""/>
    <x v="2"/>
  </r>
  <r>
    <n v="90"/>
    <x v="0"/>
    <n v="1"/>
    <n v="0"/>
    <x v="0"/>
    <s v="CARRERA 21 # 22"/>
    <n v="5.3376944444444439"/>
    <n v="-72.393930555555556"/>
    <s v="MOVILIDAD"/>
    <s v="URBANO"/>
    <x v="0"/>
    <s v="MARZO"/>
    <d v="2022-03-17T00:00:00"/>
    <x v="1"/>
    <d v="1899-12-30T20:3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23"/>
    <m/>
    <m/>
    <m/>
    <m/>
    <m/>
    <n v="112"/>
    <x v="4"/>
    <m/>
    <s v=""/>
    <x v="0"/>
  </r>
  <r>
    <n v="55"/>
    <x v="0"/>
    <n v="2"/>
    <n v="0"/>
    <x v="0"/>
    <s v="CARRERA 21 # 22"/>
    <n v="5.3376944444444439"/>
    <n v="-72.393930555555556"/>
    <s v="MOVILIDAD"/>
    <s v="URBANO"/>
    <x v="0"/>
    <s v="FEBRERO"/>
    <d v="2022-02-15T00:00:00"/>
    <x v="6"/>
    <d v="1899-12-30T14:30:00"/>
    <s v="MOTOCICLETA"/>
    <s v="CAMIONETA"/>
    <n v="1"/>
    <n v="0"/>
    <n v="0"/>
    <n v="0"/>
    <n v="1"/>
    <n v="0"/>
    <n v="0"/>
    <n v="0"/>
    <n v="0"/>
    <n v="0"/>
    <n v="0"/>
    <n v="0"/>
    <m/>
    <s v="FEMENINO"/>
    <n v="0"/>
    <n v="1"/>
    <n v="28"/>
    <m/>
    <m/>
    <m/>
    <n v="2"/>
    <m/>
    <n v="112"/>
    <x v="4"/>
    <n v="139"/>
    <s v="Impericia en el manejo."/>
    <x v="1"/>
  </r>
  <r>
    <n v="312"/>
    <x v="0"/>
    <n v="1"/>
    <n v="0"/>
    <x v="0"/>
    <s v="CARRERA 21 # 30"/>
    <n v="5.3314491666666664"/>
    <n v="-72.39049694444445"/>
    <s v="MOVILIDAD"/>
    <s v="URBANO"/>
    <x v="0"/>
    <s v="SEPTIEMBRE"/>
    <d v="2022-09-20T00:00:00"/>
    <x v="6"/>
    <d v="1899-12-30T15:45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26"/>
    <m/>
    <m/>
    <m/>
    <m/>
    <m/>
    <n v="112"/>
    <x v="4"/>
    <n v="139"/>
    <s v="Impericia en el manejo."/>
    <x v="1"/>
  </r>
  <r>
    <n v="659"/>
    <x v="0"/>
    <n v="1"/>
    <n v="0"/>
    <x v="0"/>
    <s v="CARRERA 21 # 30"/>
    <n v="5.3314491666666664"/>
    <n v="-72.39049694444445"/>
    <s v="MOVILIDAD"/>
    <s v="URBANO"/>
    <x v="3"/>
    <s v="FEBRERO"/>
    <d v="2024-02-07T00:00:00"/>
    <x v="3"/>
    <d v="1899-12-30T16:18:00"/>
    <s v="MOTOCICLETA"/>
    <s v="AUTOMOVIL"/>
    <n v="1"/>
    <n v="0"/>
    <n v="1"/>
    <n v="0"/>
    <n v="0"/>
    <n v="0"/>
    <n v="0"/>
    <n v="0"/>
    <n v="0"/>
    <n v="0"/>
    <n v="0"/>
    <n v="0"/>
    <m/>
    <s v="FEMENINO"/>
    <n v="0"/>
    <n v="1"/>
    <n v="22"/>
    <n v="20"/>
    <m/>
    <m/>
    <m/>
    <m/>
    <n v="106"/>
    <x v="25"/>
    <m/>
    <s v=""/>
    <x v="1"/>
  </r>
  <r>
    <n v="219"/>
    <x v="0"/>
    <n v="1"/>
    <n v="0"/>
    <x v="0"/>
    <s v="CARRERA 21 # 38"/>
    <n v="5.3250277777777777"/>
    <n v="-72.387027777777789"/>
    <s v="MOVILIDAD"/>
    <s v="URBANO"/>
    <x v="0"/>
    <s v="JUNIO"/>
    <d v="2022-06-18T00:00:00"/>
    <x v="5"/>
    <d v="1899-12-30T02:5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27"/>
    <m/>
    <m/>
    <m/>
    <m/>
    <m/>
    <n v="127"/>
    <x v="18"/>
    <m/>
    <s v=""/>
    <x v="2"/>
  </r>
  <r>
    <n v="224"/>
    <x v="0"/>
    <n v="1"/>
    <n v="0"/>
    <x v="0"/>
    <s v="CARRERA 21 # 38"/>
    <n v="5.3250305555555553"/>
    <n v="-72.387027777777789"/>
    <s v="MOVILIDAD"/>
    <s v="URBANO"/>
    <x v="0"/>
    <s v="JUNIO"/>
    <d v="2022-06-18T00:00:00"/>
    <x v="5"/>
    <d v="1899-12-30T02:5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27"/>
    <m/>
    <m/>
    <m/>
    <m/>
    <m/>
    <n v="127"/>
    <x v="18"/>
    <m/>
    <s v=""/>
    <x v="2"/>
  </r>
  <r>
    <n v="209"/>
    <x v="1"/>
    <n v="0"/>
    <n v="0"/>
    <x v="1"/>
    <s v="CARRERA 21 # 40"/>
    <n v="5.3230416666666667"/>
    <n v="-72.385938888888901"/>
    <s v="MOVILIDAD"/>
    <s v="URBANO"/>
    <x v="0"/>
    <s v="JUNIO"/>
    <d v="2022-06-08T00:00:00"/>
    <x v="3"/>
    <d v="1899-12-30T13:10:00"/>
    <s v="AUTOMOVIL"/>
    <s v="CAMION"/>
    <n v="0"/>
    <n v="0"/>
    <n v="1"/>
    <n v="0"/>
    <n v="0"/>
    <n v="0"/>
    <n v="0"/>
    <n v="0"/>
    <n v="1"/>
    <n v="0"/>
    <n v="0"/>
    <n v="0"/>
    <m/>
    <s v="FEMENINO"/>
    <n v="0"/>
    <n v="1"/>
    <m/>
    <m/>
    <m/>
    <m/>
    <m/>
    <m/>
    <n v="157"/>
    <x v="1"/>
    <m/>
    <s v=""/>
    <x v="1"/>
  </r>
  <r>
    <n v="271"/>
    <x v="0"/>
    <n v="0"/>
    <n v="1"/>
    <x v="2"/>
    <s v="CARRERA 21 # 40"/>
    <n v="5.3230416666666667"/>
    <n v="-72.385938888888901"/>
    <s v="MOVILIDAD"/>
    <s v="URBANO"/>
    <x v="0"/>
    <s v="AGOSTO"/>
    <d v="2022-08-07T00:00:00"/>
    <x v="2"/>
    <d v="1899-12-30T04:20:00"/>
    <s v="AUTOMOVIL"/>
    <m/>
    <n v="0"/>
    <n v="0"/>
    <n v="1"/>
    <n v="0"/>
    <n v="0"/>
    <n v="0"/>
    <n v="0"/>
    <n v="0"/>
    <n v="0"/>
    <n v="0"/>
    <n v="0"/>
    <n v="0"/>
    <m/>
    <s v="FEMENINO"/>
    <n v="0"/>
    <n v="1"/>
    <m/>
    <m/>
    <m/>
    <m/>
    <m/>
    <n v="28"/>
    <n v="114"/>
    <x v="5"/>
    <n v="116"/>
    <s v="Exceso de velocidad"/>
    <x v="2"/>
  </r>
  <r>
    <n v="353"/>
    <x v="0"/>
    <n v="1"/>
    <n v="0"/>
    <x v="0"/>
    <s v="CARRERA 21 # CALLE 24"/>
    <n v="5.3361840000000003"/>
    <n v="-72.393091999999996"/>
    <s v="MOVILIDAD"/>
    <s v="URBANO"/>
    <x v="0"/>
    <s v="NOVIEMBRE"/>
    <d v="2022-11-12T00:00:00"/>
    <x v="5"/>
    <d v="1899-12-30T08:3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m/>
    <m/>
    <m/>
    <m/>
    <n v="1"/>
    <m/>
    <n v="157"/>
    <x v="1"/>
    <m/>
    <s v=""/>
    <x v="2"/>
  </r>
  <r>
    <n v="1047"/>
    <x v="0"/>
    <n v="1"/>
    <n v="0"/>
    <x v="0"/>
    <s v="CARRERA 21 # CALLE 27"/>
    <n v="5.3337979999999998"/>
    <n v="-72.391788000000005"/>
    <s v="MOVILIDAD"/>
    <s v="URBANO"/>
    <x v="2"/>
    <s v="AGOSTO"/>
    <d v="2025-08-22T00:00:00"/>
    <x v="0"/>
    <d v="1899-12-30T20:50:00"/>
    <s v="MOTOCICLETA"/>
    <s v="BUS"/>
    <n v="1"/>
    <n v="0"/>
    <n v="0"/>
    <n v="0"/>
    <n v="0"/>
    <n v="0"/>
    <n v="1"/>
    <n v="0"/>
    <n v="0"/>
    <n v="0"/>
    <n v="0"/>
    <n v="0"/>
    <s v="MASCULINO"/>
    <s v="MASCULINO"/>
    <n v="2"/>
    <n v="0"/>
    <n v="18"/>
    <n v="40"/>
    <m/>
    <m/>
    <m/>
    <m/>
    <n v="139"/>
    <x v="0"/>
    <n v="112"/>
    <s v="Desobedecer señales o normas de tránsito."/>
    <x v="0"/>
  </r>
  <r>
    <n v="251"/>
    <x v="0"/>
    <n v="1"/>
    <n v="0"/>
    <x v="0"/>
    <s v="CARRERA 21 CALLE 10"/>
    <n v="5.3471891666666664"/>
    <n v="-72.399117500000003"/>
    <s v="MOVILIDAD"/>
    <s v="URBANO"/>
    <x v="0"/>
    <s v="JULIO"/>
    <d v="2022-07-15T00:00:00"/>
    <x v="0"/>
    <d v="1899-12-30T16:0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32"/>
    <m/>
    <m/>
    <m/>
    <m/>
    <m/>
    <n v="157"/>
    <x v="1"/>
    <m/>
    <s v=""/>
    <x v="1"/>
  </r>
  <r>
    <n v="275"/>
    <x v="0"/>
    <n v="3"/>
    <n v="0"/>
    <x v="0"/>
    <s v="CARRERA 21 CALLE 11"/>
    <n v="5.3464138888888888"/>
    <n v="-72.398686111111118"/>
    <s v="MOVILIDAD"/>
    <s v="URBANO"/>
    <x v="0"/>
    <s v="AGOSTO"/>
    <d v="2022-08-10T00:00:00"/>
    <x v="3"/>
    <d v="1899-12-30T12:30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n v="55"/>
    <n v="19"/>
    <m/>
    <m/>
    <n v="51"/>
    <m/>
    <n v="112"/>
    <x v="4"/>
    <n v="139"/>
    <s v="Impericia en el manejo."/>
    <x v="1"/>
  </r>
  <r>
    <n v="229"/>
    <x v="0"/>
    <n v="1"/>
    <n v="0"/>
    <x v="0"/>
    <s v="CARRERA 21 CALLE 13"/>
    <n v="5.3448574999999998"/>
    <n v="-72.397820277777782"/>
    <s v="MOVILIDAD"/>
    <s v="URBANO"/>
    <x v="0"/>
    <s v="JUNIO"/>
    <d v="2022-06-23T00:00:00"/>
    <x v="1"/>
    <d v="1899-12-30T20:4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19"/>
    <m/>
    <m/>
    <m/>
    <m/>
    <m/>
    <n v="112"/>
    <x v="4"/>
    <m/>
    <s v=""/>
    <x v="0"/>
  </r>
  <r>
    <n v="542"/>
    <x v="0"/>
    <n v="3"/>
    <n v="0"/>
    <x v="0"/>
    <s v="CARRERA 21 CALLE 13 "/>
    <n v="5.3448574999999998"/>
    <n v="-72.397820277777782"/>
    <s v="MOVILIDAD"/>
    <s v="URBANO"/>
    <x v="1"/>
    <s v="AGOSTO"/>
    <d v="2023-08-27T00:00:00"/>
    <x v="2"/>
    <d v="1899-12-30T06:0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22"/>
    <n v="21"/>
    <m/>
    <m/>
    <n v="18"/>
    <m/>
    <n v="115"/>
    <x v="12"/>
    <n v="142"/>
    <s v="Semáforo en rojo."/>
    <x v="2"/>
  </r>
  <r>
    <n v="674"/>
    <x v="0"/>
    <n v="1"/>
    <n v="0"/>
    <x v="0"/>
    <s v="CARRERA 21 CALLE 17"/>
    <n v="5.3416499999999996"/>
    <n v="-72.396113888888891"/>
    <s v="MOVILIDAD"/>
    <s v="URBANO"/>
    <x v="3"/>
    <s v="MARZO"/>
    <d v="2024-03-06T00:00:00"/>
    <x v="3"/>
    <d v="1899-12-30T17:40:00"/>
    <s v="AUTOMOVIL"/>
    <s v="BICICLETA"/>
    <n v="0"/>
    <n v="0"/>
    <n v="1"/>
    <n v="0"/>
    <n v="0"/>
    <n v="0"/>
    <n v="0"/>
    <n v="0"/>
    <n v="0"/>
    <n v="0"/>
    <n v="0"/>
    <n v="1"/>
    <s v="MASCULINO"/>
    <s v="FEMENINO"/>
    <n v="1"/>
    <n v="1"/>
    <n v="44"/>
    <n v="49"/>
    <m/>
    <m/>
    <m/>
    <m/>
    <n v="112"/>
    <x v="4"/>
    <m/>
    <s v=""/>
    <x v="1"/>
  </r>
  <r>
    <n v="572"/>
    <x v="0"/>
    <n v="1"/>
    <n v="0"/>
    <x v="0"/>
    <s v="CARRERA 21 CALLE 19"/>
    <n v="5.3401252777777772"/>
    <n v="-72.395244444444458"/>
    <s v="MOVILIDAD"/>
    <s v="URBANO"/>
    <x v="1"/>
    <s v="OCTUBRE"/>
    <d v="2023-10-09T00:00:00"/>
    <x v="4"/>
    <d v="1899-12-30T21:2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15"/>
    <m/>
    <m/>
    <m/>
    <m/>
    <m/>
    <n v="116"/>
    <x v="14"/>
    <n v="112"/>
    <s v="Desobedecer señales o normas de tránsito."/>
    <x v="0"/>
  </r>
  <r>
    <n v="940"/>
    <x v="0"/>
    <n v="2"/>
    <n v="1"/>
    <x v="2"/>
    <s v="CARRERA 21 CALLE 26"/>
    <n v="5.3345510000000003"/>
    <n v="-72.392212000000001"/>
    <s v="MOVILIDAD"/>
    <s v="URBANO"/>
    <x v="2"/>
    <s v="ABRIL"/>
    <d v="2025-04-20T00:00:00"/>
    <x v="2"/>
    <d v="1899-12-30T00:40:00"/>
    <s v="MOTOCICLETA"/>
    <s v="MOTOCICLETA"/>
    <n v="2"/>
    <n v="0"/>
    <n v="0"/>
    <n v="0"/>
    <n v="0"/>
    <n v="0"/>
    <n v="0"/>
    <n v="0"/>
    <n v="0"/>
    <n v="0"/>
    <n v="0"/>
    <n v="0"/>
    <s v="MASCULINO"/>
    <s v="MASCULINO"/>
    <n v="2"/>
    <n v="0"/>
    <n v="25"/>
    <n v="46"/>
    <n v="37"/>
    <m/>
    <m/>
    <m/>
    <n v="157"/>
    <x v="1"/>
    <n v="132"/>
    <s v="No respetar prelación."/>
    <x v="2"/>
  </r>
  <r>
    <n v="146"/>
    <x v="0"/>
    <n v="1"/>
    <n v="0"/>
    <x v="0"/>
    <s v="CARRERA 21 CALLE 26A"/>
    <n v="5.3341333333333329"/>
    <n v="-72.391961111111115"/>
    <s v="MOVILIDAD"/>
    <s v="URBANO"/>
    <x v="0"/>
    <s v="ABRIL"/>
    <d v="2022-04-24T00:00:00"/>
    <x v="2"/>
    <d v="1899-12-30T19:30:00"/>
    <s v="MOTOCICLETA"/>
    <s v="MOTOCICLETA"/>
    <n v="2"/>
    <n v="0"/>
    <n v="0"/>
    <n v="0"/>
    <n v="0"/>
    <n v="0"/>
    <n v="0"/>
    <n v="0"/>
    <n v="0"/>
    <n v="0"/>
    <n v="0"/>
    <n v="0"/>
    <m/>
    <s v="FEMENINO"/>
    <n v="0"/>
    <n v="1"/>
    <n v="23"/>
    <m/>
    <m/>
    <m/>
    <m/>
    <m/>
    <n v="121"/>
    <x v="7"/>
    <n v="93"/>
    <s v="Transitar distante de la acera u orilla de la calzada."/>
    <x v="0"/>
  </r>
  <r>
    <n v="75"/>
    <x v="0"/>
    <n v="2"/>
    <n v="0"/>
    <x v="0"/>
    <s v="CARRERA 21 CALLE 27"/>
    <n v="5.3337916666666665"/>
    <n v="-72.391783333333336"/>
    <s v="MOVILIDAD"/>
    <s v="URBANO"/>
    <x v="0"/>
    <s v="MARZO"/>
    <d v="2022-03-03T00:00:00"/>
    <x v="1"/>
    <d v="1899-12-30T13:58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n v="18"/>
    <n v="27"/>
    <n v="14"/>
    <n v="15"/>
    <n v="35"/>
    <s v=""/>
    <n v="112"/>
    <x v="4"/>
    <m/>
    <s v=""/>
    <x v="1"/>
  </r>
  <r>
    <n v="996"/>
    <x v="0"/>
    <n v="1"/>
    <n v="1"/>
    <x v="2"/>
    <s v="CARRERA 21 CALLE 29"/>
    <n v="5.3321420000000002"/>
    <n v="-72.390901999999997"/>
    <s v="MOVILIDAD"/>
    <s v="URBANO"/>
    <x v="2"/>
    <s v="JUNIO"/>
    <d v="2025-06-20T00:00:00"/>
    <x v="0"/>
    <d v="1899-12-30T01:54:00"/>
    <s v="MOTOCICLETA"/>
    <s v="AUTOMOVIL"/>
    <n v="1"/>
    <n v="0"/>
    <n v="1"/>
    <n v="0"/>
    <n v="0"/>
    <n v="0"/>
    <n v="0"/>
    <n v="0"/>
    <n v="0"/>
    <n v="0"/>
    <n v="0"/>
    <n v="0"/>
    <s v="FEMENINO"/>
    <s v="FEMENINO"/>
    <n v="0"/>
    <n v="2"/>
    <n v="21"/>
    <n v="33"/>
    <m/>
    <m/>
    <m/>
    <m/>
    <n v="132"/>
    <x v="13"/>
    <m/>
    <s v=""/>
    <x v="2"/>
  </r>
  <r>
    <n v="817"/>
    <x v="0"/>
    <n v="0"/>
    <n v="2"/>
    <x v="2"/>
    <s v="CARRERA 21 CALLE 35"/>
    <n v="5.3274416666666662"/>
    <n v="-72.388319444444448"/>
    <s v="MOVILIDAD"/>
    <s v="URBANO"/>
    <x v="3"/>
    <s v="NOVIEMBRE"/>
    <d v="2024-11-17T00:00:00"/>
    <x v="2"/>
    <d v="1899-12-30T01:50:00"/>
    <s v="MOTOCICLETA"/>
    <s v="CAMIONETA"/>
    <n v="1"/>
    <n v="0"/>
    <n v="0"/>
    <n v="0"/>
    <n v="1"/>
    <n v="0"/>
    <n v="0"/>
    <n v="0"/>
    <n v="0"/>
    <n v="0"/>
    <n v="0"/>
    <n v="0"/>
    <s v="MASCULINO"/>
    <s v="FEMENINO"/>
    <n v="1"/>
    <n v="1"/>
    <m/>
    <n v="36"/>
    <n v="4"/>
    <m/>
    <m/>
    <n v="23"/>
    <n v="139"/>
    <x v="0"/>
    <n v="114"/>
    <s v="Embriaguez aparente."/>
    <x v="2"/>
  </r>
  <r>
    <n v="423"/>
    <x v="0"/>
    <n v="1"/>
    <n v="0"/>
    <x v="0"/>
    <s v="CARRERA 21 CALLE 37"/>
    <n v="5.3258427777777779"/>
    <n v="-72.3874675"/>
    <s v="MOVILIDAD"/>
    <s v="URBANO"/>
    <x v="1"/>
    <s v="FEBRERO"/>
    <d v="2023-02-28T00:00:00"/>
    <x v="6"/>
    <d v="1899-12-30T12:10:00"/>
    <s v="AUTOMOVIL"/>
    <m/>
    <n v="0"/>
    <n v="0"/>
    <n v="1"/>
    <n v="0"/>
    <n v="0"/>
    <n v="0"/>
    <n v="0"/>
    <n v="0"/>
    <n v="0"/>
    <n v="0"/>
    <n v="0"/>
    <n v="0"/>
    <s v="MASCULINO"/>
    <m/>
    <n v="1"/>
    <n v="0"/>
    <m/>
    <m/>
    <m/>
    <n v="44"/>
    <m/>
    <m/>
    <n v="113"/>
    <x v="17"/>
    <m/>
    <s v=""/>
    <x v="1"/>
  </r>
  <r>
    <n v="7"/>
    <x v="0"/>
    <n v="1"/>
    <n v="0"/>
    <x v="0"/>
    <s v="CARRERA 21 CALLE 9"/>
    <n v="5.3482055555555554"/>
    <n v="-72.399650000000008"/>
    <s v="MOVILIDAD"/>
    <s v="URBANO"/>
    <x v="0"/>
    <s v="ENERO"/>
    <d v="2022-01-12T00:00:00"/>
    <x v="3"/>
    <d v="1899-12-30T07:20:00"/>
    <s v="MOTOCICLETA"/>
    <s v="CAMIONETA"/>
    <n v="1"/>
    <n v="0"/>
    <n v="0"/>
    <n v="0"/>
    <n v="1"/>
    <n v="0"/>
    <n v="0"/>
    <n v="0"/>
    <n v="0"/>
    <n v="0"/>
    <n v="0"/>
    <n v="0"/>
    <m/>
    <s v="FEMENINO"/>
    <n v="0"/>
    <n v="1"/>
    <n v="25"/>
    <m/>
    <m/>
    <m/>
    <m/>
    <m/>
    <n v="112"/>
    <x v="4"/>
    <m/>
    <s v=""/>
    <x v="2"/>
  </r>
  <r>
    <n v="378"/>
    <x v="0"/>
    <n v="1"/>
    <n v="0"/>
    <x v="0"/>
    <s v="CARRERA 21 CALLE19"/>
    <n v="5.3400944444444445"/>
    <n v="-72.395258333333345"/>
    <s v="MOVILIDAD"/>
    <s v="URBANO"/>
    <x v="0"/>
    <s v="DICIEMBRE"/>
    <d v="2022-12-26T00:00:00"/>
    <x v="4"/>
    <d v="1899-12-30T18:23:00"/>
    <s v="MOTOCICLETA"/>
    <s v="AUTOMOVIL"/>
    <n v="1"/>
    <n v="0"/>
    <n v="1"/>
    <n v="0"/>
    <n v="0"/>
    <n v="0"/>
    <n v="0"/>
    <n v="0"/>
    <n v="0"/>
    <n v="0"/>
    <n v="0"/>
    <n v="0"/>
    <s v="MASCULINO"/>
    <s v="FEMENINO"/>
    <n v="1"/>
    <n v="1"/>
    <n v="21"/>
    <n v="34"/>
    <m/>
    <m/>
    <m/>
    <m/>
    <n v="139"/>
    <x v="0"/>
    <n v="112"/>
    <s v="Desobedecer señales o normas de tránsito."/>
    <x v="0"/>
  </r>
  <r>
    <n v="700"/>
    <x v="0"/>
    <n v="1"/>
    <n v="0"/>
    <x v="0"/>
    <s v="CARRERA 21 ENTRE CALLE 30 Y 31"/>
    <n v="5.3308916666666661"/>
    <n v="-72.390197222222227"/>
    <s v="MOVILIDAD"/>
    <s v="URBANO"/>
    <x v="3"/>
    <s v="ABRIL"/>
    <d v="2024-04-28T00:00:00"/>
    <x v="2"/>
    <d v="1899-12-30T05:10:00"/>
    <s v="MOTOCICLETA"/>
    <m/>
    <n v="1"/>
    <n v="0"/>
    <n v="0"/>
    <n v="0"/>
    <n v="0"/>
    <n v="0"/>
    <n v="0"/>
    <n v="0"/>
    <n v="0"/>
    <n v="0"/>
    <n v="0"/>
    <n v="0"/>
    <m/>
    <s v="FEMENINO"/>
    <n v="0"/>
    <n v="1"/>
    <n v="44"/>
    <m/>
    <m/>
    <m/>
    <m/>
    <m/>
    <n v="114"/>
    <x v="5"/>
    <m/>
    <s v=""/>
    <x v="2"/>
  </r>
  <r>
    <n v="1035"/>
    <x v="0"/>
    <n v="2"/>
    <n v="0"/>
    <x v="0"/>
    <s v="CARRERA 21 N 18-67"/>
    <n v="5.3409180000000003"/>
    <n v="-72.395709999999994"/>
    <s v="MOVILIDAD"/>
    <s v="URBANO"/>
    <x v="2"/>
    <s v="AGOSTO"/>
    <d v="2025-08-04T00:00:00"/>
    <x v="4"/>
    <d v="1899-12-30T17:30:00"/>
    <s v="MOTOCICLETA"/>
    <s v="AUTOMOVIL"/>
    <n v="1"/>
    <n v="0"/>
    <n v="1"/>
    <n v="0"/>
    <n v="0"/>
    <n v="0"/>
    <n v="0"/>
    <n v="0"/>
    <n v="0"/>
    <n v="0"/>
    <n v="0"/>
    <n v="0"/>
    <s v="FEMENINO"/>
    <s v="MASCULINO"/>
    <n v="1"/>
    <n v="1"/>
    <n v="39"/>
    <n v="60"/>
    <n v="10"/>
    <m/>
    <m/>
    <m/>
    <n v="157"/>
    <x v="1"/>
    <m/>
    <s v=""/>
    <x v="1"/>
  </r>
  <r>
    <n v="920"/>
    <x v="0"/>
    <n v="1"/>
    <n v="0"/>
    <x v="0"/>
    <s v="CARRERA 22  # 22-46"/>
    <n v="5.3384280000000004"/>
    <n v="-72.392544000000001"/>
    <s v="MOVILIDAD"/>
    <s v="URBANO"/>
    <x v="2"/>
    <s v="MARZO"/>
    <d v="2025-03-30T00:00:00"/>
    <x v="2"/>
    <d v="1899-12-30T22:20:00"/>
    <s v="MOTOCICLETA"/>
    <s v="MOTOCICLETA"/>
    <n v="2"/>
    <n v="0"/>
    <n v="0"/>
    <n v="0"/>
    <n v="0"/>
    <n v="0"/>
    <n v="0"/>
    <n v="0"/>
    <n v="0"/>
    <n v="0"/>
    <n v="0"/>
    <n v="0"/>
    <s v="MASCULINO"/>
    <s v="MASCULINO"/>
    <n v="2"/>
    <n v="0"/>
    <n v="18"/>
    <n v="24"/>
    <m/>
    <m/>
    <m/>
    <m/>
    <n v="139"/>
    <x v="0"/>
    <n v="157"/>
    <s v="Otra"/>
    <x v="0"/>
  </r>
  <r>
    <n v="169"/>
    <x v="0"/>
    <n v="1"/>
    <n v="0"/>
    <x v="0"/>
    <s v="CARRERA 22 # 15"/>
    <n v="5.3439277777777772"/>
    <n v="-72.395763888888894"/>
    <s v="MOVILIDAD"/>
    <s v="URBANO"/>
    <x v="0"/>
    <s v="MAYO"/>
    <d v="2022-05-05T00:00:00"/>
    <x v="1"/>
    <d v="1899-12-30T15:40:00"/>
    <s v="MOTOCICLETA"/>
    <s v="CAMIONETA"/>
    <n v="1"/>
    <n v="0"/>
    <n v="0"/>
    <n v="0"/>
    <n v="1"/>
    <n v="0"/>
    <n v="0"/>
    <n v="0"/>
    <n v="0"/>
    <n v="0"/>
    <n v="0"/>
    <n v="0"/>
    <s v="MASCULINO"/>
    <m/>
    <n v="1"/>
    <n v="0"/>
    <n v="38"/>
    <m/>
    <m/>
    <m/>
    <m/>
    <m/>
    <n v="118"/>
    <x v="33"/>
    <n v="139"/>
    <s v="Impericia en el manejo."/>
    <x v="1"/>
  </r>
  <r>
    <n v="853"/>
    <x v="1"/>
    <n v="0"/>
    <n v="0"/>
    <x v="1"/>
    <s v="CARRERA 22 # 15"/>
    <n v="5.3439277777777772"/>
    <n v="-72.395763888888894"/>
    <s v="MOVILIDAD"/>
    <s v="URBANO"/>
    <x v="2"/>
    <s v="ENERO"/>
    <d v="2025-01-03T00:00:00"/>
    <x v="0"/>
    <d v="1899-12-30T17:45:00"/>
    <s v="MOTOCICLETA"/>
    <s v="MOTOCICLETA"/>
    <n v="2"/>
    <n v="0"/>
    <n v="0"/>
    <n v="0"/>
    <n v="0"/>
    <n v="0"/>
    <n v="0"/>
    <n v="0"/>
    <n v="0"/>
    <n v="0"/>
    <n v="0"/>
    <n v="0"/>
    <s v="MASCULINO"/>
    <s v="MASCULINO"/>
    <n v="2"/>
    <n v="0"/>
    <n v="19"/>
    <n v="64"/>
    <m/>
    <m/>
    <m/>
    <m/>
    <n v="115"/>
    <x v="12"/>
    <n v="127"/>
    <s v="Transitar en contravía."/>
    <x v="1"/>
  </r>
  <r>
    <n v="585"/>
    <x v="0"/>
    <n v="2"/>
    <n v="0"/>
    <x v="0"/>
    <s v="CARRERA 22 # 15"/>
    <n v="5.3439277777777772"/>
    <n v="-72.395763888888894"/>
    <s v="MOVILIDAD"/>
    <s v="URBANO"/>
    <x v="1"/>
    <s v="OCTUBRE"/>
    <d v="2023-10-27T00:00:00"/>
    <x v="0"/>
    <d v="1899-12-30T20:00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n v="21"/>
    <n v="23"/>
    <m/>
    <m/>
    <m/>
    <m/>
    <n v="112"/>
    <x v="4"/>
    <n v="139"/>
    <s v="Impericia en el manejo."/>
    <x v="0"/>
  </r>
  <r>
    <n v="633"/>
    <x v="0"/>
    <n v="1"/>
    <n v="0"/>
    <x v="0"/>
    <s v="CARRERA 22 # 17"/>
    <n v="5.3423138888888886"/>
    <n v="-72.394836111111118"/>
    <s v="MOVILIDAD"/>
    <s v="URBANO"/>
    <x v="1"/>
    <s v="DICIEMBRE"/>
    <d v="2023-12-15T00:00:00"/>
    <x v="0"/>
    <d v="1899-12-30T17:3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38"/>
    <m/>
    <m/>
    <m/>
    <m/>
    <m/>
    <n v="139"/>
    <x v="0"/>
    <n v="157"/>
    <s v="Otra"/>
    <x v="1"/>
  </r>
  <r>
    <n v="335"/>
    <x v="1"/>
    <n v="0"/>
    <n v="0"/>
    <x v="1"/>
    <s v="CARRERA 22 # 17"/>
    <n v="5.3423138888888886"/>
    <n v="-72.394836111111118"/>
    <s v="MOVILIDAD"/>
    <s v="URBANO"/>
    <x v="0"/>
    <s v="OCTUBRE"/>
    <d v="2022-10-19T00:00:00"/>
    <x v="3"/>
    <d v="1899-12-30T12:15:00"/>
    <s v="AUTOMOVIL"/>
    <s v="AUTOMOVIL"/>
    <n v="0"/>
    <n v="0"/>
    <n v="2"/>
    <n v="0"/>
    <n v="0"/>
    <n v="0"/>
    <n v="0"/>
    <n v="0"/>
    <n v="0"/>
    <n v="0"/>
    <n v="0"/>
    <n v="0"/>
    <m/>
    <s v="FEMENINO"/>
    <n v="0"/>
    <n v="1"/>
    <m/>
    <m/>
    <m/>
    <m/>
    <m/>
    <m/>
    <n v="112"/>
    <x v="4"/>
    <m/>
    <s v=""/>
    <x v="1"/>
  </r>
  <r>
    <n v="861"/>
    <x v="1"/>
    <n v="0"/>
    <n v="0"/>
    <x v="1"/>
    <s v="CARRERA 22 # 7"/>
    <n v="5.3504999999999994"/>
    <n v="-72.399627777777781"/>
    <s v="MOVILIDAD"/>
    <s v="URBANO"/>
    <x v="2"/>
    <s v="ENERO"/>
    <d v="2025-01-20T00:00:00"/>
    <x v="4"/>
    <d v="1899-12-30T10:30:00"/>
    <s v="CAMIONETA"/>
    <s v="MOTOCICLETA"/>
    <n v="1"/>
    <n v="0"/>
    <n v="0"/>
    <n v="0"/>
    <n v="1"/>
    <n v="0"/>
    <n v="0"/>
    <n v="0"/>
    <n v="0"/>
    <n v="0"/>
    <n v="0"/>
    <n v="0"/>
    <s v="FEMENINO"/>
    <s v="FEMENINO"/>
    <n v="0"/>
    <n v="2"/>
    <n v="57"/>
    <n v="54"/>
    <n v="27"/>
    <m/>
    <m/>
    <m/>
    <n v="157"/>
    <x v="1"/>
    <m/>
    <s v=""/>
    <x v="2"/>
  </r>
  <r>
    <n v="643"/>
    <x v="0"/>
    <n v="1"/>
    <n v="0"/>
    <x v="0"/>
    <s v="CARRERA 22 # 7"/>
    <n v="5.3504999999999994"/>
    <n v="-72.399627777777781"/>
    <s v="MOVILIDAD"/>
    <s v="URBANO"/>
    <x v="1"/>
    <s v="DICIEMBRE"/>
    <d v="2023-12-30T00:00:00"/>
    <x v="5"/>
    <d v="1899-12-30T19:00:00"/>
    <s v="MOTOCICLETA"/>
    <s v="CAMPERO"/>
    <n v="1"/>
    <n v="0"/>
    <n v="0"/>
    <n v="1"/>
    <n v="0"/>
    <n v="0"/>
    <n v="0"/>
    <n v="0"/>
    <n v="0"/>
    <n v="0"/>
    <n v="0"/>
    <n v="0"/>
    <s v="MASCULINO"/>
    <m/>
    <n v="1"/>
    <n v="0"/>
    <n v="18"/>
    <m/>
    <m/>
    <m/>
    <m/>
    <m/>
    <n v="112"/>
    <x v="4"/>
    <n v="139"/>
    <s v="Impericia en el manejo."/>
    <x v="0"/>
  </r>
  <r>
    <n v="1029"/>
    <x v="0"/>
    <n v="1"/>
    <n v="0"/>
    <x v="0"/>
    <s v="CARRERA 22 # CALLE 8"/>
    <n v="5.3497640000000004"/>
    <n v="-72.399203"/>
    <s v="MOVILIDAD"/>
    <s v="URBANO"/>
    <x v="2"/>
    <s v="AGOSTO"/>
    <d v="2025-08-01T00:00:00"/>
    <x v="0"/>
    <d v="1899-12-30T07:20:00"/>
    <s v="MICROBUS"/>
    <s v="MOTOCICLETA"/>
    <n v="1"/>
    <n v="0"/>
    <n v="0"/>
    <n v="0"/>
    <n v="0"/>
    <n v="1"/>
    <n v="0"/>
    <n v="0"/>
    <n v="0"/>
    <n v="0"/>
    <n v="0"/>
    <n v="0"/>
    <s v="MASCULINO"/>
    <s v="FEMENINO"/>
    <n v="1"/>
    <n v="1"/>
    <n v="70"/>
    <n v="28"/>
    <m/>
    <m/>
    <m/>
    <m/>
    <n v="112"/>
    <x v="4"/>
    <n v="409"/>
    <s v="Cruzar sin observar."/>
    <x v="2"/>
  </r>
  <r>
    <n v="899"/>
    <x v="0"/>
    <n v="1"/>
    <n v="0"/>
    <x v="0"/>
    <s v="CARRERA 22 CALLE 13"/>
    <n v="5.3454969999999999"/>
    <n v="-72.396665999999996"/>
    <s v="MOVILIDAD"/>
    <s v="URBANO"/>
    <x v="2"/>
    <s v="MARZO"/>
    <d v="2025-03-08T00:00:00"/>
    <x v="5"/>
    <d v="1899-12-30T05:45:00"/>
    <s v="MOTOCICLETA"/>
    <s v="BICICLETA"/>
    <n v="1"/>
    <n v="0"/>
    <n v="0"/>
    <n v="0"/>
    <n v="0"/>
    <n v="0"/>
    <n v="0"/>
    <n v="0"/>
    <n v="0"/>
    <n v="0"/>
    <n v="0"/>
    <n v="1"/>
    <s v="MASCULINO"/>
    <s v="MASCULINO"/>
    <n v="2"/>
    <n v="0"/>
    <n v="18"/>
    <n v="18"/>
    <m/>
    <m/>
    <m/>
    <m/>
    <n v="115"/>
    <x v="12"/>
    <n v="139"/>
    <s v="Impericia en el manejo."/>
    <x v="2"/>
  </r>
  <r>
    <n v="681"/>
    <x v="0"/>
    <n v="2"/>
    <n v="0"/>
    <x v="0"/>
    <s v="CARRERA 22 CALLE 16"/>
    <n v="5.3430777777777774"/>
    <n v="-72.395277777777778"/>
    <s v="MOVILIDAD"/>
    <s v="URBANO"/>
    <x v="3"/>
    <s v="MARZO"/>
    <d v="2024-03-20T00:00:00"/>
    <x v="3"/>
    <d v="1899-12-30T16:20:00"/>
    <s v="MOTOCICLETA"/>
    <s v="CAMIONETA"/>
    <n v="1"/>
    <n v="0"/>
    <n v="0"/>
    <n v="0"/>
    <n v="1"/>
    <n v="0"/>
    <n v="0"/>
    <n v="0"/>
    <n v="0"/>
    <n v="0"/>
    <n v="0"/>
    <n v="0"/>
    <s v="MASCULINO"/>
    <s v="FEMENINO"/>
    <n v="1"/>
    <n v="1"/>
    <n v="55"/>
    <n v="23"/>
    <n v="12"/>
    <m/>
    <m/>
    <m/>
    <n v="112"/>
    <x v="4"/>
    <n v="139"/>
    <s v="Impericia en el manejo."/>
    <x v="1"/>
  </r>
  <r>
    <n v="231"/>
    <x v="1"/>
    <n v="0"/>
    <n v="0"/>
    <x v="1"/>
    <s v="CARRERA 22 CALLE 18"/>
    <n v="5.3416044444444442"/>
    <n v="-72.394416111111113"/>
    <s v="MOVILIDAD"/>
    <s v="URBANO"/>
    <x v="0"/>
    <s v="JUNIO"/>
    <d v="2022-06-24T00:00:00"/>
    <x v="0"/>
    <d v="1899-12-30T10:50:00"/>
    <s v="AUTOMOVIL"/>
    <s v="CAMPERO"/>
    <n v="0"/>
    <n v="0"/>
    <n v="1"/>
    <n v="1"/>
    <n v="0"/>
    <n v="0"/>
    <n v="0"/>
    <n v="0"/>
    <n v="0"/>
    <n v="0"/>
    <n v="0"/>
    <n v="0"/>
    <m/>
    <s v="FEMENINO"/>
    <n v="0"/>
    <n v="1"/>
    <m/>
    <m/>
    <m/>
    <m/>
    <m/>
    <m/>
    <n v="143"/>
    <x v="32"/>
    <m/>
    <s v=""/>
    <x v="2"/>
  </r>
  <r>
    <n v="433"/>
    <x v="0"/>
    <n v="2"/>
    <n v="0"/>
    <x v="0"/>
    <s v="CARRERA 22 CALLE 8"/>
    <n v="5.3497530555555555"/>
    <n v="-72.39920583333334"/>
    <s v="MOVILIDAD"/>
    <s v="URBANO"/>
    <x v="1"/>
    <s v="MARZO"/>
    <d v="2023-03-18T00:00:00"/>
    <x v="5"/>
    <d v="1899-12-30T18:18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16"/>
    <m/>
    <m/>
    <m/>
    <n v="16"/>
    <m/>
    <n v="139"/>
    <x v="0"/>
    <m/>
    <s v=""/>
    <x v="0"/>
  </r>
  <r>
    <n v="171"/>
    <x v="0"/>
    <n v="1"/>
    <n v="0"/>
    <x v="0"/>
    <s v="CARRERA 23  # 16-68"/>
    <n v="5.3429805555555552"/>
    <n v="-72.394155555555557"/>
    <s v="MOVILIDAD"/>
    <s v="URBANO"/>
    <x v="0"/>
    <s v="MAYO"/>
    <d v="2022-05-07T00:00:00"/>
    <x v="5"/>
    <d v="1899-12-30T20:10:00"/>
    <s v="MOTOCICLETA"/>
    <m/>
    <n v="1"/>
    <n v="0"/>
    <n v="0"/>
    <n v="0"/>
    <n v="0"/>
    <n v="0"/>
    <n v="0"/>
    <n v="0"/>
    <n v="0"/>
    <n v="0"/>
    <n v="0"/>
    <n v="0"/>
    <m/>
    <s v="FEMENINO"/>
    <n v="0"/>
    <n v="1"/>
    <n v="43"/>
    <m/>
    <m/>
    <m/>
    <m/>
    <m/>
    <n v="157"/>
    <x v="1"/>
    <m/>
    <s v=""/>
    <x v="0"/>
  </r>
  <r>
    <n v="252"/>
    <x v="0"/>
    <n v="0"/>
    <n v="1"/>
    <x v="2"/>
    <s v="CARRERA 23  # 22a-311"/>
    <n v="5.338261666666666"/>
    <n v="-72.391476111111118"/>
    <s v="MOVILIDAD"/>
    <s v="URBANO"/>
    <x v="0"/>
    <s v="JULIO"/>
    <d v="2022-07-15T00:00:00"/>
    <x v="0"/>
    <d v="1899-12-30T17:45:00"/>
    <s v="TRACTOCAMION"/>
    <m/>
    <n v="0"/>
    <n v="0"/>
    <n v="0"/>
    <n v="0"/>
    <n v="0"/>
    <n v="0"/>
    <n v="0"/>
    <n v="0"/>
    <n v="0"/>
    <n v="1"/>
    <n v="0"/>
    <n v="0"/>
    <m/>
    <s v="FEMENINO"/>
    <n v="0"/>
    <n v="1"/>
    <m/>
    <m/>
    <m/>
    <m/>
    <m/>
    <n v="62"/>
    <n v="410"/>
    <x v="22"/>
    <m/>
    <s v=""/>
    <x v="1"/>
  </r>
  <r>
    <n v="733"/>
    <x v="0"/>
    <n v="1"/>
    <n v="0"/>
    <x v="0"/>
    <s v="CARRERA 23  # 28-110"/>
    <n v="5.3336174999999999"/>
    <n v="-72.3890913888889"/>
    <s v="MOVILIDAD"/>
    <s v="URBANO"/>
    <x v="3"/>
    <s v="JUNIO"/>
    <d v="2024-06-22T00:00:00"/>
    <x v="5"/>
    <d v="1899-12-30T19:39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22"/>
    <n v="44"/>
    <m/>
    <m/>
    <m/>
    <m/>
    <n v="139"/>
    <x v="0"/>
    <n v="115"/>
    <s v="Embriaguez o Sustancias alucinogenas"/>
    <x v="0"/>
  </r>
  <r>
    <n v="38"/>
    <x v="1"/>
    <n v="0"/>
    <n v="0"/>
    <x v="1"/>
    <s v="CARRERA 23  # 33-42"/>
    <n v="5.330019444444444"/>
    <n v="-72.387025000000008"/>
    <s v="MOVILIDAD"/>
    <s v="URBANO"/>
    <x v="0"/>
    <s v="FEBRERO"/>
    <d v="2022-02-02T00:00:00"/>
    <x v="3"/>
    <d v="1899-12-30T10:50:00"/>
    <s v="AUTOMOVIL"/>
    <m/>
    <n v="0"/>
    <n v="0"/>
    <n v="1"/>
    <n v="0"/>
    <n v="0"/>
    <n v="0"/>
    <n v="0"/>
    <n v="0"/>
    <n v="0"/>
    <n v="0"/>
    <n v="0"/>
    <n v="0"/>
    <m/>
    <s v="FEMENINO"/>
    <n v="0"/>
    <n v="1"/>
    <m/>
    <m/>
    <m/>
    <m/>
    <m/>
    <m/>
    <n v="157"/>
    <x v="1"/>
    <m/>
    <s v=""/>
    <x v="2"/>
  </r>
  <r>
    <n v="871"/>
    <x v="0"/>
    <n v="2"/>
    <n v="0"/>
    <x v="0"/>
    <s v="CARRERA 23 #  24"/>
    <n v="5.3373536111111104"/>
    <n v="-72.391008888888891"/>
    <s v="MOVILIDAD"/>
    <s v="URBANO"/>
    <x v="2"/>
    <s v="FEBRERO"/>
    <d v="2025-02-13T00:00:00"/>
    <x v="1"/>
    <d v="1899-12-30T12:20:00"/>
    <s v="MOTOCICLETA"/>
    <s v="CAMIONETA"/>
    <n v="1"/>
    <n v="0"/>
    <n v="0"/>
    <n v="0"/>
    <n v="1"/>
    <n v="0"/>
    <n v="0"/>
    <n v="0"/>
    <n v="0"/>
    <n v="0"/>
    <n v="0"/>
    <n v="0"/>
    <s v="FEMENINO"/>
    <s v="MASCULINO"/>
    <n v="1"/>
    <n v="1"/>
    <n v="32"/>
    <n v="27"/>
    <n v="14"/>
    <m/>
    <m/>
    <m/>
    <n v="142"/>
    <x v="16"/>
    <m/>
    <s v=""/>
    <x v="1"/>
  </r>
  <r>
    <n v="959"/>
    <x v="0"/>
    <n v="1"/>
    <n v="0"/>
    <x v="0"/>
    <s v="CARRERA 23 #  24"/>
    <n v="5.3373536111111104"/>
    <n v="-72.391008888888891"/>
    <s v="MOVILIDAD"/>
    <s v="URBANO"/>
    <x v="2"/>
    <s v="MAYO"/>
    <d v="2025-05-10T00:00:00"/>
    <x v="5"/>
    <d v="1899-12-30T20:20:00"/>
    <s v="MOTOCICLETA"/>
    <m/>
    <n v="1"/>
    <n v="0"/>
    <n v="0"/>
    <n v="0"/>
    <n v="0"/>
    <n v="0"/>
    <n v="0"/>
    <n v="0"/>
    <n v="0"/>
    <n v="0"/>
    <n v="0"/>
    <n v="0"/>
    <s v="MASCULINO"/>
    <s v="FEMENINO"/>
    <n v="1"/>
    <n v="1"/>
    <n v="18"/>
    <n v="13"/>
    <m/>
    <m/>
    <m/>
    <m/>
    <n v="139"/>
    <x v="0"/>
    <n v="157"/>
    <s v="Otra"/>
    <x v="0"/>
  </r>
  <r>
    <n v="299"/>
    <x v="0"/>
    <n v="1"/>
    <n v="0"/>
    <x v="0"/>
    <s v="CARRERA 23 #  24"/>
    <n v="5.3373536111111104"/>
    <n v="-72.391008888888891"/>
    <s v="MOVILIDAD"/>
    <s v="URBANO"/>
    <x v="0"/>
    <s v="SEPTIEMBRE"/>
    <d v="2022-09-03T00:00:00"/>
    <x v="5"/>
    <d v="1899-12-30T21:45:00"/>
    <s v="MOTOCICLETA"/>
    <s v="CAMIONETA"/>
    <n v="1"/>
    <n v="0"/>
    <n v="0"/>
    <n v="0"/>
    <n v="1"/>
    <n v="0"/>
    <n v="0"/>
    <n v="0"/>
    <n v="0"/>
    <n v="0"/>
    <n v="0"/>
    <n v="0"/>
    <m/>
    <s v="FEMENINO"/>
    <n v="0"/>
    <n v="1"/>
    <n v="30"/>
    <m/>
    <m/>
    <m/>
    <m/>
    <m/>
    <n v="121"/>
    <x v="7"/>
    <m/>
    <s v=""/>
    <x v="0"/>
  </r>
  <r>
    <n v="826"/>
    <x v="0"/>
    <n v="0"/>
    <n v="1"/>
    <x v="2"/>
    <s v="CARRERA 23 # 12"/>
    <n v="5.3468272222222222"/>
    <n v="-72.396191944444453"/>
    <s v="MOVILIDAD"/>
    <s v="URBANO"/>
    <x v="3"/>
    <s v="DICIEMBRE"/>
    <d v="2024-12-04T00:00:00"/>
    <x v="3"/>
    <d v="1899-12-30T23:03:00"/>
    <s v="MOTOCICLETA"/>
    <s v="CAMIONETA"/>
    <n v="1"/>
    <n v="0"/>
    <n v="0"/>
    <n v="0"/>
    <n v="1"/>
    <n v="0"/>
    <n v="0"/>
    <n v="0"/>
    <n v="0"/>
    <n v="0"/>
    <n v="0"/>
    <n v="0"/>
    <s v="MASCULINO"/>
    <s v="FEMENINO"/>
    <n v="1"/>
    <n v="1"/>
    <m/>
    <n v="32"/>
    <m/>
    <m/>
    <m/>
    <n v="25"/>
    <n v="139"/>
    <x v="0"/>
    <n v="112"/>
    <s v="Desobedecer señales o normas de tránsito."/>
    <x v="0"/>
  </r>
  <r>
    <n v="812"/>
    <x v="0"/>
    <n v="1"/>
    <n v="0"/>
    <x v="0"/>
    <s v="CARRERA 23 # 12"/>
    <n v="5.3468272222222222"/>
    <n v="-72.396191944444453"/>
    <s v="MOVILIDAD"/>
    <s v="URBANO"/>
    <x v="3"/>
    <s v="NOVIEMBRE"/>
    <d v="2024-11-12T00:00:00"/>
    <x v="6"/>
    <d v="1899-12-30T09:20:00"/>
    <s v="MOTOCICLETA"/>
    <s v="AUTOMOVIL"/>
    <n v="1"/>
    <n v="0"/>
    <n v="1"/>
    <n v="0"/>
    <n v="0"/>
    <n v="0"/>
    <n v="0"/>
    <n v="0"/>
    <n v="0"/>
    <n v="0"/>
    <n v="0"/>
    <n v="0"/>
    <s v="MASCULINO"/>
    <s v="FEMENINO"/>
    <n v="1"/>
    <n v="1"/>
    <n v="70"/>
    <n v="48"/>
    <m/>
    <m/>
    <m/>
    <m/>
    <n v="112"/>
    <x v="4"/>
    <m/>
    <s v=""/>
    <x v="2"/>
  </r>
  <r>
    <n v="722"/>
    <x v="0"/>
    <n v="2"/>
    <n v="0"/>
    <x v="0"/>
    <s v="CARRERA 23 # 15 "/>
    <n v="5.3444249999999993"/>
    <n v="-72.394850000000005"/>
    <s v="MOVILIDAD"/>
    <s v="URBANO"/>
    <x v="3"/>
    <s v="JUNIO"/>
    <d v="2024-06-01T00:00:00"/>
    <x v="5"/>
    <d v="1899-12-30T02:0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17"/>
    <m/>
    <n v="17"/>
    <m/>
    <m/>
    <m/>
    <n v="157"/>
    <x v="1"/>
    <m/>
    <s v=""/>
    <x v="2"/>
  </r>
  <r>
    <n v="468"/>
    <x v="0"/>
    <n v="1"/>
    <n v="0"/>
    <x v="0"/>
    <s v="CARRERA 23 # 15 "/>
    <n v="5.3444249999999993"/>
    <n v="-72.394850000000005"/>
    <s v="MOVILIDAD"/>
    <s v="URBANO"/>
    <x v="1"/>
    <s v="MAYO"/>
    <d v="2023-05-04T00:00:00"/>
    <x v="1"/>
    <d v="1899-12-30T10:3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59"/>
    <m/>
    <m/>
    <m/>
    <m/>
    <m/>
    <n v="112"/>
    <x v="4"/>
    <m/>
    <s v=""/>
    <x v="2"/>
  </r>
  <r>
    <n v="658"/>
    <x v="0"/>
    <n v="1"/>
    <n v="1"/>
    <x v="2"/>
    <s v="CARRERA 23 # 17"/>
    <n v="5.3427833333333332"/>
    <n v="-72.394019444444453"/>
    <s v="MOVILIDAD"/>
    <s v="URBANO"/>
    <x v="3"/>
    <s v="FEBRERO"/>
    <d v="2024-02-06T00:00:00"/>
    <x v="6"/>
    <d v="1899-12-30T16:00:00"/>
    <s v="MOTOCICLETA"/>
    <s v="AUTOMOVIL"/>
    <n v="1"/>
    <n v="0"/>
    <n v="1"/>
    <n v="0"/>
    <n v="0"/>
    <n v="0"/>
    <n v="0"/>
    <n v="0"/>
    <n v="0"/>
    <n v="0"/>
    <n v="0"/>
    <n v="0"/>
    <s v="MASCULINO"/>
    <s v="FEMENINO"/>
    <n v="1"/>
    <n v="1"/>
    <n v="55"/>
    <m/>
    <n v="25"/>
    <m/>
    <m/>
    <n v="23"/>
    <n v="112"/>
    <x v="4"/>
    <n v="157"/>
    <s v="Otra"/>
    <x v="1"/>
  </r>
  <r>
    <n v="369"/>
    <x v="0"/>
    <n v="2"/>
    <n v="0"/>
    <x v="0"/>
    <s v="CARRERA 23 # 17"/>
    <n v="5.3427833333333332"/>
    <n v="-72.394019444444453"/>
    <s v="MOVILIDAD"/>
    <s v="URBANO"/>
    <x v="0"/>
    <s v="DICIEMBRE"/>
    <d v="2022-12-07T00:00:00"/>
    <x v="3"/>
    <d v="1899-12-30T17:30:00"/>
    <s v="MOTOCICLETA"/>
    <s v="CAMIONETA"/>
    <n v="1"/>
    <n v="0"/>
    <n v="0"/>
    <n v="0"/>
    <n v="1"/>
    <n v="0"/>
    <n v="0"/>
    <n v="0"/>
    <n v="0"/>
    <n v="0"/>
    <n v="0"/>
    <n v="0"/>
    <m/>
    <s v="FEMENINO"/>
    <n v="0"/>
    <n v="1"/>
    <n v="32"/>
    <m/>
    <m/>
    <m/>
    <n v="12"/>
    <m/>
    <n v="112"/>
    <x v="4"/>
    <n v="127"/>
    <s v="Transitar en contravía."/>
    <x v="1"/>
  </r>
  <r>
    <n v="862"/>
    <x v="0"/>
    <n v="3"/>
    <n v="1"/>
    <x v="2"/>
    <s v="CARRERA 23 # 18"/>
    <n v="5.3420611111111107"/>
    <n v="-72.393580555555559"/>
    <s v="MOVILIDAD"/>
    <s v="URBANO"/>
    <x v="2"/>
    <s v="ENERO"/>
    <d v="2025-01-18T00:00:00"/>
    <x v="5"/>
    <d v="1899-12-30T01:45:00"/>
    <s v="MOTOCICLETA"/>
    <s v="MOTOCICLETA"/>
    <n v="2"/>
    <n v="0"/>
    <n v="0"/>
    <n v="0"/>
    <n v="0"/>
    <n v="0"/>
    <n v="0"/>
    <n v="0"/>
    <n v="0"/>
    <n v="0"/>
    <n v="0"/>
    <n v="0"/>
    <s v="MASCULINO"/>
    <s v="MASCULINO"/>
    <n v="2"/>
    <n v="0"/>
    <m/>
    <n v="32"/>
    <m/>
    <m/>
    <m/>
    <n v="32"/>
    <n v="112"/>
    <x v="4"/>
    <n v="114"/>
    <s v="Embriaguez aparente."/>
    <x v="2"/>
  </r>
  <r>
    <n v="887"/>
    <x v="0"/>
    <n v="1"/>
    <n v="0"/>
    <x v="0"/>
    <s v="CARRERA 23 # 18"/>
    <n v="5.3420611111111107"/>
    <n v="-72.393580555555559"/>
    <s v="MOVILIDAD"/>
    <s v="URBANO"/>
    <x v="2"/>
    <s v="MARZO"/>
    <d v="2025-03-01T00:00:00"/>
    <x v="5"/>
    <d v="1899-12-30T06:50:00"/>
    <s v="CAMIONETA"/>
    <s v="BICICLETA"/>
    <n v="0"/>
    <n v="0"/>
    <n v="0"/>
    <n v="0"/>
    <n v="1"/>
    <n v="0"/>
    <n v="0"/>
    <n v="0"/>
    <n v="0"/>
    <n v="0"/>
    <n v="0"/>
    <n v="1"/>
    <s v="MASCULINO"/>
    <s v="FEMENINO"/>
    <n v="1"/>
    <n v="1"/>
    <n v="57"/>
    <n v="66"/>
    <m/>
    <m/>
    <m/>
    <m/>
    <n v="93"/>
    <x v="11"/>
    <m/>
    <s v=""/>
    <x v="2"/>
  </r>
  <r>
    <n v="400"/>
    <x v="0"/>
    <n v="2"/>
    <n v="0"/>
    <x v="0"/>
    <s v="CARRERA 23 # 19"/>
    <n v="5.3412638888888884"/>
    <n v="-72.393175000000014"/>
    <s v="MOVILIDAD"/>
    <s v="URBANO"/>
    <x v="1"/>
    <s v="FEBRERO"/>
    <d v="2023-02-01T00:00:00"/>
    <x v="3"/>
    <d v="1899-12-30T10:48:00"/>
    <s v="MOTOCICLETA"/>
    <s v="AUTOMOVIL"/>
    <n v="1"/>
    <n v="0"/>
    <n v="1"/>
    <n v="0"/>
    <n v="0"/>
    <n v="0"/>
    <n v="0"/>
    <n v="0"/>
    <n v="0"/>
    <n v="0"/>
    <n v="0"/>
    <n v="0"/>
    <s v="MASCULINO"/>
    <s v="FEMENINO"/>
    <n v="1"/>
    <n v="1"/>
    <n v="18"/>
    <m/>
    <m/>
    <m/>
    <n v="34"/>
    <m/>
    <n v="139"/>
    <x v="0"/>
    <n v="132"/>
    <s v="No respetar prelación."/>
    <x v="2"/>
  </r>
  <r>
    <n v="366"/>
    <x v="0"/>
    <n v="1"/>
    <n v="0"/>
    <x v="0"/>
    <s v="CARRERA 23 # 19"/>
    <n v="5.3412638888888884"/>
    <n v="-72.393175000000014"/>
    <s v="MOVILIDAD"/>
    <s v="URBANO"/>
    <x v="0"/>
    <s v="DICIEMBRE"/>
    <d v="2022-12-01T00:00:00"/>
    <x v="1"/>
    <d v="1899-12-30T12:20:00"/>
    <s v="AUTOMOVIL"/>
    <s v="CAMIONETA"/>
    <n v="0"/>
    <n v="0"/>
    <n v="1"/>
    <n v="0"/>
    <n v="1"/>
    <n v="0"/>
    <n v="0"/>
    <n v="0"/>
    <n v="0"/>
    <n v="0"/>
    <n v="0"/>
    <n v="0"/>
    <s v="MASCULINO"/>
    <m/>
    <n v="1"/>
    <n v="0"/>
    <n v="33"/>
    <m/>
    <m/>
    <m/>
    <m/>
    <m/>
    <n v="123"/>
    <x v="21"/>
    <m/>
    <s v=""/>
    <x v="1"/>
  </r>
  <r>
    <n v="663"/>
    <x v="0"/>
    <n v="1"/>
    <n v="0"/>
    <x v="0"/>
    <s v="CARRERA 23 # 20"/>
    <n v="5.3404444444444445"/>
    <n v="-72.392725000000013"/>
    <s v="MOVILIDAD"/>
    <s v="URBANO"/>
    <x v="3"/>
    <s v="FEBRERO"/>
    <d v="2024-02-11T00:00:00"/>
    <x v="2"/>
    <d v="1899-12-30T00:15:00"/>
    <s v="MOTOCICLETA"/>
    <s v="CAMIONETA"/>
    <n v="1"/>
    <n v="0"/>
    <n v="0"/>
    <n v="0"/>
    <n v="1"/>
    <n v="0"/>
    <n v="0"/>
    <n v="0"/>
    <n v="0"/>
    <n v="0"/>
    <n v="0"/>
    <n v="0"/>
    <s v="MASCULINO"/>
    <m/>
    <n v="1"/>
    <n v="0"/>
    <n v="33"/>
    <n v="20"/>
    <m/>
    <m/>
    <m/>
    <m/>
    <n v="157"/>
    <x v="1"/>
    <n v="102"/>
    <s v="Adelantar por la derecha."/>
    <x v="2"/>
  </r>
  <r>
    <n v="734"/>
    <x v="0"/>
    <n v="1"/>
    <n v="0"/>
    <x v="0"/>
    <s v="CARRERA 23 # 20"/>
    <n v="5.3404444444444445"/>
    <n v="-72.392725000000013"/>
    <s v="MOVILIDAD"/>
    <s v="URBANO"/>
    <x v="3"/>
    <s v="JUNIO"/>
    <d v="2024-06-24T00:00:00"/>
    <x v="4"/>
    <d v="1899-12-30T13:30:00"/>
    <s v="MOTOCICLETA"/>
    <s v="AUTOMOVIL"/>
    <n v="1"/>
    <n v="0"/>
    <n v="1"/>
    <n v="0"/>
    <n v="0"/>
    <n v="0"/>
    <n v="0"/>
    <n v="0"/>
    <n v="0"/>
    <n v="0"/>
    <n v="0"/>
    <n v="0"/>
    <s v="MASCULINO"/>
    <s v="FEMENINO"/>
    <n v="1"/>
    <n v="1"/>
    <n v="51"/>
    <n v="16"/>
    <m/>
    <m/>
    <m/>
    <m/>
    <n v="157"/>
    <x v="1"/>
    <m/>
    <s v=""/>
    <x v="1"/>
  </r>
  <r>
    <n v="679"/>
    <x v="0"/>
    <n v="1"/>
    <n v="0"/>
    <x v="0"/>
    <s v="CARRERA 23 # 20"/>
    <n v="5.3404444444444445"/>
    <n v="-72.392725000000013"/>
    <s v="MOVILIDAD"/>
    <s v="URBANO"/>
    <x v="3"/>
    <s v="MARZO"/>
    <d v="2024-03-11T00:00:00"/>
    <x v="4"/>
    <d v="1899-12-30T10:30:00"/>
    <s v="MOTOCICLETA"/>
    <s v="AUTOMOVIL"/>
    <n v="1"/>
    <n v="0"/>
    <n v="1"/>
    <n v="0"/>
    <n v="0"/>
    <n v="0"/>
    <n v="0"/>
    <n v="0"/>
    <n v="0"/>
    <n v="0"/>
    <n v="0"/>
    <n v="0"/>
    <s v="MASCULINO"/>
    <s v="FEMENINO"/>
    <n v="1"/>
    <n v="1"/>
    <n v="52"/>
    <n v="53"/>
    <m/>
    <m/>
    <m/>
    <m/>
    <n v="112"/>
    <x v="4"/>
    <m/>
    <s v=""/>
    <x v="2"/>
  </r>
  <r>
    <n v="902"/>
    <x v="0"/>
    <n v="1"/>
    <n v="0"/>
    <x v="0"/>
    <s v="CARRERA 23 # 21"/>
    <n v="5.3396363888888887"/>
    <n v="-72.392344444444447"/>
    <s v="MOVILIDAD"/>
    <s v="URBANO"/>
    <x v="2"/>
    <s v="MARZO"/>
    <d v="2025-03-11T00:00:00"/>
    <x v="6"/>
    <d v="1899-12-30T16:20:00"/>
    <s v="MOTOCICLETA"/>
    <s v="CAMIONETA"/>
    <n v="1"/>
    <n v="0"/>
    <n v="0"/>
    <n v="0"/>
    <n v="1"/>
    <n v="0"/>
    <n v="0"/>
    <n v="0"/>
    <n v="0"/>
    <n v="0"/>
    <n v="0"/>
    <n v="0"/>
    <s v="FEMENINO"/>
    <s v="MASCULINO"/>
    <n v="1"/>
    <n v="1"/>
    <n v="45"/>
    <n v="28"/>
    <m/>
    <m/>
    <m/>
    <m/>
    <n v="132"/>
    <x v="13"/>
    <n v="139"/>
    <s v="Impericia en el manejo."/>
    <x v="1"/>
  </r>
  <r>
    <n v="881"/>
    <x v="0"/>
    <n v="1"/>
    <n v="0"/>
    <x v="0"/>
    <s v="CARRERA 23 # 21"/>
    <n v="5.3396363888888887"/>
    <n v="-72.392344444444447"/>
    <s v="MOVILIDAD"/>
    <s v="URBANO"/>
    <x v="2"/>
    <s v="FEBRERO"/>
    <d v="2025-02-21T00:00:00"/>
    <x v="0"/>
    <d v="1899-12-30T18:40:00"/>
    <s v="CAMPERO"/>
    <s v="MOTOCICLETA"/>
    <n v="1"/>
    <n v="0"/>
    <n v="0"/>
    <n v="1"/>
    <n v="0"/>
    <n v="0"/>
    <n v="0"/>
    <n v="0"/>
    <n v="0"/>
    <n v="0"/>
    <n v="0"/>
    <n v="0"/>
    <s v="FEMENINO"/>
    <s v="MASCULINO"/>
    <n v="1"/>
    <n v="1"/>
    <n v="50"/>
    <n v="18"/>
    <m/>
    <m/>
    <m/>
    <m/>
    <n v="112"/>
    <x v="4"/>
    <m/>
    <s v=""/>
    <x v="0"/>
  </r>
  <r>
    <n v="204"/>
    <x v="0"/>
    <n v="2"/>
    <n v="0"/>
    <x v="0"/>
    <s v="CARRERA 23 # 21"/>
    <n v="5.3396363888888887"/>
    <n v="-72.392344444444447"/>
    <s v="MOVILIDAD"/>
    <s v="URBANO"/>
    <x v="0"/>
    <s v="JUNIO"/>
    <d v="2022-06-02T00:00:00"/>
    <x v="1"/>
    <d v="1899-12-30T21:40:00"/>
    <s v="MOTOCICLETA"/>
    <s v="VOLQUETA"/>
    <n v="1"/>
    <n v="0"/>
    <n v="0"/>
    <n v="0"/>
    <n v="0"/>
    <n v="0"/>
    <n v="0"/>
    <n v="0"/>
    <n v="0"/>
    <n v="0"/>
    <n v="1"/>
    <n v="0"/>
    <s v="MASCULINO"/>
    <s v="FEMENINO"/>
    <n v="1"/>
    <n v="1"/>
    <n v="33"/>
    <n v="20"/>
    <m/>
    <m/>
    <m/>
    <m/>
    <n v="112"/>
    <x v="4"/>
    <m/>
    <s v=""/>
    <x v="0"/>
  </r>
  <r>
    <n v="241"/>
    <x v="0"/>
    <n v="2"/>
    <n v="0"/>
    <x v="0"/>
    <s v="CARRERA 23 # 21"/>
    <n v="5.3396363888888887"/>
    <n v="-72.392344444444447"/>
    <s v="MOVILIDAD"/>
    <s v="URBANO"/>
    <x v="0"/>
    <s v="JULIO"/>
    <d v="2022-07-02T00:00:00"/>
    <x v="5"/>
    <d v="1899-12-30T22:40:00"/>
    <s v="MOTOCICLETA"/>
    <s v="AUTOMOVIL"/>
    <n v="1"/>
    <n v="0"/>
    <n v="1"/>
    <n v="0"/>
    <n v="0"/>
    <n v="0"/>
    <n v="0"/>
    <n v="0"/>
    <n v="0"/>
    <n v="0"/>
    <n v="0"/>
    <n v="0"/>
    <s v="MASCULINO"/>
    <s v="FEMENINO"/>
    <n v="1"/>
    <n v="1"/>
    <n v="21"/>
    <m/>
    <m/>
    <m/>
    <n v="23"/>
    <m/>
    <n v="112"/>
    <x v="4"/>
    <m/>
    <s v=""/>
    <x v="0"/>
  </r>
  <r>
    <n v="84"/>
    <x v="1"/>
    <n v="0"/>
    <n v="0"/>
    <x v="1"/>
    <s v="CARRERA 23 # 21"/>
    <n v="5.3396363888888887"/>
    <n v="-72.392344444444447"/>
    <s v="MOVILIDAD"/>
    <s v="URBANO"/>
    <x v="0"/>
    <s v="MARZO"/>
    <d v="2022-03-12T00:00:00"/>
    <x v="5"/>
    <d v="1899-12-30T10:00:00"/>
    <s v="MOTOCICLETA"/>
    <s v="MOTOCICLETA"/>
    <n v="2"/>
    <n v="0"/>
    <n v="0"/>
    <n v="0"/>
    <n v="0"/>
    <n v="0"/>
    <n v="0"/>
    <n v="0"/>
    <n v="0"/>
    <n v="0"/>
    <n v="0"/>
    <n v="0"/>
    <m/>
    <s v="FEMENINO"/>
    <n v="0"/>
    <n v="1"/>
    <m/>
    <m/>
    <m/>
    <m/>
    <m/>
    <m/>
    <n v="112"/>
    <x v="4"/>
    <m/>
    <s v=""/>
    <x v="2"/>
  </r>
  <r>
    <n v="963"/>
    <x v="0"/>
    <n v="1"/>
    <n v="0"/>
    <x v="0"/>
    <s v="CARRERA 23 # 21"/>
    <n v="5.3396363888888887"/>
    <n v="-72.392344444444447"/>
    <s v="MOVILIDAD"/>
    <s v="URBANO"/>
    <x v="2"/>
    <s v="MAYO"/>
    <d v="2025-05-12T00:00:00"/>
    <x v="4"/>
    <d v="1899-12-30T18:5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24"/>
    <m/>
    <m/>
    <m/>
    <m/>
    <m/>
    <n v="102"/>
    <x v="29"/>
    <n v="116"/>
    <s v="Exceso de velocidad"/>
    <x v="0"/>
  </r>
  <r>
    <n v="634"/>
    <x v="0"/>
    <n v="1"/>
    <n v="0"/>
    <x v="0"/>
    <s v="CARRERA 23 # 21"/>
    <n v="5.3396363888888887"/>
    <n v="-72.392344444444447"/>
    <s v="MOVILIDAD"/>
    <s v="URBANO"/>
    <x v="1"/>
    <s v="DICIEMBRE"/>
    <d v="2023-12-15T00:00:00"/>
    <x v="0"/>
    <d v="1899-12-30T17:50:00"/>
    <s v="MOTOCICLETA"/>
    <s v="AUTOMOVIL"/>
    <n v="1"/>
    <n v="0"/>
    <n v="1"/>
    <n v="0"/>
    <n v="0"/>
    <n v="0"/>
    <n v="0"/>
    <n v="0"/>
    <n v="0"/>
    <n v="0"/>
    <n v="0"/>
    <n v="0"/>
    <m/>
    <s v="FEMENINO"/>
    <n v="0"/>
    <n v="1"/>
    <n v="49"/>
    <m/>
    <m/>
    <m/>
    <m/>
    <m/>
    <n v="102"/>
    <x v="29"/>
    <n v="122"/>
    <s v="Girar bruscamente."/>
    <x v="1"/>
  </r>
  <r>
    <n v="935"/>
    <x v="0"/>
    <n v="2"/>
    <n v="0"/>
    <x v="0"/>
    <s v="CARRERA 23 # 22"/>
    <n v="5.33887"/>
    <n v="-72.391850000000005"/>
    <s v="MOVILIDAD"/>
    <s v="URBANO"/>
    <x v="2"/>
    <s v="ABRIL"/>
    <d v="2025-04-11T00:00:00"/>
    <x v="0"/>
    <d v="1899-12-30T13:19:00"/>
    <s v="MOTOCICLETA"/>
    <s v="MOTOCICLETA"/>
    <n v="2"/>
    <n v="0"/>
    <n v="0"/>
    <n v="0"/>
    <n v="0"/>
    <n v="0"/>
    <n v="0"/>
    <n v="0"/>
    <n v="0"/>
    <n v="0"/>
    <n v="0"/>
    <n v="0"/>
    <s v="FEMENINO"/>
    <s v="MASCULINO"/>
    <n v="1"/>
    <n v="1"/>
    <m/>
    <n v="24"/>
    <m/>
    <m/>
    <m/>
    <m/>
    <n v="112"/>
    <x v="4"/>
    <n v="139"/>
    <s v="Impericia en el manejo."/>
    <x v="1"/>
  </r>
  <r>
    <n v="937"/>
    <x v="0"/>
    <n v="1"/>
    <n v="0"/>
    <x v="0"/>
    <s v="CARRERA 23 # 22"/>
    <n v="5.33887"/>
    <n v="-72.391850000000005"/>
    <s v="MOVILIDAD"/>
    <s v="URBANO"/>
    <x v="2"/>
    <s v="ABRIL"/>
    <d v="2025-04-15T00:00:00"/>
    <x v="6"/>
    <d v="1899-12-30T14:05:00"/>
    <s v="CAMIONETA"/>
    <s v="MOTOCICLETA"/>
    <n v="1"/>
    <n v="0"/>
    <n v="0"/>
    <n v="0"/>
    <n v="1"/>
    <n v="0"/>
    <n v="0"/>
    <n v="0"/>
    <n v="0"/>
    <n v="0"/>
    <n v="0"/>
    <n v="0"/>
    <s v="MASCULINO"/>
    <s v="MASCULINO"/>
    <n v="2"/>
    <n v="0"/>
    <n v="30"/>
    <n v="36"/>
    <m/>
    <m/>
    <m/>
    <m/>
    <n v="112"/>
    <x v="4"/>
    <n v="157"/>
    <s v="Otra"/>
    <x v="1"/>
  </r>
  <r>
    <n v="720"/>
    <x v="0"/>
    <n v="1"/>
    <n v="0"/>
    <x v="0"/>
    <s v="CARRERA 23 # 26"/>
    <n v="5.3357388888888888"/>
    <n v="-72.390136111111119"/>
    <s v="MOVILIDAD"/>
    <s v="URBANO"/>
    <x v="3"/>
    <s v="MAYO"/>
    <d v="2024-05-30T00:00:00"/>
    <x v="1"/>
    <d v="1899-12-30T15:02:00"/>
    <s v="AUTOMOVIL"/>
    <m/>
    <n v="0"/>
    <n v="0"/>
    <n v="1"/>
    <n v="0"/>
    <n v="0"/>
    <n v="0"/>
    <n v="0"/>
    <n v="0"/>
    <n v="0"/>
    <n v="0"/>
    <n v="0"/>
    <n v="0"/>
    <s v="MASCULINO"/>
    <s v="FEMENINO"/>
    <n v="1"/>
    <n v="1"/>
    <n v="24"/>
    <n v="74"/>
    <m/>
    <m/>
    <m/>
    <m/>
    <n v="409"/>
    <x v="19"/>
    <m/>
    <s v=""/>
    <x v="1"/>
  </r>
  <r>
    <n v="721"/>
    <x v="0"/>
    <n v="2"/>
    <n v="0"/>
    <x v="0"/>
    <s v="CARRERA 23 # 26"/>
    <n v="5.3357388888888888"/>
    <n v="-72.390136111111119"/>
    <s v="MOVILIDAD"/>
    <s v="URBANO"/>
    <x v="3"/>
    <s v="MAYO"/>
    <d v="2024-05-31T00:00:00"/>
    <x v="0"/>
    <d v="1899-12-30T17:3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20"/>
    <n v="68"/>
    <m/>
    <m/>
    <m/>
    <m/>
    <n v="157"/>
    <x v="1"/>
    <n v="157"/>
    <s v="Otra"/>
    <x v="1"/>
  </r>
  <r>
    <n v="982"/>
    <x v="0"/>
    <n v="1"/>
    <n v="0"/>
    <x v="0"/>
    <s v="CARRERA 23 # 27"/>
    <n v="5.3349000000000002"/>
    <n v="-72.389712000000003"/>
    <s v="MOVILIDAD"/>
    <s v="URBANO"/>
    <x v="2"/>
    <s v="JUNIO"/>
    <d v="2025-06-06T00:00:00"/>
    <x v="0"/>
    <d v="1899-12-30T07:35:00"/>
    <s v="AUTOMOVIL"/>
    <s v="MOTOCICLETA"/>
    <n v="1"/>
    <n v="0"/>
    <n v="1"/>
    <n v="0"/>
    <n v="0"/>
    <n v="0"/>
    <n v="0"/>
    <n v="0"/>
    <n v="0"/>
    <n v="0"/>
    <n v="0"/>
    <n v="0"/>
    <s v="MASCULINO"/>
    <s v="FEMENINO"/>
    <n v="1"/>
    <n v="1"/>
    <n v="47"/>
    <n v="62"/>
    <m/>
    <m/>
    <m/>
    <m/>
    <n v="132"/>
    <x v="13"/>
    <m/>
    <s v=""/>
    <x v="2"/>
  </r>
  <r>
    <n v="392"/>
    <x v="0"/>
    <n v="2"/>
    <n v="0"/>
    <x v="0"/>
    <s v="CARRERA 23 # 27"/>
    <n v="5.334938055555555"/>
    <n v="-72.389722777777791"/>
    <s v="MOVILIDAD"/>
    <s v="URBANO"/>
    <x v="1"/>
    <s v="ENERO"/>
    <d v="2023-01-24T00:00:00"/>
    <x v="6"/>
    <d v="1899-12-30T18:00:00"/>
    <s v="MOTOCICLETA"/>
    <s v="BICICLETA"/>
    <n v="1"/>
    <n v="0"/>
    <n v="0"/>
    <n v="0"/>
    <n v="0"/>
    <n v="0"/>
    <n v="0"/>
    <n v="0"/>
    <n v="0"/>
    <n v="0"/>
    <n v="0"/>
    <n v="1"/>
    <s v="MASCULINO"/>
    <s v="FEMENINO"/>
    <n v="1"/>
    <n v="1"/>
    <n v="20"/>
    <n v="10"/>
    <m/>
    <m/>
    <m/>
    <m/>
    <n v="115"/>
    <x v="12"/>
    <n v="139"/>
    <s v="Impericia en el manejo."/>
    <x v="0"/>
  </r>
  <r>
    <n v="680"/>
    <x v="0"/>
    <n v="0"/>
    <n v="1"/>
    <x v="2"/>
    <s v="CARRERA 23 # 30"/>
    <n v="5.3325027777777771"/>
    <n v="-72.38847777777778"/>
    <s v="MOVILIDAD"/>
    <s v="URBANO"/>
    <x v="3"/>
    <s v="MARZO"/>
    <d v="2024-03-17T00:00:00"/>
    <x v="2"/>
    <d v="1899-12-30T04:50:00"/>
    <s v="MOTOCICLETA"/>
    <s v="CAMIONETA"/>
    <n v="1"/>
    <n v="0"/>
    <n v="0"/>
    <n v="0"/>
    <n v="1"/>
    <n v="0"/>
    <n v="0"/>
    <n v="0"/>
    <n v="0"/>
    <n v="0"/>
    <n v="0"/>
    <n v="0"/>
    <s v="MASCULINO"/>
    <m/>
    <n v="1"/>
    <n v="0"/>
    <n v="40"/>
    <n v="28"/>
    <m/>
    <m/>
    <m/>
    <n v="40"/>
    <n v="157"/>
    <x v="1"/>
    <n v="157"/>
    <s v="Otra"/>
    <x v="2"/>
  </r>
  <r>
    <n v="449"/>
    <x v="0"/>
    <n v="1"/>
    <n v="1"/>
    <x v="2"/>
    <s v="CARRERA 23 # 30"/>
    <n v="5.3325027777777771"/>
    <n v="-72.38847777777778"/>
    <s v="MOVILIDAD"/>
    <s v="URBANO"/>
    <x v="1"/>
    <s v="ABRIL"/>
    <d v="2023-04-06T00:00:00"/>
    <x v="1"/>
    <d v="1899-12-30T02:3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26"/>
    <m/>
    <m/>
    <m/>
    <m/>
    <n v="32"/>
    <n v="142"/>
    <x v="16"/>
    <n v="115"/>
    <s v="Embriaguez o Sustancias alucinogenas"/>
    <x v="2"/>
  </r>
  <r>
    <n v="550"/>
    <x v="0"/>
    <n v="1"/>
    <n v="0"/>
    <x v="0"/>
    <s v="CARRERA 23 # 30"/>
    <n v="5.3325027777777771"/>
    <n v="-72.38847777777778"/>
    <s v="MOVILIDAD"/>
    <s v="URBANO"/>
    <x v="1"/>
    <s v="SEPTIEMBRE"/>
    <d v="2023-09-04T00:00:00"/>
    <x v="4"/>
    <d v="1899-12-30T13:3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19"/>
    <m/>
    <m/>
    <m/>
    <m/>
    <m/>
    <n v="142"/>
    <x v="16"/>
    <m/>
    <s v=""/>
    <x v="1"/>
  </r>
  <r>
    <n v="211"/>
    <x v="0"/>
    <n v="2"/>
    <n v="0"/>
    <x v="0"/>
    <s v="CARRERA 23 # 30"/>
    <n v="5.3325027777777771"/>
    <n v="-72.38847777777778"/>
    <s v="MOVILIDAD"/>
    <s v="URBANO"/>
    <x v="0"/>
    <s v="JUNIO"/>
    <d v="2022-06-09T00:00:00"/>
    <x v="1"/>
    <d v="1899-12-30T22:25:00"/>
    <s v="MOTOCICLETA"/>
    <s v="CAMIONETA"/>
    <n v="1"/>
    <n v="0"/>
    <n v="0"/>
    <n v="0"/>
    <n v="1"/>
    <n v="0"/>
    <n v="0"/>
    <n v="0"/>
    <n v="0"/>
    <n v="0"/>
    <n v="0"/>
    <n v="0"/>
    <s v="MASCULINO"/>
    <s v="FEMENINO"/>
    <n v="1"/>
    <n v="1"/>
    <n v="21"/>
    <m/>
    <m/>
    <m/>
    <n v="1"/>
    <m/>
    <n v="139"/>
    <x v="0"/>
    <n v="142"/>
    <s v="Semáforo en rojo."/>
    <x v="0"/>
  </r>
  <r>
    <n v="464"/>
    <x v="0"/>
    <n v="2"/>
    <n v="0"/>
    <x v="0"/>
    <s v="CARRERA 23 # 30"/>
    <n v="5.3325027777777771"/>
    <n v="-72.38847777777778"/>
    <s v="MOVILIDAD"/>
    <s v="URBANO"/>
    <x v="1"/>
    <s v="ABRIL"/>
    <d v="2023-04-29T00:00:00"/>
    <x v="5"/>
    <d v="1899-12-30T23:00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n v="24"/>
    <n v="65"/>
    <m/>
    <m/>
    <m/>
    <m/>
    <n v="139"/>
    <x v="0"/>
    <n v="157"/>
    <s v="Otra"/>
    <x v="0"/>
  </r>
  <r>
    <n v="87"/>
    <x v="1"/>
    <n v="0"/>
    <n v="0"/>
    <x v="1"/>
    <s v="CARRERA 23 # 30"/>
    <n v="5.3324694444444445"/>
    <n v="-72.388472222222234"/>
    <s v="MOVILIDAD"/>
    <s v="URBANO"/>
    <x v="0"/>
    <s v="MARZO"/>
    <d v="2022-03-12T00:00:00"/>
    <x v="5"/>
    <d v="1899-12-30T18:30:00"/>
    <s v="AUTOMOVIL"/>
    <s v="AUTOMOVIL"/>
    <n v="0"/>
    <n v="0"/>
    <n v="2"/>
    <n v="0"/>
    <n v="0"/>
    <n v="0"/>
    <n v="0"/>
    <n v="0"/>
    <n v="0"/>
    <n v="0"/>
    <n v="0"/>
    <n v="0"/>
    <s v="MASCULINO"/>
    <m/>
    <n v="1"/>
    <n v="0"/>
    <m/>
    <m/>
    <m/>
    <m/>
    <m/>
    <m/>
    <n v="121"/>
    <x v="7"/>
    <m/>
    <s v=""/>
    <x v="0"/>
  </r>
  <r>
    <n v="653"/>
    <x v="1"/>
    <n v="0"/>
    <n v="0"/>
    <x v="1"/>
    <s v="CARRERA 23 # 30"/>
    <n v="5.3325027777777771"/>
    <n v="-72.38847777777778"/>
    <s v="MOVILIDAD"/>
    <s v="URBANO"/>
    <x v="3"/>
    <s v="ENERO"/>
    <d v="2024-01-29T00:00:00"/>
    <x v="4"/>
    <d v="1899-12-30T22:00:00"/>
    <s v="AUTOMOVIL"/>
    <s v="AUTOMOVIL"/>
    <n v="0"/>
    <n v="0"/>
    <n v="2"/>
    <n v="0"/>
    <n v="0"/>
    <n v="0"/>
    <n v="0"/>
    <n v="0"/>
    <n v="0"/>
    <n v="0"/>
    <n v="0"/>
    <n v="0"/>
    <s v="MASCULINO"/>
    <m/>
    <n v="1"/>
    <n v="0"/>
    <n v="45"/>
    <n v="29"/>
    <m/>
    <m/>
    <m/>
    <m/>
    <n v="112"/>
    <x v="4"/>
    <n v="115"/>
    <s v="Embriaguez o Sustancias alucinogenas"/>
    <x v="0"/>
  </r>
  <r>
    <n v="729"/>
    <x v="0"/>
    <n v="1"/>
    <n v="0"/>
    <x v="0"/>
    <s v="CARRERA 23 # 35"/>
    <n v="5.3285472222222223"/>
    <n v="-72.386288888888899"/>
    <s v="MOVILIDAD"/>
    <s v="URBANO"/>
    <x v="3"/>
    <s v="JUNIO"/>
    <d v="2024-06-15T00:00:00"/>
    <x v="5"/>
    <d v="1899-12-30T10:0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29"/>
    <n v="61"/>
    <m/>
    <m/>
    <m/>
    <m/>
    <n v="139"/>
    <x v="0"/>
    <n v="112"/>
    <s v="Desobedecer señales o normas de tránsito."/>
    <x v="2"/>
  </r>
  <r>
    <n v="795"/>
    <x v="0"/>
    <n v="1"/>
    <n v="0"/>
    <x v="0"/>
    <s v="CARRERA 23 # 35"/>
    <n v="5.3285472222222223"/>
    <n v="-72.386288888888899"/>
    <s v="MOVILIDAD"/>
    <s v="URBANO"/>
    <x v="3"/>
    <s v="OCTUBRE"/>
    <d v="2024-10-18T00:00:00"/>
    <x v="0"/>
    <d v="1899-12-30T08:30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n v="34"/>
    <n v="21"/>
    <m/>
    <m/>
    <m/>
    <m/>
    <n v="139"/>
    <x v="0"/>
    <m/>
    <s v=""/>
    <x v="2"/>
  </r>
  <r>
    <n v="605"/>
    <x v="0"/>
    <n v="3"/>
    <n v="0"/>
    <x v="0"/>
    <s v="CARRERA 23 # 35"/>
    <n v="5.3285472222222223"/>
    <n v="-72.386288888888899"/>
    <s v="MOVILIDAD"/>
    <s v="URBANO"/>
    <x v="1"/>
    <s v="NOVIEMBRE"/>
    <d v="2023-11-11T00:00:00"/>
    <x v="5"/>
    <d v="1899-12-30T19:15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21"/>
    <n v="54"/>
    <m/>
    <m/>
    <n v="13"/>
    <m/>
    <n v="116"/>
    <x v="14"/>
    <n v="112"/>
    <s v="Desobedecer señales o normas de tránsito."/>
    <x v="0"/>
  </r>
  <r>
    <n v="777"/>
    <x v="0"/>
    <n v="1"/>
    <n v="1"/>
    <x v="2"/>
    <s v="CARRERA 23 # 35"/>
    <n v="5.3285472222222223"/>
    <n v="-72.386288888888899"/>
    <s v="MOVILIDAD"/>
    <s v="URBANO"/>
    <x v="3"/>
    <s v="SEPTIEMBRE"/>
    <d v="2024-09-08T00:00:00"/>
    <x v="2"/>
    <d v="1899-12-30T01:4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m/>
    <n v="29"/>
    <n v="15"/>
    <m/>
    <m/>
    <n v="30"/>
    <n v="112"/>
    <x v="4"/>
    <n v="157"/>
    <s v="Otra"/>
    <x v="2"/>
  </r>
  <r>
    <n v="377"/>
    <x v="1"/>
    <n v="0"/>
    <n v="0"/>
    <x v="1"/>
    <s v="CARRERA 23 # 35"/>
    <n v="5.3285472222222223"/>
    <n v="-72.386288888888899"/>
    <s v="MOVILIDAD"/>
    <s v="URBANO"/>
    <x v="0"/>
    <s v="DICIEMBRE"/>
    <d v="2022-12-19T00:00:00"/>
    <x v="4"/>
    <d v="1899-12-30T20:00:00"/>
    <s v="AUTOMOVIL"/>
    <s v="CAMIONETA"/>
    <n v="0"/>
    <n v="0"/>
    <n v="1"/>
    <n v="0"/>
    <n v="1"/>
    <n v="0"/>
    <n v="0"/>
    <n v="0"/>
    <n v="0"/>
    <n v="0"/>
    <n v="0"/>
    <n v="0"/>
    <s v="MASCULINO"/>
    <m/>
    <n v="1"/>
    <n v="0"/>
    <n v="43"/>
    <n v="39"/>
    <m/>
    <m/>
    <m/>
    <m/>
    <n v="112"/>
    <x v="4"/>
    <n v="115"/>
    <s v="Embriaguez o Sustancias alucinogenas"/>
    <x v="0"/>
  </r>
  <r>
    <n v="520"/>
    <x v="0"/>
    <n v="1"/>
    <n v="0"/>
    <x v="0"/>
    <s v="CARRERA 23 # 35"/>
    <n v="5.3285472222222223"/>
    <n v="-72.386288888888899"/>
    <s v="MOVILIDAD"/>
    <s v="URBANO"/>
    <x v="1"/>
    <s v="JULIO"/>
    <d v="2023-07-06T00:00:00"/>
    <x v="1"/>
    <d v="1899-12-30T07:10:00"/>
    <s v="MOTOCICLETA"/>
    <s v="CAMION"/>
    <n v="1"/>
    <n v="0"/>
    <n v="0"/>
    <n v="0"/>
    <n v="0"/>
    <n v="0"/>
    <n v="0"/>
    <n v="0"/>
    <n v="1"/>
    <n v="0"/>
    <n v="0"/>
    <n v="0"/>
    <s v="MASCULINO"/>
    <m/>
    <n v="1"/>
    <n v="0"/>
    <n v="29"/>
    <m/>
    <m/>
    <m/>
    <m/>
    <m/>
    <n v="112"/>
    <x v="4"/>
    <m/>
    <s v=""/>
    <x v="2"/>
  </r>
  <r>
    <n v="225"/>
    <x v="0"/>
    <n v="1"/>
    <n v="0"/>
    <x v="0"/>
    <s v="CARRERA 23 # 35"/>
    <n v="5.3285472222222223"/>
    <n v="-72.386291666666679"/>
    <s v="MOVILIDAD"/>
    <s v="URBANO"/>
    <x v="0"/>
    <s v="JUNIO"/>
    <d v="2022-06-17T00:00:00"/>
    <x v="0"/>
    <d v="1899-12-30T06:20:00"/>
    <s v="MOTOCICLETA"/>
    <s v="CAMIONETA"/>
    <n v="1"/>
    <n v="0"/>
    <n v="0"/>
    <n v="0"/>
    <n v="1"/>
    <n v="0"/>
    <n v="0"/>
    <n v="0"/>
    <n v="0"/>
    <n v="0"/>
    <n v="0"/>
    <n v="0"/>
    <m/>
    <s v="FEMENINO"/>
    <n v="0"/>
    <n v="1"/>
    <n v="33"/>
    <m/>
    <m/>
    <m/>
    <m/>
    <m/>
    <n v="112"/>
    <x v="4"/>
    <m/>
    <s v=""/>
    <x v="2"/>
  </r>
  <r>
    <n v="596"/>
    <x v="0"/>
    <n v="1"/>
    <n v="0"/>
    <x v="0"/>
    <s v="CARRERA 23 # 40"/>
    <n v="5.3246861111111112"/>
    <n v="-72.384172222222233"/>
    <s v="MOVILIDAD"/>
    <s v="URBANO"/>
    <x v="1"/>
    <s v="NOVIEMBRE"/>
    <d v="2023-11-02T00:00:00"/>
    <x v="1"/>
    <d v="1899-12-30T15:40:00"/>
    <s v="MOTOCICLETA"/>
    <s v="CAMIONETA"/>
    <n v="1"/>
    <n v="0"/>
    <n v="0"/>
    <n v="0"/>
    <n v="1"/>
    <n v="0"/>
    <n v="0"/>
    <n v="0"/>
    <n v="0"/>
    <n v="0"/>
    <n v="0"/>
    <n v="0"/>
    <s v="MASCULINO"/>
    <m/>
    <n v="1"/>
    <n v="0"/>
    <n v="26"/>
    <m/>
    <m/>
    <m/>
    <m/>
    <m/>
    <n v="139"/>
    <x v="0"/>
    <m/>
    <s v=""/>
    <x v="1"/>
  </r>
  <r>
    <n v="988"/>
    <x v="0"/>
    <n v="1"/>
    <n v="0"/>
    <x v="0"/>
    <s v="CARRERA 23 # 40"/>
    <n v="5.3247169999999997"/>
    <n v="-72.384192999999996"/>
    <s v="MOVILIDAD"/>
    <s v="URBANO"/>
    <x v="2"/>
    <s v="JUNIO"/>
    <d v="2025-06-13T00:00:00"/>
    <x v="0"/>
    <d v="1899-12-30T10:00:00"/>
    <s v="AUTOMOVIL"/>
    <s v="MOTOCICLETA"/>
    <n v="1"/>
    <n v="0"/>
    <n v="1"/>
    <n v="0"/>
    <n v="0"/>
    <n v="0"/>
    <n v="0"/>
    <n v="0"/>
    <n v="0"/>
    <n v="0"/>
    <n v="0"/>
    <n v="0"/>
    <s v="MASCULINO"/>
    <s v="MASCULINO"/>
    <n v="2"/>
    <n v="0"/>
    <n v="67"/>
    <n v="22"/>
    <m/>
    <m/>
    <m/>
    <m/>
    <n v="139"/>
    <x v="0"/>
    <m/>
    <s v=""/>
    <x v="2"/>
  </r>
  <r>
    <n v="603"/>
    <x v="0"/>
    <n v="1"/>
    <n v="0"/>
    <x v="0"/>
    <s v="CARRERA 23 # 40 "/>
    <n v="5.3246861111111112"/>
    <n v="-72.384172222222233"/>
    <s v="MOVILIDAD"/>
    <s v="URBANO"/>
    <x v="1"/>
    <s v="NOVIEMBRE"/>
    <d v="2023-11-10T00:00:00"/>
    <x v="0"/>
    <d v="1899-12-30T23:3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43"/>
    <m/>
    <m/>
    <m/>
    <m/>
    <m/>
    <n v="116"/>
    <x v="14"/>
    <m/>
    <s v=""/>
    <x v="0"/>
  </r>
  <r>
    <n v="803"/>
    <x v="0"/>
    <n v="3"/>
    <n v="1"/>
    <x v="2"/>
    <s v="CARRERA 23 # 40 "/>
    <n v="5.3246861111111112"/>
    <n v="-72.384172222222233"/>
    <s v="MOVILIDAD"/>
    <s v="URBANO"/>
    <x v="3"/>
    <s v="NOVIEMBRE"/>
    <d v="2024-11-03T00:00:00"/>
    <x v="2"/>
    <d v="1899-12-30T04:3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m/>
    <n v="25"/>
    <n v="21"/>
    <n v="35"/>
    <m/>
    <n v="23"/>
    <n v="112"/>
    <x v="4"/>
    <n v="139"/>
    <s v="Impericia en el manejo."/>
    <x v="2"/>
  </r>
  <r>
    <n v="354"/>
    <x v="0"/>
    <n v="1"/>
    <n v="0"/>
    <x v="0"/>
    <s v="CARRERA 23 # 7"/>
    <n v="5.3510080000000002"/>
    <n v="-72.398617000000002"/>
    <s v="MOVILIDAD"/>
    <s v="URBANO"/>
    <x v="0"/>
    <s v="NOVIEMBRE"/>
    <d v="2022-11-15T00:00:00"/>
    <x v="6"/>
    <d v="1899-12-30T18:10:00"/>
    <s v="MOTOCICLETA"/>
    <s v="MOTOCICLETA"/>
    <n v="2"/>
    <n v="0"/>
    <n v="0"/>
    <n v="0"/>
    <n v="0"/>
    <n v="0"/>
    <n v="0"/>
    <n v="0"/>
    <n v="0"/>
    <n v="0"/>
    <n v="0"/>
    <n v="0"/>
    <m/>
    <s v="FEMENINO"/>
    <n v="0"/>
    <n v="1"/>
    <m/>
    <m/>
    <m/>
    <m/>
    <n v="17"/>
    <m/>
    <n v="139"/>
    <x v="0"/>
    <n v="114"/>
    <s v="Embriaguez aparente."/>
    <x v="0"/>
  </r>
  <r>
    <n v="717"/>
    <x v="1"/>
    <n v="0"/>
    <n v="0"/>
    <x v="1"/>
    <s v="CARRERA 23 # 7"/>
    <n v="5.3510080000000002"/>
    <n v="-72.398617000000002"/>
    <s v="MOVILIDAD"/>
    <s v="URBANO"/>
    <x v="3"/>
    <s v="MAYO"/>
    <d v="2024-05-23T00:00:00"/>
    <x v="1"/>
    <d v="1899-12-30T13:20:00"/>
    <s v="MOTOCICLETA"/>
    <s v="AUTOMOVIL"/>
    <n v="1"/>
    <n v="0"/>
    <n v="1"/>
    <n v="0"/>
    <n v="0"/>
    <n v="0"/>
    <n v="0"/>
    <n v="0"/>
    <n v="0"/>
    <n v="0"/>
    <n v="0"/>
    <n v="0"/>
    <m/>
    <s v="FEMENINO"/>
    <n v="0"/>
    <n v="1"/>
    <n v="23"/>
    <n v="43"/>
    <m/>
    <m/>
    <m/>
    <m/>
    <n v="112"/>
    <x v="4"/>
    <m/>
    <s v=""/>
    <x v="1"/>
  </r>
  <r>
    <n v="1093"/>
    <x v="1"/>
    <n v="0"/>
    <n v="0"/>
    <x v="1"/>
    <s v="CARRERA 23 # CALLE 12"/>
    <n v="5.3466420667245904"/>
    <n v="-72.396079357713404"/>
    <s v="MOVILIDAD"/>
    <s v="URBANO"/>
    <x v="2"/>
    <s v="SEPTIEMBRE"/>
    <d v="2025-09-25T00:00:00"/>
    <x v="1"/>
    <d v="1899-12-30T17:06:00"/>
    <s v="MOTOCICLETA"/>
    <s v="CAMIONETA"/>
    <n v="1"/>
    <n v="0"/>
    <n v="0"/>
    <n v="0"/>
    <n v="1"/>
    <n v="0"/>
    <n v="0"/>
    <n v="0"/>
    <n v="0"/>
    <n v="0"/>
    <n v="0"/>
    <n v="0"/>
    <s v="MASCULINO"/>
    <s v="MASCULINO"/>
    <n v="2"/>
    <n v="0"/>
    <m/>
    <m/>
    <m/>
    <m/>
    <m/>
    <m/>
    <n v="139"/>
    <x v="0"/>
    <n v="139"/>
    <s v="Impericia en el manejo."/>
    <x v="1"/>
  </r>
  <r>
    <n v="1117"/>
    <x v="0"/>
    <n v="1"/>
    <n v="0"/>
    <x v="0"/>
    <s v="CARRERA 23 # CALLE 16"/>
    <n v="5.3441135625757497"/>
    <n v="-72.394649863282496"/>
    <s v="MOVILIDAD"/>
    <s v="URBANO"/>
    <x v="2"/>
    <s v="OCTUBRE"/>
    <d v="2025-10-06T00:00:00"/>
    <x v="4"/>
    <d v="1899-12-30T17:11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m/>
    <m/>
    <m/>
    <m/>
    <m/>
    <m/>
    <n v="157"/>
    <x v="1"/>
    <m/>
    <s v=""/>
    <x v="1"/>
  </r>
  <r>
    <n v="896"/>
    <x v="1"/>
    <n v="0"/>
    <n v="0"/>
    <x v="1"/>
    <s v="CARRERA 23 # CALLE 24 "/>
    <n v="5.3373536111111104"/>
    <n v="-72.391008888888891"/>
    <s v="MOVILIDAD"/>
    <s v="URBANO"/>
    <x v="2"/>
    <s v="MARZO"/>
    <d v="2025-03-09T00:00:00"/>
    <x v="2"/>
    <d v="1899-12-30T00:00:00"/>
    <s v="CAMIONETA"/>
    <s v="AUTOMOVIL"/>
    <n v="0"/>
    <n v="0"/>
    <n v="1"/>
    <n v="0"/>
    <n v="1"/>
    <n v="0"/>
    <n v="0"/>
    <n v="0"/>
    <n v="0"/>
    <n v="0"/>
    <n v="0"/>
    <n v="0"/>
    <s v="MASCULINO"/>
    <s v="MASCULINO"/>
    <n v="2"/>
    <n v="0"/>
    <n v="33"/>
    <n v="31"/>
    <m/>
    <m/>
    <m/>
    <m/>
    <n v="115"/>
    <x v="12"/>
    <m/>
    <s v=""/>
    <x v="2"/>
  </r>
  <r>
    <n v="137"/>
    <x v="0"/>
    <n v="1"/>
    <n v="0"/>
    <x v="0"/>
    <s v="CARRERA 23 CALLE 11"/>
    <n v="5.3475944444444439"/>
    <n v="-72.396686111111123"/>
    <s v="MOVILIDAD"/>
    <s v="URBANO"/>
    <x v="0"/>
    <s v="ABRIL"/>
    <d v="2022-04-16T00:00:00"/>
    <x v="5"/>
    <d v="1899-12-30T08:35:00"/>
    <s v="MOTOCICLETA"/>
    <s v="CAMIONETA"/>
    <n v="1"/>
    <n v="0"/>
    <n v="0"/>
    <n v="0"/>
    <n v="1"/>
    <n v="0"/>
    <n v="0"/>
    <n v="0"/>
    <n v="0"/>
    <n v="0"/>
    <n v="0"/>
    <n v="0"/>
    <s v="MASCULINO"/>
    <m/>
    <n v="1"/>
    <n v="0"/>
    <n v="21"/>
    <m/>
    <m/>
    <m/>
    <m/>
    <m/>
    <n v="139"/>
    <x v="0"/>
    <n v="112"/>
    <s v="Desobedecer señales o normas de tránsito."/>
    <x v="2"/>
  </r>
  <r>
    <n v="145"/>
    <x v="0"/>
    <n v="1"/>
    <n v="0"/>
    <x v="0"/>
    <s v="CARRERA 23 CALLE 16"/>
    <n v="5.3435944444444443"/>
    <n v="-72.394416666666672"/>
    <s v="MOVILIDAD"/>
    <s v="URBANO"/>
    <x v="0"/>
    <s v="ABRIL"/>
    <d v="2022-04-23T00:00:00"/>
    <x v="5"/>
    <d v="1899-12-30T21:2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29"/>
    <m/>
    <m/>
    <m/>
    <m/>
    <m/>
    <n v="114"/>
    <x v="5"/>
    <n v="157"/>
    <s v="Otra"/>
    <x v="0"/>
  </r>
  <r>
    <n v="487"/>
    <x v="0"/>
    <n v="0"/>
    <n v="1"/>
    <x v="2"/>
    <s v="CARRERA 23 CALLE 18 "/>
    <n v="5.3420611111111107"/>
    <n v="-72.393580555555559"/>
    <s v="MOVILIDAD"/>
    <s v="URBANO"/>
    <x v="1"/>
    <s v="MAYO"/>
    <d v="2023-05-26T00:00:00"/>
    <x v="0"/>
    <d v="1899-12-30T12:3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m/>
    <m/>
    <m/>
    <m/>
    <m/>
    <n v="72"/>
    <n v="116"/>
    <x v="14"/>
    <n v="157"/>
    <s v="Otra"/>
    <x v="1"/>
  </r>
  <r>
    <n v="635"/>
    <x v="0"/>
    <n v="1"/>
    <n v="0"/>
    <x v="0"/>
    <s v="CARRERA 23 CALLE 23"/>
    <n v="5.3380999999999998"/>
    <n v="-72.391411111111111"/>
    <s v="MOVILIDAD"/>
    <s v="URBANO"/>
    <x v="1"/>
    <s v="DICIEMBRE"/>
    <d v="2023-12-16T00:00:00"/>
    <x v="5"/>
    <d v="1899-12-30T21:25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17"/>
    <n v="41"/>
    <m/>
    <m/>
    <m/>
    <m/>
    <n v="122"/>
    <x v="2"/>
    <n v="139"/>
    <s v="Impericia en el manejo."/>
    <x v="0"/>
  </r>
  <r>
    <n v="515"/>
    <x v="0"/>
    <n v="1"/>
    <n v="0"/>
    <x v="0"/>
    <s v="CARRERA 23 CALLE 33"/>
    <n v="5.3269944444444439"/>
    <n v="-72.385382500000006"/>
    <s v="MOVILIDAD"/>
    <s v="URBANO"/>
    <x v="1"/>
    <s v="JUNIO"/>
    <d v="2023-06-30T00:00:00"/>
    <x v="0"/>
    <d v="1899-12-30T05:4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28"/>
    <m/>
    <m/>
    <m/>
    <m/>
    <m/>
    <n v="157"/>
    <x v="1"/>
    <m/>
    <s v=""/>
    <x v="2"/>
  </r>
  <r>
    <n v="438"/>
    <x v="0"/>
    <n v="1"/>
    <n v="0"/>
    <x v="0"/>
    <s v="CARRERA 23 CALLE 36 "/>
    <n v="5.3278822222222217"/>
    <n v="-72.385863055555561"/>
    <s v="MOVILIDAD"/>
    <s v="URBANO"/>
    <x v="1"/>
    <s v="MARZO"/>
    <d v="2023-03-23T00:00:00"/>
    <x v="1"/>
    <d v="1899-12-30T06:10:00"/>
    <s v="MOTOCICLETA"/>
    <s v="AUTOMOVIL"/>
    <n v="1"/>
    <n v="0"/>
    <n v="1"/>
    <n v="0"/>
    <n v="0"/>
    <n v="0"/>
    <n v="0"/>
    <n v="0"/>
    <n v="0"/>
    <n v="0"/>
    <n v="0"/>
    <n v="0"/>
    <m/>
    <s v="FEMENINO"/>
    <n v="0"/>
    <n v="1"/>
    <m/>
    <m/>
    <m/>
    <m/>
    <n v="9"/>
    <m/>
    <n v="139"/>
    <x v="0"/>
    <n v="157"/>
    <s v="Otra"/>
    <x v="2"/>
  </r>
  <r>
    <n v="40"/>
    <x v="1"/>
    <n v="0"/>
    <n v="0"/>
    <x v="1"/>
    <s v="CARRERA 23 CALLE 37"/>
    <n v="5.3349111111111105"/>
    <n v="-72.389719444444452"/>
    <s v="MOVILIDAD"/>
    <s v="URBANO"/>
    <x v="0"/>
    <s v="FEBRERO"/>
    <d v="2022-02-03T00:00:00"/>
    <x v="1"/>
    <d v="1899-12-30T18:2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m/>
    <m/>
    <m/>
    <m/>
    <m/>
    <m/>
    <n v="132"/>
    <x v="13"/>
    <m/>
    <s v=""/>
    <x v="0"/>
  </r>
  <r>
    <n v="834"/>
    <x v="1"/>
    <n v="0"/>
    <n v="0"/>
    <x v="1"/>
    <s v="CARRERA 23 CALLE 39"/>
    <n v="5.325154722222222"/>
    <n v="-72.384341666666671"/>
    <s v="MOVILIDAD"/>
    <s v="URBANO"/>
    <x v="3"/>
    <s v="DICIEMBRE"/>
    <d v="2024-12-14T00:00:00"/>
    <x v="5"/>
    <d v="1899-12-30T19:00:00"/>
    <s v="MOTOCICLETA"/>
    <s v="BICICLETA"/>
    <n v="1"/>
    <n v="0"/>
    <n v="0"/>
    <n v="0"/>
    <n v="0"/>
    <n v="0"/>
    <n v="0"/>
    <n v="0"/>
    <n v="0"/>
    <n v="0"/>
    <n v="0"/>
    <n v="1"/>
    <s v="MASCULINO"/>
    <m/>
    <n v="1"/>
    <n v="0"/>
    <n v="25"/>
    <n v="19"/>
    <m/>
    <m/>
    <m/>
    <m/>
    <n v="114"/>
    <x v="5"/>
    <n v="127"/>
    <s v="Transitar en contravía."/>
    <x v="0"/>
  </r>
  <r>
    <n v="686"/>
    <x v="0"/>
    <n v="2"/>
    <n v="0"/>
    <x v="0"/>
    <s v="CARRERA 23 CALLE 40  "/>
    <n v="5.3246861111111112"/>
    <n v="-72.384172222222233"/>
    <s v="MOVILIDAD"/>
    <s v="URBANO"/>
    <x v="3"/>
    <s v="MARZO"/>
    <d v="2024-03-28T00:00:00"/>
    <x v="1"/>
    <d v="1899-12-30T19:10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n v="22"/>
    <n v="23"/>
    <n v="15"/>
    <m/>
    <m/>
    <m/>
    <n v="123"/>
    <x v="21"/>
    <n v="139"/>
    <s v="Impericia en el manejo."/>
    <x v="0"/>
  </r>
  <r>
    <n v="534"/>
    <x v="0"/>
    <n v="0"/>
    <n v="1"/>
    <x v="2"/>
    <s v="CARRERA 23 CALLE 48 "/>
    <n v="5.3201838888888888"/>
    <n v="-72.380423055555553"/>
    <s v="MOVILIDAD"/>
    <s v="URBANO"/>
    <x v="1"/>
    <s v="AGOSTO"/>
    <d v="2023-08-17T00:00:00"/>
    <x v="1"/>
    <d v="1899-12-30T19:30:00"/>
    <s v="MOTOCICLETA"/>
    <m/>
    <n v="1"/>
    <n v="0"/>
    <n v="0"/>
    <n v="0"/>
    <n v="0"/>
    <n v="0"/>
    <n v="0"/>
    <n v="0"/>
    <n v="0"/>
    <n v="0"/>
    <n v="0"/>
    <n v="0"/>
    <m/>
    <s v="FEMENINO"/>
    <n v="0"/>
    <n v="1"/>
    <m/>
    <m/>
    <m/>
    <m/>
    <m/>
    <m/>
    <n v="1"/>
    <x v="3"/>
    <m/>
    <s v=""/>
    <x v="0"/>
  </r>
  <r>
    <n v="698"/>
    <x v="0"/>
    <n v="2"/>
    <n v="0"/>
    <x v="0"/>
    <s v="CARRERA 23 CALLE 8"/>
    <n v="5.3502722222222214"/>
    <n v="-72.398225000000011"/>
    <s v="MOVILIDAD"/>
    <s v="URBANO"/>
    <x v="3"/>
    <s v="ABRIL"/>
    <d v="2024-04-22T00:00:00"/>
    <x v="4"/>
    <d v="1899-12-30T06:15:00"/>
    <s v="MOTOCICLETA"/>
    <s v="MOTOCICLETA"/>
    <n v="2"/>
    <n v="0"/>
    <n v="0"/>
    <n v="0"/>
    <n v="0"/>
    <n v="0"/>
    <n v="0"/>
    <n v="0"/>
    <n v="0"/>
    <n v="0"/>
    <n v="0"/>
    <n v="0"/>
    <m/>
    <s v="FEMENINO"/>
    <n v="0"/>
    <n v="1"/>
    <n v="23"/>
    <n v="36"/>
    <m/>
    <m/>
    <m/>
    <m/>
    <n v="112"/>
    <x v="4"/>
    <n v="139"/>
    <s v="Impericia en el manejo."/>
    <x v="2"/>
  </r>
  <r>
    <n v="327"/>
    <x v="0"/>
    <n v="1"/>
    <n v="0"/>
    <x v="0"/>
    <s v="CARRERA 23 CALLE 9"/>
    <n v="5.3493555555555554"/>
    <n v="-72.397702777777781"/>
    <s v="MOVILIDAD"/>
    <s v="URBANO"/>
    <x v="0"/>
    <s v="OCTUBRE"/>
    <d v="2022-10-07T00:00:00"/>
    <x v="0"/>
    <d v="1899-12-30T06:2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46"/>
    <m/>
    <m/>
    <m/>
    <m/>
    <m/>
    <n v="112"/>
    <x v="4"/>
    <m/>
    <s v=""/>
    <x v="2"/>
  </r>
  <r>
    <n v="696"/>
    <x v="0"/>
    <n v="1"/>
    <n v="0"/>
    <x v="0"/>
    <s v="CARRERA 23 ENTRE CALLE 14 Y 15"/>
    <n v="5.3902027777777786"/>
    <n v="-72.395027777777784"/>
    <s v="MOVILIDAD"/>
    <s v="URBANO"/>
    <x v="3"/>
    <s v="ABRIL"/>
    <d v="2024-04-21T00:00:00"/>
    <x v="2"/>
    <d v="1899-12-30T01:0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28"/>
    <m/>
    <m/>
    <m/>
    <m/>
    <m/>
    <n v="114"/>
    <x v="5"/>
    <m/>
    <s v=""/>
    <x v="2"/>
  </r>
  <r>
    <n v="671"/>
    <x v="0"/>
    <n v="1"/>
    <n v="0"/>
    <x v="0"/>
    <s v="CARRERA 23 ENTRE CALLE 25 Y 26"/>
    <n v="5.3360722222222217"/>
    <n v="-72.390266666666676"/>
    <s v="MOVILIDAD"/>
    <s v="URBANO"/>
    <x v="3"/>
    <s v="MARZO"/>
    <d v="2024-03-02T00:00:00"/>
    <x v="5"/>
    <d v="1899-12-30T19:3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18"/>
    <n v="56"/>
    <m/>
    <m/>
    <m/>
    <m/>
    <n v="116"/>
    <x v="14"/>
    <n v="409"/>
    <s v="Cruzar sin observar."/>
    <x v="0"/>
  </r>
  <r>
    <n v="958"/>
    <x v="0"/>
    <n v="2"/>
    <n v="0"/>
    <x v="0"/>
    <s v="CARRERA 23 No. 23-64"/>
    <n v="5.3374420000000002"/>
    <n v="-72.391147000000004"/>
    <s v="MOVILIDAD"/>
    <s v="URBANO"/>
    <x v="2"/>
    <s v="MAYO"/>
    <d v="2025-05-08T00:00:00"/>
    <x v="1"/>
    <d v="1899-12-30T22:10:00"/>
    <s v="CAMPERO"/>
    <s v="MOTOCICLETA"/>
    <n v="1"/>
    <n v="0"/>
    <n v="0"/>
    <n v="1"/>
    <n v="0"/>
    <n v="0"/>
    <n v="0"/>
    <n v="0"/>
    <n v="0"/>
    <n v="0"/>
    <n v="0"/>
    <n v="0"/>
    <s v="MASCULINO"/>
    <s v="MASCULINO"/>
    <n v="2"/>
    <n v="0"/>
    <n v="63"/>
    <n v="30"/>
    <n v="35"/>
    <m/>
    <m/>
    <m/>
    <n v="157"/>
    <x v="1"/>
    <n v="114"/>
    <s v="Embriaguez aparente."/>
    <x v="0"/>
  </r>
  <r>
    <n v="749"/>
    <x v="0"/>
    <n v="2"/>
    <n v="0"/>
    <x v="0"/>
    <s v="CARRERA 23 TRANSVERSAL 23"/>
    <n v="5.331605555555555"/>
    <n v="-72.387836111111113"/>
    <s v="MOVILIDAD"/>
    <s v="URBANO"/>
    <x v="3"/>
    <s v="JULIO"/>
    <d v="2024-07-23T00:00:00"/>
    <x v="6"/>
    <d v="1899-12-30T17:50:00"/>
    <s v="MOTOCICLETA"/>
    <s v="AUTOMOVIL"/>
    <n v="1"/>
    <n v="0"/>
    <n v="1"/>
    <n v="0"/>
    <n v="0"/>
    <n v="0"/>
    <n v="0"/>
    <n v="0"/>
    <n v="0"/>
    <n v="0"/>
    <n v="0"/>
    <n v="0"/>
    <s v="MASCULINO"/>
    <s v="FEMENINO"/>
    <n v="1"/>
    <n v="1"/>
    <n v="51"/>
    <n v="19"/>
    <n v="0"/>
    <m/>
    <m/>
    <m/>
    <n v="132"/>
    <x v="13"/>
    <m/>
    <s v=""/>
    <x v="1"/>
  </r>
  <r>
    <n v="726"/>
    <x v="0"/>
    <n v="0"/>
    <n v="1"/>
    <x v="2"/>
    <s v="CARRERA 24  CALLE 20"/>
    <n v="5.3409308333333332"/>
    <n v="-72.391887777777782"/>
    <s v="MOVILIDAD"/>
    <s v="URBANO"/>
    <x v="3"/>
    <s v="JUNIO"/>
    <d v="2024-06-08T00:00:00"/>
    <x v="5"/>
    <d v="1899-12-30T20:24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m/>
    <n v="60"/>
    <m/>
    <m/>
    <m/>
    <n v="24"/>
    <n v="157"/>
    <x v="1"/>
    <n v="112"/>
    <s v="Desobedecer señales o normas de tránsito."/>
    <x v="0"/>
  </r>
  <r>
    <n v="933"/>
    <x v="0"/>
    <n v="1"/>
    <n v="0"/>
    <x v="0"/>
    <s v="CARRERA 24 #  24"/>
    <n v="5.3377679999999996"/>
    <n v="-72.390201000000005"/>
    <s v="MOVILIDAD"/>
    <s v="URBANO"/>
    <x v="2"/>
    <s v="ABRIL"/>
    <d v="2025-04-10T00:00:00"/>
    <x v="1"/>
    <d v="1899-12-30T16:05:00"/>
    <s v="AUTOMOVIL"/>
    <s v="MOTOCICLETA"/>
    <n v="1"/>
    <n v="0"/>
    <n v="1"/>
    <n v="0"/>
    <n v="0"/>
    <n v="0"/>
    <n v="0"/>
    <n v="0"/>
    <n v="0"/>
    <n v="0"/>
    <n v="0"/>
    <n v="0"/>
    <s v="MASCULINO"/>
    <s v="FEMENINO"/>
    <n v="1"/>
    <n v="1"/>
    <n v="45"/>
    <n v="24"/>
    <m/>
    <m/>
    <m/>
    <m/>
    <n v="132"/>
    <x v="13"/>
    <m/>
    <s v=""/>
    <x v="1"/>
  </r>
  <r>
    <n v="226"/>
    <x v="1"/>
    <n v="0"/>
    <n v="0"/>
    <x v="1"/>
    <s v="CARRERA 24 #  24"/>
    <n v="5.3377679999999996"/>
    <n v="-72.390201000000005"/>
    <s v="MOVILIDAD"/>
    <s v="URBANO"/>
    <x v="0"/>
    <s v="JUNIO"/>
    <d v="2022-06-18T00:00:00"/>
    <x v="5"/>
    <d v="1899-12-30T20:20:00"/>
    <s v="MOTOCICLETA"/>
    <s v="CAMIONETA"/>
    <n v="1"/>
    <n v="0"/>
    <n v="0"/>
    <n v="0"/>
    <n v="1"/>
    <n v="0"/>
    <n v="0"/>
    <n v="0"/>
    <n v="0"/>
    <n v="0"/>
    <n v="0"/>
    <n v="0"/>
    <s v="MASCULINO"/>
    <m/>
    <n v="1"/>
    <n v="0"/>
    <m/>
    <m/>
    <m/>
    <m/>
    <m/>
    <m/>
    <n v="123"/>
    <x v="21"/>
    <n v="139"/>
    <s v="Impericia en el manejo."/>
    <x v="0"/>
  </r>
  <r>
    <n v="695"/>
    <x v="0"/>
    <n v="1"/>
    <n v="0"/>
    <x v="0"/>
    <s v="CARRERA 24 #  24 "/>
    <n v="5.3377679999999996"/>
    <n v="-72.390201000000005"/>
    <s v="MOVILIDAD"/>
    <s v="URBANO"/>
    <x v="3"/>
    <s v="ABRIL"/>
    <d v="2024-04-16T00:00:00"/>
    <x v="6"/>
    <d v="1899-12-30T06:55:00"/>
    <s v="AUTOMOVIL"/>
    <m/>
    <n v="0"/>
    <n v="0"/>
    <n v="1"/>
    <n v="0"/>
    <n v="0"/>
    <n v="0"/>
    <n v="0"/>
    <n v="0"/>
    <n v="0"/>
    <n v="0"/>
    <n v="0"/>
    <n v="0"/>
    <s v="MASCULINO"/>
    <m/>
    <n v="1"/>
    <n v="0"/>
    <n v="45"/>
    <n v="0"/>
    <m/>
    <m/>
    <m/>
    <m/>
    <n v="404"/>
    <x v="27"/>
    <m/>
    <s v=""/>
    <x v="2"/>
  </r>
  <r>
    <n v="922"/>
    <x v="0"/>
    <n v="2"/>
    <n v="1"/>
    <x v="2"/>
    <s v="CARRERA 24 #  24 "/>
    <n v="5.3377679999999996"/>
    <n v="-72.390201000000005"/>
    <s v="MOVILIDAD"/>
    <s v="URBANO"/>
    <x v="2"/>
    <s v="ABRIL"/>
    <d v="2025-04-02T00:00:00"/>
    <x v="3"/>
    <d v="1899-12-30T20:00:00"/>
    <s v="MOTOCICLETA"/>
    <s v="MOTOCICLETA"/>
    <n v="2"/>
    <n v="0"/>
    <n v="0"/>
    <n v="0"/>
    <n v="0"/>
    <n v="0"/>
    <n v="0"/>
    <n v="0"/>
    <n v="0"/>
    <n v="0"/>
    <n v="0"/>
    <n v="0"/>
    <s v="MASCULINO"/>
    <s v="MASCULINO"/>
    <n v="2"/>
    <n v="0"/>
    <n v="14"/>
    <n v="17"/>
    <n v="49"/>
    <m/>
    <m/>
    <m/>
    <n v="139"/>
    <x v="0"/>
    <n v="112"/>
    <s v="Desobedecer señales o normas de tránsito."/>
    <x v="0"/>
  </r>
  <r>
    <n v="495"/>
    <x v="0"/>
    <n v="0"/>
    <n v="1"/>
    <x v="2"/>
    <s v="CARRERA 24 #  24 "/>
    <n v="5.3377679999999996"/>
    <n v="-72.390201000000005"/>
    <s v="MOVILIDAD"/>
    <s v="URBANO"/>
    <x v="1"/>
    <s v="JUNIO"/>
    <d v="2023-06-03T00:00:00"/>
    <x v="5"/>
    <d v="1899-12-30T03:45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m/>
    <m/>
    <m/>
    <m/>
    <m/>
    <n v="51"/>
    <n v="112"/>
    <x v="4"/>
    <n v="114"/>
    <s v="Embriaguez aparente."/>
    <x v="2"/>
  </r>
  <r>
    <n v="768"/>
    <x v="0"/>
    <n v="1"/>
    <n v="0"/>
    <x v="0"/>
    <s v="CARRERA 24 #  24 "/>
    <n v="5.3377679999999996"/>
    <n v="-72.390201000000005"/>
    <s v="MOVILIDAD"/>
    <s v="URBANO"/>
    <x v="3"/>
    <s v="AGOSTO"/>
    <d v="2024-08-22T00:00:00"/>
    <x v="1"/>
    <d v="1899-12-30T14:20:00"/>
    <s v="MOTOCICLETA"/>
    <s v="AUTOMOVIL"/>
    <n v="1"/>
    <n v="0"/>
    <n v="1"/>
    <n v="0"/>
    <n v="0"/>
    <n v="0"/>
    <n v="0"/>
    <n v="0"/>
    <n v="0"/>
    <n v="0"/>
    <n v="0"/>
    <n v="0"/>
    <s v="MASCULINO"/>
    <s v="FEMENINO"/>
    <n v="1"/>
    <n v="1"/>
    <m/>
    <n v="28"/>
    <m/>
    <m/>
    <m/>
    <m/>
    <n v="112"/>
    <x v="4"/>
    <m/>
    <s v=""/>
    <x v="1"/>
  </r>
  <r>
    <n v="809"/>
    <x v="0"/>
    <n v="2"/>
    <n v="0"/>
    <x v="0"/>
    <s v="CARRERA 24 #  24 "/>
    <n v="5.3377679999999996"/>
    <n v="-72.390201000000005"/>
    <s v="MOVILIDAD"/>
    <s v="URBANO"/>
    <x v="3"/>
    <s v="NOVIEMBRE"/>
    <d v="2024-11-09T00:00:00"/>
    <x v="5"/>
    <d v="1899-12-30T08:3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20"/>
    <n v="69"/>
    <m/>
    <m/>
    <m/>
    <m/>
    <n v="112"/>
    <x v="4"/>
    <n v="123"/>
    <s v="No respetar prelación de intersecciones o giros."/>
    <x v="2"/>
  </r>
  <r>
    <n v="519"/>
    <x v="0"/>
    <n v="1"/>
    <n v="0"/>
    <x v="0"/>
    <s v="CARRERA 24 # 11"/>
    <n v="5.3481361111111108"/>
    <n v="-72.395783333333341"/>
    <s v="MOVILIDAD"/>
    <s v="URBANO"/>
    <x v="1"/>
    <s v="JULIO"/>
    <d v="2023-07-11T00:00:00"/>
    <x v="6"/>
    <d v="1899-12-30T06:15:00"/>
    <s v="MOTOCICLETA"/>
    <s v="CAMIONETA"/>
    <n v="1"/>
    <n v="0"/>
    <n v="0"/>
    <n v="0"/>
    <n v="1"/>
    <n v="0"/>
    <n v="0"/>
    <n v="0"/>
    <n v="0"/>
    <n v="0"/>
    <n v="0"/>
    <n v="0"/>
    <s v="MASCULINO"/>
    <m/>
    <n v="1"/>
    <n v="0"/>
    <n v="21"/>
    <m/>
    <m/>
    <m/>
    <m/>
    <m/>
    <n v="157"/>
    <x v="1"/>
    <n v="139"/>
    <s v="Impericia en el manejo."/>
    <x v="2"/>
  </r>
  <r>
    <n v="156"/>
    <x v="0"/>
    <n v="2"/>
    <n v="0"/>
    <x v="0"/>
    <s v="CARRERA 24 # 11"/>
    <n v="5.3481361111111108"/>
    <n v="-72.395783333333341"/>
    <s v="MOVILIDAD"/>
    <s v="URBANO"/>
    <x v="0"/>
    <s v="ABRIL"/>
    <d v="2022-04-30T00:00:00"/>
    <x v="5"/>
    <d v="1899-12-30T09:0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22"/>
    <n v="51"/>
    <m/>
    <m/>
    <m/>
    <m/>
    <n v="123"/>
    <x v="21"/>
    <m/>
    <s v=""/>
    <x v="2"/>
  </r>
  <r>
    <n v="533"/>
    <x v="0"/>
    <n v="0"/>
    <n v="1"/>
    <x v="2"/>
    <s v="CARRERA 24 # 17"/>
    <n v="5.3433052777777776"/>
    <n v="-72.393188333333342"/>
    <s v="MOVILIDAD"/>
    <s v="URBANO"/>
    <x v="1"/>
    <s v="AGOSTO"/>
    <d v="2023-08-15T00:00:00"/>
    <x v="6"/>
    <d v="1899-12-30T18:1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38"/>
    <m/>
    <m/>
    <m/>
    <m/>
    <m/>
    <n v="139"/>
    <x v="0"/>
    <m/>
    <s v=""/>
    <x v="0"/>
  </r>
  <r>
    <n v="758"/>
    <x v="0"/>
    <n v="1"/>
    <n v="0"/>
    <x v="0"/>
    <s v="CARRERA 24 # 17"/>
    <n v="5.3433052777777776"/>
    <n v="-72.393188333333342"/>
    <s v="MOVILIDAD"/>
    <s v="URBANO"/>
    <x v="3"/>
    <s v="AGOSTO"/>
    <d v="2024-08-04T00:00:00"/>
    <x v="2"/>
    <d v="1899-12-30T20:25:00"/>
    <s v="MOTOCICLETA"/>
    <s v="AUTOMOVIL"/>
    <n v="1"/>
    <n v="0"/>
    <n v="1"/>
    <n v="0"/>
    <n v="0"/>
    <n v="0"/>
    <n v="0"/>
    <n v="0"/>
    <n v="0"/>
    <n v="0"/>
    <n v="0"/>
    <n v="0"/>
    <s v="MASCULINO"/>
    <s v="FEMENINO"/>
    <n v="1"/>
    <n v="1"/>
    <n v="23"/>
    <n v="27"/>
    <m/>
    <m/>
    <m/>
    <m/>
    <n v="112"/>
    <x v="4"/>
    <m/>
    <s v=""/>
    <x v="0"/>
  </r>
  <r>
    <n v="827"/>
    <x v="0"/>
    <n v="2"/>
    <n v="0"/>
    <x v="0"/>
    <s v="CARRERA 24 # 17"/>
    <n v="5.3433052777777776"/>
    <n v="-72.393188333333342"/>
    <s v="MOVILIDAD"/>
    <s v="URBANO"/>
    <x v="3"/>
    <s v="DICIEMBRE"/>
    <d v="2024-12-05T00:00:00"/>
    <x v="1"/>
    <d v="1899-12-30T09:42:00"/>
    <s v="MOTOCICLETA"/>
    <s v="CAMPERO"/>
    <n v="1"/>
    <n v="0"/>
    <n v="0"/>
    <n v="1"/>
    <n v="0"/>
    <n v="0"/>
    <n v="0"/>
    <n v="0"/>
    <n v="0"/>
    <n v="0"/>
    <n v="0"/>
    <n v="0"/>
    <s v="MASCULINO"/>
    <s v="FEMENINO"/>
    <n v="1"/>
    <n v="1"/>
    <n v="33"/>
    <n v="34"/>
    <m/>
    <m/>
    <m/>
    <m/>
    <n v="112"/>
    <x v="4"/>
    <m/>
    <s v=""/>
    <x v="2"/>
  </r>
  <r>
    <n v="555"/>
    <x v="0"/>
    <n v="2"/>
    <n v="0"/>
    <x v="0"/>
    <s v="CARRERA 24 # 21"/>
    <n v="5.3401291666666664"/>
    <n v="-72.391458333333347"/>
    <s v="MOVILIDAD"/>
    <s v="URBANO"/>
    <x v="1"/>
    <s v="SEPTIEMBRE"/>
    <d v="2023-09-13T00:00:00"/>
    <x v="3"/>
    <d v="1899-12-30T08:10:00"/>
    <s v="MOTOCICLETA"/>
    <m/>
    <n v="1"/>
    <n v="0"/>
    <n v="0"/>
    <n v="0"/>
    <n v="0"/>
    <n v="0"/>
    <n v="0"/>
    <n v="0"/>
    <n v="0"/>
    <n v="0"/>
    <n v="0"/>
    <n v="0"/>
    <s v="MASCULINO"/>
    <s v="FEMENINO"/>
    <n v="1"/>
    <n v="1"/>
    <n v="33"/>
    <m/>
    <m/>
    <m/>
    <n v="33"/>
    <m/>
    <n v="139"/>
    <x v="0"/>
    <n v="112"/>
    <s v="Desobedecer señales o normas de tránsito."/>
    <x v="2"/>
  </r>
  <r>
    <n v="230"/>
    <x v="0"/>
    <n v="1"/>
    <n v="0"/>
    <x v="0"/>
    <s v="CARRERA 24 # 21"/>
    <n v="5.3401291666666664"/>
    <n v="-72.391458333333347"/>
    <s v="MOVILIDAD"/>
    <s v="URBANO"/>
    <x v="0"/>
    <s v="JUNIO"/>
    <d v="2022-06-25T00:00:00"/>
    <x v="5"/>
    <d v="1899-12-30T09:04:00"/>
    <s v="MOTOCICLETA"/>
    <m/>
    <n v="1"/>
    <n v="0"/>
    <n v="0"/>
    <n v="0"/>
    <n v="0"/>
    <n v="0"/>
    <n v="0"/>
    <n v="0"/>
    <n v="0"/>
    <n v="0"/>
    <n v="0"/>
    <n v="0"/>
    <m/>
    <s v="FEMENINO"/>
    <n v="0"/>
    <n v="1"/>
    <m/>
    <m/>
    <m/>
    <m/>
    <n v="47"/>
    <m/>
    <n v="112"/>
    <x v="4"/>
    <m/>
    <s v=""/>
    <x v="2"/>
  </r>
  <r>
    <n v="168"/>
    <x v="0"/>
    <n v="1"/>
    <n v="0"/>
    <x v="0"/>
    <s v="CARRERA 24 # 27"/>
    <n v="5.3353805555555551"/>
    <n v="-72.388897222222226"/>
    <s v="MOVILIDAD"/>
    <s v="URBANO"/>
    <x v="0"/>
    <s v="MAYO"/>
    <d v="2022-05-02T00:00:00"/>
    <x v="4"/>
    <d v="1899-12-30T14:0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42"/>
    <m/>
    <m/>
    <m/>
    <m/>
    <m/>
    <n v="132"/>
    <x v="13"/>
    <n v="139"/>
    <s v="Impericia en el manejo."/>
    <x v="1"/>
  </r>
  <r>
    <n v="269"/>
    <x v="0"/>
    <n v="1"/>
    <n v="0"/>
    <x v="0"/>
    <s v="CARRERA 24 # 27"/>
    <n v="5.3353805555555551"/>
    <n v="-72.388897222222226"/>
    <s v="MOVILIDAD"/>
    <s v="URBANO"/>
    <x v="0"/>
    <s v="AGOSTO"/>
    <d v="2022-08-06T00:00:00"/>
    <x v="5"/>
    <d v="1899-12-30T13:5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18"/>
    <m/>
    <m/>
    <m/>
    <m/>
    <m/>
    <n v="112"/>
    <x v="4"/>
    <m/>
    <s v=""/>
    <x v="1"/>
  </r>
  <r>
    <n v="200"/>
    <x v="0"/>
    <n v="2"/>
    <n v="0"/>
    <x v="0"/>
    <s v="CARRERA 24 # 28"/>
    <n v="5.3345805555555552"/>
    <n v="-72.388427777777778"/>
    <s v="MOVILIDAD"/>
    <s v="URBANO"/>
    <x v="0"/>
    <s v="MAYO"/>
    <d v="2022-05-26T00:00:00"/>
    <x v="1"/>
    <d v="1899-12-30T20:2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40"/>
    <n v="47"/>
    <m/>
    <m/>
    <m/>
    <m/>
    <n v="112"/>
    <x v="4"/>
    <m/>
    <s v=""/>
    <x v="0"/>
  </r>
  <r>
    <n v="166"/>
    <x v="0"/>
    <n v="1"/>
    <n v="0"/>
    <x v="0"/>
    <s v="CARRERA 24 # 28"/>
    <n v="5.3345805555555552"/>
    <n v="-72.388427777777778"/>
    <s v="MOVILIDAD"/>
    <s v="URBANO"/>
    <x v="0"/>
    <s v="MAYO"/>
    <d v="2022-05-01T00:00:00"/>
    <x v="2"/>
    <d v="1899-12-30T13:25:00"/>
    <s v="MOTOCICLETA"/>
    <s v="AUTOMOVIL"/>
    <n v="1"/>
    <n v="0"/>
    <n v="1"/>
    <n v="0"/>
    <n v="0"/>
    <n v="0"/>
    <n v="0"/>
    <n v="0"/>
    <n v="0"/>
    <n v="0"/>
    <n v="0"/>
    <n v="0"/>
    <m/>
    <s v="FEMENINO"/>
    <n v="0"/>
    <n v="1"/>
    <n v="28"/>
    <m/>
    <m/>
    <m/>
    <m/>
    <m/>
    <n v="112"/>
    <x v="4"/>
    <m/>
    <s v=""/>
    <x v="1"/>
  </r>
  <r>
    <n v="822"/>
    <x v="0"/>
    <n v="2"/>
    <n v="0"/>
    <x v="0"/>
    <s v="CARRERA 24 # CALLE 24   "/>
    <n v="5.3377679999999996"/>
    <n v="-72.390201000000005"/>
    <s v="MOVILIDAD"/>
    <s v="URBANO"/>
    <x v="3"/>
    <s v="NOVIEMBRE"/>
    <d v="2024-11-25T00:00:00"/>
    <x v="4"/>
    <d v="1899-12-30T08:39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33"/>
    <n v="20"/>
    <m/>
    <m/>
    <m/>
    <m/>
    <n v="112"/>
    <x v="4"/>
    <m/>
    <s v=""/>
    <x v="2"/>
  </r>
  <r>
    <n v="1015"/>
    <x v="0"/>
    <n v="1"/>
    <n v="0"/>
    <x v="0"/>
    <s v="CARRERA 24 # CALLE 27"/>
    <n v="5.3354179999999998"/>
    <n v="-72.388885999999999"/>
    <s v="MOVILIDAD"/>
    <s v="URBANO"/>
    <x v="2"/>
    <s v="JULIO"/>
    <d v="2025-07-18T00:00:00"/>
    <x v="0"/>
    <d v="1899-12-30T08:50:00"/>
    <s v="AUTOMOVIL"/>
    <s v="MOTOCICLETA"/>
    <n v="1"/>
    <n v="0"/>
    <n v="1"/>
    <n v="0"/>
    <n v="0"/>
    <n v="0"/>
    <n v="0"/>
    <n v="0"/>
    <n v="0"/>
    <n v="0"/>
    <n v="0"/>
    <n v="0"/>
    <s v="MASCULINO"/>
    <s v="MASCULINO"/>
    <n v="2"/>
    <n v="0"/>
    <n v="46"/>
    <n v="37"/>
    <m/>
    <m/>
    <m/>
    <m/>
    <n v="157"/>
    <x v="1"/>
    <m/>
    <s v=""/>
    <x v="2"/>
  </r>
  <r>
    <n v="1077"/>
    <x v="0"/>
    <n v="2"/>
    <n v="0"/>
    <x v="0"/>
    <s v="CARRERA 24 # CALLE 28"/>
    <n v="5.3346483329999996"/>
    <n v="-72.388471670000001"/>
    <s v="MOVILIDAD"/>
    <s v="URBANO"/>
    <x v="2"/>
    <s v="SEPTIEMBRE"/>
    <d v="2025-09-17T00:00:00"/>
    <x v="3"/>
    <d v="1899-12-30T13:30:00"/>
    <s v="MOTOCICLETA"/>
    <s v="AUTOMOVIL"/>
    <n v="1"/>
    <n v="0"/>
    <n v="1"/>
    <n v="0"/>
    <n v="0"/>
    <n v="0"/>
    <n v="0"/>
    <n v="0"/>
    <n v="0"/>
    <n v="0"/>
    <n v="0"/>
    <n v="0"/>
    <s v="MASCULINO"/>
    <s v="FEMENINO"/>
    <n v="1"/>
    <n v="1"/>
    <n v="21"/>
    <n v="30"/>
    <m/>
    <m/>
    <m/>
    <m/>
    <n v="139"/>
    <x v="0"/>
    <n v="112"/>
    <s v="Desobedecer señales o normas de tránsito."/>
    <x v="1"/>
  </r>
  <r>
    <n v="790"/>
    <x v="0"/>
    <n v="2"/>
    <n v="0"/>
    <x v="0"/>
    <s v="CARRERA 24 CALLE 10"/>
    <n v="5.3489241666666665"/>
    <n v="-72.396213611111122"/>
    <s v="MOVILIDAD"/>
    <s v="URBANO"/>
    <x v="3"/>
    <s v="OCTUBRE"/>
    <d v="2024-10-12T00:00:00"/>
    <x v="5"/>
    <d v="1899-12-30T14:20:00"/>
    <s v="MOTOCICLETA"/>
    <s v="CAMIONETA"/>
    <n v="1"/>
    <n v="0"/>
    <n v="0"/>
    <n v="0"/>
    <n v="1"/>
    <n v="0"/>
    <n v="0"/>
    <n v="0"/>
    <n v="0"/>
    <n v="0"/>
    <n v="0"/>
    <n v="0"/>
    <s v="MASCULINO"/>
    <s v="FEMENINO"/>
    <n v="1"/>
    <n v="1"/>
    <n v="48"/>
    <n v="41"/>
    <n v="50"/>
    <m/>
    <m/>
    <m/>
    <n v="112"/>
    <x v="4"/>
    <m/>
    <s v=""/>
    <x v="1"/>
  </r>
  <r>
    <n v="170"/>
    <x v="0"/>
    <n v="1"/>
    <n v="0"/>
    <x v="0"/>
    <s v="CARRERA 24 CALLE 18"/>
    <n v="5.342513888888889"/>
    <n v="-72.392769444444454"/>
    <s v="MOVILIDAD"/>
    <s v="URBANO"/>
    <x v="0"/>
    <s v="MAYO"/>
    <d v="2022-05-07T00:00:00"/>
    <x v="5"/>
    <d v="1899-12-30T15:15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20"/>
    <m/>
    <m/>
    <m/>
    <m/>
    <m/>
    <n v="112"/>
    <x v="4"/>
    <n v="139"/>
    <s v="Impericia en el manejo."/>
    <x v="1"/>
  </r>
  <r>
    <n v="782"/>
    <x v="0"/>
    <n v="2"/>
    <n v="0"/>
    <x v="0"/>
    <s v="CARRERA 24 CALLE 21  "/>
    <n v="5.3401291666666664"/>
    <n v="-72.391458333333347"/>
    <s v="MOVILIDAD"/>
    <s v="URBANO"/>
    <x v="3"/>
    <s v="SEPTIEMBRE"/>
    <d v="2024-09-19T00:00:00"/>
    <x v="1"/>
    <d v="1899-12-30T15:10:00"/>
    <s v="CAMPERO"/>
    <s v="BICICLETA"/>
    <n v="0"/>
    <n v="0"/>
    <n v="0"/>
    <n v="1"/>
    <n v="0"/>
    <n v="0"/>
    <n v="0"/>
    <n v="0"/>
    <n v="0"/>
    <n v="0"/>
    <n v="0"/>
    <n v="1"/>
    <s v="MASCULINO"/>
    <s v="FEMENINO"/>
    <n v="1"/>
    <n v="1"/>
    <n v="53"/>
    <n v="14"/>
    <n v="3"/>
    <m/>
    <m/>
    <m/>
    <n v="90"/>
    <x v="34"/>
    <n v="127"/>
    <s v="Transitar en contravía."/>
    <x v="1"/>
  </r>
  <r>
    <n v="302"/>
    <x v="0"/>
    <n v="1"/>
    <n v="0"/>
    <x v="0"/>
    <s v="CARRERA 24 CALLE 23"/>
    <n v="5.3385611111111109"/>
    <n v="-72.390609444444451"/>
    <s v="MOVILIDAD"/>
    <s v="URBANO"/>
    <x v="0"/>
    <s v="SEPTIEMBRE"/>
    <d v="2022-09-07T00:00:00"/>
    <x v="3"/>
    <d v="1899-12-30T13:00:00"/>
    <s v="MOTOCICLETA"/>
    <s v="CAMIONETA"/>
    <n v="1"/>
    <n v="0"/>
    <n v="0"/>
    <n v="0"/>
    <n v="1"/>
    <n v="0"/>
    <n v="0"/>
    <n v="0"/>
    <n v="0"/>
    <n v="0"/>
    <n v="0"/>
    <n v="0"/>
    <m/>
    <s v="FEMENINO"/>
    <n v="0"/>
    <n v="1"/>
    <n v="45"/>
    <m/>
    <m/>
    <m/>
    <m/>
    <m/>
    <n v="123"/>
    <x v="21"/>
    <m/>
    <s v=""/>
    <x v="1"/>
  </r>
  <r>
    <n v="455"/>
    <x v="0"/>
    <n v="1"/>
    <n v="0"/>
    <x v="0"/>
    <s v="CARRERA 24 CALLE 25 "/>
    <n v="5.3369577777777772"/>
    <n v="-72.389751944444455"/>
    <s v="MOVILIDAD"/>
    <s v="URBANO"/>
    <x v="1"/>
    <s v="ABRIL"/>
    <d v="2023-04-21T00:00:00"/>
    <x v="0"/>
    <d v="1899-12-30T14:00:00"/>
    <s v="MOTOCICLETA"/>
    <s v="CAMPERO"/>
    <n v="1"/>
    <n v="0"/>
    <n v="0"/>
    <n v="1"/>
    <n v="0"/>
    <n v="0"/>
    <n v="0"/>
    <n v="0"/>
    <n v="0"/>
    <n v="0"/>
    <n v="0"/>
    <n v="0"/>
    <m/>
    <s v="FEMENINO"/>
    <n v="0"/>
    <n v="1"/>
    <n v="34"/>
    <m/>
    <m/>
    <m/>
    <m/>
    <m/>
    <n v="112"/>
    <x v="4"/>
    <m/>
    <s v=""/>
    <x v="1"/>
  </r>
  <r>
    <n v="480"/>
    <x v="0"/>
    <n v="1"/>
    <n v="0"/>
    <x v="0"/>
    <s v="CARRERA 24 CALLE 27 "/>
    <n v="5.3353805555555551"/>
    <n v="-72.388897222222226"/>
    <s v="MOVILIDAD"/>
    <s v="URBANO"/>
    <x v="1"/>
    <s v="MAYO"/>
    <d v="2023-05-17T00:00:00"/>
    <x v="3"/>
    <d v="1899-12-30T14:25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28"/>
    <m/>
    <m/>
    <m/>
    <m/>
    <m/>
    <n v="123"/>
    <x v="21"/>
    <n v="157"/>
    <s v="Otra"/>
    <x v="1"/>
  </r>
  <r>
    <n v="496"/>
    <x v="0"/>
    <n v="1"/>
    <n v="0"/>
    <x v="0"/>
    <s v="CARRERA 24 CALLE 28 "/>
    <n v="5.3345805555555552"/>
    <n v="-72.388427777777778"/>
    <s v="MOVILIDAD"/>
    <s v="URBANO"/>
    <x v="1"/>
    <s v="JUNIO"/>
    <d v="2023-06-03T00:00:00"/>
    <x v="5"/>
    <d v="1899-12-30T10:3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32"/>
    <m/>
    <m/>
    <m/>
    <m/>
    <m/>
    <n v="127"/>
    <x v="18"/>
    <n v="157"/>
    <s v="Otra"/>
    <x v="2"/>
  </r>
  <r>
    <n v="575"/>
    <x v="0"/>
    <n v="1"/>
    <n v="0"/>
    <x v="0"/>
    <s v="CARRERA 24 CALLE 40 "/>
    <n v="5.3255722222222222"/>
    <n v="-72.383324999999999"/>
    <s v="MOVILIDAD"/>
    <s v="URBANO"/>
    <x v="1"/>
    <s v="OCTUBRE"/>
    <d v="2023-10-15T00:00:00"/>
    <x v="2"/>
    <d v="1899-12-30T17:20:00"/>
    <s v="MOTOCICLETA"/>
    <s v="AUTOMOVIL"/>
    <n v="1"/>
    <n v="0"/>
    <n v="1"/>
    <n v="0"/>
    <n v="0"/>
    <n v="0"/>
    <n v="0"/>
    <n v="0"/>
    <n v="0"/>
    <n v="0"/>
    <n v="0"/>
    <n v="0"/>
    <m/>
    <s v="FEMENINO"/>
    <n v="0"/>
    <n v="1"/>
    <n v="31"/>
    <m/>
    <m/>
    <m/>
    <m/>
    <m/>
    <n v="121"/>
    <x v="7"/>
    <m/>
    <s v=""/>
    <x v="1"/>
  </r>
  <r>
    <n v="362"/>
    <x v="0"/>
    <n v="2"/>
    <n v="0"/>
    <x v="0"/>
    <s v="CARRERA 24 CALLE28"/>
    <n v="5.3345888888888888"/>
    <n v="-72.388413888888891"/>
    <s v="MOVILIDAD"/>
    <s v="URBANO"/>
    <x v="0"/>
    <s v="NOVIEMBRE"/>
    <d v="2022-11-25T00:00:00"/>
    <x v="0"/>
    <d v="1899-12-30T12:45:00"/>
    <s v="MOTOCICLETA"/>
    <s v="AUTOMOVIL"/>
    <n v="1"/>
    <n v="0"/>
    <n v="1"/>
    <n v="0"/>
    <n v="0"/>
    <n v="0"/>
    <n v="0"/>
    <n v="0"/>
    <n v="0"/>
    <n v="0"/>
    <n v="0"/>
    <n v="0"/>
    <s v="MASCULINO"/>
    <s v="FEMENINO"/>
    <n v="1"/>
    <n v="1"/>
    <n v="54"/>
    <m/>
    <m/>
    <m/>
    <n v="44"/>
    <m/>
    <n v="123"/>
    <x v="21"/>
    <m/>
    <s v=""/>
    <x v="1"/>
  </r>
  <r>
    <n v="399"/>
    <x v="0"/>
    <n v="1"/>
    <n v="0"/>
    <x v="0"/>
    <s v="CARRERA 24B CALLE 40"/>
    <n v="5.3262930555555554"/>
    <n v="-72.382596666666657"/>
    <s v="MOVILIDAD"/>
    <s v="URBANO"/>
    <x v="1"/>
    <s v="ENERO"/>
    <d v="2023-01-31T00:00:00"/>
    <x v="6"/>
    <d v="1899-12-30T22:00:00"/>
    <s v="MOTOCICLETA"/>
    <s v="CAMIONETA"/>
    <n v="1"/>
    <n v="0"/>
    <n v="0"/>
    <n v="0"/>
    <n v="1"/>
    <n v="0"/>
    <n v="0"/>
    <n v="0"/>
    <n v="0"/>
    <n v="0"/>
    <n v="0"/>
    <n v="0"/>
    <s v="MASCULINO"/>
    <m/>
    <n v="1"/>
    <n v="0"/>
    <n v="33"/>
    <n v="23"/>
    <m/>
    <m/>
    <m/>
    <m/>
    <n v="121"/>
    <x v="7"/>
    <m/>
    <s v=""/>
    <x v="0"/>
  </r>
  <r>
    <n v="127"/>
    <x v="1"/>
    <n v="0"/>
    <n v="0"/>
    <x v="1"/>
    <s v="CARRERA 25  # 12-17"/>
    <n v="5.3475999999999999"/>
    <n v="-72.394283333333334"/>
    <s v="MOVILIDAD"/>
    <s v="URBANO"/>
    <x v="0"/>
    <s v="ABRIL"/>
    <d v="2022-04-07T00:00:00"/>
    <x v="1"/>
    <d v="1899-12-30T08:20:00"/>
    <s v="AUTOMOVIL"/>
    <s v="CAMIONETA"/>
    <n v="0"/>
    <n v="0"/>
    <n v="1"/>
    <n v="0"/>
    <n v="1"/>
    <n v="0"/>
    <n v="0"/>
    <n v="0"/>
    <n v="0"/>
    <n v="0"/>
    <n v="0"/>
    <n v="0"/>
    <m/>
    <s v="FEMENINO"/>
    <n v="0"/>
    <n v="1"/>
    <m/>
    <m/>
    <m/>
    <m/>
    <m/>
    <m/>
    <n v="134"/>
    <x v="24"/>
    <m/>
    <s v=""/>
    <x v="2"/>
  </r>
  <r>
    <n v="636"/>
    <x v="0"/>
    <n v="1"/>
    <n v="0"/>
    <x v="0"/>
    <s v="CARRERA 25 #  24 "/>
    <n v="5.3382050000000003"/>
    <n v="-72.389366999999993"/>
    <s v="MOVILIDAD"/>
    <s v="URBANO"/>
    <x v="1"/>
    <s v="DICIEMBRE"/>
    <d v="2023-12-20T00:00:00"/>
    <x v="3"/>
    <d v="1899-12-30T19:0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53"/>
    <m/>
    <m/>
    <m/>
    <m/>
    <m/>
    <n v="114"/>
    <x v="5"/>
    <n v="139"/>
    <s v="Impericia en el manejo."/>
    <x v="0"/>
  </r>
  <r>
    <n v="757"/>
    <x v="0"/>
    <n v="3"/>
    <n v="0"/>
    <x v="0"/>
    <s v="CARRERA 25 #  24 "/>
    <n v="5.3382050000000003"/>
    <n v="-72.389366999999993"/>
    <s v="MOVILIDAD"/>
    <s v="URBANO"/>
    <x v="3"/>
    <s v="AGOSTO"/>
    <d v="2024-08-04T00:00:00"/>
    <x v="2"/>
    <d v="1899-12-30T14:20:00"/>
    <s v="MOTOCICLETA"/>
    <s v="AUTOMOVIL"/>
    <n v="1"/>
    <n v="0"/>
    <n v="1"/>
    <n v="0"/>
    <n v="0"/>
    <n v="0"/>
    <n v="0"/>
    <n v="0"/>
    <n v="0"/>
    <n v="0"/>
    <n v="0"/>
    <n v="0"/>
    <s v="MASCULINO"/>
    <s v="FEMENINO"/>
    <n v="1"/>
    <n v="1"/>
    <n v="65"/>
    <n v="36"/>
    <n v="14"/>
    <m/>
    <m/>
    <m/>
    <n v="112"/>
    <x v="4"/>
    <n v="115"/>
    <s v="Embriaguez o Sustancias alucinogenas"/>
    <x v="1"/>
  </r>
  <r>
    <n v="483"/>
    <x v="0"/>
    <n v="2"/>
    <n v="0"/>
    <x v="0"/>
    <s v="CARRERA 25 # 13"/>
    <n v="5.3470388888888882"/>
    <n v="-72.393950000000004"/>
    <s v="MOVILIDAD"/>
    <s v="URBANO"/>
    <x v="1"/>
    <s v="MAYO"/>
    <d v="2023-05-25T00:00:00"/>
    <x v="1"/>
    <d v="1899-12-30T16:20:00"/>
    <s v="MOTOCICLETA"/>
    <s v="AUTOMOVIL"/>
    <n v="1"/>
    <n v="0"/>
    <n v="1"/>
    <n v="0"/>
    <n v="0"/>
    <n v="0"/>
    <n v="0"/>
    <n v="0"/>
    <n v="0"/>
    <n v="0"/>
    <n v="0"/>
    <n v="0"/>
    <m/>
    <s v="FEMENINO"/>
    <n v="0"/>
    <n v="1"/>
    <n v="22"/>
    <m/>
    <m/>
    <m/>
    <n v="44"/>
    <m/>
    <n v="139"/>
    <x v="0"/>
    <n v="112"/>
    <s v="Desobedecer señales o normas de tránsito."/>
    <x v="1"/>
  </r>
  <r>
    <n v="179"/>
    <x v="1"/>
    <n v="0"/>
    <n v="0"/>
    <x v="1"/>
    <s v="CARRERA 25 # 13"/>
    <n v="5.3470388888888882"/>
    <n v="-72.393950000000004"/>
    <s v="MOVILIDAD"/>
    <s v="URBANO"/>
    <x v="0"/>
    <s v="MAYO"/>
    <d v="2022-05-12T00:00:00"/>
    <x v="1"/>
    <d v="1899-12-30T05:50:00"/>
    <s v="AUTOMOVIL"/>
    <s v="CAMPERO"/>
    <n v="0"/>
    <n v="0"/>
    <n v="1"/>
    <n v="1"/>
    <n v="0"/>
    <n v="0"/>
    <n v="0"/>
    <n v="0"/>
    <n v="0"/>
    <n v="0"/>
    <n v="0"/>
    <n v="0"/>
    <m/>
    <s v="FEMENINO"/>
    <n v="0"/>
    <n v="1"/>
    <m/>
    <m/>
    <m/>
    <m/>
    <m/>
    <m/>
    <n v="112"/>
    <x v="4"/>
    <m/>
    <s v=""/>
    <x v="2"/>
  </r>
  <r>
    <n v="364"/>
    <x v="0"/>
    <n v="2"/>
    <n v="0"/>
    <x v="0"/>
    <s v="CARRERA 25 # 13"/>
    <n v="5.3470388888888882"/>
    <n v="-72.393950000000004"/>
    <s v="MOVILIDAD"/>
    <s v="URBANO"/>
    <x v="0"/>
    <s v="NOVIEMBRE"/>
    <d v="2022-11-29T00:00:00"/>
    <x v="6"/>
    <d v="1899-12-30T14:30:00"/>
    <s v="MOTOCICLETA"/>
    <s v="MOTOCICLETA"/>
    <n v="2"/>
    <n v="0"/>
    <n v="0"/>
    <n v="0"/>
    <n v="0"/>
    <n v="0"/>
    <n v="0"/>
    <n v="0"/>
    <n v="0"/>
    <n v="0"/>
    <n v="0"/>
    <n v="0"/>
    <m/>
    <s v="FEMENINO"/>
    <n v="0"/>
    <n v="1"/>
    <n v="27"/>
    <n v="30"/>
    <m/>
    <m/>
    <m/>
    <m/>
    <n v="112"/>
    <x v="4"/>
    <n v="139"/>
    <s v="Impericia en el manejo."/>
    <x v="1"/>
  </r>
  <r>
    <n v="67"/>
    <x v="0"/>
    <n v="1"/>
    <n v="0"/>
    <x v="0"/>
    <s v="CARRERA 25 # 17"/>
    <n v="5.3437460000000003"/>
    <n v="-72.392403999999999"/>
    <s v="MOVILIDAD"/>
    <s v="URBANO"/>
    <x v="0"/>
    <s v="FEBRERO"/>
    <d v="2022-02-26T00:00:00"/>
    <x v="5"/>
    <d v="1899-12-30T22:10:00"/>
    <s v="AUTOMOVIL"/>
    <m/>
    <n v="0"/>
    <n v="0"/>
    <n v="1"/>
    <n v="0"/>
    <n v="0"/>
    <n v="0"/>
    <n v="0"/>
    <n v="0"/>
    <n v="0"/>
    <n v="0"/>
    <n v="0"/>
    <n v="0"/>
    <s v="MASCULINO"/>
    <m/>
    <n v="1"/>
    <n v="0"/>
    <n v="28"/>
    <m/>
    <m/>
    <m/>
    <m/>
    <m/>
    <n v="139"/>
    <x v="0"/>
    <m/>
    <s v=""/>
    <x v="0"/>
  </r>
  <r>
    <n v="422"/>
    <x v="0"/>
    <n v="3"/>
    <n v="0"/>
    <x v="0"/>
    <s v="CARRERA 25 # 17"/>
    <n v="5.3437913888888886"/>
    <n v="-72.392402222222231"/>
    <s v="MOVILIDAD"/>
    <s v="URBANO"/>
    <x v="1"/>
    <s v="FEBRERO"/>
    <d v="2023-02-28T00:00:00"/>
    <x v="6"/>
    <d v="1899-12-30T18:5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24"/>
    <n v="15"/>
    <m/>
    <m/>
    <n v="21"/>
    <m/>
    <n v="112"/>
    <x v="4"/>
    <m/>
    <s v=""/>
    <x v="0"/>
  </r>
  <r>
    <n v="1066"/>
    <x v="0"/>
    <n v="1"/>
    <n v="0"/>
    <x v="0"/>
    <s v="CARRERA 25 # 20"/>
    <n v="5.3413979999999999"/>
    <n v="-72.391090000000005"/>
    <s v="MOVILIDAD"/>
    <s v="URBANO"/>
    <x v="2"/>
    <s v="SEPTIEMBRE"/>
    <d v="2025-09-12T00:00:00"/>
    <x v="0"/>
    <d v="1899-12-30T09:06:00"/>
    <s v="MOTOCICLETA"/>
    <s v="CAMIONETA"/>
    <n v="1"/>
    <n v="0"/>
    <n v="0"/>
    <n v="0"/>
    <n v="1"/>
    <n v="0"/>
    <n v="0"/>
    <n v="0"/>
    <n v="0"/>
    <n v="0"/>
    <n v="0"/>
    <n v="0"/>
    <s v="MASCULINO"/>
    <s v="FEMENINO"/>
    <n v="1"/>
    <n v="1"/>
    <n v="21"/>
    <n v="36"/>
    <m/>
    <m/>
    <m/>
    <m/>
    <n v="157"/>
    <x v="1"/>
    <m/>
    <s v=""/>
    <x v="2"/>
  </r>
  <r>
    <n v="165"/>
    <x v="1"/>
    <n v="0"/>
    <n v="0"/>
    <x v="1"/>
    <s v="CARRERA 25 # 20"/>
    <n v="5.3413722222222217"/>
    <n v="-72.391125000000002"/>
    <s v="MOVILIDAD"/>
    <s v="URBANO"/>
    <x v="0"/>
    <s v="MAYO"/>
    <d v="2022-05-02T00:00:00"/>
    <x v="4"/>
    <d v="1899-12-30T12:20:00"/>
    <s v="AUTOMOVIL"/>
    <s v="BICICLETA"/>
    <n v="0"/>
    <n v="0"/>
    <n v="1"/>
    <n v="0"/>
    <n v="0"/>
    <n v="0"/>
    <n v="0"/>
    <n v="0"/>
    <n v="0"/>
    <n v="0"/>
    <n v="0"/>
    <n v="1"/>
    <s v="MASCULINO"/>
    <s v="FEMENINO"/>
    <n v="1"/>
    <n v="1"/>
    <m/>
    <m/>
    <m/>
    <m/>
    <m/>
    <m/>
    <n v="112"/>
    <x v="4"/>
    <m/>
    <s v=""/>
    <x v="1"/>
  </r>
  <r>
    <n v="1001"/>
    <x v="0"/>
    <n v="1"/>
    <n v="1"/>
    <x v="2"/>
    <s v="CARRERA 25 # CALLE 24"/>
    <n v="5.3382079999999998"/>
    <n v="-72.389381"/>
    <s v="MOVILIDAD"/>
    <s v="URBANO"/>
    <x v="2"/>
    <s v="JUNIO"/>
    <d v="2025-06-22T00:00:00"/>
    <x v="2"/>
    <d v="1899-12-30T23:40:00"/>
    <s v="BUS"/>
    <s v="MOTOCICLETA"/>
    <n v="1"/>
    <n v="0"/>
    <n v="0"/>
    <n v="0"/>
    <n v="0"/>
    <n v="0"/>
    <n v="1"/>
    <n v="0"/>
    <n v="0"/>
    <n v="0"/>
    <n v="0"/>
    <n v="0"/>
    <s v="MASCULINO"/>
    <s v="MASCULINO"/>
    <n v="2"/>
    <n v="0"/>
    <n v="45"/>
    <n v="26"/>
    <n v="26"/>
    <m/>
    <m/>
    <m/>
    <n v="122"/>
    <x v="2"/>
    <m/>
    <s v=""/>
    <x v="0"/>
  </r>
  <r>
    <n v="15"/>
    <x v="1"/>
    <n v="0"/>
    <n v="0"/>
    <x v="1"/>
    <s v="CARRERA 25 CALLE 12"/>
    <n v="5.3478666666666665"/>
    <n v="-72.394445000000005"/>
    <s v="MOVILIDAD"/>
    <s v="URBANO"/>
    <x v="0"/>
    <s v="ENERO"/>
    <d v="2022-01-13T00:00:00"/>
    <x v="1"/>
    <d v="1899-12-30T12:10:00"/>
    <s v="AUTOMOVIL"/>
    <s v="CAMPERO"/>
    <n v="0"/>
    <n v="0"/>
    <n v="1"/>
    <n v="1"/>
    <n v="0"/>
    <n v="0"/>
    <n v="0"/>
    <n v="0"/>
    <n v="0"/>
    <n v="0"/>
    <n v="0"/>
    <n v="0"/>
    <s v="MASCULINO"/>
    <m/>
    <n v="1"/>
    <n v="0"/>
    <m/>
    <m/>
    <m/>
    <m/>
    <m/>
    <m/>
    <n v="112"/>
    <x v="4"/>
    <m/>
    <s v=""/>
    <x v="1"/>
  </r>
  <r>
    <n v="465"/>
    <x v="0"/>
    <n v="1"/>
    <n v="0"/>
    <x v="0"/>
    <s v="CARRERA 25 CALLE 21 "/>
    <n v="5.3405722222222218"/>
    <n v="-72.390641666666667"/>
    <s v="MOVILIDAD"/>
    <s v="URBANO"/>
    <x v="1"/>
    <s v="MAYO"/>
    <d v="2023-05-01T00:00:00"/>
    <x v="4"/>
    <d v="1899-12-30T11:50:00"/>
    <s v="MOTOCICLETA"/>
    <s v="CAMPERO"/>
    <n v="1"/>
    <n v="0"/>
    <n v="0"/>
    <n v="1"/>
    <n v="0"/>
    <n v="0"/>
    <n v="0"/>
    <n v="0"/>
    <n v="0"/>
    <n v="0"/>
    <n v="0"/>
    <n v="0"/>
    <s v="MASCULINO"/>
    <m/>
    <n v="1"/>
    <n v="0"/>
    <n v="40"/>
    <m/>
    <m/>
    <m/>
    <m/>
    <m/>
    <n v="112"/>
    <x v="4"/>
    <m/>
    <s v=""/>
    <x v="2"/>
  </r>
  <r>
    <n v="329"/>
    <x v="0"/>
    <n v="2"/>
    <n v="0"/>
    <x v="0"/>
    <s v="CARRERA 26  25"/>
    <n v="5.3378524999999994"/>
    <n v="-72.388125000000002"/>
    <s v="MOVILIDAD"/>
    <s v="URBANO"/>
    <x v="0"/>
    <s v="OCTUBRE"/>
    <d v="2022-10-09T00:00:00"/>
    <x v="2"/>
    <d v="1899-12-30T18:15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36"/>
    <n v="37"/>
    <m/>
    <m/>
    <m/>
    <m/>
    <n v="115"/>
    <x v="12"/>
    <n v="121"/>
    <s v="No mantener distancia de seguridad."/>
    <x v="0"/>
  </r>
  <r>
    <n v="254"/>
    <x v="0"/>
    <n v="1"/>
    <n v="0"/>
    <x v="0"/>
    <s v="CARRERA 26  25"/>
    <n v="5.3378524999999994"/>
    <n v="-72.388133888888902"/>
    <s v="MOVILIDAD"/>
    <s v="URBANO"/>
    <x v="0"/>
    <s v="JULIO"/>
    <d v="2022-07-16T00:00:00"/>
    <x v="5"/>
    <d v="1899-12-30T19:3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21"/>
    <m/>
    <m/>
    <m/>
    <m/>
    <m/>
    <n v="112"/>
    <x v="4"/>
    <n v="114"/>
    <s v="Embriaguez aparente."/>
    <x v="0"/>
  </r>
  <r>
    <n v="294"/>
    <x v="0"/>
    <n v="3"/>
    <n v="0"/>
    <x v="0"/>
    <s v="CARRERA 26 #  24"/>
    <n v="5.3386388888888883"/>
    <n v="-72.388586111111124"/>
    <s v="MOVILIDAD"/>
    <s v="URBANO"/>
    <x v="0"/>
    <s v="SEPTIEMBRE"/>
    <d v="2022-09-01T00:00:00"/>
    <x v="1"/>
    <d v="1899-12-30T21:30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n v="16"/>
    <n v="35"/>
    <m/>
    <m/>
    <n v="29"/>
    <m/>
    <n v="132"/>
    <x v="13"/>
    <m/>
    <s v=""/>
    <x v="0"/>
  </r>
  <r>
    <n v="685"/>
    <x v="0"/>
    <n v="1"/>
    <n v="0"/>
    <x v="0"/>
    <s v="CARRERA 26 #  24"/>
    <n v="5.3386388888888883"/>
    <n v="-72.388586111111124"/>
    <s v="MOVILIDAD"/>
    <s v="URBANO"/>
    <x v="3"/>
    <s v="MARZO"/>
    <d v="2024-03-28T00:00:00"/>
    <x v="1"/>
    <d v="1899-12-30T02:55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n v="39"/>
    <n v="34"/>
    <m/>
    <m/>
    <m/>
    <m/>
    <n v="115"/>
    <x v="12"/>
    <n v="123"/>
    <s v="No respetar prelación de intersecciones o giros."/>
    <x v="2"/>
  </r>
  <r>
    <n v="1026"/>
    <x v="0"/>
    <n v="2"/>
    <n v="0"/>
    <x v="0"/>
    <s v="CARRERA 26 # CALLE 16"/>
    <n v="5.3450579999999999"/>
    <n v="-72.392065000000002"/>
    <s v="MOVILIDAD"/>
    <s v="URBANO"/>
    <x v="2"/>
    <s v="JULIO"/>
    <d v="2025-07-30T00:00:00"/>
    <x v="3"/>
    <d v="1899-12-30T19:30:00"/>
    <s v="CAMIONETA"/>
    <s v="MOTOCICLETA"/>
    <n v="1"/>
    <n v="0"/>
    <n v="0"/>
    <n v="0"/>
    <n v="1"/>
    <n v="0"/>
    <n v="0"/>
    <n v="0"/>
    <n v="0"/>
    <n v="0"/>
    <n v="0"/>
    <n v="0"/>
    <s v="MASCULINO"/>
    <s v="MASCULINO"/>
    <n v="2"/>
    <n v="0"/>
    <n v="65"/>
    <n v="20"/>
    <m/>
    <m/>
    <m/>
    <m/>
    <n v="112"/>
    <x v="4"/>
    <m/>
    <s v=""/>
    <x v="0"/>
  </r>
  <r>
    <n v="1110"/>
    <x v="0"/>
    <n v="1"/>
    <n v="0"/>
    <x v="0"/>
    <s v="CARRERA 26 # CALLE 23"/>
    <n v="5.3391666666666602"/>
    <n v="-72.388856666666598"/>
    <s v="MOVILIDAD"/>
    <s v="URBANO"/>
    <x v="2"/>
    <s v="OCTUBRE"/>
    <d v="2025-10-04T00:00:00"/>
    <x v="5"/>
    <d v="1899-12-30T21:03:00"/>
    <s v="MOTOCICLETA"/>
    <s v="MOTOCICLETA"/>
    <n v="2"/>
    <n v="0"/>
    <n v="0"/>
    <n v="0"/>
    <n v="0"/>
    <n v="0"/>
    <n v="0"/>
    <n v="0"/>
    <n v="0"/>
    <n v="0"/>
    <n v="0"/>
    <n v="0"/>
    <s v="FEMENINO"/>
    <s v="MASCULINO"/>
    <n v="1"/>
    <n v="1"/>
    <n v="45"/>
    <m/>
    <m/>
    <m/>
    <m/>
    <m/>
    <n v="132"/>
    <x v="13"/>
    <m/>
    <s v=""/>
    <x v="0"/>
  </r>
  <r>
    <n v="565"/>
    <x v="0"/>
    <n v="1"/>
    <n v="0"/>
    <x v="0"/>
    <s v="CARRERA 26 # CALLE 24  "/>
    <n v="5.3386388888888883"/>
    <n v="-72.388586111111124"/>
    <s v="MOVILIDAD"/>
    <s v="URBANO"/>
    <x v="1"/>
    <s v="SEPTIEMBRE"/>
    <d v="2023-09-30T00:00:00"/>
    <x v="5"/>
    <d v="1899-12-30T02:15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15"/>
    <m/>
    <m/>
    <m/>
    <m/>
    <m/>
    <n v="127"/>
    <x v="18"/>
    <m/>
    <s v=""/>
    <x v="2"/>
  </r>
  <r>
    <n v="1009"/>
    <x v="0"/>
    <n v="2"/>
    <n v="0"/>
    <x v="0"/>
    <s v="CARRERA 26 # CALLE 27"/>
    <n v="5.3362819999999997"/>
    <n v="-72.387293"/>
    <s v="MOVILIDAD"/>
    <s v="URBANO"/>
    <x v="2"/>
    <s v="JULIO"/>
    <d v="2025-07-09T00:00:00"/>
    <x v="3"/>
    <d v="1899-12-30T15:40:00"/>
    <s v="CAMIONETA"/>
    <s v="MOTOCICLETA"/>
    <n v="1"/>
    <n v="0"/>
    <n v="0"/>
    <n v="0"/>
    <n v="1"/>
    <n v="0"/>
    <n v="0"/>
    <n v="0"/>
    <n v="0"/>
    <n v="0"/>
    <n v="0"/>
    <n v="0"/>
    <s v="MASCULINO"/>
    <s v="FEMENINO"/>
    <n v="1"/>
    <n v="1"/>
    <n v="18"/>
    <n v="39"/>
    <n v="5"/>
    <m/>
    <m/>
    <m/>
    <n v="112"/>
    <x v="4"/>
    <n v="132"/>
    <s v="No respetar prelación."/>
    <x v="1"/>
  </r>
  <r>
    <n v="784"/>
    <x v="0"/>
    <n v="0"/>
    <n v="1"/>
    <x v="2"/>
    <s v="CARRERA 26 CALLE 14"/>
    <n v="5.3467277777777777"/>
    <n v="-72.392722222222233"/>
    <s v="MOVILIDAD"/>
    <s v="URBANO"/>
    <x v="3"/>
    <s v="SEPTIEMBRE"/>
    <d v="2024-09-29T00:00:00"/>
    <x v="2"/>
    <d v="1899-12-30T22:00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m/>
    <n v="38"/>
    <m/>
    <m/>
    <m/>
    <n v="39"/>
    <n v="139"/>
    <x v="0"/>
    <n v="112"/>
    <s v="Desobedecer señales o normas de tránsito."/>
    <x v="0"/>
  </r>
  <r>
    <n v="265"/>
    <x v="0"/>
    <n v="1"/>
    <n v="0"/>
    <x v="0"/>
    <s v="CARRERA 26 CALLE 16"/>
    <n v="5.345023888888889"/>
    <n v="-72.392078055555558"/>
    <s v="MOVILIDAD"/>
    <s v="URBANO"/>
    <x v="0"/>
    <s v="JULIO"/>
    <d v="2022-07-31T00:00:00"/>
    <x v="2"/>
    <d v="1899-12-30T17:20:00"/>
    <s v="MOTOCICLETA"/>
    <s v="MOTOCICLETA"/>
    <n v="2"/>
    <n v="0"/>
    <n v="0"/>
    <n v="0"/>
    <n v="0"/>
    <n v="0"/>
    <n v="0"/>
    <n v="0"/>
    <n v="0"/>
    <n v="0"/>
    <n v="0"/>
    <n v="0"/>
    <m/>
    <s v="FEMENINO"/>
    <n v="0"/>
    <n v="1"/>
    <n v="55"/>
    <m/>
    <m/>
    <m/>
    <m/>
    <m/>
    <n v="112"/>
    <x v="4"/>
    <n v="139"/>
    <s v="Impericia en el manejo."/>
    <x v="1"/>
  </r>
  <r>
    <n v="557"/>
    <x v="0"/>
    <n v="3"/>
    <n v="0"/>
    <x v="0"/>
    <s v="CARRERA 26 CALLE 16A "/>
    <n v="5.3446222222222222"/>
    <n v="-72.391860000000008"/>
    <s v="MOVILIDAD"/>
    <s v="URBANO"/>
    <x v="1"/>
    <s v="SEPTIEMBRE"/>
    <d v="2023-09-13T00:00:00"/>
    <x v="3"/>
    <d v="1899-12-30T08:12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23"/>
    <m/>
    <m/>
    <m/>
    <n v="27"/>
    <m/>
    <n v="1"/>
    <x v="3"/>
    <m/>
    <s v=""/>
    <x v="2"/>
  </r>
  <r>
    <n v="177"/>
    <x v="1"/>
    <n v="0"/>
    <n v="0"/>
    <x v="1"/>
    <s v="CARRERA 26 CALLE 17"/>
    <n v="5.3442194444444437"/>
    <n v="-72.391633333333345"/>
    <s v="MOVILIDAD"/>
    <s v="URBANO"/>
    <x v="0"/>
    <s v="MAYO"/>
    <d v="2022-05-03T00:00:00"/>
    <x v="6"/>
    <d v="1899-12-30T10:15:00"/>
    <s v="MOTOCICLETA"/>
    <s v="CAMIONETA"/>
    <n v="1"/>
    <n v="0"/>
    <n v="0"/>
    <n v="0"/>
    <n v="1"/>
    <n v="0"/>
    <n v="0"/>
    <n v="0"/>
    <n v="0"/>
    <n v="0"/>
    <n v="0"/>
    <n v="0"/>
    <s v="MASCULINO"/>
    <s v="FEMENINO"/>
    <n v="1"/>
    <n v="1"/>
    <m/>
    <m/>
    <m/>
    <m/>
    <m/>
    <m/>
    <n v="123"/>
    <x v="21"/>
    <m/>
    <s v=""/>
    <x v="2"/>
  </r>
  <r>
    <n v="365"/>
    <x v="0"/>
    <n v="3"/>
    <n v="0"/>
    <x v="0"/>
    <s v="CARRERA 26 CALLE 19"/>
    <n v="5.3426499999999999"/>
    <n v="-72.390761111111118"/>
    <s v="MOVILIDAD"/>
    <s v="URBANO"/>
    <x v="0"/>
    <s v="NOVIEMBRE"/>
    <d v="2022-11-29T00:00:00"/>
    <x v="6"/>
    <d v="1899-12-30T14:00:00"/>
    <s v="MOTOCICLETA"/>
    <s v="AUTOMOVIL"/>
    <n v="1"/>
    <n v="0"/>
    <n v="1"/>
    <n v="0"/>
    <n v="0"/>
    <n v="0"/>
    <n v="0"/>
    <n v="0"/>
    <n v="0"/>
    <n v="0"/>
    <n v="0"/>
    <n v="0"/>
    <s v="MASCULINO"/>
    <s v="FEMENINO"/>
    <n v="1"/>
    <n v="1"/>
    <n v="30"/>
    <n v="29"/>
    <m/>
    <m/>
    <n v="19"/>
    <m/>
    <n v="157"/>
    <x v="1"/>
    <n v="112"/>
    <s v="Desobedecer señales o normas de tránsito."/>
    <x v="1"/>
  </r>
  <r>
    <n v="352"/>
    <x v="0"/>
    <n v="4"/>
    <n v="0"/>
    <x v="0"/>
    <s v="CARRERA 26 CALLE 27"/>
    <n v="5.3362472222222221"/>
    <n v="-72.38730000000001"/>
    <s v="MOVILIDAD"/>
    <s v="URBANO"/>
    <x v="0"/>
    <s v="NOVIEMBRE"/>
    <d v="2022-11-10T00:00:00"/>
    <x v="1"/>
    <d v="1899-12-30T01:45:00"/>
    <s v="CAMPERO"/>
    <s v="MICROBUS"/>
    <n v="0"/>
    <n v="0"/>
    <n v="0"/>
    <n v="1"/>
    <n v="0"/>
    <n v="1"/>
    <n v="0"/>
    <n v="0"/>
    <n v="0"/>
    <n v="0"/>
    <n v="0"/>
    <n v="0"/>
    <s v="MASCULINO"/>
    <s v="FEMENINO"/>
    <n v="1"/>
    <n v="1"/>
    <m/>
    <m/>
    <n v="14"/>
    <m/>
    <m/>
    <m/>
    <n v="112"/>
    <x v="4"/>
    <m/>
    <s v=""/>
    <x v="2"/>
  </r>
  <r>
    <n v="18"/>
    <x v="0"/>
    <n v="2"/>
    <n v="0"/>
    <x v="0"/>
    <s v="CARRERA 27  # 27-18"/>
    <n v="5.3364361111111105"/>
    <n v="-72.396541666666678"/>
    <s v="MOVILIDAD"/>
    <s v="URBANO"/>
    <x v="0"/>
    <s v="ENERO"/>
    <d v="2022-01-19T00:00:00"/>
    <x v="3"/>
    <d v="1899-12-30T20:3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33"/>
    <m/>
    <m/>
    <n v="40"/>
    <m/>
    <m/>
    <n v="404"/>
    <x v="27"/>
    <m/>
    <s v=""/>
    <x v="0"/>
  </r>
  <r>
    <n v="310"/>
    <x v="0"/>
    <n v="2"/>
    <n v="0"/>
    <x v="0"/>
    <s v="CARRERA 27 #  18"/>
    <n v="5.3439291666666664"/>
    <n v="-72.390399722222227"/>
    <s v="MOVILIDAD"/>
    <s v="URBANO"/>
    <x v="0"/>
    <s v="SEPTIEMBRE"/>
    <d v="2022-09-15T00:00:00"/>
    <x v="1"/>
    <d v="1899-12-30T16:15:00"/>
    <s v="MOTOCICLETA"/>
    <s v="CAMIONETA"/>
    <n v="1"/>
    <n v="0"/>
    <n v="0"/>
    <n v="0"/>
    <n v="1"/>
    <n v="0"/>
    <n v="0"/>
    <n v="0"/>
    <n v="0"/>
    <n v="0"/>
    <n v="0"/>
    <n v="0"/>
    <m/>
    <s v="FEMENINO"/>
    <n v="0"/>
    <n v="1"/>
    <n v="19"/>
    <m/>
    <m/>
    <m/>
    <n v="56"/>
    <m/>
    <n v="112"/>
    <x v="4"/>
    <m/>
    <s v=""/>
    <x v="1"/>
  </r>
  <r>
    <n v="673"/>
    <x v="0"/>
    <n v="1"/>
    <n v="0"/>
    <x v="0"/>
    <s v="CARRERA 27 #  18"/>
    <n v="5.3439291666666664"/>
    <n v="-72.390399722222227"/>
    <s v="MOVILIDAD"/>
    <s v="URBANO"/>
    <x v="3"/>
    <s v="MARZO"/>
    <d v="2024-03-06T00:00:00"/>
    <x v="3"/>
    <d v="1899-12-30T15:30:00"/>
    <s v="MOTOCICLETA"/>
    <s v="AUTOMOVIL"/>
    <n v="1"/>
    <n v="0"/>
    <n v="1"/>
    <n v="0"/>
    <n v="0"/>
    <n v="0"/>
    <n v="0"/>
    <n v="0"/>
    <n v="0"/>
    <n v="0"/>
    <n v="0"/>
    <n v="0"/>
    <m/>
    <s v="FEMENINO"/>
    <n v="0"/>
    <n v="1"/>
    <n v="27"/>
    <n v="27"/>
    <m/>
    <m/>
    <m/>
    <m/>
    <n v="112"/>
    <x v="4"/>
    <m/>
    <s v=""/>
    <x v="1"/>
  </r>
  <r>
    <n v="471"/>
    <x v="0"/>
    <n v="2"/>
    <n v="0"/>
    <x v="0"/>
    <s v="CARRERA 27 #  22"/>
    <n v="5.3406583333333328"/>
    <n v="-72.388602777777791"/>
    <s v="MOVILIDAD"/>
    <s v="URBANO"/>
    <x v="1"/>
    <s v="MAYO"/>
    <d v="2023-05-06T00:00:00"/>
    <x v="5"/>
    <d v="1904-05-28T00:00:00"/>
    <s v="MOTOCICLETA"/>
    <s v="CAMPERO"/>
    <n v="1"/>
    <n v="0"/>
    <n v="0"/>
    <n v="1"/>
    <n v="0"/>
    <n v="0"/>
    <n v="0"/>
    <n v="0"/>
    <n v="0"/>
    <n v="0"/>
    <n v="0"/>
    <n v="0"/>
    <s v="MASCULINO"/>
    <s v="FEMENINO"/>
    <n v="1"/>
    <n v="1"/>
    <n v="58"/>
    <m/>
    <m/>
    <m/>
    <n v="59"/>
    <m/>
    <n v="112"/>
    <x v="4"/>
    <m/>
    <s v=""/>
    <x v="2"/>
  </r>
  <r>
    <n v="356"/>
    <x v="0"/>
    <n v="2"/>
    <n v="0"/>
    <x v="0"/>
    <s v="CARRERA 27 #  22"/>
    <n v="5.3406583333333328"/>
    <n v="-72.388602777777791"/>
    <s v="MOVILIDAD"/>
    <s v="URBANO"/>
    <x v="0"/>
    <s v="NOVIEMBRE"/>
    <d v="2022-11-18T00:00:00"/>
    <x v="0"/>
    <d v="1899-12-30T17:30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n v="49"/>
    <n v="40"/>
    <m/>
    <m/>
    <m/>
    <m/>
    <n v="112"/>
    <x v="4"/>
    <m/>
    <s v=""/>
    <x v="1"/>
  </r>
  <r>
    <n v="843"/>
    <x v="0"/>
    <n v="2"/>
    <n v="0"/>
    <x v="0"/>
    <s v="CARRERA 27 #  27 "/>
    <n v="5.3367183333333328"/>
    <n v="-72.386454722222226"/>
    <s v="MOVILIDAD"/>
    <s v="URBANO"/>
    <x v="3"/>
    <s v="DICIEMBRE"/>
    <d v="2024-12-23T00:00:00"/>
    <x v="4"/>
    <d v="1899-12-30T10:3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28"/>
    <n v="44"/>
    <m/>
    <m/>
    <m/>
    <m/>
    <n v="139"/>
    <x v="0"/>
    <n v="112"/>
    <s v="Desobedecer señales o normas de tránsito."/>
    <x v="2"/>
  </r>
  <r>
    <n v="830"/>
    <x v="0"/>
    <n v="1"/>
    <n v="0"/>
    <x v="0"/>
    <s v="CARRERA 27 #  27 "/>
    <n v="5.3367183333333328"/>
    <n v="-72.386454722222226"/>
    <s v="MOVILIDAD"/>
    <s v="URBANO"/>
    <x v="3"/>
    <s v="DICIEMBRE"/>
    <d v="2024-12-09T00:00:00"/>
    <x v="4"/>
    <d v="1899-12-30T13:40:00"/>
    <s v="MOTOCICLETA"/>
    <s v="AUTOMOVIL"/>
    <n v="1"/>
    <n v="0"/>
    <n v="1"/>
    <n v="0"/>
    <n v="0"/>
    <n v="0"/>
    <n v="0"/>
    <n v="0"/>
    <n v="0"/>
    <n v="0"/>
    <n v="0"/>
    <n v="0"/>
    <s v="MASCULINO"/>
    <s v="FEMENINO"/>
    <n v="1"/>
    <n v="1"/>
    <n v="38"/>
    <n v="55"/>
    <m/>
    <m/>
    <m/>
    <m/>
    <n v="112"/>
    <x v="4"/>
    <m/>
    <s v=""/>
    <x v="1"/>
  </r>
  <r>
    <n v="207"/>
    <x v="0"/>
    <n v="1"/>
    <n v="0"/>
    <x v="0"/>
    <s v="CARRERA 27 # CALLE 12"/>
    <n v="5.348694444444444"/>
    <n v="-72.393038888888896"/>
    <s v="MOVILIDAD"/>
    <s v="URBANO"/>
    <x v="0"/>
    <s v="JUNIO"/>
    <d v="2022-06-07T00:00:00"/>
    <x v="6"/>
    <d v="1899-12-30T19:5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24"/>
    <m/>
    <m/>
    <m/>
    <m/>
    <m/>
    <n v="112"/>
    <x v="4"/>
    <m/>
    <s v=""/>
    <x v="0"/>
  </r>
  <r>
    <n v="891"/>
    <x v="0"/>
    <n v="1"/>
    <n v="0"/>
    <x v="0"/>
    <s v="CARRERA 27 # CALLE 13"/>
    <n v="5.3478500000000002"/>
    <n v="-72.392555000000002"/>
    <s v="MOVILIDAD"/>
    <s v="URBANO"/>
    <x v="2"/>
    <s v="MARZO"/>
    <d v="2025-03-03T00:00:00"/>
    <x v="4"/>
    <d v="1899-12-30T13:30:00"/>
    <s v="CAMIONETA"/>
    <s v="MOTOCICLETA"/>
    <n v="1"/>
    <n v="0"/>
    <n v="0"/>
    <n v="0"/>
    <n v="1"/>
    <n v="0"/>
    <n v="0"/>
    <n v="0"/>
    <n v="0"/>
    <n v="0"/>
    <n v="0"/>
    <n v="0"/>
    <s v="MASCULINO"/>
    <s v="MASCULINO"/>
    <n v="2"/>
    <n v="0"/>
    <n v="32"/>
    <n v="17"/>
    <m/>
    <m/>
    <m/>
    <m/>
    <n v="112"/>
    <x v="4"/>
    <m/>
    <s v=""/>
    <x v="1"/>
  </r>
  <r>
    <n v="796"/>
    <x v="0"/>
    <n v="1"/>
    <n v="0"/>
    <x v="0"/>
    <s v="CARRERA 27 # CALLE 15"/>
    <n v="5.3463097222222222"/>
    <n v="-72.391696388888889"/>
    <s v="MOVILIDAD"/>
    <s v="URBANO"/>
    <x v="3"/>
    <s v="OCTUBRE"/>
    <d v="2024-10-19T00:00:00"/>
    <x v="5"/>
    <d v="1899-12-30T10:30:00"/>
    <s v="CAMIONETA"/>
    <s v="CAMIONETA"/>
    <n v="0"/>
    <n v="0"/>
    <n v="0"/>
    <n v="0"/>
    <n v="2"/>
    <n v="0"/>
    <n v="0"/>
    <n v="0"/>
    <n v="0"/>
    <n v="0"/>
    <n v="0"/>
    <n v="0"/>
    <m/>
    <s v="FEMENINO"/>
    <n v="0"/>
    <n v="1"/>
    <n v="41"/>
    <m/>
    <m/>
    <m/>
    <m/>
    <m/>
    <n v="112"/>
    <x v="4"/>
    <m/>
    <s v=""/>
    <x v="2"/>
  </r>
  <r>
    <n v="522"/>
    <x v="0"/>
    <n v="1"/>
    <n v="0"/>
    <x v="0"/>
    <s v="CARRERA 27 # CALLE 16"/>
    <n v="5.3455083333333331"/>
    <n v="-72.39126111111112"/>
    <s v="MOVILIDAD"/>
    <s v="URBANO"/>
    <x v="1"/>
    <s v="JULIO"/>
    <d v="2023-07-21T00:00:00"/>
    <x v="0"/>
    <d v="1899-12-30T12:15:00"/>
    <s v="MOTOCICLETA"/>
    <s v="AUTOMOVIL"/>
    <n v="1"/>
    <n v="0"/>
    <n v="1"/>
    <n v="0"/>
    <n v="0"/>
    <n v="0"/>
    <n v="0"/>
    <n v="0"/>
    <n v="0"/>
    <n v="0"/>
    <n v="0"/>
    <n v="0"/>
    <m/>
    <s v="FEMENINO"/>
    <n v="0"/>
    <n v="1"/>
    <n v="28"/>
    <m/>
    <m/>
    <m/>
    <m/>
    <m/>
    <n v="157"/>
    <x v="1"/>
    <m/>
    <s v=""/>
    <x v="1"/>
  </r>
  <r>
    <n v="116"/>
    <x v="0"/>
    <n v="1"/>
    <n v="0"/>
    <x v="0"/>
    <s v="CARRERA 27 # CALLE 17"/>
    <n v="5.3447027777777771"/>
    <n v="-72.390847222222234"/>
    <s v="MOVILIDAD"/>
    <s v="URBANO"/>
    <x v="0"/>
    <s v="ABRIL"/>
    <d v="2022-04-07T00:00:00"/>
    <x v="1"/>
    <d v="1899-12-30T15:20:00"/>
    <s v="MOTOCICLETA"/>
    <s v="CAMION"/>
    <n v="1"/>
    <n v="0"/>
    <n v="0"/>
    <n v="0"/>
    <n v="0"/>
    <n v="0"/>
    <n v="0"/>
    <n v="0"/>
    <n v="1"/>
    <n v="0"/>
    <n v="0"/>
    <n v="0"/>
    <s v="MASCULINO"/>
    <m/>
    <n v="1"/>
    <n v="0"/>
    <n v="58"/>
    <m/>
    <m/>
    <m/>
    <m/>
    <m/>
    <n v="112"/>
    <x v="4"/>
    <m/>
    <s v=""/>
    <x v="1"/>
  </r>
  <r>
    <n v="970"/>
    <x v="0"/>
    <n v="1"/>
    <n v="0"/>
    <x v="0"/>
    <s v="CARRERA 27 # CALLE 20"/>
    <n v="5.342295"/>
    <n v="-72.389525000000006"/>
    <s v="MOVILIDAD"/>
    <s v="URBANO"/>
    <x v="2"/>
    <s v="MAYO"/>
    <d v="2025-05-24T00:00:00"/>
    <x v="5"/>
    <d v="1899-12-30T11:15:00"/>
    <s v="CAMIONETA"/>
    <s v="MOTOCICLETA"/>
    <n v="1"/>
    <n v="0"/>
    <n v="0"/>
    <n v="0"/>
    <n v="1"/>
    <n v="0"/>
    <n v="0"/>
    <n v="0"/>
    <n v="0"/>
    <n v="0"/>
    <n v="0"/>
    <n v="0"/>
    <s v="MASCULINO"/>
    <s v="MASCULINO"/>
    <n v="2"/>
    <n v="0"/>
    <n v="59"/>
    <n v="26"/>
    <m/>
    <m/>
    <m/>
    <m/>
    <n v="112"/>
    <x v="4"/>
    <n v="139"/>
    <s v="Impericia en el manejo."/>
    <x v="2"/>
  </r>
  <r>
    <n v="974"/>
    <x v="0"/>
    <n v="2"/>
    <n v="0"/>
    <x v="0"/>
    <s v="CARRERA 27 # CALLE 21"/>
    <n v="5.3414270000000004"/>
    <n v="-72.389044999999996"/>
    <s v="MOVILIDAD"/>
    <s v="URBANO"/>
    <x v="2"/>
    <s v="MAYO"/>
    <d v="2025-05-27T00:00:00"/>
    <x v="6"/>
    <d v="1899-12-30T00:25:00"/>
    <s v="MOTOCICLETA"/>
    <s v="MOTOCICLETA"/>
    <n v="2"/>
    <n v="0"/>
    <n v="0"/>
    <n v="0"/>
    <n v="0"/>
    <n v="0"/>
    <n v="0"/>
    <n v="0"/>
    <n v="0"/>
    <n v="0"/>
    <n v="0"/>
    <n v="0"/>
    <s v="MASCULINO"/>
    <s v="MASCULINO"/>
    <n v="2"/>
    <n v="0"/>
    <n v="19"/>
    <n v="28"/>
    <m/>
    <m/>
    <m/>
    <m/>
    <n v="112"/>
    <x v="4"/>
    <n v="157"/>
    <s v="Otra"/>
    <x v="2"/>
  </r>
  <r>
    <n v="81"/>
    <x v="0"/>
    <n v="2"/>
    <n v="0"/>
    <x v="0"/>
    <s v="CARRERA 27 # CALLE 23"/>
    <n v="5.339722222222222"/>
    <n v="-72.388194444444451"/>
    <s v="MOVILIDAD"/>
    <s v="URBANO"/>
    <x v="0"/>
    <s v="MARZO"/>
    <d v="2022-03-11T00:00:00"/>
    <x v="0"/>
    <d v="1899-12-30T17:30:00"/>
    <s v="MOTOCICLETA"/>
    <s v="CAMIONETA"/>
    <n v="1"/>
    <n v="0"/>
    <n v="0"/>
    <n v="0"/>
    <n v="1"/>
    <n v="0"/>
    <n v="0"/>
    <n v="0"/>
    <n v="0"/>
    <n v="0"/>
    <n v="0"/>
    <n v="0"/>
    <m/>
    <s v="FEMENINO"/>
    <n v="0"/>
    <n v="1"/>
    <n v="20"/>
    <m/>
    <m/>
    <m/>
    <n v="48"/>
    <m/>
    <n v="112"/>
    <x v="4"/>
    <m/>
    <s v=""/>
    <x v="1"/>
  </r>
  <r>
    <n v="375"/>
    <x v="0"/>
    <n v="1"/>
    <n v="0"/>
    <x v="0"/>
    <s v="CARRERA 27 # CALLE 24"/>
    <n v="5.3391222222222217"/>
    <n v="-72.387786111111112"/>
    <s v="MOVILIDAD"/>
    <s v="URBANO"/>
    <x v="0"/>
    <s v="DICIEMBRE"/>
    <d v="2022-12-20T00:00:00"/>
    <x v="6"/>
    <d v="1899-12-30T08:30:00"/>
    <s v="BUSETA"/>
    <s v="VOLQUETA"/>
    <n v="0"/>
    <n v="0"/>
    <n v="0"/>
    <n v="0"/>
    <n v="0"/>
    <n v="0"/>
    <n v="0"/>
    <n v="1"/>
    <n v="0"/>
    <n v="0"/>
    <n v="1"/>
    <n v="0"/>
    <s v="MASCULINO"/>
    <m/>
    <n v="1"/>
    <n v="0"/>
    <n v="19"/>
    <n v="55"/>
    <m/>
    <m/>
    <m/>
    <m/>
    <n v="122"/>
    <x v="2"/>
    <n v="132"/>
    <s v="No respetar prelación."/>
    <x v="2"/>
  </r>
  <r>
    <n v="601"/>
    <x v="0"/>
    <n v="1"/>
    <n v="0"/>
    <x v="0"/>
    <s v="CARRERA 27 # CALLE 24 "/>
    <n v="5.3391222222222217"/>
    <n v="-72.387786111111112"/>
    <s v="MOVILIDAD"/>
    <s v="URBANO"/>
    <x v="1"/>
    <s v="NOVIEMBRE"/>
    <d v="2023-11-08T00:00:00"/>
    <x v="3"/>
    <d v="1899-12-30T21:2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28"/>
    <m/>
    <m/>
    <m/>
    <m/>
    <m/>
    <n v="139"/>
    <x v="0"/>
    <n v="157"/>
    <s v="Otra"/>
    <x v="0"/>
  </r>
  <r>
    <n v="1000"/>
    <x v="0"/>
    <n v="3"/>
    <n v="0"/>
    <x v="0"/>
    <s v="CARRERA 27 # CALLE 27"/>
    <n v="5.3366949999999997"/>
    <n v="-72.386443"/>
    <s v="MOVILIDAD"/>
    <s v="URBANO"/>
    <x v="2"/>
    <s v="JUNIO"/>
    <d v="2025-06-22T00:00:00"/>
    <x v="2"/>
    <d v="1899-12-30T19:10:00"/>
    <s v="MOTOCICLETA"/>
    <s v="MOTOCICLETA"/>
    <n v="2"/>
    <n v="0"/>
    <n v="0"/>
    <n v="0"/>
    <n v="0"/>
    <n v="0"/>
    <n v="0"/>
    <n v="0"/>
    <n v="0"/>
    <n v="0"/>
    <n v="0"/>
    <n v="0"/>
    <s v="MASCULINO"/>
    <s v="MASCULINO"/>
    <n v="2"/>
    <n v="0"/>
    <n v="39"/>
    <n v="18"/>
    <n v="26"/>
    <m/>
    <m/>
    <m/>
    <n v="139"/>
    <x v="0"/>
    <m/>
    <s v=""/>
    <x v="0"/>
  </r>
  <r>
    <n v="651"/>
    <x v="0"/>
    <n v="0"/>
    <n v="1"/>
    <x v="2"/>
    <s v="CARRERA 27 # CALLE 32  "/>
    <n v="5.3328499999999996"/>
    <n v="-72.382452777777772"/>
    <s v="MOVILIDAD"/>
    <s v="URBANO"/>
    <x v="3"/>
    <s v="ENERO"/>
    <d v="2024-01-27T00:00:00"/>
    <x v="5"/>
    <d v="1899-12-30T12:25:00"/>
    <s v="MOTOCICLETA"/>
    <s v="AUTOMOVIL"/>
    <n v="1"/>
    <n v="0"/>
    <n v="1"/>
    <n v="0"/>
    <n v="0"/>
    <n v="0"/>
    <n v="0"/>
    <n v="0"/>
    <n v="0"/>
    <n v="0"/>
    <n v="0"/>
    <n v="0"/>
    <m/>
    <s v="FEMENINO"/>
    <n v="0"/>
    <n v="1"/>
    <m/>
    <m/>
    <m/>
    <m/>
    <m/>
    <m/>
    <n v="1"/>
    <x v="3"/>
    <s v="S/I"/>
    <s v=""/>
    <x v="1"/>
  </r>
  <r>
    <n v="60"/>
    <x v="0"/>
    <n v="1"/>
    <n v="0"/>
    <x v="0"/>
    <s v="CARRERA 27 # CALLE 40"/>
    <n v="5.3289527777777774"/>
    <n v="-72.379888888888885"/>
    <s v="MOVILIDAD"/>
    <s v="URBANO"/>
    <x v="0"/>
    <s v="FEBRERO"/>
    <d v="2022-02-20T00:00:00"/>
    <x v="2"/>
    <d v="1899-12-30T07:40:00"/>
    <s v="MOTOCICLETA"/>
    <s v="AUTOMOVIL"/>
    <n v="1"/>
    <n v="0"/>
    <n v="1"/>
    <n v="0"/>
    <n v="0"/>
    <n v="0"/>
    <n v="0"/>
    <n v="0"/>
    <n v="0"/>
    <n v="0"/>
    <n v="0"/>
    <n v="0"/>
    <m/>
    <s v="FEMENINO"/>
    <n v="0"/>
    <n v="1"/>
    <n v="33"/>
    <m/>
    <m/>
    <m/>
    <m/>
    <m/>
    <n v="139"/>
    <x v="0"/>
    <m/>
    <s v=""/>
    <x v="2"/>
  </r>
  <r>
    <n v="65"/>
    <x v="1"/>
    <n v="0"/>
    <n v="0"/>
    <x v="1"/>
    <s v="CARRERA 28 # 21"/>
    <n v="5.341844444444444"/>
    <n v="-72.388286111111114"/>
    <s v="MOVILIDAD"/>
    <s v="URBANO"/>
    <x v="0"/>
    <s v="FEBRERO"/>
    <d v="2022-02-23T00:00:00"/>
    <x v="3"/>
    <d v="1899-12-30T18:30:00"/>
    <s v="AUTOMOVIL"/>
    <s v="AUTOMOVIL"/>
    <n v="0"/>
    <n v="0"/>
    <n v="2"/>
    <n v="0"/>
    <n v="0"/>
    <n v="0"/>
    <n v="0"/>
    <n v="0"/>
    <n v="0"/>
    <n v="0"/>
    <n v="0"/>
    <n v="0"/>
    <s v="MASCULINO"/>
    <m/>
    <n v="1"/>
    <n v="0"/>
    <m/>
    <m/>
    <m/>
    <m/>
    <m/>
    <m/>
    <n v="139"/>
    <x v="0"/>
    <n v="127"/>
    <s v="Transitar en contravía."/>
    <x v="0"/>
  </r>
  <r>
    <n v="9"/>
    <x v="1"/>
    <n v="0"/>
    <n v="0"/>
    <x v="1"/>
    <s v="CARRERA 28 # 21"/>
    <n v="5.341844444444444"/>
    <n v="-72.388277777777787"/>
    <s v="MOVILIDAD"/>
    <s v="URBANO"/>
    <x v="0"/>
    <s v="ENERO"/>
    <d v="2022-01-16T00:00:00"/>
    <x v="2"/>
    <d v="1899-12-30T15:20:00"/>
    <s v="AUTOMOVIL"/>
    <s v="AUTOMOVIL"/>
    <n v="0"/>
    <n v="0"/>
    <n v="2"/>
    <n v="0"/>
    <n v="0"/>
    <n v="0"/>
    <n v="0"/>
    <n v="0"/>
    <n v="0"/>
    <n v="0"/>
    <n v="0"/>
    <n v="0"/>
    <s v="MASCULINO"/>
    <m/>
    <n v="1"/>
    <n v="0"/>
    <m/>
    <m/>
    <m/>
    <m/>
    <m/>
    <m/>
    <n v="112"/>
    <x v="4"/>
    <m/>
    <s v=""/>
    <x v="1"/>
  </r>
  <r>
    <n v="839"/>
    <x v="0"/>
    <n v="2"/>
    <n v="0"/>
    <x v="0"/>
    <s v="CARRERA 28 # CALLE 24 "/>
    <n v="5.3395133333333327"/>
    <n v="-72.386943333333335"/>
    <s v="MOVILIDAD"/>
    <s v="URBANO"/>
    <x v="3"/>
    <s v="DICIEMBRE"/>
    <d v="2024-12-20T00:00:00"/>
    <x v="0"/>
    <d v="1899-12-30T22:15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n v="55"/>
    <n v="17"/>
    <n v="18"/>
    <m/>
    <m/>
    <m/>
    <n v="112"/>
    <x v="4"/>
    <n v="139"/>
    <s v="Impericia en el manejo."/>
    <x v="0"/>
  </r>
  <r>
    <n v="1057"/>
    <x v="0"/>
    <n v="1"/>
    <n v="0"/>
    <x v="0"/>
    <s v="CARRERA 28 CALLE 15"/>
    <n v="5.3467500000000001"/>
    <n v="-72.390956000000003"/>
    <s v="MOVILIDAD"/>
    <s v="URBANO"/>
    <x v="2"/>
    <s v="SEPTIEMBRE"/>
    <d v="2025-09-06T00:00:00"/>
    <x v="5"/>
    <d v="1899-12-30T15:15:00"/>
    <s v="CAMIONETA"/>
    <s v="MOTOCICLETA"/>
    <n v="1"/>
    <n v="0"/>
    <n v="0"/>
    <n v="0"/>
    <n v="1"/>
    <n v="0"/>
    <n v="0"/>
    <n v="0"/>
    <n v="0"/>
    <n v="0"/>
    <n v="0"/>
    <n v="0"/>
    <s v="MASCULINO"/>
    <s v="MASCULINO"/>
    <n v="2"/>
    <n v="0"/>
    <n v="47"/>
    <n v="41"/>
    <m/>
    <m/>
    <m/>
    <m/>
    <n v="157"/>
    <x v="1"/>
    <m/>
    <s v=""/>
    <x v="1"/>
  </r>
  <r>
    <n v="484"/>
    <x v="0"/>
    <n v="2"/>
    <n v="0"/>
    <x v="0"/>
    <s v="CARRERA 28 CALLE 22"/>
    <n v="5.341844444444444"/>
    <n v="-72.388277777777787"/>
    <s v="MOVILIDAD"/>
    <s v="URBANO"/>
    <x v="1"/>
    <s v="MAYO"/>
    <d v="2023-05-27T00:00:00"/>
    <x v="5"/>
    <d v="1899-12-30T06:10:00"/>
    <s v="MOTOCICLETA"/>
    <s v="CAMIONETA"/>
    <n v="1"/>
    <n v="0"/>
    <n v="0"/>
    <n v="0"/>
    <n v="1"/>
    <n v="0"/>
    <n v="0"/>
    <n v="0"/>
    <n v="0"/>
    <n v="0"/>
    <n v="0"/>
    <n v="0"/>
    <s v="MASCULINO"/>
    <m/>
    <n v="1"/>
    <n v="0"/>
    <n v="29"/>
    <m/>
    <m/>
    <m/>
    <n v="30"/>
    <m/>
    <n v="127"/>
    <x v="18"/>
    <n v="139"/>
    <s v="Impericia en el manejo."/>
    <x v="2"/>
  </r>
  <r>
    <n v="706"/>
    <x v="0"/>
    <n v="1"/>
    <n v="0"/>
    <x v="0"/>
    <s v="CARRERA 28 CALLE 33"/>
    <n v="5.3328438888888883"/>
    <n v="-72.382451388888882"/>
    <s v="MOVILIDAD"/>
    <s v="URBANO"/>
    <x v="3"/>
    <s v="MAYO"/>
    <d v="2024-05-10T00:00:00"/>
    <x v="0"/>
    <d v="1899-12-30T09:05:00"/>
    <s v="MOTOCICLETA"/>
    <s v="AUTOMOVIL"/>
    <n v="1"/>
    <n v="0"/>
    <n v="1"/>
    <n v="0"/>
    <n v="0"/>
    <n v="0"/>
    <n v="0"/>
    <n v="0"/>
    <n v="0"/>
    <n v="0"/>
    <n v="0"/>
    <n v="0"/>
    <s v="MASCULINO"/>
    <s v="FEMENINO"/>
    <n v="1"/>
    <n v="1"/>
    <n v="33"/>
    <n v="53"/>
    <m/>
    <m/>
    <m/>
    <m/>
    <n v="132"/>
    <x v="13"/>
    <m/>
    <s v=""/>
    <x v="2"/>
  </r>
  <r>
    <n v="380"/>
    <x v="0"/>
    <n v="1"/>
    <n v="0"/>
    <x v="0"/>
    <s v="CARRERA 28 CALLE 35"/>
    <n v="5.330511111111111"/>
    <n v="-72.382594444444436"/>
    <s v="MOVILIDAD"/>
    <s v="URBANO"/>
    <x v="0"/>
    <s v="DICIEMBRE"/>
    <d v="2022-12-29T00:00:00"/>
    <x v="1"/>
    <d v="1899-12-30T04:4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24"/>
    <m/>
    <m/>
    <m/>
    <m/>
    <m/>
    <n v="114"/>
    <x v="5"/>
    <n v="139"/>
    <s v="Impericia en el manejo."/>
    <x v="2"/>
  </r>
  <r>
    <n v="1079"/>
    <x v="0"/>
    <n v="1"/>
    <n v="0"/>
    <x v="0"/>
    <s v="CARRERA 28-28-03"/>
    <n v="5.3362770429999999"/>
    <n v="-72.385162649999998"/>
    <s v="MOVILIDAD"/>
    <s v="URBANO"/>
    <x v="2"/>
    <s v="SEPTIEMBRE"/>
    <d v="2025-09-25T00:00:00"/>
    <x v="1"/>
    <d v="1899-12-30T18:01:00"/>
    <s v="MOTOCICLETA"/>
    <m/>
    <n v="1"/>
    <n v="0"/>
    <n v="0"/>
    <n v="0"/>
    <n v="0"/>
    <n v="0"/>
    <n v="0"/>
    <n v="0"/>
    <n v="0"/>
    <n v="0"/>
    <n v="0"/>
    <n v="0"/>
    <s v="MASCULINO"/>
    <s v="MASCULINO"/>
    <n v="2"/>
    <n v="0"/>
    <n v="18"/>
    <n v="72"/>
    <m/>
    <m/>
    <m/>
    <m/>
    <n v="157"/>
    <x v="1"/>
    <n v="409"/>
    <s v="Cruzar sin observar."/>
    <x v="0"/>
  </r>
  <r>
    <n v="258"/>
    <x v="0"/>
    <n v="1"/>
    <n v="0"/>
    <x v="0"/>
    <s v="CARRERA 29  # 12A-03"/>
    <n v="5.3487833333333334"/>
    <n v="-72.391946111111125"/>
    <s v="MOVILIDAD"/>
    <s v="URBANO"/>
    <x v="0"/>
    <s v="JULIO"/>
    <d v="2022-07-25T00:00:00"/>
    <x v="4"/>
    <d v="1899-12-30T06:30:00"/>
    <s v="MOTOCICLETA"/>
    <m/>
    <n v="1"/>
    <n v="0"/>
    <n v="0"/>
    <n v="0"/>
    <n v="0"/>
    <n v="0"/>
    <n v="0"/>
    <n v="0"/>
    <n v="0"/>
    <n v="0"/>
    <n v="0"/>
    <n v="0"/>
    <m/>
    <s v="FEMENINO"/>
    <n v="0"/>
    <n v="1"/>
    <m/>
    <m/>
    <m/>
    <n v="61"/>
    <m/>
    <m/>
    <n v="409"/>
    <x v="19"/>
    <m/>
    <s v=""/>
    <x v="2"/>
  </r>
  <r>
    <n v="412"/>
    <x v="0"/>
    <n v="1"/>
    <n v="0"/>
    <x v="0"/>
    <s v="CARRERA 29  # 14-28"/>
    <n v="5.3187736111111112"/>
    <n v="-72.404438333333346"/>
    <s v="MOVILIDAD"/>
    <s v="URBANO"/>
    <x v="1"/>
    <s v="FEBRERO"/>
    <d v="2023-02-19T00:00:00"/>
    <x v="2"/>
    <d v="1899-12-30T19:2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m/>
    <m/>
    <m/>
    <n v="46"/>
    <m/>
    <m/>
    <n v="139"/>
    <x v="0"/>
    <m/>
    <s v=""/>
    <x v="0"/>
  </r>
  <r>
    <n v="393"/>
    <x v="0"/>
    <n v="3"/>
    <n v="0"/>
    <x v="0"/>
    <s v="CARRERA 29  # 19 - 19"/>
    <n v="5.3438583333333334"/>
    <n v="-72.387997222222225"/>
    <s v="MOVILIDAD"/>
    <s v="URBANO"/>
    <x v="1"/>
    <s v="ENERO"/>
    <d v="2023-01-24T00:00:00"/>
    <x v="6"/>
    <d v="1899-12-30T21:00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n v="43"/>
    <n v="57"/>
    <n v="44"/>
    <m/>
    <m/>
    <m/>
    <n v="1"/>
    <x v="3"/>
    <m/>
    <s v=""/>
    <x v="0"/>
  </r>
  <r>
    <n v="61"/>
    <x v="1"/>
    <n v="0"/>
    <n v="0"/>
    <x v="1"/>
    <s v="CARRERA 29  # 23-24"/>
    <n v="5.3407638888888886"/>
    <n v="-72.386127777777787"/>
    <s v="MOVILIDAD"/>
    <s v="URBANO"/>
    <x v="0"/>
    <s v="FEBRERO"/>
    <d v="2022-02-19T00:00:00"/>
    <x v="5"/>
    <d v="1899-12-30T17:00:00"/>
    <s v="AUTOMOVIL"/>
    <s v="CAMIONETA"/>
    <n v="0"/>
    <n v="0"/>
    <n v="1"/>
    <n v="0"/>
    <n v="1"/>
    <n v="0"/>
    <n v="0"/>
    <n v="0"/>
    <n v="0"/>
    <n v="0"/>
    <n v="0"/>
    <n v="0"/>
    <m/>
    <s v="FEMENINO"/>
    <n v="0"/>
    <n v="1"/>
    <m/>
    <m/>
    <m/>
    <m/>
    <m/>
    <m/>
    <n v="121"/>
    <x v="7"/>
    <m/>
    <s v=""/>
    <x v="1"/>
  </r>
  <r>
    <n v="462"/>
    <x v="0"/>
    <n v="2"/>
    <n v="0"/>
    <x v="0"/>
    <s v="CARRERA 29  # 23-25"/>
    <n v="5.3408572222222217"/>
    <n v="-72.386051944444446"/>
    <s v="MOVILIDAD"/>
    <s v="URBANO"/>
    <x v="1"/>
    <s v="ABRIL"/>
    <d v="2023-04-26T00:00:00"/>
    <x v="3"/>
    <d v="1899-12-30T16:12:00"/>
    <s v="MOTOCICLETA"/>
    <s v="AUTOMOVIL"/>
    <n v="1"/>
    <n v="0"/>
    <n v="1"/>
    <n v="0"/>
    <n v="0"/>
    <n v="0"/>
    <n v="0"/>
    <n v="0"/>
    <n v="0"/>
    <n v="0"/>
    <n v="0"/>
    <n v="0"/>
    <m/>
    <s v="FEMENINO"/>
    <n v="0"/>
    <n v="1"/>
    <n v="23"/>
    <m/>
    <m/>
    <m/>
    <n v="2"/>
    <m/>
    <n v="1"/>
    <x v="3"/>
    <m/>
    <s v=""/>
    <x v="1"/>
  </r>
  <r>
    <n v="361"/>
    <x v="0"/>
    <n v="0"/>
    <n v="2"/>
    <x v="2"/>
    <s v="CARRERA 29  # 25-70"/>
    <n v="5.3390944444444441"/>
    <n v="-72.385066666666674"/>
    <s v="MOVILIDAD"/>
    <s v="URBANO"/>
    <x v="0"/>
    <s v="NOVIEMBRE"/>
    <d v="2022-11-26T00:00:00"/>
    <x v="5"/>
    <d v="1899-12-30T02:15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m/>
    <m/>
    <m/>
    <m/>
    <m/>
    <m/>
    <n v="116"/>
    <x v="14"/>
    <n v="114"/>
    <s v="Embriaguez aparente."/>
    <x v="2"/>
  </r>
  <r>
    <n v="287"/>
    <x v="0"/>
    <n v="1"/>
    <n v="0"/>
    <x v="0"/>
    <s v="CARRERA 29  # 26-45"/>
    <n v="5.3381266666666667"/>
    <n v="-72.384352222222233"/>
    <s v="MOVILIDAD"/>
    <s v="URBANO"/>
    <x v="0"/>
    <s v="AGOSTO"/>
    <d v="2022-08-22T00:00:00"/>
    <x v="4"/>
    <d v="1899-12-30T08:10:00"/>
    <s v="MOTOCICLETA"/>
    <s v="AUTOMOVIL"/>
    <n v="1"/>
    <n v="0"/>
    <n v="1"/>
    <n v="0"/>
    <n v="0"/>
    <n v="0"/>
    <n v="0"/>
    <n v="0"/>
    <n v="0"/>
    <n v="0"/>
    <n v="0"/>
    <n v="0"/>
    <m/>
    <s v="FEMENINO"/>
    <n v="0"/>
    <n v="1"/>
    <n v="31"/>
    <m/>
    <m/>
    <m/>
    <m/>
    <m/>
    <n v="121"/>
    <x v="7"/>
    <m/>
    <s v=""/>
    <x v="2"/>
  </r>
  <r>
    <n v="892"/>
    <x v="0"/>
    <n v="1"/>
    <n v="0"/>
    <x v="0"/>
    <s v="CARRERA 29  # 32-90"/>
    <n v="5.3337159999999999"/>
    <n v="-72.381630000000001"/>
    <s v="MOVILIDAD"/>
    <s v="URBANO"/>
    <x v="2"/>
    <s v="MARZO"/>
    <d v="2025-03-03T00:00:00"/>
    <x v="4"/>
    <d v="1899-12-30T15:50:00"/>
    <s v="MOTOCICLETA"/>
    <s v="CAMPERO"/>
    <n v="1"/>
    <n v="0"/>
    <n v="0"/>
    <n v="1"/>
    <n v="0"/>
    <n v="0"/>
    <n v="0"/>
    <n v="0"/>
    <n v="0"/>
    <n v="0"/>
    <n v="0"/>
    <n v="0"/>
    <s v="MASCULINO"/>
    <s v="MASCULINO"/>
    <n v="2"/>
    <n v="0"/>
    <n v="26"/>
    <n v="17"/>
    <m/>
    <m/>
    <m/>
    <m/>
    <n v="121"/>
    <x v="7"/>
    <m/>
    <s v=""/>
    <x v="1"/>
  </r>
  <r>
    <n v="34"/>
    <x v="1"/>
    <n v="0"/>
    <n v="0"/>
    <x v="1"/>
    <s v="CARRERA 29  # 35B-03"/>
    <n v="5.3314777777777778"/>
    <n v="-72.380216666666655"/>
    <s v="MOVILIDAD"/>
    <s v="URBANO"/>
    <x v="0"/>
    <s v="ENERO"/>
    <d v="2022-01-27T00:00:00"/>
    <x v="1"/>
    <d v="1899-12-30T19:40:00"/>
    <s v="AUTOMOVIL"/>
    <s v="AUTOMOVIL"/>
    <n v="0"/>
    <n v="0"/>
    <n v="2"/>
    <n v="0"/>
    <n v="0"/>
    <n v="0"/>
    <n v="0"/>
    <n v="0"/>
    <n v="0"/>
    <n v="0"/>
    <n v="0"/>
    <n v="0"/>
    <s v="MASCULINO"/>
    <m/>
    <n v="1"/>
    <n v="0"/>
    <m/>
    <m/>
    <m/>
    <m/>
    <m/>
    <m/>
    <n v="115"/>
    <x v="12"/>
    <m/>
    <s v=""/>
    <x v="0"/>
  </r>
  <r>
    <n v="13"/>
    <x v="0"/>
    <n v="1"/>
    <n v="0"/>
    <x v="0"/>
    <s v="CARRERA 29 # 12-26"/>
    <n v="5.3489944444444442"/>
    <n v="-72.392166666666668"/>
    <s v="MOVILIDAD"/>
    <s v="URBANO"/>
    <x v="0"/>
    <s v="ENERO"/>
    <d v="2022-01-14T00:00:00"/>
    <x v="0"/>
    <d v="1899-12-30T19:5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22"/>
    <m/>
    <m/>
    <m/>
    <m/>
    <m/>
    <n v="157"/>
    <x v="1"/>
    <m/>
    <s v=""/>
    <x v="0"/>
  </r>
  <r>
    <n v="28"/>
    <x v="0"/>
    <n v="1"/>
    <n v="0"/>
    <x v="0"/>
    <s v="CARRERA 29 # 15"/>
    <n v="5.3470250000000004"/>
    <n v="-72.390389999999996"/>
    <s v="MOVILIDAD"/>
    <s v="URBANO"/>
    <x v="0"/>
    <s v="ENERO"/>
    <d v="2022-01-29T00:00:00"/>
    <x v="5"/>
    <d v="1899-12-30T13:34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m/>
    <m/>
    <m/>
    <n v="63"/>
    <m/>
    <m/>
    <n v="139"/>
    <x v="0"/>
    <m/>
    <s v=""/>
    <x v="1"/>
  </r>
  <r>
    <n v="198"/>
    <x v="0"/>
    <n v="2"/>
    <n v="0"/>
    <x v="0"/>
    <s v="CARRERA 29 # 15"/>
    <n v="5.3470250000000004"/>
    <n v="-72.390389999999996"/>
    <s v="MOVILIDAD"/>
    <s v="URBANO"/>
    <x v="0"/>
    <s v="MAYO"/>
    <d v="2022-05-24T00:00:00"/>
    <x v="6"/>
    <d v="1899-12-30T21:35:00"/>
    <s v="MOTOCICLETA"/>
    <s v="CAMPERO"/>
    <n v="1"/>
    <n v="0"/>
    <n v="0"/>
    <n v="1"/>
    <n v="0"/>
    <n v="0"/>
    <n v="0"/>
    <n v="0"/>
    <n v="0"/>
    <n v="0"/>
    <n v="0"/>
    <n v="0"/>
    <s v="MASCULINO"/>
    <s v="FEMENINO"/>
    <n v="1"/>
    <n v="1"/>
    <n v="22"/>
    <m/>
    <m/>
    <m/>
    <n v="46"/>
    <m/>
    <n v="121"/>
    <x v="7"/>
    <m/>
    <s v=""/>
    <x v="0"/>
  </r>
  <r>
    <n v="833"/>
    <x v="0"/>
    <n v="1"/>
    <n v="0"/>
    <x v="0"/>
    <s v="CARRERA 29 # 16"/>
    <n v="5.3464413888888886"/>
    <n v="-72.389745555555564"/>
    <s v="MOVILIDAD"/>
    <s v="URBANO"/>
    <x v="3"/>
    <s v="DICIEMBRE"/>
    <d v="2024-12-11T00:00:00"/>
    <x v="3"/>
    <d v="1899-12-30T12:15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22"/>
    <m/>
    <m/>
    <m/>
    <m/>
    <m/>
    <n v="157"/>
    <x v="1"/>
    <n v="112"/>
    <s v="Desobedecer señales o normas de tránsito."/>
    <x v="1"/>
  </r>
  <r>
    <n v="440"/>
    <x v="0"/>
    <n v="1"/>
    <n v="0"/>
    <x v="0"/>
    <s v="CARRERA 29 # 16"/>
    <n v="5.3464413888888886"/>
    <n v="-72.389745555555564"/>
    <s v="MOVILIDAD"/>
    <s v="URBANO"/>
    <x v="1"/>
    <s v="MARZO"/>
    <d v="2023-03-25T00:00:00"/>
    <x v="5"/>
    <d v="1899-12-30T21:40:00"/>
    <s v="MOTOCICLETA"/>
    <s v="MOTOCICLETA"/>
    <n v="2"/>
    <n v="0"/>
    <n v="0"/>
    <n v="0"/>
    <n v="0"/>
    <n v="0"/>
    <n v="0"/>
    <n v="0"/>
    <n v="0"/>
    <n v="0"/>
    <n v="0"/>
    <n v="0"/>
    <m/>
    <s v="FEMENINO"/>
    <n v="0"/>
    <n v="1"/>
    <n v="29"/>
    <m/>
    <m/>
    <m/>
    <m/>
    <m/>
    <n v="115"/>
    <x v="12"/>
    <m/>
    <s v=""/>
    <x v="0"/>
  </r>
  <r>
    <n v="650"/>
    <x v="0"/>
    <n v="1"/>
    <n v="0"/>
    <x v="0"/>
    <s v="CARRERA 29 # 18"/>
    <n v="5.3448583333333328"/>
    <n v="-72.388841666666679"/>
    <s v="MOVILIDAD"/>
    <s v="URBANO"/>
    <x v="3"/>
    <s v="ENERO"/>
    <d v="2024-01-26T00:00:00"/>
    <x v="0"/>
    <d v="1899-12-30T18:30:00"/>
    <s v="MICROBUS"/>
    <m/>
    <n v="0"/>
    <n v="0"/>
    <n v="0"/>
    <n v="0"/>
    <n v="0"/>
    <n v="1"/>
    <n v="0"/>
    <n v="0"/>
    <n v="0"/>
    <n v="0"/>
    <n v="0"/>
    <n v="0"/>
    <s v="MASCULINO"/>
    <s v="FEMENINO"/>
    <n v="1"/>
    <n v="1"/>
    <n v="33"/>
    <n v="24"/>
    <m/>
    <m/>
    <m/>
    <m/>
    <n v="154"/>
    <x v="35"/>
    <m/>
    <s v=""/>
    <x v="0"/>
  </r>
  <r>
    <n v="931"/>
    <x v="0"/>
    <n v="1"/>
    <n v="0"/>
    <x v="0"/>
    <s v="CARRERA 29 # 18"/>
    <n v="5.3448583333333328"/>
    <n v="-72.388841666666679"/>
    <s v="MOVILIDAD"/>
    <s v="URBANO"/>
    <x v="2"/>
    <s v="ABRIL"/>
    <d v="2025-04-10T00:00:00"/>
    <x v="1"/>
    <d v="1899-12-30T09:10:00"/>
    <s v="MOTOCICLETA"/>
    <s v="AUTOMOVIL"/>
    <n v="1"/>
    <n v="0"/>
    <n v="1"/>
    <n v="0"/>
    <n v="0"/>
    <n v="0"/>
    <n v="0"/>
    <n v="0"/>
    <n v="0"/>
    <n v="0"/>
    <n v="0"/>
    <n v="0"/>
    <s v="MASCULINO"/>
    <s v="FEMENINO"/>
    <n v="1"/>
    <n v="1"/>
    <n v="52"/>
    <n v="42"/>
    <m/>
    <m/>
    <m/>
    <m/>
    <n v="146"/>
    <x v="36"/>
    <m/>
    <s v=""/>
    <x v="2"/>
  </r>
  <r>
    <n v="357"/>
    <x v="0"/>
    <n v="1"/>
    <n v="0"/>
    <x v="0"/>
    <s v="CARRERA 29 # 18"/>
    <n v="5.3448583333333328"/>
    <n v="-72.388841666666679"/>
    <s v="MOVILIDAD"/>
    <s v="URBANO"/>
    <x v="0"/>
    <s v="NOVIEMBRE"/>
    <d v="2022-11-20T00:00:00"/>
    <x v="2"/>
    <d v="1899-12-30T09:50:00"/>
    <s v="MOTOCICLETA"/>
    <s v="CAMIONETA"/>
    <n v="1"/>
    <n v="0"/>
    <n v="0"/>
    <n v="0"/>
    <n v="1"/>
    <n v="0"/>
    <n v="0"/>
    <n v="0"/>
    <n v="0"/>
    <n v="0"/>
    <n v="0"/>
    <n v="0"/>
    <s v="MASCULINO"/>
    <m/>
    <n v="1"/>
    <n v="0"/>
    <n v="21"/>
    <m/>
    <m/>
    <m/>
    <m/>
    <m/>
    <n v="121"/>
    <x v="7"/>
    <m/>
    <s v=""/>
    <x v="2"/>
  </r>
  <r>
    <n v="946"/>
    <x v="0"/>
    <n v="1"/>
    <n v="0"/>
    <x v="0"/>
    <s v="CARRERA 29 # 20"/>
    <n v="5.3229138888888885"/>
    <n v="-72.387750000000011"/>
    <s v="MOVILIDAD"/>
    <s v="URBANO"/>
    <x v="2"/>
    <s v="ABRIL"/>
    <d v="2025-04-25T00:00:00"/>
    <x v="0"/>
    <d v="1899-12-30T07:40:00"/>
    <s v="MOTOCICLETA"/>
    <s v="AUTOMOVIL"/>
    <n v="1"/>
    <n v="0"/>
    <n v="1"/>
    <n v="0"/>
    <n v="0"/>
    <n v="0"/>
    <n v="0"/>
    <n v="0"/>
    <n v="0"/>
    <n v="0"/>
    <n v="0"/>
    <n v="0"/>
    <s v="FEMENINO"/>
    <s v="MASCULINO"/>
    <n v="1"/>
    <n v="1"/>
    <n v="25"/>
    <n v="47"/>
    <m/>
    <m/>
    <m/>
    <m/>
    <n v="139"/>
    <x v="0"/>
    <n v="112"/>
    <s v="Desobedecer señales o normas de tránsito."/>
    <x v="2"/>
  </r>
  <r>
    <n v="280"/>
    <x v="0"/>
    <n v="1"/>
    <n v="0"/>
    <x v="0"/>
    <s v="CARRERA 29 # 20"/>
    <n v="5.3229138888888885"/>
    <n v="-72.387750000000011"/>
    <s v="MOVILIDAD"/>
    <s v="URBANO"/>
    <x v="0"/>
    <s v="AGOSTO"/>
    <d v="2022-08-11T00:00:00"/>
    <x v="1"/>
    <d v="1899-12-30T22:00:00"/>
    <s v="AUTOMOVIL"/>
    <m/>
    <n v="0"/>
    <n v="0"/>
    <n v="1"/>
    <n v="0"/>
    <n v="0"/>
    <n v="0"/>
    <n v="0"/>
    <n v="0"/>
    <n v="0"/>
    <n v="0"/>
    <n v="0"/>
    <n v="0"/>
    <s v="MASCULINO"/>
    <m/>
    <n v="1"/>
    <n v="0"/>
    <n v="25"/>
    <m/>
    <m/>
    <m/>
    <m/>
    <m/>
    <n v="112"/>
    <x v="4"/>
    <n v="115"/>
    <s v="Embriaguez o Sustancias alucinogenas"/>
    <x v="0"/>
  </r>
  <r>
    <n v="202"/>
    <x v="1"/>
    <n v="0"/>
    <n v="0"/>
    <x v="1"/>
    <s v="CARRERA 29 # 22"/>
    <n v="5.3417149999999998"/>
    <n v="-72.386667000000003"/>
    <s v="MOVILIDAD"/>
    <s v="URBANO"/>
    <x v="0"/>
    <s v="JUNIO"/>
    <d v="2022-06-28T00:00:00"/>
    <x v="6"/>
    <d v="1899-12-30T18:0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m/>
    <m/>
    <m/>
    <m/>
    <m/>
    <m/>
    <n v="139"/>
    <x v="0"/>
    <m/>
    <s v=""/>
    <x v="0"/>
  </r>
  <r>
    <n v="485"/>
    <x v="0"/>
    <n v="1"/>
    <n v="0"/>
    <x v="0"/>
    <s v="CARRERA 29 # 22"/>
    <n v="5.3417149999999998"/>
    <n v="-72.386667000000003"/>
    <s v="MOVILIDAD"/>
    <s v="URBANO"/>
    <x v="1"/>
    <s v="MAYO"/>
    <d v="2023-05-24T00:00:00"/>
    <x v="3"/>
    <d v="1899-12-30T16:0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18"/>
    <m/>
    <m/>
    <m/>
    <m/>
    <m/>
    <n v="123"/>
    <x v="21"/>
    <n v="139"/>
    <s v="Impericia en el manejo."/>
    <x v="1"/>
  </r>
  <r>
    <n v="123"/>
    <x v="1"/>
    <n v="0"/>
    <n v="0"/>
    <x v="1"/>
    <s v="CARRERA 29 # 22"/>
    <n v="5.3417149999999998"/>
    <n v="-72.386667000000003"/>
    <s v="MOVILIDAD"/>
    <s v="URBANO"/>
    <x v="0"/>
    <s v="ABRIL"/>
    <d v="2022-04-08T00:00:00"/>
    <x v="0"/>
    <d v="1899-12-30T13:00:00"/>
    <s v="AUTOMOVIL"/>
    <s v="CAMIONETA"/>
    <n v="0"/>
    <n v="0"/>
    <n v="1"/>
    <n v="0"/>
    <n v="1"/>
    <n v="0"/>
    <n v="0"/>
    <n v="0"/>
    <n v="0"/>
    <n v="0"/>
    <n v="0"/>
    <n v="0"/>
    <s v="MASCULINO"/>
    <s v="FEMENINO"/>
    <n v="1"/>
    <n v="1"/>
    <m/>
    <m/>
    <m/>
    <m/>
    <m/>
    <m/>
    <n v="121"/>
    <x v="7"/>
    <m/>
    <s v=""/>
    <x v="1"/>
  </r>
  <r>
    <n v="914"/>
    <x v="0"/>
    <n v="1"/>
    <n v="0"/>
    <x v="0"/>
    <s v="CARRERA 29 # 22"/>
    <n v="5.3417149999999998"/>
    <n v="-72.386667000000003"/>
    <s v="MOVILIDAD"/>
    <s v="URBANO"/>
    <x v="2"/>
    <s v="MARZO"/>
    <d v="2025-03-29T00:00:00"/>
    <x v="5"/>
    <d v="1899-12-30T20:30:00"/>
    <s v="MOTOCICLETA"/>
    <s v="MOTOCICLETA"/>
    <n v="2"/>
    <n v="0"/>
    <n v="0"/>
    <n v="0"/>
    <n v="0"/>
    <n v="0"/>
    <n v="0"/>
    <n v="0"/>
    <n v="0"/>
    <n v="0"/>
    <n v="0"/>
    <n v="0"/>
    <s v="MASCULINO"/>
    <s v="MASCULINO"/>
    <n v="2"/>
    <n v="0"/>
    <n v="19"/>
    <n v="19"/>
    <n v="19"/>
    <m/>
    <m/>
    <m/>
    <n v="115"/>
    <x v="12"/>
    <n v="139"/>
    <s v="Impericia en el manejo."/>
    <x v="0"/>
  </r>
  <r>
    <n v="295"/>
    <x v="0"/>
    <n v="1"/>
    <n v="0"/>
    <x v="0"/>
    <s v="CARRERA 29 # 26"/>
    <n v="5.3386527777777779"/>
    <n v="-72.384800000000013"/>
    <s v="MOVILIDAD"/>
    <s v="URBANO"/>
    <x v="0"/>
    <s v="SEPTIEMBRE"/>
    <d v="2022-09-02T00:00:00"/>
    <x v="0"/>
    <d v="1899-12-30T03:40:00"/>
    <s v="MOTOCICLETA"/>
    <m/>
    <n v="1"/>
    <n v="0"/>
    <n v="0"/>
    <n v="0"/>
    <n v="0"/>
    <n v="0"/>
    <n v="0"/>
    <n v="0"/>
    <n v="0"/>
    <n v="0"/>
    <n v="0"/>
    <n v="0"/>
    <m/>
    <s v="FEMENINO"/>
    <n v="0"/>
    <n v="1"/>
    <m/>
    <m/>
    <m/>
    <n v="56"/>
    <m/>
    <m/>
    <n v="409"/>
    <x v="19"/>
    <m/>
    <s v=""/>
    <x v="2"/>
  </r>
  <r>
    <n v="997"/>
    <x v="0"/>
    <n v="1"/>
    <n v="0"/>
    <x v="0"/>
    <s v="CARRERA 29 # 26"/>
    <n v="5.3385480000000003"/>
    <n v="-72.384702000000004"/>
    <s v="MOVILIDAD"/>
    <s v="URBANO"/>
    <x v="2"/>
    <s v="JUNIO"/>
    <d v="2025-06-20T00:00:00"/>
    <x v="0"/>
    <d v="1899-12-30T16:50:00"/>
    <s v="MOTOCICLETA"/>
    <s v="MOTOCICLETA"/>
    <n v="2"/>
    <n v="0"/>
    <n v="0"/>
    <n v="0"/>
    <n v="0"/>
    <n v="0"/>
    <n v="0"/>
    <n v="0"/>
    <n v="0"/>
    <n v="0"/>
    <n v="0"/>
    <n v="0"/>
    <s v="MASCULINO"/>
    <s v="MASCULINO"/>
    <n v="2"/>
    <n v="0"/>
    <n v="35"/>
    <n v="19"/>
    <m/>
    <m/>
    <m/>
    <m/>
    <n v="139"/>
    <x v="0"/>
    <m/>
    <s v=""/>
    <x v="1"/>
  </r>
  <r>
    <n v="705"/>
    <x v="0"/>
    <n v="1"/>
    <n v="0"/>
    <x v="0"/>
    <s v="CARRERA 29 # 26"/>
    <n v="5.3386527777777779"/>
    <n v="-72.384800000000013"/>
    <s v="MOVILIDAD"/>
    <s v="URBANO"/>
    <x v="3"/>
    <s v="MAYO"/>
    <d v="2024-05-08T00:00:00"/>
    <x v="3"/>
    <d v="1899-12-30T07:15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17"/>
    <n v="39"/>
    <m/>
    <m/>
    <m/>
    <m/>
    <n v="139"/>
    <x v="0"/>
    <n v="115"/>
    <s v="Embriaguez o Sustancias alucinogenas"/>
    <x v="2"/>
  </r>
  <r>
    <n v="321"/>
    <x v="0"/>
    <n v="1"/>
    <n v="0"/>
    <x v="0"/>
    <s v="CARRERA 29 # 30"/>
    <n v="5.3355259999999998"/>
    <n v="-72.382839000000004"/>
    <s v="MOVILIDAD"/>
    <s v="URBANO"/>
    <x v="0"/>
    <s v="OCTUBRE"/>
    <d v="2022-10-01T00:00:00"/>
    <x v="5"/>
    <d v="1899-12-30T23:2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58"/>
    <m/>
    <m/>
    <m/>
    <m/>
    <m/>
    <n v="157"/>
    <x v="1"/>
    <m/>
    <s v=""/>
    <x v="0"/>
  </r>
  <r>
    <n v="574"/>
    <x v="0"/>
    <n v="1"/>
    <n v="0"/>
    <x v="0"/>
    <s v="CARRERA 29 # 30"/>
    <n v="5.3355259999999998"/>
    <n v="-72.382839000000004"/>
    <s v="MOVILIDAD"/>
    <s v="URBANO"/>
    <x v="1"/>
    <s v="OCTUBRE"/>
    <d v="2023-10-13T00:00:00"/>
    <x v="0"/>
    <d v="1899-12-30T19:25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66"/>
    <m/>
    <m/>
    <m/>
    <m/>
    <m/>
    <n v="142"/>
    <x v="16"/>
    <n v="114"/>
    <s v="Embriaguez aparente."/>
    <x v="0"/>
  </r>
  <r>
    <n v="304"/>
    <x v="0"/>
    <n v="2"/>
    <n v="0"/>
    <x v="0"/>
    <s v="CARRERA 29 # 30"/>
    <n v="5.3355259999999998"/>
    <n v="-72.382839000000004"/>
    <s v="MOVILIDAD"/>
    <s v="URBANO"/>
    <x v="0"/>
    <s v="SEPTIEMBRE"/>
    <d v="2022-09-12T00:00:00"/>
    <x v="4"/>
    <d v="1899-12-30T07:15:00"/>
    <s v="MOTOCICLETA"/>
    <m/>
    <n v="1"/>
    <n v="0"/>
    <n v="0"/>
    <n v="0"/>
    <n v="0"/>
    <n v="0"/>
    <n v="0"/>
    <n v="0"/>
    <n v="0"/>
    <n v="0"/>
    <n v="0"/>
    <n v="0"/>
    <s v="MASCULINO"/>
    <s v="FEMENINO"/>
    <n v="1"/>
    <n v="1"/>
    <n v="21"/>
    <m/>
    <m/>
    <n v="47"/>
    <m/>
    <m/>
    <n v="139"/>
    <x v="0"/>
    <m/>
    <s v=""/>
    <x v="2"/>
  </r>
  <r>
    <n v="1039"/>
    <x v="0"/>
    <n v="2"/>
    <n v="0"/>
    <x v="0"/>
    <s v="CARRERA 29 # 35"/>
    <n v="5.3322469999999997"/>
    <n v="-72.380782999999994"/>
    <s v="MOVILIDAD"/>
    <s v="URBANO"/>
    <x v="2"/>
    <s v="AGOSTO"/>
    <d v="2025-08-08T00:00:00"/>
    <x v="0"/>
    <d v="1899-12-30T11:50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n v="58"/>
    <n v="22"/>
    <m/>
    <m/>
    <m/>
    <m/>
    <n v="139"/>
    <x v="0"/>
    <n v="116"/>
    <s v="Exceso de velocidad"/>
    <x v="2"/>
  </r>
  <r>
    <n v="26"/>
    <x v="0"/>
    <n v="2"/>
    <n v="0"/>
    <x v="0"/>
    <s v="CARRERA 29 # 35"/>
    <n v="5.3321861111111106"/>
    <n v="-72.380799999999994"/>
    <s v="MOVILIDAD"/>
    <s v="URBANO"/>
    <x v="0"/>
    <s v="ENERO"/>
    <d v="2022-01-27T00:00:00"/>
    <x v="1"/>
    <d v="1899-12-30T18:00:00"/>
    <s v="MOTOCICLETA"/>
    <s v="MOTOCICLETA"/>
    <n v="2"/>
    <n v="0"/>
    <n v="0"/>
    <n v="0"/>
    <n v="0"/>
    <n v="0"/>
    <n v="0"/>
    <n v="0"/>
    <n v="0"/>
    <n v="0"/>
    <n v="0"/>
    <n v="0"/>
    <m/>
    <s v="FEMENINO"/>
    <n v="0"/>
    <n v="1"/>
    <n v="51"/>
    <m/>
    <m/>
    <m/>
    <n v="48"/>
    <m/>
    <n v="122"/>
    <x v="2"/>
    <n v="139"/>
    <s v="Impericia en el manejo."/>
    <x v="0"/>
  </r>
  <r>
    <n v="262"/>
    <x v="0"/>
    <n v="1"/>
    <n v="0"/>
    <x v="0"/>
    <s v="CARRERA 29 # 40"/>
    <n v="5.3295766666666662"/>
    <n v="-72.37913694444444"/>
    <s v="MOVILIDAD"/>
    <s v="URBANO"/>
    <x v="0"/>
    <s v="JULIO"/>
    <d v="2022-07-30T00:00:00"/>
    <x v="5"/>
    <d v="1899-12-30T01:10:00"/>
    <s v="MOTOCICLETA"/>
    <m/>
    <n v="1"/>
    <n v="0"/>
    <n v="0"/>
    <n v="0"/>
    <n v="0"/>
    <n v="0"/>
    <n v="0"/>
    <n v="0"/>
    <n v="0"/>
    <n v="0"/>
    <n v="0"/>
    <n v="0"/>
    <m/>
    <s v="FEMENINO"/>
    <n v="0"/>
    <n v="1"/>
    <n v="29"/>
    <m/>
    <m/>
    <m/>
    <m/>
    <m/>
    <n v="139"/>
    <x v="0"/>
    <n v="157"/>
    <s v="Otra"/>
    <x v="2"/>
  </r>
  <r>
    <n v="355"/>
    <x v="0"/>
    <n v="1"/>
    <n v="0"/>
    <x v="0"/>
    <s v="CARRERA 29 # 40"/>
    <n v="5.3295766666666662"/>
    <n v="-72.37913694444444"/>
    <s v="MOVILIDAD"/>
    <s v="URBANO"/>
    <x v="0"/>
    <s v="NOVIEMBRE"/>
    <d v="2022-11-20T00:00:00"/>
    <x v="2"/>
    <d v="1899-12-30T11:30:00"/>
    <s v="MOTOCICLETA"/>
    <s v="CAMIONETA"/>
    <n v="1"/>
    <n v="0"/>
    <n v="0"/>
    <n v="0"/>
    <n v="1"/>
    <n v="0"/>
    <n v="0"/>
    <n v="0"/>
    <n v="0"/>
    <n v="0"/>
    <n v="0"/>
    <n v="0"/>
    <s v="MASCULINO"/>
    <m/>
    <n v="1"/>
    <n v="0"/>
    <n v="18"/>
    <m/>
    <m/>
    <m/>
    <m/>
    <m/>
    <n v="121"/>
    <x v="7"/>
    <m/>
    <s v=""/>
    <x v="2"/>
  </r>
  <r>
    <n v="444"/>
    <x v="0"/>
    <n v="1"/>
    <n v="0"/>
    <x v="0"/>
    <s v="CARRERA 29 # 40"/>
    <n v="5.3295766666666662"/>
    <n v="-72.37913694444444"/>
    <s v="MOVILIDAD"/>
    <s v="URBANO"/>
    <x v="1"/>
    <s v="ABRIL"/>
    <d v="2023-04-02T00:00:00"/>
    <x v="2"/>
    <d v="1899-12-30T15:45:00"/>
    <s v="MOTOCICLETA"/>
    <s v="AUTOMOVIL"/>
    <n v="1"/>
    <n v="0"/>
    <n v="1"/>
    <n v="0"/>
    <n v="0"/>
    <n v="0"/>
    <n v="0"/>
    <n v="0"/>
    <n v="0"/>
    <n v="0"/>
    <n v="0"/>
    <n v="0"/>
    <m/>
    <s v="FEMENINO"/>
    <n v="0"/>
    <n v="1"/>
    <n v="24"/>
    <m/>
    <m/>
    <m/>
    <m/>
    <m/>
    <n v="121"/>
    <x v="7"/>
    <m/>
    <s v=""/>
    <x v="1"/>
  </r>
  <r>
    <n v="1010"/>
    <x v="0"/>
    <n v="1"/>
    <n v="0"/>
    <x v="0"/>
    <s v="CARRERA 29 # CALLE 20"/>
    <n v="5.3434419999999996"/>
    <n v="-72.387720999999999"/>
    <s v="MOVILIDAD"/>
    <s v="URBANO"/>
    <x v="2"/>
    <s v="JULIO"/>
    <d v="2025-07-12T00:00:00"/>
    <x v="5"/>
    <d v="1899-12-30T07:45:00"/>
    <s v="MOTOCICLETA"/>
    <s v="CAMPERO"/>
    <n v="1"/>
    <n v="0"/>
    <n v="0"/>
    <n v="1"/>
    <n v="0"/>
    <n v="0"/>
    <n v="0"/>
    <n v="0"/>
    <n v="0"/>
    <n v="0"/>
    <n v="0"/>
    <n v="0"/>
    <s v="MASCULINO"/>
    <s v="MASCULINO"/>
    <n v="2"/>
    <n v="0"/>
    <n v="16"/>
    <n v="60"/>
    <m/>
    <m/>
    <m/>
    <m/>
    <n v="139"/>
    <x v="0"/>
    <m/>
    <s v=""/>
    <x v="2"/>
  </r>
  <r>
    <n v="297"/>
    <x v="0"/>
    <n v="1"/>
    <n v="0"/>
    <x v="0"/>
    <s v="CARRERA 29 # CALLE 24"/>
    <n v="5.3402458333333334"/>
    <n v="-72.385781666666674"/>
    <s v="MOVILIDAD"/>
    <s v="URBANO"/>
    <x v="0"/>
    <s v="SEPTIEMBRE"/>
    <d v="2022-09-03T00:00:00"/>
    <x v="5"/>
    <d v="1899-12-30T20:4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24"/>
    <m/>
    <m/>
    <m/>
    <m/>
    <m/>
    <n v="113"/>
    <x v="17"/>
    <m/>
    <s v=""/>
    <x v="0"/>
  </r>
  <r>
    <n v="1049"/>
    <x v="0"/>
    <n v="1"/>
    <n v="0"/>
    <x v="0"/>
    <s v="CARRERA 29 # CALLE 26"/>
    <n v="5.3386906999999999"/>
    <n v="-72.384720999999999"/>
    <s v="MOVILIDAD"/>
    <s v="URBANO"/>
    <x v="2"/>
    <s v="AGOSTO"/>
    <d v="2025-08-09T00:00:00"/>
    <x v="5"/>
    <d v="1899-12-30T19:30:00"/>
    <s v="MOTOCICLETA"/>
    <s v="AUTOMOVIL"/>
    <n v="1"/>
    <n v="0"/>
    <n v="1"/>
    <n v="0"/>
    <n v="0"/>
    <n v="0"/>
    <n v="0"/>
    <n v="0"/>
    <n v="0"/>
    <n v="0"/>
    <n v="0"/>
    <n v="0"/>
    <s v="MASCULINO"/>
    <s v="MASCULINO"/>
    <n v="2"/>
    <n v="0"/>
    <n v="21"/>
    <n v="56"/>
    <m/>
    <m/>
    <m/>
    <m/>
    <n v="112"/>
    <x v="4"/>
    <n v="146"/>
    <s v="Realizar giro en “U”."/>
    <x v="0"/>
  </r>
  <r>
    <n v="1052"/>
    <x v="1"/>
    <n v="0"/>
    <n v="0"/>
    <x v="1"/>
    <s v="CARRERA 29 # CALLE 33"/>
    <n v="5.3335173999999999"/>
    <n v="-72.381627800000004"/>
    <s v="MOVILIDAD"/>
    <s v="URBANO"/>
    <x v="2"/>
    <s v="AGOSTO"/>
    <d v="2025-08-23T00:00:00"/>
    <x v="5"/>
    <d v="1899-12-30T15:30:00"/>
    <s v="MOTOCICLETA"/>
    <m/>
    <n v="1"/>
    <n v="0"/>
    <n v="0"/>
    <n v="0"/>
    <n v="0"/>
    <n v="0"/>
    <n v="0"/>
    <n v="0"/>
    <n v="0"/>
    <n v="0"/>
    <n v="0"/>
    <n v="0"/>
    <s v="FEMENINO"/>
    <s v="MASCULINO"/>
    <n v="1"/>
    <n v="1"/>
    <n v="30"/>
    <m/>
    <m/>
    <m/>
    <m/>
    <m/>
    <n v="1"/>
    <x v="3"/>
    <m/>
    <s v=""/>
    <x v="1"/>
  </r>
  <r>
    <n v="351"/>
    <x v="0"/>
    <n v="1"/>
    <n v="0"/>
    <x v="0"/>
    <s v="CARRERA 29 CALLE 19"/>
    <n v="5.3440611111111105"/>
    <n v="-72.388338888888896"/>
    <s v="MOVILIDAD"/>
    <s v="URBANO"/>
    <x v="0"/>
    <s v="NOVIEMBRE"/>
    <d v="2022-11-12T00:00:00"/>
    <x v="5"/>
    <d v="1899-12-30T07:15:00"/>
    <s v="MOTOCICLETA"/>
    <m/>
    <n v="1"/>
    <n v="0"/>
    <n v="0"/>
    <n v="0"/>
    <n v="0"/>
    <n v="0"/>
    <n v="0"/>
    <n v="0"/>
    <n v="0"/>
    <n v="0"/>
    <n v="0"/>
    <n v="0"/>
    <m/>
    <s v="FEMENINO"/>
    <n v="0"/>
    <n v="1"/>
    <m/>
    <m/>
    <m/>
    <m/>
    <n v="33"/>
    <m/>
    <n v="115"/>
    <x v="12"/>
    <m/>
    <s v=""/>
    <x v="2"/>
  </r>
  <r>
    <n v="374"/>
    <x v="0"/>
    <n v="0"/>
    <n v="2"/>
    <x v="2"/>
    <s v="CARRERA 29 CALLE 21"/>
    <n v="5.3424749999999994"/>
    <n v="-72.387166666666673"/>
    <s v="MOVILIDAD"/>
    <s v="URBANO"/>
    <x v="0"/>
    <s v="DICIEMBRE"/>
    <d v="2022-12-15T00:00:00"/>
    <x v="1"/>
    <d v="1899-12-30T23:20:00"/>
    <s v="MOTOCICLETA"/>
    <s v="CAMIONETA"/>
    <n v="1"/>
    <n v="0"/>
    <n v="0"/>
    <n v="0"/>
    <n v="1"/>
    <n v="0"/>
    <n v="0"/>
    <n v="0"/>
    <n v="0"/>
    <n v="0"/>
    <n v="0"/>
    <n v="0"/>
    <m/>
    <s v="FEMENINO"/>
    <n v="0"/>
    <n v="1"/>
    <n v="27"/>
    <n v="27"/>
    <m/>
    <m/>
    <n v="26"/>
    <m/>
    <n v="112"/>
    <x v="4"/>
    <n v="115"/>
    <s v="Embriaguez o Sustancias alucinogenas"/>
    <x v="0"/>
  </r>
  <r>
    <n v="263"/>
    <x v="0"/>
    <n v="1"/>
    <n v="0"/>
    <x v="0"/>
    <s v="CARRERA 29 CALLE 23"/>
    <n v="5.3410130555555551"/>
    <n v="-72.38615611111112"/>
    <s v="MOVILIDAD"/>
    <s v="URBANO"/>
    <x v="0"/>
    <s v="JULIO"/>
    <d v="2022-07-30T00:00:00"/>
    <x v="5"/>
    <d v="1899-12-30T15:3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36"/>
    <m/>
    <m/>
    <m/>
    <m/>
    <m/>
    <n v="157"/>
    <x v="1"/>
    <n v="116"/>
    <s v="Exceso de velocidad"/>
    <x v="1"/>
  </r>
  <r>
    <n v="863"/>
    <x v="0"/>
    <n v="1"/>
    <n v="0"/>
    <x v="0"/>
    <s v="CARRERA 29 CALLE 30 "/>
    <n v="5.3355259999999998"/>
    <n v="-72.382839000000004"/>
    <s v="MOVILIDAD"/>
    <s v="URBANO"/>
    <x v="2"/>
    <s v="ENERO"/>
    <d v="2025-01-23T00:00:00"/>
    <x v="1"/>
    <d v="1899-12-30T06:05:00"/>
    <s v="CAMION"/>
    <s v="MOTOCICLETA"/>
    <n v="1"/>
    <n v="0"/>
    <n v="0"/>
    <n v="0"/>
    <n v="0"/>
    <n v="0"/>
    <n v="0"/>
    <n v="0"/>
    <n v="1"/>
    <n v="0"/>
    <n v="0"/>
    <n v="0"/>
    <s v="MASCULINO"/>
    <s v="MASCULINO"/>
    <n v="2"/>
    <n v="0"/>
    <n v="27"/>
    <n v="20"/>
    <m/>
    <m/>
    <m/>
    <m/>
    <n v="142"/>
    <x v="16"/>
    <m/>
    <s v=""/>
    <x v="2"/>
  </r>
  <r>
    <n v="842"/>
    <x v="0"/>
    <n v="2"/>
    <n v="0"/>
    <x v="0"/>
    <s v="CARRERA 29 CALLE 30  "/>
    <n v="5.3355259999999998"/>
    <n v="-72.382839000000004"/>
    <s v="MOVILIDAD"/>
    <s v="URBANO"/>
    <x v="3"/>
    <s v="DICIEMBRE"/>
    <d v="2024-12-22T00:00:00"/>
    <x v="2"/>
    <d v="1899-12-30T23:15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23"/>
    <n v="19"/>
    <m/>
    <m/>
    <m/>
    <m/>
    <n v="157"/>
    <x v="1"/>
    <m/>
    <s v=""/>
    <x v="0"/>
  </r>
  <r>
    <n v="53"/>
    <x v="0"/>
    <n v="2"/>
    <n v="0"/>
    <x v="0"/>
    <s v="CARRERA 29 CALLE 31A"/>
    <n v="5.3342638888888887"/>
    <n v="-72.381938888888882"/>
    <s v="MOVILIDAD"/>
    <s v="URBANO"/>
    <x v="0"/>
    <s v="FEBRERO"/>
    <d v="2022-02-14T00:00:00"/>
    <x v="4"/>
    <d v="1899-12-30T14:03:00"/>
    <s v="MOTOCICLETA"/>
    <m/>
    <n v="1"/>
    <n v="0"/>
    <n v="0"/>
    <n v="0"/>
    <n v="0"/>
    <n v="0"/>
    <n v="0"/>
    <n v="0"/>
    <n v="0"/>
    <n v="0"/>
    <n v="0"/>
    <n v="0"/>
    <s v="MASCULINO"/>
    <s v="FEMENINO"/>
    <n v="1"/>
    <n v="1"/>
    <n v="29"/>
    <m/>
    <m/>
    <n v="44"/>
    <m/>
    <m/>
    <n v="410"/>
    <x v="22"/>
    <m/>
    <s v=""/>
    <x v="1"/>
  </r>
  <r>
    <n v="458"/>
    <x v="0"/>
    <n v="1"/>
    <n v="0"/>
    <x v="0"/>
    <s v="CARRERA 29 CALLE 35 "/>
    <n v="5.3321861111111106"/>
    <n v="-72.380799999999994"/>
    <s v="MOVILIDAD"/>
    <s v="URBANO"/>
    <x v="1"/>
    <s v="ABRIL"/>
    <d v="2023-04-23T00:00:00"/>
    <x v="2"/>
    <d v="1899-12-30T02:45:00"/>
    <s v="AUTOMOVIL"/>
    <s v="CAMIONETA"/>
    <n v="0"/>
    <n v="0"/>
    <n v="1"/>
    <n v="0"/>
    <n v="1"/>
    <n v="0"/>
    <n v="0"/>
    <n v="0"/>
    <n v="0"/>
    <n v="0"/>
    <n v="0"/>
    <n v="0"/>
    <s v="MASCULINO"/>
    <m/>
    <n v="1"/>
    <n v="0"/>
    <n v="25"/>
    <m/>
    <m/>
    <m/>
    <m/>
    <m/>
    <n v="132"/>
    <x v="13"/>
    <n v="116"/>
    <s v="Exceso de velocidad"/>
    <x v="2"/>
  </r>
  <r>
    <n v="573"/>
    <x v="0"/>
    <n v="1"/>
    <n v="0"/>
    <x v="0"/>
    <s v="CARRERA 29 CALLE 40 "/>
    <n v="5.3295766666666662"/>
    <n v="-72.37913694444444"/>
    <s v="MOVILIDAD"/>
    <s v="URBANO"/>
    <x v="1"/>
    <s v="OCTUBRE"/>
    <d v="2023-10-09T00:00:00"/>
    <x v="4"/>
    <d v="1899-12-30T22:30:00"/>
    <s v="MOTOCICLETA"/>
    <s v="BUSETA"/>
    <n v="1"/>
    <n v="0"/>
    <n v="0"/>
    <n v="0"/>
    <n v="0"/>
    <n v="0"/>
    <n v="0"/>
    <n v="1"/>
    <n v="0"/>
    <n v="0"/>
    <n v="0"/>
    <n v="0"/>
    <m/>
    <s v="FEMENINO"/>
    <n v="0"/>
    <n v="1"/>
    <n v="18"/>
    <m/>
    <m/>
    <m/>
    <m/>
    <m/>
    <n v="139"/>
    <x v="0"/>
    <n v="112"/>
    <s v="Desobedecer señales o normas de tránsito."/>
    <x v="0"/>
  </r>
  <r>
    <n v="227"/>
    <x v="0"/>
    <n v="1"/>
    <n v="0"/>
    <x v="0"/>
    <s v="CARRERA 29 CALLE28 "/>
    <n v="5.3371277777777779"/>
    <n v="-72.383727777777779"/>
    <s v="MOVILIDAD"/>
    <s v="URBANO"/>
    <x v="0"/>
    <s v="JUNIO"/>
    <d v="2022-06-22T00:00:00"/>
    <x v="3"/>
    <d v="1899-12-30T17:30:00"/>
    <s v="MICROBUS"/>
    <s v="CAMION"/>
    <n v="0"/>
    <n v="0"/>
    <n v="0"/>
    <n v="0"/>
    <n v="0"/>
    <n v="1"/>
    <n v="0"/>
    <n v="0"/>
    <n v="1"/>
    <n v="0"/>
    <n v="0"/>
    <n v="0"/>
    <s v="MASCULINO"/>
    <m/>
    <n v="1"/>
    <n v="0"/>
    <n v="82"/>
    <m/>
    <m/>
    <m/>
    <m/>
    <m/>
    <n v="132"/>
    <x v="13"/>
    <m/>
    <s v=""/>
    <x v="1"/>
  </r>
  <r>
    <n v="1025"/>
    <x v="0"/>
    <n v="1"/>
    <n v="0"/>
    <x v="0"/>
    <s v="CARRERA 29 ENTRE 26 Y 27"/>
    <n v="5.3380599999999996"/>
    <n v="-72.384394999999998"/>
    <s v="MOVILIDAD"/>
    <s v="URBANO"/>
    <x v="2"/>
    <s v="JULIO"/>
    <d v="2025-07-30T00:00:00"/>
    <x v="3"/>
    <d v="1899-12-30T21:30:00"/>
    <s v="MOTOCICLETA"/>
    <m/>
    <n v="1"/>
    <n v="0"/>
    <n v="0"/>
    <n v="0"/>
    <n v="0"/>
    <n v="0"/>
    <n v="0"/>
    <n v="0"/>
    <n v="0"/>
    <n v="0"/>
    <n v="0"/>
    <n v="0"/>
    <s v="FEMENINO"/>
    <s v="MASCULINO"/>
    <n v="1"/>
    <n v="1"/>
    <n v="18"/>
    <n v="71"/>
    <m/>
    <m/>
    <m/>
    <m/>
    <n v="411"/>
    <x v="1"/>
    <n v="409"/>
    <s v="Cruzar sin observar."/>
    <x v="0"/>
  </r>
  <r>
    <n v="900"/>
    <x v="0"/>
    <n v="2"/>
    <n v="0"/>
    <x v="0"/>
    <s v="CARRERA 29 ENTRE CALLE 16 Y17"/>
    <n v="5.3463269999999996"/>
    <n v="-72.389675999999994"/>
    <s v="MOVILIDAD"/>
    <s v="URBANO"/>
    <x v="2"/>
    <s v="MARZO"/>
    <d v="2025-03-05T00:00:00"/>
    <x v="3"/>
    <d v="1899-12-30T20:40:00"/>
    <s v="AUTOMOVIL"/>
    <s v="MOTOCICLETA"/>
    <n v="1"/>
    <n v="0"/>
    <n v="1"/>
    <n v="0"/>
    <n v="0"/>
    <n v="0"/>
    <n v="0"/>
    <n v="0"/>
    <n v="0"/>
    <n v="0"/>
    <n v="0"/>
    <n v="0"/>
    <s v="MASCULINO"/>
    <s v="MASCULINO"/>
    <n v="2"/>
    <n v="0"/>
    <n v="47"/>
    <n v="21"/>
    <n v="21"/>
    <m/>
    <m/>
    <m/>
    <n v="116"/>
    <x v="14"/>
    <n v="157"/>
    <s v="Otra"/>
    <x v="0"/>
  </r>
  <r>
    <n v="503"/>
    <x v="0"/>
    <n v="1"/>
    <n v="0"/>
    <x v="0"/>
    <s v="CARRERA 29 ENTRE CALLE 17 Y 18"/>
    <n v="5.3453530555555551"/>
    <n v="-72.389190555555558"/>
    <s v="MOVILIDAD"/>
    <s v="URBANO"/>
    <x v="1"/>
    <s v="JUNIO"/>
    <d v="2023-06-09T00:00:00"/>
    <x v="0"/>
    <d v="1899-12-30T07:00:00"/>
    <s v="MICROBUS"/>
    <m/>
    <n v="0"/>
    <n v="0"/>
    <n v="0"/>
    <n v="0"/>
    <n v="0"/>
    <n v="1"/>
    <n v="0"/>
    <n v="0"/>
    <n v="0"/>
    <n v="0"/>
    <n v="0"/>
    <n v="0"/>
    <m/>
    <s v="FEMENINO"/>
    <n v="0"/>
    <n v="1"/>
    <m/>
    <m/>
    <n v="56"/>
    <m/>
    <m/>
    <m/>
    <n v="154"/>
    <x v="35"/>
    <m/>
    <s v=""/>
    <x v="2"/>
  </r>
  <r>
    <n v="446"/>
    <x v="0"/>
    <n v="2"/>
    <n v="0"/>
    <x v="0"/>
    <s v="CARRERA 29 ENTRE CALLE 35 Y 36 "/>
    <n v="5.3318713888888887"/>
    <n v="-72.380602222222223"/>
    <s v="MOVILIDAD"/>
    <s v="URBANO"/>
    <x v="1"/>
    <s v="ABRIL"/>
    <d v="2023-04-02T00:00:00"/>
    <x v="2"/>
    <d v="1899-12-30T15:55:00"/>
    <s v="MOTOCICLETA"/>
    <m/>
    <n v="1"/>
    <n v="0"/>
    <n v="0"/>
    <n v="0"/>
    <n v="0"/>
    <n v="0"/>
    <n v="0"/>
    <n v="0"/>
    <n v="0"/>
    <n v="0"/>
    <n v="0"/>
    <n v="0"/>
    <s v="MASCULINO"/>
    <s v="FEMENINO"/>
    <n v="1"/>
    <n v="1"/>
    <n v="21"/>
    <m/>
    <m/>
    <n v="49"/>
    <m/>
    <m/>
    <n v="409"/>
    <x v="19"/>
    <m/>
    <s v=""/>
    <x v="1"/>
  </r>
  <r>
    <n v="993"/>
    <x v="0"/>
    <n v="1"/>
    <n v="0"/>
    <x v="0"/>
    <s v="CARRERA 29 N° 28-09"/>
    <n v="5.3369770000000001"/>
    <n v="-72.383770999999996"/>
    <s v="MOVILIDAD"/>
    <s v="URBANO"/>
    <x v="2"/>
    <s v="JUNIO"/>
    <d v="2025-06-17T00:00:00"/>
    <x v="6"/>
    <d v="1899-12-30T17:00:00"/>
    <s v="MOTOCICLETA"/>
    <s v="CAMPERO"/>
    <n v="1"/>
    <n v="0"/>
    <n v="0"/>
    <n v="1"/>
    <n v="0"/>
    <n v="0"/>
    <n v="0"/>
    <n v="0"/>
    <n v="0"/>
    <n v="0"/>
    <n v="0"/>
    <n v="0"/>
    <s v="MASCULINO"/>
    <s v="MASCULINO"/>
    <n v="2"/>
    <n v="0"/>
    <n v="20"/>
    <n v="49"/>
    <m/>
    <m/>
    <m/>
    <m/>
    <n v="122"/>
    <x v="2"/>
    <m/>
    <s v=""/>
    <x v="1"/>
  </r>
  <r>
    <n v="64"/>
    <x v="1"/>
    <n v="0"/>
    <n v="0"/>
    <x v="1"/>
    <s v="CARRERA 29A  # 23-11"/>
    <n v="5.341075"/>
    <n v="-72.38558888888889"/>
    <s v="MOVILIDAD"/>
    <s v="URBANO"/>
    <x v="0"/>
    <s v="FEBRERO"/>
    <d v="2022-02-21T00:00:00"/>
    <x v="4"/>
    <d v="1899-12-30T07:00:00"/>
    <s v="MOTOCICLETA"/>
    <s v="CAMPERO"/>
    <n v="1"/>
    <n v="0"/>
    <n v="0"/>
    <n v="1"/>
    <n v="0"/>
    <n v="0"/>
    <n v="0"/>
    <n v="0"/>
    <n v="0"/>
    <n v="0"/>
    <n v="0"/>
    <n v="0"/>
    <s v="MASCULINO"/>
    <s v="FEMENINO"/>
    <n v="1"/>
    <n v="1"/>
    <m/>
    <m/>
    <m/>
    <m/>
    <m/>
    <m/>
    <n v="139"/>
    <x v="0"/>
    <n v="122"/>
    <s v="Girar bruscamente."/>
    <x v="2"/>
  </r>
  <r>
    <n v="788"/>
    <x v="0"/>
    <n v="2"/>
    <n v="0"/>
    <x v="0"/>
    <s v="CARRERA 3 # 50 "/>
    <n v="5.3092280555555558"/>
    <n v="-72.410311111111113"/>
    <s v="MOVILIDAD"/>
    <s v="URBANO"/>
    <x v="3"/>
    <s v="OCTUBRE"/>
    <d v="2024-10-08T00:00:00"/>
    <x v="6"/>
    <d v="1899-12-30T13:53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22"/>
    <n v="45"/>
    <n v="16"/>
    <m/>
    <m/>
    <m/>
    <n v="121"/>
    <x v="7"/>
    <n v="139"/>
    <s v="Impericia en el manejo."/>
    <x v="1"/>
  </r>
  <r>
    <n v="962"/>
    <x v="0"/>
    <n v="0"/>
    <n v="1"/>
    <x v="2"/>
    <s v="CARRERA 3 # 50 "/>
    <n v="5.3092119999999996"/>
    <n v="-72.410318000000004"/>
    <s v="MOVILIDAD"/>
    <s v="URBANO"/>
    <x v="2"/>
    <s v="MAYO"/>
    <d v="2025-05-11T00:00:00"/>
    <x v="2"/>
    <d v="1899-12-30T19:15:00"/>
    <s v="BICICLETA"/>
    <m/>
    <n v="0"/>
    <n v="0"/>
    <n v="0"/>
    <n v="0"/>
    <n v="0"/>
    <n v="0"/>
    <n v="0"/>
    <n v="0"/>
    <n v="0"/>
    <n v="0"/>
    <n v="0"/>
    <n v="1"/>
    <s v="MASCULINO"/>
    <m/>
    <n v="1"/>
    <n v="0"/>
    <n v="65"/>
    <m/>
    <m/>
    <m/>
    <m/>
    <m/>
    <n v="115"/>
    <x v="12"/>
    <n v="99"/>
    <s v="No hacer uso de señales reflectivas o luminosas."/>
    <x v="0"/>
  </r>
  <r>
    <n v="740"/>
    <x v="0"/>
    <n v="1"/>
    <n v="0"/>
    <x v="0"/>
    <s v="CARRERA 3 CALLE 40 "/>
    <n v="5.318773055555555"/>
    <n v="-72.409900000000007"/>
    <s v="MOVILIDAD"/>
    <s v="URBANO"/>
    <x v="3"/>
    <s v="JULIO"/>
    <d v="2024-07-01T00:00:00"/>
    <x v="4"/>
    <d v="1899-12-30T15:40:00"/>
    <s v="MOTOCICLETA"/>
    <s v="AUTOMOVIL"/>
    <n v="1"/>
    <n v="0"/>
    <n v="1"/>
    <n v="0"/>
    <n v="0"/>
    <n v="0"/>
    <n v="0"/>
    <n v="0"/>
    <n v="0"/>
    <n v="0"/>
    <n v="0"/>
    <n v="0"/>
    <s v="MASCULINO"/>
    <s v="FEMENINO"/>
    <n v="1"/>
    <n v="1"/>
    <n v="48"/>
    <n v="31"/>
    <m/>
    <m/>
    <m/>
    <m/>
    <n v="102"/>
    <x v="29"/>
    <m/>
    <s v=""/>
    <x v="1"/>
  </r>
  <r>
    <n v="886"/>
    <x v="1"/>
    <n v="0"/>
    <n v="0"/>
    <x v="1"/>
    <s v="CARRERA 3 CALLE 60 "/>
    <n v="5.301787"/>
    <n v="-72.409772000000004"/>
    <s v="MOVILIDAD"/>
    <s v="URBANO"/>
    <x v="2"/>
    <s v="FEBRERO"/>
    <d v="2025-02-28T00:00:00"/>
    <x v="0"/>
    <d v="1899-12-30T22:30:00"/>
    <s v="CAMIONETA"/>
    <s v="CAMIONETA"/>
    <n v="0"/>
    <n v="0"/>
    <n v="0"/>
    <n v="0"/>
    <n v="2"/>
    <n v="0"/>
    <n v="0"/>
    <n v="0"/>
    <n v="0"/>
    <n v="0"/>
    <n v="0"/>
    <n v="0"/>
    <s v="MASCULINO"/>
    <s v="MASCULINO"/>
    <n v="2"/>
    <n v="0"/>
    <n v="25"/>
    <n v="20"/>
    <m/>
    <m/>
    <m/>
    <m/>
    <n v="116"/>
    <x v="14"/>
    <n v="157"/>
    <s v="Otra"/>
    <x v="0"/>
  </r>
  <r>
    <n v="1108"/>
    <x v="1"/>
    <n v="0"/>
    <n v="0"/>
    <x v="1"/>
    <s v="CARRERA 3 OESTE # MARGINAL DE LA SELVA"/>
    <n v="5.32224128304677"/>
    <n v="-72.415137467616006"/>
    <s v="MOVILIDAD"/>
    <s v="URBANO"/>
    <x v="2"/>
    <s v="OCTUBRE"/>
    <d v="2025-10-04T00:00:00"/>
    <x v="5"/>
    <d v="1899-12-30T04:47:00"/>
    <s v="AUTOMOVIL"/>
    <m/>
    <n v="0"/>
    <n v="0"/>
    <n v="1"/>
    <n v="0"/>
    <n v="0"/>
    <n v="0"/>
    <n v="0"/>
    <n v="0"/>
    <n v="0"/>
    <n v="0"/>
    <n v="0"/>
    <n v="0"/>
    <s v="MASCULINO"/>
    <m/>
    <n v="1"/>
    <n v="0"/>
    <m/>
    <m/>
    <m/>
    <m/>
    <m/>
    <m/>
    <n v="116"/>
    <x v="14"/>
    <n v="112"/>
    <s v="Desobedecer señales o normas de tránsito."/>
    <x v="2"/>
  </r>
  <r>
    <n v="296"/>
    <x v="0"/>
    <n v="1"/>
    <n v="0"/>
    <x v="0"/>
    <s v="CARRERA 30  # 44-22"/>
    <n v="5.3284649999999996"/>
    <n v="-72.376521666666662"/>
    <s v="MOVILIDAD"/>
    <s v="URBANO"/>
    <x v="0"/>
    <s v="SEPTIEMBRE"/>
    <d v="2022-09-06T00:00:00"/>
    <x v="6"/>
    <d v="1899-12-30T13:00:00"/>
    <s v="MOTOCICLETA"/>
    <s v="CAMION"/>
    <n v="1"/>
    <n v="0"/>
    <n v="0"/>
    <n v="0"/>
    <n v="0"/>
    <n v="0"/>
    <n v="0"/>
    <n v="0"/>
    <n v="1"/>
    <n v="0"/>
    <n v="0"/>
    <n v="0"/>
    <m/>
    <s v="FEMENINO"/>
    <n v="0"/>
    <n v="1"/>
    <n v="17"/>
    <m/>
    <m/>
    <m/>
    <m/>
    <m/>
    <n v="141"/>
    <x v="28"/>
    <n v="139"/>
    <s v="Impericia en el manejo."/>
    <x v="1"/>
  </r>
  <r>
    <n v="637"/>
    <x v="0"/>
    <n v="1"/>
    <n v="1"/>
    <x v="2"/>
    <s v="CARRERA 30  # 47- 57 "/>
    <n v="5.3269083333333329"/>
    <n v="-72.374955555555545"/>
    <s v="MOVILIDAD"/>
    <s v="URBANO"/>
    <x v="1"/>
    <s v="DICIEMBRE"/>
    <d v="2023-12-23T00:00:00"/>
    <x v="5"/>
    <d v="1899-12-30T23:1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26"/>
    <m/>
    <m/>
    <m/>
    <m/>
    <m/>
    <n v="139"/>
    <x v="0"/>
    <n v="114"/>
    <s v="Embriaguez aparente."/>
    <x v="0"/>
  </r>
  <r>
    <n v="564"/>
    <x v="1"/>
    <n v="0"/>
    <n v="0"/>
    <x v="1"/>
    <s v="CARRERA 30  CALLE 2A "/>
    <n v="5.3495994444444444"/>
    <n v="-72.39096722222223"/>
    <s v="MOVILIDAD"/>
    <s v="URBANO"/>
    <x v="1"/>
    <s v="SEPTIEMBRE"/>
    <d v="2023-09-30T00:00:00"/>
    <x v="5"/>
    <d v="1899-12-30T16:50:00"/>
    <s v="AUTOMOVIL"/>
    <s v="CAMIONETA"/>
    <n v="0"/>
    <n v="0"/>
    <n v="1"/>
    <n v="0"/>
    <n v="1"/>
    <n v="0"/>
    <n v="0"/>
    <n v="0"/>
    <n v="0"/>
    <n v="0"/>
    <n v="0"/>
    <n v="0"/>
    <m/>
    <s v="FEMENINO"/>
    <n v="0"/>
    <n v="1"/>
    <m/>
    <m/>
    <m/>
    <m/>
    <m/>
    <m/>
    <n v="115"/>
    <x v="12"/>
    <m/>
    <s v=""/>
    <x v="1"/>
  </r>
  <r>
    <n v="808"/>
    <x v="0"/>
    <n v="3"/>
    <n v="0"/>
    <x v="0"/>
    <s v="CARRERA 30  CALLE 46"/>
    <n v="5.3276511111111109"/>
    <n v="-72.375696666666656"/>
    <s v="MOVILIDAD"/>
    <s v="URBANO"/>
    <x v="3"/>
    <s v="NOVIEMBRE"/>
    <d v="2024-11-06T00:00:00"/>
    <x v="3"/>
    <d v="1899-12-30T19:35:00"/>
    <s v="MOTOCICLETA"/>
    <s v="BICICLETA"/>
    <n v="1"/>
    <n v="0"/>
    <n v="0"/>
    <n v="0"/>
    <n v="0"/>
    <n v="0"/>
    <n v="0"/>
    <n v="0"/>
    <n v="0"/>
    <n v="0"/>
    <n v="0"/>
    <n v="1"/>
    <s v="MASCULINO"/>
    <s v="FEMENINO"/>
    <n v="1"/>
    <n v="1"/>
    <n v="18"/>
    <n v="33"/>
    <n v="10"/>
    <m/>
    <m/>
    <m/>
    <n v="139"/>
    <x v="0"/>
    <n v="99"/>
    <s v="No hacer uso de señales reflectivas o luminosas."/>
    <x v="0"/>
  </r>
  <r>
    <n v="46"/>
    <x v="1"/>
    <n v="0"/>
    <n v="0"/>
    <x v="1"/>
    <s v="CARRERA 30 # 14"/>
    <n v="5.3486888888888888"/>
    <n v="-72.390544444444444"/>
    <s v="MOVILIDAD"/>
    <s v="URBANO"/>
    <x v="0"/>
    <s v="FEBRERO"/>
    <d v="2022-02-10T00:00:00"/>
    <x v="1"/>
    <d v="1899-12-30T12:20:00"/>
    <s v="CAMION"/>
    <s v="CAMION"/>
    <n v="0"/>
    <n v="0"/>
    <n v="0"/>
    <n v="0"/>
    <n v="0"/>
    <n v="0"/>
    <n v="0"/>
    <n v="0"/>
    <n v="2"/>
    <n v="0"/>
    <n v="0"/>
    <n v="0"/>
    <s v="MASCULINO"/>
    <m/>
    <n v="1"/>
    <n v="0"/>
    <m/>
    <m/>
    <m/>
    <m/>
    <m/>
    <m/>
    <n v="121"/>
    <x v="7"/>
    <m/>
    <s v=""/>
    <x v="1"/>
  </r>
  <r>
    <n v="49"/>
    <x v="0"/>
    <n v="0"/>
    <n v="1"/>
    <x v="2"/>
    <s v="CARRERA 30 # 14"/>
    <n v="5.3486888888888888"/>
    <n v="-72.390544444444444"/>
    <s v="MOVILIDAD"/>
    <s v="URBANO"/>
    <x v="0"/>
    <s v="FEBRERO"/>
    <d v="2022-02-12T00:00:00"/>
    <x v="5"/>
    <d v="1899-12-30T17:30:00"/>
    <s v="MOTOCICLETA"/>
    <m/>
    <n v="1"/>
    <n v="0"/>
    <n v="0"/>
    <n v="0"/>
    <n v="0"/>
    <n v="0"/>
    <n v="0"/>
    <n v="0"/>
    <n v="0"/>
    <n v="0"/>
    <n v="0"/>
    <n v="0"/>
    <m/>
    <s v="FEMENINO"/>
    <n v="0"/>
    <n v="1"/>
    <m/>
    <m/>
    <m/>
    <m/>
    <m/>
    <n v="21"/>
    <n v="114"/>
    <x v="5"/>
    <m/>
    <s v=""/>
    <x v="1"/>
  </r>
  <r>
    <n v="421"/>
    <x v="1"/>
    <n v="0"/>
    <n v="0"/>
    <x v="1"/>
    <s v="CARRERA 30 # 40"/>
    <n v="5.3302940000000003"/>
    <n v="-72.378360000000001"/>
    <s v="MOVILIDAD"/>
    <s v="URBANO"/>
    <x v="1"/>
    <s v="FEBRERO"/>
    <d v="2023-02-27T00:00:00"/>
    <x v="4"/>
    <d v="1899-12-30T23:15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m/>
    <m/>
    <m/>
    <m/>
    <m/>
    <m/>
    <n v="132"/>
    <x v="13"/>
    <n v="115"/>
    <s v="Embriaguez o Sustancias alucinogenas"/>
    <x v="0"/>
  </r>
  <r>
    <n v="2"/>
    <x v="1"/>
    <n v="0"/>
    <n v="0"/>
    <x v="1"/>
    <s v="CARRERA 30 # 40"/>
    <n v="5.3302940000000003"/>
    <n v="-72.378360000000001"/>
    <s v="MOVILIDAD"/>
    <s v="URBANO"/>
    <x v="0"/>
    <s v="ENERO"/>
    <d v="2022-01-06T00:00:00"/>
    <x v="1"/>
    <d v="1899-12-30T07:20:00"/>
    <s v="AUTOMOVIL"/>
    <s v="CAMIONETA"/>
    <n v="0"/>
    <n v="0"/>
    <n v="1"/>
    <n v="0"/>
    <n v="1"/>
    <n v="0"/>
    <n v="0"/>
    <n v="0"/>
    <n v="0"/>
    <n v="0"/>
    <n v="0"/>
    <n v="0"/>
    <s v="MASCULINO"/>
    <m/>
    <n v="1"/>
    <n v="0"/>
    <m/>
    <m/>
    <m/>
    <m/>
    <m/>
    <m/>
    <n v="121"/>
    <x v="7"/>
    <m/>
    <s v=""/>
    <x v="2"/>
  </r>
  <r>
    <n v="300"/>
    <x v="0"/>
    <n v="3"/>
    <n v="0"/>
    <x v="0"/>
    <s v="CARRERA 30 # 46"/>
    <n v="5.3275138888888884"/>
    <n v="-72.375592499999996"/>
    <s v="MOVILIDAD"/>
    <s v="URBANO"/>
    <x v="0"/>
    <s v="SEPTIEMBRE"/>
    <d v="2022-09-06T00:00:00"/>
    <x v="6"/>
    <d v="1899-12-30T22:30:00"/>
    <s v="MOTOCICLETA"/>
    <m/>
    <n v="1"/>
    <n v="0"/>
    <n v="0"/>
    <n v="0"/>
    <n v="0"/>
    <n v="0"/>
    <n v="0"/>
    <n v="0"/>
    <n v="0"/>
    <n v="0"/>
    <n v="0"/>
    <n v="0"/>
    <s v="MASCULINO"/>
    <s v="FEMENINO"/>
    <n v="1"/>
    <n v="1"/>
    <n v="24"/>
    <n v="24"/>
    <m/>
    <m/>
    <n v="30"/>
    <m/>
    <n v="139"/>
    <x v="0"/>
    <n v="90"/>
    <s v="Transportar otra persona o cosas."/>
    <x v="0"/>
  </r>
  <r>
    <n v="95"/>
    <x v="0"/>
    <n v="2"/>
    <n v="0"/>
    <x v="0"/>
    <s v="CARRERA 30 # 46"/>
    <n v="5.3275138888888884"/>
    <n v="-72.375586111111105"/>
    <s v="MOVILIDAD"/>
    <s v="URBANO"/>
    <x v="0"/>
    <s v="MARZO"/>
    <d v="2022-03-18T00:00:00"/>
    <x v="0"/>
    <d v="1899-12-30T15:30:00"/>
    <s v="MOTOCICLETA"/>
    <s v="CAMPERO"/>
    <n v="1"/>
    <n v="0"/>
    <n v="0"/>
    <n v="1"/>
    <n v="0"/>
    <n v="0"/>
    <n v="0"/>
    <n v="0"/>
    <n v="0"/>
    <n v="0"/>
    <n v="0"/>
    <n v="0"/>
    <s v="MASCULINO"/>
    <s v="FEMENINO"/>
    <n v="1"/>
    <n v="1"/>
    <n v="42"/>
    <m/>
    <m/>
    <m/>
    <n v="5"/>
    <m/>
    <n v="120"/>
    <x v="37"/>
    <m/>
    <s v=""/>
    <x v="1"/>
  </r>
  <r>
    <n v="316"/>
    <x v="0"/>
    <n v="2"/>
    <n v="0"/>
    <x v="0"/>
    <s v="CARRERA 30 CALLE 30"/>
    <n v="5.3359341666666662"/>
    <n v="-72.382149999999996"/>
    <s v="MOVILIDAD"/>
    <s v="URBANO"/>
    <x v="0"/>
    <s v="SEPTIEMBRE"/>
    <d v="2022-09-26T00:00:00"/>
    <x v="4"/>
    <d v="1899-12-30T15:40:00"/>
    <s v="MOTOCICLETA"/>
    <s v="AUTOMOVIL"/>
    <n v="1"/>
    <n v="0"/>
    <n v="1"/>
    <n v="0"/>
    <n v="0"/>
    <n v="0"/>
    <n v="0"/>
    <n v="0"/>
    <n v="0"/>
    <n v="0"/>
    <n v="0"/>
    <n v="0"/>
    <m/>
    <s v="FEMENINO"/>
    <n v="0"/>
    <n v="1"/>
    <n v="15"/>
    <m/>
    <m/>
    <m/>
    <n v="56"/>
    <m/>
    <n v="112"/>
    <x v="4"/>
    <n v="139"/>
    <s v="Impericia en el manejo."/>
    <x v="1"/>
  </r>
  <r>
    <n v="235"/>
    <x v="0"/>
    <n v="1"/>
    <n v="0"/>
    <x v="0"/>
    <s v="CARRERA 30 CALLE 31"/>
    <n v="5.3348541666666662"/>
    <n v="-72.381004166666656"/>
    <s v="MOVILIDAD"/>
    <s v="URBANO"/>
    <x v="0"/>
    <s v="JUNIO"/>
    <d v="2022-06-30T00:00:00"/>
    <x v="1"/>
    <d v="1899-12-30T22:5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33"/>
    <m/>
    <m/>
    <m/>
    <m/>
    <m/>
    <n v="115"/>
    <x v="12"/>
    <n v="139"/>
    <s v="Impericia en el manejo."/>
    <x v="0"/>
  </r>
  <r>
    <n v="148"/>
    <x v="0"/>
    <n v="1"/>
    <n v="0"/>
    <x v="0"/>
    <s v="CARRERA 30 CALLE 34"/>
    <n v="5.3331416666666662"/>
    <n v="-72.380563888888886"/>
    <s v="MOVILIDAD"/>
    <s v="URBANO"/>
    <x v="0"/>
    <s v="ABRIL"/>
    <d v="2022-04-05T00:00:00"/>
    <x v="6"/>
    <d v="1899-12-30T14:10:00"/>
    <s v="MOTOCICLETA"/>
    <s v="MOTOCARRO"/>
    <n v="1"/>
    <n v="1"/>
    <n v="0"/>
    <n v="0"/>
    <n v="0"/>
    <n v="0"/>
    <n v="0"/>
    <n v="0"/>
    <n v="0"/>
    <n v="0"/>
    <n v="0"/>
    <n v="0"/>
    <m/>
    <s v="FEMENINO"/>
    <n v="0"/>
    <n v="1"/>
    <m/>
    <m/>
    <m/>
    <m/>
    <n v="45"/>
    <m/>
    <n v="123"/>
    <x v="21"/>
    <m/>
    <s v=""/>
    <x v="1"/>
  </r>
  <r>
    <n v="622"/>
    <x v="0"/>
    <n v="1"/>
    <n v="0"/>
    <x v="0"/>
    <s v="CARRERA 30 CALLE 40 "/>
    <n v="5.3302940000000003"/>
    <n v="-72.378360000000001"/>
    <s v="MOVILIDAD"/>
    <s v="URBANO"/>
    <x v="1"/>
    <s v="NOVIEMBRE"/>
    <d v="2023-11-27T00:00:00"/>
    <x v="4"/>
    <d v="1899-12-30T15:00:00"/>
    <s v="MOTOCICLETA"/>
    <s v="CAMION"/>
    <n v="1"/>
    <n v="0"/>
    <n v="0"/>
    <n v="0"/>
    <n v="0"/>
    <n v="0"/>
    <n v="0"/>
    <n v="0"/>
    <n v="1"/>
    <n v="0"/>
    <n v="0"/>
    <n v="0"/>
    <s v="MASCULINO"/>
    <m/>
    <n v="1"/>
    <n v="0"/>
    <n v="60"/>
    <m/>
    <m/>
    <m/>
    <m/>
    <m/>
    <n v="115"/>
    <x v="12"/>
    <n v="139"/>
    <s v="Impericia en el manejo."/>
    <x v="1"/>
  </r>
  <r>
    <n v="578"/>
    <x v="0"/>
    <n v="1"/>
    <n v="0"/>
    <x v="0"/>
    <s v="CARRERA 30 CALLE 47"/>
    <n v="5.3274583333333334"/>
    <n v="-72.375505555555549"/>
    <s v="MOVILIDAD"/>
    <s v="URBANO"/>
    <x v="1"/>
    <s v="OCTUBRE"/>
    <d v="2023-10-21T00:00:00"/>
    <x v="5"/>
    <d v="1899-12-30T21:00:00"/>
    <s v="MOTOCICLETA"/>
    <s v="MICROBUS"/>
    <n v="1"/>
    <n v="0"/>
    <n v="0"/>
    <n v="0"/>
    <n v="0"/>
    <n v="1"/>
    <n v="0"/>
    <n v="0"/>
    <n v="0"/>
    <n v="0"/>
    <n v="0"/>
    <n v="0"/>
    <m/>
    <s v="FEMENINO"/>
    <n v="0"/>
    <n v="1"/>
    <m/>
    <m/>
    <m/>
    <m/>
    <n v="33"/>
    <m/>
    <n v="157"/>
    <x v="1"/>
    <m/>
    <s v=""/>
    <x v="0"/>
  </r>
  <r>
    <n v="805"/>
    <x v="1"/>
    <n v="0"/>
    <n v="0"/>
    <x v="1"/>
    <s v="CARRERA 30 ENTRE CALLE 40 Y 46"/>
    <n v="5.3286638888888884"/>
    <n v="-72.376721388888882"/>
    <s v="MOVILIDAD"/>
    <s v="URBANO"/>
    <x v="3"/>
    <s v="NOVIEMBRE"/>
    <d v="2024-11-04T00:00:00"/>
    <x v="4"/>
    <d v="1899-12-30T18:40:00"/>
    <s v="MOTOCICLETA"/>
    <s v="AUTOMOVIL"/>
    <n v="1"/>
    <n v="0"/>
    <n v="1"/>
    <n v="0"/>
    <n v="0"/>
    <n v="0"/>
    <n v="0"/>
    <n v="0"/>
    <n v="0"/>
    <n v="0"/>
    <n v="0"/>
    <n v="0"/>
    <s v="MASCULINO"/>
    <s v="FEMENINO"/>
    <n v="1"/>
    <n v="1"/>
    <n v="23"/>
    <n v="24"/>
    <m/>
    <m/>
    <m/>
    <m/>
    <n v="115"/>
    <x v="12"/>
    <n v="139"/>
    <s v="Impericia en el manejo."/>
    <x v="0"/>
  </r>
  <r>
    <n v="221"/>
    <x v="0"/>
    <n v="1"/>
    <n v="0"/>
    <x v="0"/>
    <s v="CARRERA 31  # 31A-20"/>
    <n v="5.3352063888888885"/>
    <n v="-72.380214444444434"/>
    <s v="MOVILIDAD"/>
    <s v="URBANO"/>
    <x v="0"/>
    <s v="JUNIO"/>
    <d v="2022-06-20T00:00:00"/>
    <x v="4"/>
    <d v="1899-12-30T09:1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41"/>
    <m/>
    <m/>
    <m/>
    <m/>
    <m/>
    <n v="123"/>
    <x v="21"/>
    <m/>
    <s v=""/>
    <x v="2"/>
  </r>
  <r>
    <n v="105"/>
    <x v="1"/>
    <n v="0"/>
    <n v="0"/>
    <x v="1"/>
    <s v="CARRERA 31 # 22"/>
    <n v="5.3427777777777772"/>
    <n v="-72.384983333333338"/>
    <s v="MOVILIDAD"/>
    <s v="URBANO"/>
    <x v="0"/>
    <s v="MARZO"/>
    <d v="2022-03-19T00:00:00"/>
    <x v="5"/>
    <d v="1899-12-30T17:40:00"/>
    <s v="MOTOCICLETA"/>
    <s v="AUTOMOVIL"/>
    <n v="1"/>
    <n v="0"/>
    <n v="1"/>
    <n v="0"/>
    <n v="0"/>
    <n v="0"/>
    <n v="0"/>
    <n v="0"/>
    <n v="0"/>
    <n v="0"/>
    <n v="0"/>
    <n v="0"/>
    <m/>
    <s v="FEMENINO"/>
    <n v="0"/>
    <n v="1"/>
    <m/>
    <m/>
    <m/>
    <m/>
    <m/>
    <m/>
    <n v="127"/>
    <x v="18"/>
    <m/>
    <s v=""/>
    <x v="1"/>
  </r>
  <r>
    <n v="250"/>
    <x v="0"/>
    <n v="1"/>
    <n v="0"/>
    <x v="0"/>
    <s v="CARRERA 31 # 22"/>
    <n v="5.3427777777777772"/>
    <n v="-72.384983333333338"/>
    <s v="MOVILIDAD"/>
    <s v="URBANO"/>
    <x v="0"/>
    <s v="JULIO"/>
    <d v="2022-07-12T00:00:00"/>
    <x v="6"/>
    <d v="1899-12-30T11:48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m/>
    <m/>
    <m/>
    <m/>
    <n v="9"/>
    <m/>
    <n v="112"/>
    <x v="4"/>
    <m/>
    <s v=""/>
    <x v="2"/>
  </r>
  <r>
    <n v="875"/>
    <x v="0"/>
    <n v="1"/>
    <n v="0"/>
    <x v="0"/>
    <s v="CARRERA 31 CALLE 16 "/>
    <n v="5.3485120000000004"/>
    <n v="-72.387921000000006"/>
    <s v="MOVILIDAD"/>
    <s v="URBANO"/>
    <x v="2"/>
    <s v="FEBRERO"/>
    <d v="2025-02-17T00:00:00"/>
    <x v="4"/>
    <d v="1899-12-30T13:10:00"/>
    <s v="AUTOMOVIL"/>
    <s v="MOTOCICLETA"/>
    <n v="1"/>
    <n v="0"/>
    <n v="1"/>
    <n v="0"/>
    <n v="0"/>
    <n v="0"/>
    <n v="0"/>
    <n v="0"/>
    <n v="0"/>
    <n v="0"/>
    <n v="0"/>
    <n v="0"/>
    <s v="MASCULINO"/>
    <s v="MASCULINO"/>
    <n v="2"/>
    <n v="0"/>
    <n v="44"/>
    <n v="25"/>
    <m/>
    <m/>
    <m/>
    <m/>
    <n v="132"/>
    <x v="13"/>
    <m/>
    <s v=""/>
    <x v="1"/>
  </r>
  <r>
    <n v="600"/>
    <x v="0"/>
    <n v="1"/>
    <n v="0"/>
    <x v="0"/>
    <s v="CARRERA 31 CALLE 30 "/>
    <n v="5.3366083333333334"/>
    <n v="-72.381122222222217"/>
    <s v="MOVILIDAD"/>
    <s v="URBANO"/>
    <x v="1"/>
    <s v="NOVIEMBRE"/>
    <d v="2023-11-07T00:00:00"/>
    <x v="6"/>
    <d v="1899-12-30T17:30:00"/>
    <s v="MOTOCICLETA"/>
    <s v="CAMPERO"/>
    <n v="1"/>
    <n v="0"/>
    <n v="0"/>
    <n v="1"/>
    <n v="0"/>
    <n v="0"/>
    <n v="0"/>
    <n v="0"/>
    <n v="0"/>
    <n v="0"/>
    <n v="0"/>
    <n v="0"/>
    <m/>
    <s v="FEMENINO"/>
    <n v="0"/>
    <n v="1"/>
    <n v="21"/>
    <m/>
    <m/>
    <m/>
    <m/>
    <m/>
    <n v="157"/>
    <x v="1"/>
    <n v="115"/>
    <s v="Embriaguez o Sustancias alucinogenas"/>
    <x v="1"/>
  </r>
  <r>
    <n v="710"/>
    <x v="0"/>
    <n v="1"/>
    <n v="0"/>
    <x v="0"/>
    <s v="CARRERA 31A CALLE 32 "/>
    <n v="5.3352805555555554"/>
    <n v="-72.379836111111103"/>
    <s v="MOVILIDAD"/>
    <s v="URBANO"/>
    <x v="3"/>
    <s v="MAYO"/>
    <d v="2024-05-12T00:00:00"/>
    <x v="2"/>
    <d v="1899-12-30T16:10:00"/>
    <s v="AUTOMOVIL"/>
    <m/>
    <n v="0"/>
    <n v="0"/>
    <n v="1"/>
    <n v="0"/>
    <n v="0"/>
    <n v="0"/>
    <n v="0"/>
    <n v="0"/>
    <n v="0"/>
    <n v="0"/>
    <n v="0"/>
    <n v="0"/>
    <s v="MASCULINO"/>
    <s v="FEMENINO"/>
    <n v="1"/>
    <n v="1"/>
    <n v="66"/>
    <n v="10"/>
    <m/>
    <m/>
    <m/>
    <m/>
    <n v="115"/>
    <x v="12"/>
    <m/>
    <s v=""/>
    <x v="1"/>
  </r>
  <r>
    <n v="176"/>
    <x v="1"/>
    <n v="0"/>
    <n v="0"/>
    <x v="1"/>
    <s v="CARRERA 32 CALLE 20"/>
    <n v="5.3449111111111112"/>
    <n v="-72.385527777777781"/>
    <s v="MOVILIDAD"/>
    <s v="URBANO"/>
    <x v="0"/>
    <s v="MAYO"/>
    <d v="2022-05-08T00:00:00"/>
    <x v="2"/>
    <d v="1899-12-30T15:10:00"/>
    <s v="MOTOCICLETA"/>
    <s v="CAMIONETA"/>
    <n v="1"/>
    <n v="0"/>
    <n v="0"/>
    <n v="0"/>
    <n v="1"/>
    <n v="0"/>
    <n v="0"/>
    <n v="0"/>
    <n v="0"/>
    <n v="0"/>
    <n v="0"/>
    <n v="0"/>
    <m/>
    <s v="FEMENINO"/>
    <n v="0"/>
    <n v="1"/>
    <m/>
    <m/>
    <m/>
    <m/>
    <m/>
    <m/>
    <n v="139"/>
    <x v="0"/>
    <m/>
    <s v=""/>
    <x v="1"/>
  </r>
  <r>
    <n v="340"/>
    <x v="0"/>
    <n v="2"/>
    <n v="0"/>
    <x v="0"/>
    <s v="CARRERA 32 CALLE 31"/>
    <n v="5.3359722222222219"/>
    <n v="-72.379891666666666"/>
    <s v="MOVILIDAD"/>
    <s v="URBANO"/>
    <x v="0"/>
    <s v="OCTUBRE"/>
    <d v="2022-10-25T00:00:00"/>
    <x v="6"/>
    <d v="1899-12-30T20:30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n v="24"/>
    <m/>
    <m/>
    <m/>
    <n v="21"/>
    <m/>
    <n v="123"/>
    <x v="21"/>
    <m/>
    <s v=""/>
    <x v="0"/>
  </r>
  <r>
    <n v="419"/>
    <x v="0"/>
    <n v="1"/>
    <n v="0"/>
    <x v="0"/>
    <s v="CARRERA 32 CALLE 53"/>
    <n v="5.3217355555555557"/>
    <n v="-72.368300277777777"/>
    <s v="MOVILIDAD"/>
    <s v="URBANO"/>
    <x v="1"/>
    <s v="FEBRERO"/>
    <d v="2023-02-18T00:00:00"/>
    <x v="5"/>
    <d v="1899-12-30T17:3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m/>
    <m/>
    <m/>
    <n v="7"/>
    <m/>
    <m/>
    <n v="139"/>
    <x v="0"/>
    <m/>
    <s v=""/>
    <x v="1"/>
  </r>
  <r>
    <n v="509"/>
    <x v="0"/>
    <n v="1"/>
    <n v="0"/>
    <x v="0"/>
    <s v="CARRERA 32B CALLE 30 "/>
    <n v="5.3372441666666663"/>
    <n v="-72.38002583333332"/>
    <s v="MOVILIDAD"/>
    <s v="URBANO"/>
    <x v="1"/>
    <s v="JUNIO"/>
    <d v="2023-06-18T00:00:00"/>
    <x v="2"/>
    <d v="1899-12-30T21:30:00"/>
    <s v="MOTOCICLETA"/>
    <s v="MOTOCICLETA"/>
    <n v="2"/>
    <n v="0"/>
    <n v="0"/>
    <n v="0"/>
    <n v="0"/>
    <n v="0"/>
    <n v="0"/>
    <n v="0"/>
    <n v="0"/>
    <n v="0"/>
    <n v="0"/>
    <n v="0"/>
    <m/>
    <s v="FEMENINO"/>
    <n v="0"/>
    <n v="1"/>
    <n v="17"/>
    <m/>
    <m/>
    <m/>
    <m/>
    <m/>
    <n v="139"/>
    <x v="0"/>
    <n v="115"/>
    <s v="Embriaguez o Sustancias alucinogenas"/>
    <x v="0"/>
  </r>
  <r>
    <n v="457"/>
    <x v="0"/>
    <n v="3"/>
    <n v="0"/>
    <x v="0"/>
    <s v="CARRERA 33 # 21 "/>
    <n v="5.3443941666666666"/>
    <n v="-72.384084722222227"/>
    <s v="MOVILIDAD"/>
    <s v="URBANO"/>
    <x v="1"/>
    <s v="ABRIL"/>
    <d v="2023-04-23T00:00:00"/>
    <x v="2"/>
    <d v="1899-12-30T19:00:00"/>
    <s v="MOTOCICLETA"/>
    <s v="AUTOMOVIL"/>
    <n v="1"/>
    <n v="0"/>
    <n v="1"/>
    <n v="0"/>
    <n v="0"/>
    <n v="0"/>
    <n v="0"/>
    <n v="0"/>
    <n v="0"/>
    <n v="0"/>
    <n v="0"/>
    <n v="0"/>
    <s v="MASCULINO"/>
    <s v="FEMENINO"/>
    <n v="1"/>
    <n v="1"/>
    <n v="27"/>
    <n v="32"/>
    <m/>
    <m/>
    <n v="26"/>
    <m/>
    <n v="112"/>
    <x v="4"/>
    <n v="139"/>
    <s v="Impericia en el manejo."/>
    <x v="0"/>
  </r>
  <r>
    <n v="475"/>
    <x v="0"/>
    <n v="0"/>
    <n v="1"/>
    <x v="2"/>
    <s v="CARRERA 33 # 21 "/>
    <n v="5.3443944444444442"/>
    <n v="-72.384084722222227"/>
    <s v="MOVILIDAD"/>
    <s v="URBANO"/>
    <x v="1"/>
    <s v="MAYO"/>
    <d v="2023-05-13T00:00:00"/>
    <x v="5"/>
    <d v="1899-12-30T08:10:00"/>
    <s v="MOTOCICLETA"/>
    <s v="CAMIONETA"/>
    <n v="1"/>
    <n v="0"/>
    <n v="0"/>
    <n v="0"/>
    <n v="1"/>
    <n v="0"/>
    <n v="0"/>
    <n v="0"/>
    <n v="0"/>
    <n v="0"/>
    <n v="0"/>
    <n v="0"/>
    <s v="MASCULINO"/>
    <m/>
    <n v="1"/>
    <n v="0"/>
    <m/>
    <m/>
    <m/>
    <m/>
    <m/>
    <n v="49"/>
    <n v="112"/>
    <x v="4"/>
    <n v="116"/>
    <s v="Exceso de velocidad"/>
    <x v="2"/>
  </r>
  <r>
    <n v="234"/>
    <x v="0"/>
    <n v="2"/>
    <n v="0"/>
    <x v="0"/>
    <s v="CARRERA 33 # CALLE 24"/>
    <n v="5.3421563888888883"/>
    <n v="-72.382546111111111"/>
    <s v="MOVILIDAD"/>
    <s v="URBANO"/>
    <x v="0"/>
    <s v="JUNIO"/>
    <d v="2022-06-18T00:00:00"/>
    <x v="5"/>
    <d v="1899-12-30T19:20:00"/>
    <s v="MOTOCICLETA"/>
    <m/>
    <n v="1"/>
    <n v="0"/>
    <n v="0"/>
    <n v="0"/>
    <n v="0"/>
    <n v="0"/>
    <n v="0"/>
    <n v="0"/>
    <n v="0"/>
    <n v="0"/>
    <n v="0"/>
    <n v="0"/>
    <m/>
    <s v="FEMENINO"/>
    <n v="0"/>
    <n v="1"/>
    <n v="33"/>
    <m/>
    <m/>
    <m/>
    <n v="40"/>
    <m/>
    <n v="306"/>
    <x v="30"/>
    <m/>
    <s v=""/>
    <x v="0"/>
  </r>
  <r>
    <n v="895"/>
    <x v="0"/>
    <n v="1"/>
    <n v="0"/>
    <x v="0"/>
    <s v="CARRERA 33 CALLE 30 "/>
    <n v="5.3376539999999997"/>
    <n v="-72.379295999999997"/>
    <s v="MOVILIDAD"/>
    <s v="URBANO"/>
    <x v="2"/>
    <s v="MARZO"/>
    <d v="2025-03-06T00:00:00"/>
    <x v="1"/>
    <d v="1899-12-30T14:10:00"/>
    <s v="CAMIONETA"/>
    <s v="MOTOCICLETA"/>
    <n v="1"/>
    <n v="0"/>
    <n v="0"/>
    <n v="0"/>
    <n v="1"/>
    <n v="0"/>
    <n v="0"/>
    <n v="0"/>
    <n v="0"/>
    <n v="0"/>
    <n v="0"/>
    <n v="0"/>
    <s v="MASCULINO"/>
    <s v="MASCULINO"/>
    <n v="2"/>
    <n v="0"/>
    <n v="38"/>
    <n v="20"/>
    <m/>
    <m/>
    <m/>
    <m/>
    <n v="112"/>
    <x v="4"/>
    <n v="139"/>
    <s v="Impericia en el manejo."/>
    <x v="1"/>
  </r>
  <r>
    <n v="917"/>
    <x v="0"/>
    <n v="1"/>
    <n v="0"/>
    <x v="0"/>
    <s v="CARRERA 33 CALLE 40 "/>
    <n v="5.331728"/>
    <n v="-72.376960999999994"/>
    <s v="MOVILIDAD"/>
    <s v="URBANO"/>
    <x v="2"/>
    <s v="MARZO"/>
    <d v="2025-03-28T00:00:00"/>
    <x v="0"/>
    <d v="1899-12-30T18:00:00"/>
    <s v="MOTOCICLETA"/>
    <s v="MICROBUS"/>
    <n v="1"/>
    <n v="0"/>
    <n v="0"/>
    <n v="0"/>
    <n v="0"/>
    <n v="1"/>
    <n v="0"/>
    <n v="0"/>
    <n v="0"/>
    <n v="0"/>
    <n v="0"/>
    <n v="0"/>
    <s v="MASCULINO"/>
    <s v="MASCULINO"/>
    <n v="2"/>
    <n v="0"/>
    <n v="20"/>
    <n v="33"/>
    <m/>
    <m/>
    <m/>
    <m/>
    <n v="139"/>
    <x v="0"/>
    <n v="122"/>
    <s v="Girar bruscamente."/>
    <x v="0"/>
  </r>
  <r>
    <n v="798"/>
    <x v="0"/>
    <n v="1"/>
    <n v="0"/>
    <x v="0"/>
    <s v="CARRERA 33A # CALLE 24 "/>
    <n v="5.330550555555555"/>
    <n v="-72.386280000000014"/>
    <s v="MOVILIDAD"/>
    <s v="URBANO"/>
    <x v="3"/>
    <s v="OCTUBRE"/>
    <d v="2024-10-24T00:00:00"/>
    <x v="1"/>
    <d v="1899-12-30T18:30:00"/>
    <s v="MOTOCICLETA"/>
    <s v="CAMIONETA"/>
    <n v="1"/>
    <n v="0"/>
    <n v="0"/>
    <n v="0"/>
    <n v="1"/>
    <n v="0"/>
    <n v="0"/>
    <n v="0"/>
    <n v="0"/>
    <n v="0"/>
    <n v="0"/>
    <n v="0"/>
    <s v="MASCULINO"/>
    <s v="FEMENINO"/>
    <n v="1"/>
    <n v="1"/>
    <n v="17"/>
    <n v="51"/>
    <m/>
    <m/>
    <m/>
    <m/>
    <n v="157"/>
    <x v="1"/>
    <n v="112"/>
    <s v="Desobedecer señales o normas de tránsito."/>
    <x v="0"/>
  </r>
  <r>
    <n v="737"/>
    <x v="0"/>
    <n v="2"/>
    <n v="0"/>
    <x v="0"/>
    <s v="CARRERA 33A CALLE 30 "/>
    <n v="5.337783611111111"/>
    <n v="-72.379299722222214"/>
    <s v="MOVILIDAD"/>
    <s v="URBANO"/>
    <x v="3"/>
    <s v="JUNIO"/>
    <d v="2024-06-30T00:00:00"/>
    <x v="2"/>
    <d v="1899-12-30T18:3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34"/>
    <n v="19"/>
    <n v="36"/>
    <m/>
    <m/>
    <m/>
    <n v="114"/>
    <x v="5"/>
    <n v="139"/>
    <s v="Impericia en el manejo."/>
    <x v="0"/>
  </r>
  <r>
    <n v="345"/>
    <x v="0"/>
    <n v="1"/>
    <n v="0"/>
    <x v="0"/>
    <s v="CARRERA 34 CALLE 34"/>
    <n v="5.3428305555555555"/>
    <n v="-72.381627777777766"/>
    <s v="MOVILIDAD"/>
    <s v="URBANO"/>
    <x v="0"/>
    <s v="OCTUBRE"/>
    <d v="2022-10-29T00:00:00"/>
    <x v="5"/>
    <d v="1899-12-30T09:28:00"/>
    <s v="AUTOMOVIL"/>
    <s v="CAMIONETA"/>
    <n v="0"/>
    <n v="0"/>
    <n v="1"/>
    <n v="0"/>
    <n v="1"/>
    <n v="0"/>
    <n v="0"/>
    <n v="0"/>
    <n v="0"/>
    <n v="0"/>
    <n v="0"/>
    <n v="0"/>
    <s v="MASCULINO"/>
    <m/>
    <n v="1"/>
    <n v="0"/>
    <n v="65"/>
    <m/>
    <m/>
    <m/>
    <m/>
    <m/>
    <n v="123"/>
    <x v="21"/>
    <m/>
    <s v=""/>
    <x v="2"/>
  </r>
  <r>
    <n v="435"/>
    <x v="0"/>
    <n v="2"/>
    <n v="0"/>
    <x v="0"/>
    <s v="CARRERA 35 CALLE 29"/>
    <n v="5.3387947222222216"/>
    <n v="-72.37844166666666"/>
    <s v="MOVILIDAD"/>
    <s v="URBANO"/>
    <x v="1"/>
    <s v="MARZO"/>
    <d v="2023-03-19T00:00:00"/>
    <x v="2"/>
    <d v="1899-12-30T04:3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27"/>
    <n v="38"/>
    <m/>
    <m/>
    <m/>
    <m/>
    <n v="157"/>
    <x v="1"/>
    <m/>
    <s v=""/>
    <x v="2"/>
  </r>
  <r>
    <n v="595"/>
    <x v="0"/>
    <n v="0"/>
    <n v="1"/>
    <x v="2"/>
    <s v="CARRERA 35A CALLE 30"/>
    <n v="5.3381769999999999"/>
    <n v="-72.378386000000006"/>
    <s v="MOVILIDAD"/>
    <s v="URBANO"/>
    <x v="1"/>
    <s v="OCTUBRE"/>
    <d v="2023-10-29T00:00:00"/>
    <x v="2"/>
    <d v="1899-12-30T00:00:00"/>
    <s v="SIN INFORMACION"/>
    <m/>
    <n v="0"/>
    <n v="0"/>
    <n v="0"/>
    <n v="0"/>
    <n v="0"/>
    <n v="0"/>
    <n v="0"/>
    <n v="0"/>
    <n v="0"/>
    <n v="0"/>
    <n v="0"/>
    <n v="0"/>
    <m/>
    <m/>
    <n v="0"/>
    <n v="0"/>
    <m/>
    <m/>
    <m/>
    <m/>
    <m/>
    <m/>
    <n v="1"/>
    <x v="3"/>
    <m/>
    <s v=""/>
    <x v="2"/>
  </r>
  <r>
    <n v="128"/>
    <x v="0"/>
    <n v="1"/>
    <n v="0"/>
    <x v="0"/>
    <s v="CARRERA 36 # CALLE 24"/>
    <n v="5.3432777777777778"/>
    <n v="-72.38069722222221"/>
    <s v="MOVILIDAD"/>
    <s v="URBANO"/>
    <x v="0"/>
    <s v="ABRIL"/>
    <d v="2022-04-10T00:00:00"/>
    <x v="2"/>
    <d v="1899-12-30T09:40:00"/>
    <s v="MOTOCICLETA"/>
    <s v="CAMION"/>
    <n v="1"/>
    <n v="0"/>
    <n v="0"/>
    <n v="0"/>
    <n v="0"/>
    <n v="0"/>
    <n v="0"/>
    <n v="0"/>
    <n v="1"/>
    <n v="0"/>
    <n v="0"/>
    <n v="0"/>
    <s v="MASCULINO"/>
    <m/>
    <n v="1"/>
    <n v="0"/>
    <n v="25"/>
    <m/>
    <m/>
    <m/>
    <m/>
    <m/>
    <n v="112"/>
    <x v="4"/>
    <n v="139"/>
    <s v="Impericia en el manejo."/>
    <x v="2"/>
  </r>
  <r>
    <n v="754"/>
    <x v="1"/>
    <n v="0"/>
    <n v="0"/>
    <x v="1"/>
    <s v="CARRERA 36 CALLE 30  "/>
    <n v="5.3387647222222219"/>
    <n v="-72.377724444444439"/>
    <s v="MOVILIDAD"/>
    <s v="URBANO"/>
    <x v="3"/>
    <s v="JULIO"/>
    <d v="2024-07-29T00:00:00"/>
    <x v="4"/>
    <d v="1899-12-30T17:30:00"/>
    <s v="MOTOCICLETA"/>
    <s v="BICICLETA"/>
    <n v="1"/>
    <n v="0"/>
    <n v="0"/>
    <n v="0"/>
    <n v="0"/>
    <n v="0"/>
    <n v="0"/>
    <n v="0"/>
    <n v="0"/>
    <n v="0"/>
    <n v="0"/>
    <n v="1"/>
    <s v="MASCULINO"/>
    <s v="FEMENINO"/>
    <n v="1"/>
    <n v="1"/>
    <n v="49"/>
    <n v="27"/>
    <m/>
    <m/>
    <m/>
    <m/>
    <n v="112"/>
    <x v="4"/>
    <n v="157"/>
    <s v="Otra"/>
    <x v="1"/>
  </r>
  <r>
    <n v="586"/>
    <x v="0"/>
    <n v="2"/>
    <n v="0"/>
    <x v="0"/>
    <s v="CARRERA 37 # 40 "/>
    <n v="5.3336888888888883"/>
    <n v="-72.374499999999998"/>
    <s v="MOVILIDAD"/>
    <s v="URBANO"/>
    <x v="1"/>
    <s v="OCTUBRE"/>
    <d v="2023-10-28T00:00:00"/>
    <x v="5"/>
    <d v="1899-12-30T17:50:00"/>
    <s v="MOTOCICLETA"/>
    <s v="AUTOMOVIL"/>
    <n v="1"/>
    <n v="0"/>
    <n v="1"/>
    <n v="0"/>
    <n v="0"/>
    <n v="0"/>
    <n v="0"/>
    <n v="0"/>
    <n v="0"/>
    <n v="0"/>
    <n v="0"/>
    <n v="0"/>
    <s v="MASCULINO"/>
    <s v="FEMENINO"/>
    <n v="1"/>
    <n v="1"/>
    <n v="45"/>
    <m/>
    <m/>
    <m/>
    <n v="16"/>
    <m/>
    <n v="157"/>
    <x v="1"/>
    <m/>
    <s v=""/>
    <x v="1"/>
  </r>
  <r>
    <n v="925"/>
    <x v="0"/>
    <n v="3"/>
    <n v="0"/>
    <x v="0"/>
    <s v="CARRERA 37 # 40 "/>
    <n v="5.3336888888888883"/>
    <n v="-72.374499999999998"/>
    <s v="MOVILIDAD"/>
    <s v="URBANO"/>
    <x v="2"/>
    <s v="ABRIL"/>
    <d v="2025-04-04T00:00:00"/>
    <x v="0"/>
    <d v="1899-12-30T17:10:00"/>
    <s v="MOTOCICLETA"/>
    <s v="MOTOCICLETA"/>
    <n v="2"/>
    <n v="0"/>
    <n v="0"/>
    <n v="0"/>
    <n v="0"/>
    <n v="0"/>
    <n v="0"/>
    <n v="0"/>
    <n v="0"/>
    <n v="0"/>
    <n v="0"/>
    <n v="0"/>
    <s v="MASCULINO"/>
    <s v="MASCULINO"/>
    <n v="2"/>
    <n v="0"/>
    <n v="42"/>
    <n v="54"/>
    <m/>
    <m/>
    <m/>
    <m/>
    <n v="139"/>
    <x v="0"/>
    <n v="132"/>
    <s v="No respetar prelación."/>
    <x v="1"/>
  </r>
  <r>
    <n v="404"/>
    <x v="0"/>
    <n v="2"/>
    <n v="0"/>
    <x v="0"/>
    <s v="CARRERA 37 CALLE 30"/>
    <n v="5.3387997222222223"/>
    <n v="-72.377483333333331"/>
    <s v="MOVILIDAD"/>
    <s v="URBANO"/>
    <x v="1"/>
    <s v="FEBRERO"/>
    <d v="2023-02-03T00:00:00"/>
    <x v="0"/>
    <d v="1899-12-30T23:30:00"/>
    <s v="MOTOCICLETA"/>
    <s v="CAMPERO"/>
    <n v="1"/>
    <n v="0"/>
    <n v="0"/>
    <n v="1"/>
    <n v="0"/>
    <n v="0"/>
    <n v="0"/>
    <n v="0"/>
    <n v="0"/>
    <n v="0"/>
    <n v="0"/>
    <n v="0"/>
    <s v="MASCULINO"/>
    <m/>
    <n v="1"/>
    <n v="0"/>
    <n v="21"/>
    <n v="80"/>
    <m/>
    <m/>
    <m/>
    <m/>
    <n v="1"/>
    <x v="3"/>
    <m/>
    <s v=""/>
    <x v="0"/>
  </r>
  <r>
    <n v="220"/>
    <x v="0"/>
    <n v="1"/>
    <n v="0"/>
    <x v="0"/>
    <s v="CARRERA 38 CALLE 40"/>
    <n v="5.3333944444444441"/>
    <n v="-72.374738888888885"/>
    <s v="MOVILIDAD"/>
    <s v="URBANO"/>
    <x v="0"/>
    <s v="JUNIO"/>
    <d v="2022-06-16T00:00:00"/>
    <x v="1"/>
    <d v="1899-12-30T19:10:00"/>
    <s v="AUTOMOVIL"/>
    <s v="BICICLETA"/>
    <n v="0"/>
    <n v="0"/>
    <n v="1"/>
    <n v="0"/>
    <n v="0"/>
    <n v="0"/>
    <n v="0"/>
    <n v="0"/>
    <n v="0"/>
    <n v="0"/>
    <n v="0"/>
    <n v="1"/>
    <s v="MASCULINO"/>
    <m/>
    <n v="1"/>
    <n v="0"/>
    <n v="29"/>
    <m/>
    <m/>
    <m/>
    <m/>
    <m/>
    <n v="115"/>
    <x v="12"/>
    <n v="93"/>
    <s v="Transitar distante de la acera u orilla de la calzada."/>
    <x v="0"/>
  </r>
  <r>
    <n v="1064"/>
    <x v="0"/>
    <n v="1"/>
    <n v="0"/>
    <x v="0"/>
    <s v="CARRERA 3A # CALLE 8A MORICHAL"/>
    <n v="5.2289289999999999"/>
    <n v="-72.388918000000004"/>
    <s v="MOVILIDAD"/>
    <s v="RURAL"/>
    <x v="2"/>
    <s v="SEPTIEMBRE"/>
    <d v="2025-09-11T00:00:00"/>
    <x v="1"/>
    <d v="1899-12-30T17:35:00"/>
    <s v="MOTOCICLETA"/>
    <m/>
    <n v="1"/>
    <n v="0"/>
    <n v="0"/>
    <n v="0"/>
    <n v="0"/>
    <n v="0"/>
    <n v="0"/>
    <n v="0"/>
    <n v="0"/>
    <n v="0"/>
    <n v="0"/>
    <n v="0"/>
    <s v="FEMENINO"/>
    <s v="MASCULINO"/>
    <n v="1"/>
    <n v="1"/>
    <n v="15"/>
    <n v="7"/>
    <m/>
    <m/>
    <m/>
    <m/>
    <n v="139"/>
    <x v="0"/>
    <n v="157"/>
    <s v="Otra"/>
    <x v="1"/>
  </r>
  <r>
    <n v="420"/>
    <x v="0"/>
    <n v="0"/>
    <n v="1"/>
    <x v="2"/>
    <s v="CARRERA 3A CALLE 60"/>
    <n v="5.3015852777777779"/>
    <n v="-72.408192777777785"/>
    <s v="MOVILIDAD"/>
    <s v="URBANO"/>
    <x v="1"/>
    <s v="FEBRERO"/>
    <d v="2023-02-26T00:00:00"/>
    <x v="2"/>
    <d v="1899-12-30T03:20:00"/>
    <s v="MOTOCICLETA"/>
    <m/>
    <n v="1"/>
    <n v="0"/>
    <n v="0"/>
    <n v="0"/>
    <n v="0"/>
    <n v="0"/>
    <n v="0"/>
    <n v="0"/>
    <n v="0"/>
    <n v="0"/>
    <n v="0"/>
    <n v="0"/>
    <s v="MASCULINO"/>
    <s v="FEMENINO"/>
    <n v="1"/>
    <n v="1"/>
    <m/>
    <m/>
    <m/>
    <m/>
    <m/>
    <n v="31"/>
    <n v="114"/>
    <x v="5"/>
    <n v="116"/>
    <s v="Exceso de velocidad"/>
    <x v="2"/>
  </r>
  <r>
    <n v="244"/>
    <x v="0"/>
    <n v="1"/>
    <n v="1"/>
    <x v="2"/>
    <s v="CARRERA 4 # 60"/>
    <n v="5.3015472222222222"/>
    <n v="-72.40721111111111"/>
    <s v="MOVILIDAD"/>
    <s v="URBANO"/>
    <x v="0"/>
    <s v="JULIO"/>
    <d v="2022-07-07T00:00:00"/>
    <x v="1"/>
    <d v="1899-12-30T14:25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17"/>
    <m/>
    <m/>
    <m/>
    <m/>
    <n v="63"/>
    <n v="139"/>
    <x v="0"/>
    <m/>
    <s v=""/>
    <x v="1"/>
  </r>
  <r>
    <n v="103"/>
    <x v="0"/>
    <n v="3"/>
    <n v="0"/>
    <x v="0"/>
    <s v="CARRERA 4 # 60"/>
    <n v="5.3015472222222222"/>
    <n v="-72.40721111111111"/>
    <s v="MOVILIDAD"/>
    <s v="URBANO"/>
    <x v="0"/>
    <s v="MARZO"/>
    <d v="2022-03-27T00:00:00"/>
    <x v="2"/>
    <d v="1899-12-30T19:00:00"/>
    <s v="MOTOCICLETA"/>
    <s v="BICICLETA"/>
    <n v="1"/>
    <n v="0"/>
    <n v="0"/>
    <n v="0"/>
    <n v="0"/>
    <n v="0"/>
    <n v="0"/>
    <n v="0"/>
    <n v="0"/>
    <n v="0"/>
    <n v="0"/>
    <n v="1"/>
    <m/>
    <s v="FEMENINO"/>
    <n v="0"/>
    <n v="1"/>
    <n v="45"/>
    <n v="22"/>
    <m/>
    <m/>
    <n v="56"/>
    <m/>
    <n v="115"/>
    <x v="12"/>
    <m/>
    <s v=""/>
    <x v="0"/>
  </r>
  <r>
    <n v="526"/>
    <x v="0"/>
    <n v="2"/>
    <n v="0"/>
    <x v="0"/>
    <s v="CARRERA 4 CALLE 60  "/>
    <n v="5.3015472222222222"/>
    <n v="-72.40721111111111"/>
    <s v="MOVILIDAD"/>
    <s v="URBANO"/>
    <x v="1"/>
    <s v="JULIO"/>
    <d v="2023-07-29T00:00:00"/>
    <x v="5"/>
    <d v="1899-12-30T22:03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n v="46"/>
    <m/>
    <m/>
    <m/>
    <n v="15"/>
    <m/>
    <n v="139"/>
    <x v="0"/>
    <n v="124"/>
    <s v="No cambiar luces."/>
    <x v="0"/>
  </r>
  <r>
    <n v="525"/>
    <x v="0"/>
    <n v="2"/>
    <n v="0"/>
    <x v="0"/>
    <s v="CARRERA 40 # 30 "/>
    <n v="5.3399916666666662"/>
    <n v="-72.375622222222219"/>
    <s v="MOVILIDAD"/>
    <s v="URBANO"/>
    <x v="1"/>
    <s v="JULIO"/>
    <d v="2023-07-29T00:00:00"/>
    <x v="5"/>
    <d v="1899-12-30T21:55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n v="37"/>
    <m/>
    <m/>
    <m/>
    <n v="35"/>
    <m/>
    <n v="157"/>
    <x v="1"/>
    <n v="114"/>
    <s v="Embriaguez aparente."/>
    <x v="0"/>
  </r>
  <r>
    <n v="535"/>
    <x v="0"/>
    <n v="2"/>
    <n v="0"/>
    <x v="0"/>
    <s v="CARRERA 40 # 30 "/>
    <n v="5.3399916666666662"/>
    <n v="-72.375622222222219"/>
    <s v="MOVILIDAD"/>
    <s v="URBANO"/>
    <x v="1"/>
    <s v="AGOSTO"/>
    <d v="2023-08-17T00:00:00"/>
    <x v="1"/>
    <d v="1899-12-30T16:0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16"/>
    <m/>
    <m/>
    <m/>
    <n v="15"/>
    <m/>
    <n v="139"/>
    <x v="0"/>
    <n v="112"/>
    <s v="Desobedecer señales o normas de tránsito."/>
    <x v="1"/>
  </r>
  <r>
    <n v="761"/>
    <x v="0"/>
    <n v="1"/>
    <n v="0"/>
    <x v="0"/>
    <s v="CARRERA 40 # 30 "/>
    <n v="5.3399916666666662"/>
    <n v="-72.375622222222219"/>
    <s v="MOVILIDAD"/>
    <s v="URBANO"/>
    <x v="3"/>
    <s v="AGOSTO"/>
    <d v="2024-08-10T00:00:00"/>
    <x v="5"/>
    <d v="1899-12-30T12:30:00"/>
    <s v="MOTOCICLETA"/>
    <s v="CAMIONETA"/>
    <n v="1"/>
    <n v="0"/>
    <n v="0"/>
    <n v="0"/>
    <n v="1"/>
    <n v="0"/>
    <n v="0"/>
    <n v="0"/>
    <n v="0"/>
    <n v="0"/>
    <n v="0"/>
    <n v="0"/>
    <s v="MASCULINO"/>
    <m/>
    <n v="1"/>
    <n v="0"/>
    <n v="20"/>
    <n v="42"/>
    <m/>
    <m/>
    <m/>
    <m/>
    <n v="112"/>
    <x v="4"/>
    <n v="157"/>
    <s v="Otra"/>
    <x v="1"/>
  </r>
  <r>
    <n v="577"/>
    <x v="0"/>
    <n v="0"/>
    <n v="1"/>
    <x v="2"/>
    <s v="CARRERA 40 # 30 "/>
    <n v="5.3399916666666662"/>
    <n v="-72.375622222222219"/>
    <s v="MOVILIDAD"/>
    <s v="URBANO"/>
    <x v="1"/>
    <s v="OCTUBRE"/>
    <d v="2023-10-17T00:00:00"/>
    <x v="6"/>
    <d v="1899-12-30T01:14:00"/>
    <s v="MOTOCICLETA"/>
    <m/>
    <n v="1"/>
    <n v="0"/>
    <n v="0"/>
    <n v="0"/>
    <n v="0"/>
    <n v="0"/>
    <n v="0"/>
    <n v="0"/>
    <n v="0"/>
    <n v="0"/>
    <n v="0"/>
    <n v="0"/>
    <m/>
    <s v="FEMENINO"/>
    <n v="0"/>
    <n v="1"/>
    <m/>
    <m/>
    <m/>
    <m/>
    <m/>
    <m/>
    <n v="1"/>
    <x v="3"/>
    <m/>
    <s v=""/>
    <x v="2"/>
  </r>
  <r>
    <n v="486"/>
    <x v="0"/>
    <n v="1"/>
    <n v="1"/>
    <x v="2"/>
    <s v="CARRERA 40 # 30 "/>
    <n v="5.3399916666666662"/>
    <n v="-72.375622222222219"/>
    <s v="MOVILIDAD"/>
    <s v="URBANO"/>
    <x v="1"/>
    <s v="MAYO"/>
    <d v="2023-05-29T00:00:00"/>
    <x v="4"/>
    <d v="1899-12-30T08:4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m/>
    <m/>
    <m/>
    <m/>
    <n v="28"/>
    <n v="64"/>
    <n v="1"/>
    <x v="3"/>
    <m/>
    <s v=""/>
    <x v="2"/>
  </r>
  <r>
    <n v="308"/>
    <x v="0"/>
    <n v="1"/>
    <n v="0"/>
    <x v="0"/>
    <s v="CARRERA 40 # 40"/>
    <n v="5.3348411111111105"/>
    <n v="-72.372863055555555"/>
    <s v="MOVILIDAD"/>
    <s v="URBANO"/>
    <x v="0"/>
    <s v="SEPTIEMBRE"/>
    <d v="2022-09-09T00:00:00"/>
    <x v="0"/>
    <d v="1899-12-30T13:0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20"/>
    <m/>
    <m/>
    <m/>
    <m/>
    <m/>
    <n v="123"/>
    <x v="21"/>
    <n v="139"/>
    <s v="Impericia en el manejo."/>
    <x v="1"/>
  </r>
  <r>
    <n v="367"/>
    <x v="0"/>
    <n v="1"/>
    <n v="0"/>
    <x v="0"/>
    <s v="CARRERA 40 # 40"/>
    <n v="5.3348411111111105"/>
    <n v="-72.372863055555555"/>
    <s v="MOVILIDAD"/>
    <s v="URBANO"/>
    <x v="0"/>
    <s v="DICIEMBRE"/>
    <d v="2022-12-03T00:00:00"/>
    <x v="5"/>
    <d v="1899-12-30T12:25:00"/>
    <s v="MOTOCICLETA"/>
    <s v="CAMIONETA"/>
    <n v="1"/>
    <n v="0"/>
    <n v="0"/>
    <n v="0"/>
    <n v="1"/>
    <n v="0"/>
    <n v="0"/>
    <n v="0"/>
    <n v="0"/>
    <n v="0"/>
    <n v="0"/>
    <n v="0"/>
    <s v="MASCULINO"/>
    <m/>
    <n v="1"/>
    <n v="0"/>
    <n v="22"/>
    <m/>
    <m/>
    <m/>
    <m/>
    <m/>
    <n v="123"/>
    <x v="21"/>
    <n v="139"/>
    <s v="Impericia en el manejo."/>
    <x v="1"/>
  </r>
  <r>
    <n v="331"/>
    <x v="0"/>
    <n v="0"/>
    <n v="1"/>
    <x v="2"/>
    <s v="CARRERA 40 # 40"/>
    <n v="5.3348411111111105"/>
    <n v="-72.372863055555555"/>
    <s v="MOVILIDAD"/>
    <s v="URBANO"/>
    <x v="0"/>
    <s v="OCTUBRE"/>
    <d v="2022-10-13T00:00:00"/>
    <x v="1"/>
    <d v="1899-12-30T13:50:00"/>
    <s v="MOTOCICLETA"/>
    <s v="CAMION"/>
    <n v="1"/>
    <n v="0"/>
    <n v="0"/>
    <n v="0"/>
    <n v="0"/>
    <n v="0"/>
    <n v="0"/>
    <n v="0"/>
    <n v="1"/>
    <n v="0"/>
    <n v="0"/>
    <n v="0"/>
    <s v="MASCULINO"/>
    <s v="FEMENINO"/>
    <n v="1"/>
    <n v="1"/>
    <m/>
    <m/>
    <m/>
    <m/>
    <m/>
    <n v="75"/>
    <n v="112"/>
    <x v="4"/>
    <n v="116"/>
    <s v="Exceso de velocidad"/>
    <x v="1"/>
  </r>
  <r>
    <n v="813"/>
    <x v="0"/>
    <n v="1"/>
    <n v="0"/>
    <x v="0"/>
    <s v="CARRERA 40 CALLE 40 "/>
    <n v="5.3348411111111105"/>
    <n v="-72.372863055555555"/>
    <s v="MOVILIDAD"/>
    <s v="URBANO"/>
    <x v="3"/>
    <s v="NOVIEMBRE"/>
    <d v="2024-11-12T00:00:00"/>
    <x v="6"/>
    <d v="1899-12-30T08:15:00"/>
    <s v="MOTOCICLETA"/>
    <s v="CAMIONETA"/>
    <n v="1"/>
    <n v="0"/>
    <n v="0"/>
    <n v="0"/>
    <n v="1"/>
    <n v="0"/>
    <n v="0"/>
    <n v="0"/>
    <n v="0"/>
    <n v="0"/>
    <n v="0"/>
    <n v="0"/>
    <s v="MASCULINO"/>
    <s v="FEMENINO"/>
    <n v="1"/>
    <n v="1"/>
    <n v="23"/>
    <n v="44"/>
    <m/>
    <m/>
    <m/>
    <m/>
    <n v="121"/>
    <x v="7"/>
    <m/>
    <s v=""/>
    <x v="2"/>
  </r>
  <r>
    <n v="569"/>
    <x v="1"/>
    <n v="0"/>
    <n v="0"/>
    <x v="1"/>
    <s v="CARRERA 43 CALLE 30 "/>
    <n v="5.3416399999999999"/>
    <n v="-72.372989166666656"/>
    <s v="MOVILIDAD"/>
    <s v="URBANO"/>
    <x v="1"/>
    <s v="OCTUBRE"/>
    <d v="2023-10-07T00:00:00"/>
    <x v="5"/>
    <d v="1899-12-30T22:0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m/>
    <m/>
    <m/>
    <m/>
    <m/>
    <m/>
    <n v="115"/>
    <x v="12"/>
    <n v="127"/>
    <s v="Transitar en contravía."/>
    <x v="0"/>
  </r>
  <r>
    <n v="205"/>
    <x v="0"/>
    <n v="1"/>
    <n v="1"/>
    <x v="2"/>
    <s v="CARRERA 43 CALLE 40"/>
    <n v="5.3369333333333326"/>
    <n v="-72.369794444444437"/>
    <s v="MOVILIDAD"/>
    <s v="URBANO"/>
    <x v="0"/>
    <s v="JUNIO"/>
    <d v="2022-06-04T00:00:00"/>
    <x v="5"/>
    <d v="1899-12-30T13:40:00"/>
    <s v="MOTOCICLETA"/>
    <s v="MOTOCICLETA"/>
    <n v="2"/>
    <n v="0"/>
    <n v="0"/>
    <n v="0"/>
    <n v="0"/>
    <n v="0"/>
    <n v="0"/>
    <n v="0"/>
    <n v="0"/>
    <n v="0"/>
    <n v="0"/>
    <n v="0"/>
    <m/>
    <s v="FEMENINO"/>
    <n v="0"/>
    <n v="1"/>
    <n v="14"/>
    <m/>
    <m/>
    <m/>
    <m/>
    <n v="29"/>
    <n v="139"/>
    <x v="0"/>
    <n v="157"/>
    <s v="Otra"/>
    <x v="1"/>
  </r>
  <r>
    <n v="702"/>
    <x v="0"/>
    <n v="1"/>
    <n v="0"/>
    <x v="0"/>
    <s v="CARRERA 4A CALLE 60 "/>
    <n v="5.3015549999999996"/>
    <n v="-72.407218888888892"/>
    <s v="MOVILIDAD"/>
    <s v="URBANO"/>
    <x v="3"/>
    <s v="MAYO"/>
    <d v="2024-05-01T00:00:00"/>
    <x v="3"/>
    <d v="1899-12-30T15:20:00"/>
    <s v="MOTOCICLETA"/>
    <m/>
    <n v="1"/>
    <n v="0"/>
    <n v="0"/>
    <n v="0"/>
    <n v="0"/>
    <n v="0"/>
    <n v="0"/>
    <n v="0"/>
    <n v="0"/>
    <n v="0"/>
    <n v="0"/>
    <n v="0"/>
    <s v="MASCULINO"/>
    <s v="FEMENINO"/>
    <n v="1"/>
    <n v="1"/>
    <n v="30"/>
    <n v="32"/>
    <m/>
    <m/>
    <m/>
    <m/>
    <n v="115"/>
    <x v="12"/>
    <m/>
    <s v=""/>
    <x v="1"/>
  </r>
  <r>
    <n v="460"/>
    <x v="0"/>
    <n v="3"/>
    <n v="0"/>
    <x v="0"/>
    <s v="CARRERA 5   # 24-37"/>
    <n v="5.3306138888888883"/>
    <n v="-72.409179166666675"/>
    <s v="MOVILIDAD"/>
    <s v="URBANO"/>
    <x v="1"/>
    <s v="ABRIL"/>
    <d v="2023-04-24T00:00:00"/>
    <x v="4"/>
    <d v="1899-12-30T13:45:00"/>
    <s v="MOTOCICLETA"/>
    <s v="CAMION"/>
    <n v="1"/>
    <n v="0"/>
    <n v="0"/>
    <n v="0"/>
    <n v="0"/>
    <n v="0"/>
    <n v="0"/>
    <n v="0"/>
    <n v="1"/>
    <n v="0"/>
    <n v="0"/>
    <n v="0"/>
    <s v="MASCULINO"/>
    <s v="FEMENINO"/>
    <n v="1"/>
    <n v="1"/>
    <n v="29"/>
    <n v="43"/>
    <m/>
    <m/>
    <n v="19"/>
    <m/>
    <n v="139"/>
    <x v="0"/>
    <n v="121"/>
    <s v="No mantener distancia de seguridad."/>
    <x v="1"/>
  </r>
  <r>
    <n v="551"/>
    <x v="1"/>
    <n v="0"/>
    <n v="0"/>
    <x v="1"/>
    <s v="CARRERA 5   # 25 - 13"/>
    <n v="5.3290411111111107"/>
    <n v="-72.408624166666669"/>
    <s v="MOVILIDAD"/>
    <s v="URBANO"/>
    <x v="1"/>
    <s v="SEPTIEMBRE"/>
    <d v="2023-09-06T00:00:00"/>
    <x v="3"/>
    <d v="1899-12-30T15:4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m/>
    <m/>
    <m/>
    <m/>
    <m/>
    <m/>
    <n v="1"/>
    <x v="3"/>
    <m/>
    <s v=""/>
    <x v="1"/>
  </r>
  <r>
    <n v="132"/>
    <x v="0"/>
    <n v="2"/>
    <n v="0"/>
    <x v="0"/>
    <s v="CARRERA 5  # 26-80"/>
    <n v="5.3279111111111108"/>
    <n v="-72.40784722222223"/>
    <s v="MOVILIDAD"/>
    <s v="URBANO"/>
    <x v="0"/>
    <s v="ABRIL"/>
    <d v="2022-04-13T00:00:00"/>
    <x v="3"/>
    <d v="1899-12-30T18:3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18"/>
    <m/>
    <m/>
    <n v="72"/>
    <m/>
    <m/>
    <n v="409"/>
    <x v="19"/>
    <n v="411"/>
    <s v="Otra"/>
    <x v="0"/>
  </r>
  <r>
    <n v="1"/>
    <x v="1"/>
    <n v="0"/>
    <n v="0"/>
    <x v="1"/>
    <s v="CARRERA 5  # 29-57"/>
    <n v="5.3261722222222216"/>
    <n v="-72.405894444444456"/>
    <s v="MOVILIDAD"/>
    <s v="URBANO"/>
    <x v="0"/>
    <s v="ENERO"/>
    <d v="2022-01-01T00:00:00"/>
    <x v="5"/>
    <d v="1899-12-30T07:30:00"/>
    <s v="AUTOMOVIL"/>
    <m/>
    <n v="0"/>
    <n v="0"/>
    <n v="1"/>
    <n v="0"/>
    <n v="0"/>
    <n v="0"/>
    <n v="0"/>
    <n v="0"/>
    <n v="0"/>
    <n v="0"/>
    <n v="0"/>
    <n v="0"/>
    <s v="MASCULINO"/>
    <m/>
    <n v="1"/>
    <n v="0"/>
    <m/>
    <m/>
    <m/>
    <m/>
    <m/>
    <m/>
    <n v="157"/>
    <x v="1"/>
    <m/>
    <s v=""/>
    <x v="2"/>
  </r>
  <r>
    <n v="531"/>
    <x v="0"/>
    <n v="1"/>
    <n v="0"/>
    <x v="0"/>
    <s v="CARRERA 5  # 40-30"/>
    <n v="5.3180249999999996"/>
    <n v="-72.404613888888889"/>
    <s v="MOVILIDAD"/>
    <s v="URBANO"/>
    <x v="1"/>
    <s v="AGOSTO"/>
    <d v="2023-08-12T00:00:00"/>
    <x v="5"/>
    <d v="1899-12-30T20:0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32"/>
    <m/>
    <m/>
    <m/>
    <m/>
    <m/>
    <n v="114"/>
    <x v="5"/>
    <m/>
    <s v=""/>
    <x v="0"/>
  </r>
  <r>
    <n v="703"/>
    <x v="0"/>
    <n v="0"/>
    <n v="1"/>
    <x v="2"/>
    <s v="CARRERA 5  # 58-110"/>
    <n v="5.3050880555555553"/>
    <n v="-72.403369722222223"/>
    <s v="MOVILIDAD"/>
    <s v="URBANO"/>
    <x v="3"/>
    <s v="MAYO"/>
    <d v="2024-05-04T00:00:00"/>
    <x v="5"/>
    <d v="1899-12-30T22:02:00"/>
    <s v="MOTOCICLETA"/>
    <s v="AUTOMOVIL"/>
    <n v="1"/>
    <n v="0"/>
    <n v="1"/>
    <n v="0"/>
    <n v="0"/>
    <n v="0"/>
    <n v="0"/>
    <n v="0"/>
    <n v="0"/>
    <n v="0"/>
    <n v="0"/>
    <n v="0"/>
    <s v="MASCULINO"/>
    <s v="FEMENINO"/>
    <n v="1"/>
    <n v="1"/>
    <n v="25"/>
    <m/>
    <m/>
    <m/>
    <m/>
    <n v="45"/>
    <n v="127"/>
    <x v="18"/>
    <n v="157"/>
    <s v="Otra"/>
    <x v="0"/>
  </r>
  <r>
    <n v="647"/>
    <x v="0"/>
    <n v="1"/>
    <n v="0"/>
    <x v="0"/>
    <s v="CARRERA 5  CALLE 51"/>
    <n v="5.3079499999999999"/>
    <n v="-72.403652777777779"/>
    <s v="MOVILIDAD"/>
    <s v="URBANO"/>
    <x v="3"/>
    <s v="ENERO"/>
    <d v="2024-01-20T00:00:00"/>
    <x v="5"/>
    <d v="1899-12-30T16:50:00"/>
    <s v="TRACTOCAMION"/>
    <s v="MOTOCICLETA"/>
    <n v="1"/>
    <n v="0"/>
    <n v="0"/>
    <n v="0"/>
    <n v="0"/>
    <n v="0"/>
    <n v="0"/>
    <n v="0"/>
    <n v="0"/>
    <n v="1"/>
    <n v="0"/>
    <n v="0"/>
    <s v="MASCULINO"/>
    <m/>
    <n v="1"/>
    <n v="0"/>
    <n v="41"/>
    <n v="30"/>
    <m/>
    <m/>
    <m/>
    <m/>
    <n v="114"/>
    <x v="5"/>
    <n v="139"/>
    <s v="Impericia en el manejo."/>
    <x v="1"/>
  </r>
  <r>
    <n v="814"/>
    <x v="0"/>
    <n v="1"/>
    <n v="0"/>
    <x v="0"/>
    <s v="CARRERA 5 #  24"/>
    <n v="5.3301861111111108"/>
    <n v="-72.40955277777779"/>
    <s v="MOVILIDAD"/>
    <s v="URBANO"/>
    <x v="3"/>
    <s v="NOVIEMBRE"/>
    <d v="2024-11-13T00:00:00"/>
    <x v="3"/>
    <d v="1899-12-30T16:10:00"/>
    <s v="AUTOMOVIL"/>
    <m/>
    <n v="0"/>
    <n v="0"/>
    <n v="1"/>
    <n v="0"/>
    <n v="0"/>
    <n v="0"/>
    <n v="0"/>
    <n v="0"/>
    <n v="0"/>
    <n v="0"/>
    <n v="0"/>
    <n v="0"/>
    <s v="MASCULINO"/>
    <m/>
    <n v="1"/>
    <n v="0"/>
    <n v="22"/>
    <m/>
    <m/>
    <m/>
    <m/>
    <m/>
    <n v="157"/>
    <x v="1"/>
    <m/>
    <s v=""/>
    <x v="1"/>
  </r>
  <r>
    <n v="1092"/>
    <x v="1"/>
    <n v="0"/>
    <n v="0"/>
    <x v="1"/>
    <s v="CARRERA 5 #  24"/>
    <n v="5.3303051639999399"/>
    <n v="-72.409709231998704"/>
    <s v="MOVILIDAD"/>
    <s v="URBANO"/>
    <x v="2"/>
    <s v="SEPTIEMBRE"/>
    <d v="2025-09-22T00:00:00"/>
    <x v="4"/>
    <d v="1899-12-30T21:44:00"/>
    <s v="CAMION"/>
    <m/>
    <n v="0"/>
    <n v="0"/>
    <n v="0"/>
    <n v="0"/>
    <n v="0"/>
    <n v="0"/>
    <n v="0"/>
    <n v="0"/>
    <n v="1"/>
    <n v="0"/>
    <n v="0"/>
    <n v="0"/>
    <s v="MASCULINO"/>
    <m/>
    <n v="1"/>
    <n v="0"/>
    <m/>
    <m/>
    <m/>
    <m/>
    <m/>
    <m/>
    <n v="122"/>
    <x v="2"/>
    <m/>
    <s v=""/>
    <x v="0"/>
  </r>
  <r>
    <n v="96"/>
    <x v="0"/>
    <n v="1"/>
    <n v="0"/>
    <x v="0"/>
    <s v="CARRERA 5 #  24"/>
    <n v="5.3301861111111108"/>
    <n v="-72.40955277777779"/>
    <s v="MOVILIDAD"/>
    <s v="URBANO"/>
    <x v="0"/>
    <s v="MARZO"/>
    <d v="2022-03-21T00:00:00"/>
    <x v="4"/>
    <d v="1899-12-30T11:10:00"/>
    <s v="AUTOMOVIL"/>
    <s v="BICICLETA"/>
    <n v="0"/>
    <n v="0"/>
    <n v="1"/>
    <n v="0"/>
    <n v="0"/>
    <n v="0"/>
    <n v="0"/>
    <n v="0"/>
    <n v="0"/>
    <n v="0"/>
    <n v="0"/>
    <n v="1"/>
    <s v="MASCULINO"/>
    <m/>
    <n v="1"/>
    <n v="0"/>
    <n v="62"/>
    <m/>
    <m/>
    <m/>
    <m/>
    <m/>
    <n v="112"/>
    <x v="4"/>
    <m/>
    <s v=""/>
    <x v="2"/>
  </r>
  <r>
    <n v="348"/>
    <x v="0"/>
    <n v="1"/>
    <n v="0"/>
    <x v="0"/>
    <s v="CARRERA 5 #  24"/>
    <n v="5.3301861111111108"/>
    <n v="-72.40955277777779"/>
    <s v="MOVILIDAD"/>
    <s v="URBANO"/>
    <x v="0"/>
    <s v="NOVIEMBRE"/>
    <d v="2022-11-04T00:00:00"/>
    <x v="0"/>
    <d v="1899-12-30T08:19:00"/>
    <s v="MOTOCICLETA"/>
    <s v="AUTOMOVIL"/>
    <n v="1"/>
    <n v="0"/>
    <n v="1"/>
    <n v="0"/>
    <n v="0"/>
    <n v="0"/>
    <n v="0"/>
    <n v="0"/>
    <n v="0"/>
    <n v="0"/>
    <n v="0"/>
    <n v="0"/>
    <m/>
    <s v="FEMENINO"/>
    <n v="0"/>
    <n v="1"/>
    <n v="31"/>
    <m/>
    <m/>
    <m/>
    <m/>
    <m/>
    <n v="112"/>
    <x v="4"/>
    <n v="157"/>
    <s v="Otra"/>
    <x v="2"/>
  </r>
  <r>
    <n v="36"/>
    <x v="1"/>
    <n v="0"/>
    <n v="0"/>
    <x v="1"/>
    <s v="CARRERA 5 # 40"/>
    <n v="5.3187444444444445"/>
    <n v="-72.404452777777777"/>
    <s v="MOVILIDAD"/>
    <s v="URBANO"/>
    <x v="0"/>
    <s v="ENERO"/>
    <d v="2022-01-29T00:00:00"/>
    <x v="5"/>
    <d v="1899-12-30T01:40:00"/>
    <s v="CAMIONETA"/>
    <m/>
    <n v="0"/>
    <n v="0"/>
    <n v="0"/>
    <n v="0"/>
    <n v="1"/>
    <n v="0"/>
    <n v="0"/>
    <n v="0"/>
    <n v="0"/>
    <n v="0"/>
    <n v="0"/>
    <n v="0"/>
    <s v="MASCULINO"/>
    <m/>
    <n v="1"/>
    <n v="0"/>
    <m/>
    <m/>
    <m/>
    <m/>
    <m/>
    <m/>
    <n v="139"/>
    <x v="0"/>
    <m/>
    <s v=""/>
    <x v="2"/>
  </r>
  <r>
    <n v="493"/>
    <x v="0"/>
    <n v="0"/>
    <n v="1"/>
    <x v="2"/>
    <s v="CARRERA 5 # 40"/>
    <n v="5.3187444444444445"/>
    <n v="-72.404452777777777"/>
    <s v="MOVILIDAD"/>
    <s v="URBANO"/>
    <x v="1"/>
    <s v="JUNIO"/>
    <d v="2023-06-01T00:00:00"/>
    <x v="1"/>
    <d v="1899-12-30T01:3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m/>
    <m/>
    <m/>
    <m/>
    <m/>
    <n v="19"/>
    <n v="139"/>
    <x v="0"/>
    <n v="116"/>
    <s v="Exceso de velocidad"/>
    <x v="2"/>
  </r>
  <r>
    <n v="240"/>
    <x v="0"/>
    <n v="1"/>
    <n v="0"/>
    <x v="0"/>
    <s v="CARRERA 5 # 40"/>
    <n v="5.3187444444444445"/>
    <n v="-72.404452777777777"/>
    <s v="MOVILIDAD"/>
    <s v="URBANO"/>
    <x v="0"/>
    <s v="JULIO"/>
    <d v="2022-07-01T00:00:00"/>
    <x v="0"/>
    <d v="1899-12-30T08:30:00"/>
    <s v="BUSETA"/>
    <s v="BICICLETA"/>
    <n v="0"/>
    <n v="0"/>
    <n v="0"/>
    <n v="0"/>
    <n v="0"/>
    <n v="0"/>
    <n v="0"/>
    <n v="1"/>
    <n v="0"/>
    <n v="0"/>
    <n v="0"/>
    <n v="1"/>
    <s v="MASCULINO"/>
    <m/>
    <n v="1"/>
    <n v="0"/>
    <n v="79"/>
    <m/>
    <m/>
    <m/>
    <m/>
    <m/>
    <n v="121"/>
    <x v="7"/>
    <n v="106"/>
    <s v="Adelantar invadiendo carril del mismo sentido en ZigZag"/>
    <x v="2"/>
  </r>
  <r>
    <n v="12"/>
    <x v="0"/>
    <n v="1"/>
    <n v="0"/>
    <x v="0"/>
    <s v="CARRERA 5 # 40"/>
    <n v="5.3187444444444445"/>
    <n v="-72.404452777777777"/>
    <s v="MOVILIDAD"/>
    <s v="URBANO"/>
    <x v="0"/>
    <s v="ENERO"/>
    <d v="2022-01-16T00:00:00"/>
    <x v="2"/>
    <d v="1899-12-30T05:45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40"/>
    <m/>
    <m/>
    <m/>
    <m/>
    <m/>
    <n v="114"/>
    <x v="5"/>
    <m/>
    <s v=""/>
    <x v="2"/>
  </r>
  <r>
    <n v="122"/>
    <x v="0"/>
    <n v="0"/>
    <n v="1"/>
    <x v="2"/>
    <s v="CARRERA 5 # 40"/>
    <n v="5.3187444444444445"/>
    <n v="-72.404452777777777"/>
    <s v="MOVILIDAD"/>
    <s v="URBANO"/>
    <x v="0"/>
    <s v="ABRIL"/>
    <d v="2022-04-10T00:00:00"/>
    <x v="2"/>
    <d v="1899-12-30T02:00:00"/>
    <s v="MOTOCICLETA"/>
    <m/>
    <n v="1"/>
    <n v="0"/>
    <n v="0"/>
    <n v="0"/>
    <n v="0"/>
    <n v="0"/>
    <n v="0"/>
    <n v="0"/>
    <n v="0"/>
    <n v="0"/>
    <n v="0"/>
    <n v="0"/>
    <s v="MASCULINO"/>
    <s v="FEMENINO"/>
    <n v="1"/>
    <n v="1"/>
    <m/>
    <m/>
    <m/>
    <m/>
    <m/>
    <n v="29"/>
    <n v="114"/>
    <x v="5"/>
    <n v="139"/>
    <s v="Impericia en el manejo."/>
    <x v="2"/>
  </r>
  <r>
    <n v="870"/>
    <x v="1"/>
    <n v="0"/>
    <n v="0"/>
    <x v="1"/>
    <s v="CARRERA 5 # 40"/>
    <n v="5.3187444444444445"/>
    <n v="-72.404452777777777"/>
    <s v="MOVILIDAD"/>
    <s v="URBANO"/>
    <x v="2"/>
    <s v="FEBRERO"/>
    <d v="2025-02-08T00:00:00"/>
    <x v="5"/>
    <d v="1899-12-30T23:00:00"/>
    <s v="CAMIONETA"/>
    <m/>
    <n v="0"/>
    <n v="0"/>
    <n v="0"/>
    <n v="0"/>
    <n v="1"/>
    <n v="0"/>
    <n v="0"/>
    <n v="0"/>
    <n v="0"/>
    <n v="0"/>
    <n v="0"/>
    <n v="0"/>
    <s v="MASCULINO"/>
    <m/>
    <n v="1"/>
    <n v="0"/>
    <n v="49"/>
    <m/>
    <m/>
    <m/>
    <m/>
    <m/>
    <n v="110"/>
    <x v="38"/>
    <m/>
    <s v=""/>
    <x v="0"/>
  </r>
  <r>
    <n v="379"/>
    <x v="0"/>
    <n v="1"/>
    <n v="0"/>
    <x v="0"/>
    <s v="CARRERA 5 # 40"/>
    <n v="5.3187444444444445"/>
    <n v="-72.404452777777777"/>
    <s v="MOVILIDAD"/>
    <s v="URBANO"/>
    <x v="0"/>
    <s v="DICIEMBRE"/>
    <d v="2022-12-29T00:00:00"/>
    <x v="1"/>
    <d v="1899-12-30T17:10:00"/>
    <s v="MOTOCICLETA"/>
    <s v="AUTOMOVIL"/>
    <n v="1"/>
    <n v="0"/>
    <n v="1"/>
    <n v="0"/>
    <n v="0"/>
    <n v="0"/>
    <n v="0"/>
    <n v="0"/>
    <n v="0"/>
    <n v="0"/>
    <n v="0"/>
    <n v="0"/>
    <s v="MASCULINO"/>
    <s v="FEMENINO"/>
    <n v="1"/>
    <n v="1"/>
    <n v="38"/>
    <n v="40"/>
    <m/>
    <m/>
    <m/>
    <m/>
    <n v="102"/>
    <x v="29"/>
    <n v="121"/>
    <s v="No mantener distancia de seguridad."/>
    <x v="1"/>
  </r>
  <r>
    <n v="932"/>
    <x v="0"/>
    <n v="2"/>
    <n v="0"/>
    <x v="0"/>
    <s v="CARRERA 5 # 40 "/>
    <n v="5.3187444444444445"/>
    <n v="-72.404452777777777"/>
    <s v="MOVILIDAD"/>
    <s v="URBANO"/>
    <x v="2"/>
    <s v="ABRIL"/>
    <d v="2025-04-11T00:00:00"/>
    <x v="0"/>
    <d v="1899-12-30T15:30:00"/>
    <s v="MOTOCICLETA"/>
    <s v="CAMION"/>
    <n v="1"/>
    <n v="0"/>
    <n v="0"/>
    <n v="0"/>
    <n v="0"/>
    <n v="0"/>
    <n v="0"/>
    <n v="0"/>
    <n v="1"/>
    <n v="0"/>
    <n v="0"/>
    <n v="0"/>
    <s v="FEMENINO"/>
    <s v="MASCULINO"/>
    <n v="1"/>
    <n v="1"/>
    <n v="53"/>
    <n v="18"/>
    <n v="9"/>
    <m/>
    <m/>
    <m/>
    <n v="145"/>
    <x v="10"/>
    <m/>
    <s v=""/>
    <x v="1"/>
  </r>
  <r>
    <n v="652"/>
    <x v="0"/>
    <n v="0"/>
    <n v="1"/>
    <x v="2"/>
    <s v="CARRERA 5 # 40 "/>
    <n v="5.3187444444444445"/>
    <n v="-72.404452777777777"/>
    <s v="MOVILIDAD"/>
    <s v="URBANO"/>
    <x v="3"/>
    <s v="ENERO"/>
    <d v="2024-01-29T00:00:00"/>
    <x v="4"/>
    <d v="1899-12-30T23:00:00"/>
    <s v="VOLQUETA"/>
    <m/>
    <n v="0"/>
    <n v="0"/>
    <n v="0"/>
    <n v="0"/>
    <n v="0"/>
    <n v="0"/>
    <n v="0"/>
    <n v="0"/>
    <n v="0"/>
    <n v="0"/>
    <n v="1"/>
    <n v="0"/>
    <s v="MASCULINO"/>
    <m/>
    <n v="1"/>
    <n v="0"/>
    <m/>
    <m/>
    <m/>
    <m/>
    <m/>
    <n v="26"/>
    <n v="139"/>
    <x v="0"/>
    <n v="114"/>
    <s v="Embriaguez aparente."/>
    <x v="0"/>
  </r>
  <r>
    <n v="78"/>
    <x v="0"/>
    <n v="0"/>
    <n v="1"/>
    <x v="2"/>
    <s v="CARRERA 5 # 50"/>
    <n v="5.3091055555555551"/>
    <n v="-72.403600000000012"/>
    <s v="MOVILIDAD"/>
    <s v="URBANO"/>
    <x v="0"/>
    <s v="MARZO"/>
    <d v="2022-03-06T00:00:00"/>
    <x v="2"/>
    <d v="1899-12-30T23:00:00"/>
    <s v="MOTOCICLETA"/>
    <m/>
    <n v="1"/>
    <n v="0"/>
    <n v="0"/>
    <n v="0"/>
    <n v="0"/>
    <n v="0"/>
    <n v="0"/>
    <n v="0"/>
    <n v="0"/>
    <n v="0"/>
    <n v="0"/>
    <n v="0"/>
    <m/>
    <s v="FEMENINO"/>
    <n v="0"/>
    <n v="1"/>
    <n v="30"/>
    <m/>
    <m/>
    <m/>
    <m/>
    <m/>
    <n v="157"/>
    <x v="1"/>
    <n v="114"/>
    <s v="Embriaguez aparente."/>
    <x v="0"/>
  </r>
  <r>
    <n v="216"/>
    <x v="0"/>
    <n v="1"/>
    <n v="0"/>
    <x v="0"/>
    <s v="CARRERA 5 # 50"/>
    <n v="5.3091055555555551"/>
    <n v="-72.403600000000012"/>
    <s v="MOVILIDAD"/>
    <s v="URBANO"/>
    <x v="0"/>
    <s v="JUNIO"/>
    <d v="2022-06-14T00:00:00"/>
    <x v="6"/>
    <d v="1899-12-30T15:40:00"/>
    <s v="CAMIONETA"/>
    <s v="BICICLETA"/>
    <n v="0"/>
    <n v="0"/>
    <n v="0"/>
    <n v="0"/>
    <n v="1"/>
    <n v="0"/>
    <n v="0"/>
    <n v="0"/>
    <n v="0"/>
    <n v="0"/>
    <n v="0"/>
    <n v="1"/>
    <s v="MASCULINO"/>
    <m/>
    <n v="1"/>
    <n v="0"/>
    <n v="64"/>
    <m/>
    <m/>
    <m/>
    <m/>
    <m/>
    <n v="93"/>
    <x v="11"/>
    <n v="114"/>
    <s v="Embriaguez aparente."/>
    <x v="1"/>
  </r>
  <r>
    <n v="192"/>
    <x v="0"/>
    <n v="1"/>
    <n v="0"/>
    <x v="0"/>
    <s v="CARRERA 5 # 60"/>
    <n v="5.301708333333333"/>
    <n v="-72.40303611111112"/>
    <s v="MOVILIDAD"/>
    <s v="URBANO"/>
    <x v="0"/>
    <s v="MAYO"/>
    <d v="2022-05-20T00:00:00"/>
    <x v="0"/>
    <d v="1899-12-30T20:3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44"/>
    <m/>
    <m/>
    <m/>
    <m/>
    <m/>
    <n v="157"/>
    <x v="1"/>
    <m/>
    <s v=""/>
    <x v="0"/>
  </r>
  <r>
    <n v="149"/>
    <x v="0"/>
    <n v="2"/>
    <n v="0"/>
    <x v="0"/>
    <s v="CARRERA 5 # 60"/>
    <n v="5.301708333333333"/>
    <n v="-72.40303611111112"/>
    <s v="MOVILIDAD"/>
    <s v="URBANO"/>
    <x v="0"/>
    <s v="ABRIL"/>
    <d v="2022-04-25T00:00:00"/>
    <x v="4"/>
    <d v="1899-12-30T18:00:00"/>
    <s v="MOTOCICLETA"/>
    <m/>
    <n v="1"/>
    <n v="0"/>
    <n v="0"/>
    <n v="0"/>
    <n v="0"/>
    <n v="0"/>
    <n v="0"/>
    <n v="0"/>
    <n v="0"/>
    <n v="0"/>
    <n v="0"/>
    <n v="0"/>
    <s v="MASCULINO"/>
    <s v="FEMENINO"/>
    <n v="1"/>
    <n v="1"/>
    <n v="26"/>
    <m/>
    <m/>
    <n v="37"/>
    <m/>
    <m/>
    <n v="139"/>
    <x v="0"/>
    <m/>
    <s v=""/>
    <x v="0"/>
  </r>
  <r>
    <n v="728"/>
    <x v="0"/>
    <n v="0"/>
    <n v="1"/>
    <x v="2"/>
    <s v="CARRERA 5 # 60"/>
    <n v="5.301708333333333"/>
    <n v="-72.40303611111112"/>
    <s v="MOVILIDAD"/>
    <s v="URBANO"/>
    <x v="3"/>
    <s v="JUNIO"/>
    <d v="2024-06-12T00:00:00"/>
    <x v="3"/>
    <d v="1899-12-30T21:3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m/>
    <m/>
    <m/>
    <m/>
    <m/>
    <m/>
    <n v="1"/>
    <x v="3"/>
    <m/>
    <s v=""/>
    <x v="0"/>
  </r>
  <r>
    <n v="924"/>
    <x v="0"/>
    <n v="1"/>
    <n v="0"/>
    <x v="0"/>
    <s v="CARRERA 5 # 70"/>
    <n v="5.2942388888888887"/>
    <n v="-72.402269444444457"/>
    <s v="MOVILIDAD"/>
    <s v="URBANO"/>
    <x v="2"/>
    <s v="ABRIL"/>
    <d v="2025-04-02T00:00:00"/>
    <x v="3"/>
    <d v="1899-12-30T12:10:00"/>
    <s v="AUTOMOVIL"/>
    <s v="MOTOCICLETA"/>
    <n v="1"/>
    <n v="0"/>
    <n v="1"/>
    <n v="0"/>
    <n v="0"/>
    <n v="0"/>
    <n v="0"/>
    <n v="0"/>
    <n v="0"/>
    <n v="0"/>
    <n v="0"/>
    <n v="0"/>
    <s v="MASCULINO"/>
    <s v="MASCULINO"/>
    <n v="2"/>
    <n v="0"/>
    <n v="78"/>
    <n v="34"/>
    <n v="34"/>
    <m/>
    <m/>
    <m/>
    <n v="139"/>
    <x v="0"/>
    <m/>
    <s v=""/>
    <x v="1"/>
  </r>
  <r>
    <n v="48"/>
    <x v="0"/>
    <n v="0"/>
    <n v="1"/>
    <x v="2"/>
    <s v="CARRERA 5 # 70"/>
    <n v="5.2942388888888887"/>
    <n v="-72.402269444444457"/>
    <s v="MOVILIDAD"/>
    <s v="URBANO"/>
    <x v="0"/>
    <s v="FEBRERO"/>
    <d v="2022-02-13T00:00:00"/>
    <x v="2"/>
    <d v="1899-12-30T21:30:00"/>
    <s v="MOTOCICLETA"/>
    <m/>
    <n v="1"/>
    <n v="0"/>
    <n v="0"/>
    <n v="0"/>
    <n v="0"/>
    <n v="0"/>
    <n v="0"/>
    <n v="0"/>
    <n v="0"/>
    <n v="0"/>
    <n v="0"/>
    <n v="0"/>
    <m/>
    <s v="FEMENINO"/>
    <n v="0"/>
    <n v="1"/>
    <m/>
    <m/>
    <m/>
    <m/>
    <m/>
    <n v="31"/>
    <n v="114"/>
    <x v="5"/>
    <n v="116"/>
    <s v="Exceso de velocidad"/>
    <x v="0"/>
  </r>
  <r>
    <n v="1053"/>
    <x v="0"/>
    <n v="1"/>
    <n v="0"/>
    <x v="0"/>
    <s v="CARRERA 5 # CALLE 25-26"/>
    <n v="5.3289358"/>
    <n v="-72.408605199999997"/>
    <s v="MOVILIDAD"/>
    <s v="URBANO"/>
    <x v="2"/>
    <s v="AGOSTO"/>
    <d v="2025-08-28T00:00:00"/>
    <x v="1"/>
    <d v="1899-12-30T01:53:00"/>
    <s v="MOTOCICLETA"/>
    <m/>
    <n v="1"/>
    <n v="0"/>
    <n v="0"/>
    <n v="0"/>
    <n v="0"/>
    <n v="0"/>
    <n v="0"/>
    <n v="0"/>
    <n v="0"/>
    <n v="0"/>
    <n v="0"/>
    <n v="0"/>
    <s v="MASCULINO"/>
    <s v="MASCULINO"/>
    <n v="2"/>
    <n v="0"/>
    <n v="28"/>
    <n v="42"/>
    <m/>
    <m/>
    <m/>
    <m/>
    <n v="139"/>
    <x v="0"/>
    <n v="114"/>
    <s v="Embriaguez aparente."/>
    <x v="2"/>
  </r>
  <r>
    <n v="1115"/>
    <x v="1"/>
    <n v="0"/>
    <n v="0"/>
    <x v="1"/>
    <s v="CARRERA 5 # CALLE 56"/>
    <n v="5.304386"/>
    <n v="-72.403306999999998"/>
    <s v="MOVILIDAD"/>
    <s v="URBANO"/>
    <x v="2"/>
    <s v="OCTUBRE"/>
    <d v="2025-10-05T00:00:00"/>
    <x v="2"/>
    <d v="1899-12-30T03:00:00"/>
    <s v="AUTOMOVIL"/>
    <m/>
    <n v="0"/>
    <n v="0"/>
    <n v="1"/>
    <n v="0"/>
    <n v="0"/>
    <n v="0"/>
    <n v="0"/>
    <n v="0"/>
    <n v="0"/>
    <n v="0"/>
    <n v="0"/>
    <n v="0"/>
    <s v="MASCULINO"/>
    <m/>
    <n v="1"/>
    <n v="0"/>
    <m/>
    <m/>
    <m/>
    <m/>
    <m/>
    <m/>
    <n v="139"/>
    <x v="0"/>
    <m/>
    <s v=""/>
    <x v="2"/>
  </r>
  <r>
    <n v="1032"/>
    <x v="0"/>
    <n v="1"/>
    <n v="0"/>
    <x v="0"/>
    <s v="CARRERA 5 # CALLE 60"/>
    <n v="5.3017709999999996"/>
    <n v="-72.403036999999998"/>
    <s v="MOVILIDAD"/>
    <s v="URBANO"/>
    <x v="2"/>
    <s v="AGOSTO"/>
    <d v="2025-08-02T00:00:00"/>
    <x v="5"/>
    <d v="1899-12-30T08:35:00"/>
    <s v="MOTOCICLETA"/>
    <m/>
    <n v="1"/>
    <n v="0"/>
    <n v="0"/>
    <n v="0"/>
    <n v="0"/>
    <n v="0"/>
    <n v="0"/>
    <n v="0"/>
    <n v="0"/>
    <n v="0"/>
    <n v="0"/>
    <n v="0"/>
    <s v="MASCULINO"/>
    <s v="MASCULINO"/>
    <n v="2"/>
    <n v="0"/>
    <n v="23"/>
    <n v="64"/>
    <m/>
    <m/>
    <m/>
    <m/>
    <n v="116"/>
    <x v="14"/>
    <m/>
    <s v=""/>
    <x v="2"/>
  </r>
  <r>
    <n v="753"/>
    <x v="0"/>
    <n v="1"/>
    <n v="0"/>
    <x v="0"/>
    <s v="CARRERA 5 # MARGINAL DE LA SELVA INTERCAMBIADOR VIAL"/>
    <n v="5.3300027777777776"/>
    <n v="-72.409691666666674"/>
    <s v="MOVILIDAD"/>
    <s v="URBANO"/>
    <x v="3"/>
    <s v="JULIO"/>
    <d v="2024-07-27T00:00:00"/>
    <x v="5"/>
    <d v="1899-12-30T18:43:00"/>
    <s v="MOTOCICLETA"/>
    <s v="AUTOMOVIL"/>
    <n v="1"/>
    <n v="0"/>
    <n v="1"/>
    <n v="0"/>
    <n v="0"/>
    <n v="0"/>
    <n v="0"/>
    <n v="0"/>
    <n v="0"/>
    <n v="0"/>
    <n v="0"/>
    <n v="0"/>
    <s v="MASCULINO"/>
    <s v="FEMENINO"/>
    <n v="1"/>
    <n v="1"/>
    <n v="44"/>
    <n v="31"/>
    <m/>
    <m/>
    <m/>
    <m/>
    <n v="115"/>
    <x v="12"/>
    <n v="112"/>
    <s v="Desobedecer señales o normas de tránsito."/>
    <x v="0"/>
  </r>
  <r>
    <n v="243"/>
    <x v="0"/>
    <n v="1"/>
    <n v="0"/>
    <x v="0"/>
    <s v="CARRERA 5 CALLE 25"/>
    <n v="5.3293666666666661"/>
    <n v="-72.40887027777778"/>
    <s v="MOVILIDAD"/>
    <s v="URBANO"/>
    <x v="0"/>
    <s v="JULIO"/>
    <d v="2022-07-05T00:00:00"/>
    <x v="6"/>
    <d v="1899-12-30T10:2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30"/>
    <m/>
    <m/>
    <m/>
    <m/>
    <m/>
    <n v="112"/>
    <x v="4"/>
    <n v="139"/>
    <s v="Impericia en el manejo."/>
    <x v="2"/>
  </r>
  <r>
    <n v="183"/>
    <x v="1"/>
    <n v="0"/>
    <n v="0"/>
    <x v="1"/>
    <s v="CARRERA 5 CALLE 26"/>
    <n v="5.3284916666666664"/>
    <n v="-72.40817777777778"/>
    <s v="MOVILIDAD"/>
    <s v="URBANO"/>
    <x v="0"/>
    <s v="MAYO"/>
    <d v="2022-05-16T00:00:00"/>
    <x v="4"/>
    <d v="1899-12-30T14:10:00"/>
    <s v="AUTOMOVIL"/>
    <s v="CAMPERO"/>
    <n v="0"/>
    <n v="0"/>
    <n v="1"/>
    <n v="1"/>
    <n v="0"/>
    <n v="0"/>
    <n v="0"/>
    <n v="0"/>
    <n v="0"/>
    <n v="0"/>
    <n v="0"/>
    <n v="0"/>
    <s v="MASCULINO"/>
    <m/>
    <n v="1"/>
    <n v="0"/>
    <m/>
    <m/>
    <m/>
    <m/>
    <m/>
    <m/>
    <n v="121"/>
    <x v="7"/>
    <m/>
    <s v=""/>
    <x v="1"/>
  </r>
  <r>
    <n v="907"/>
    <x v="0"/>
    <n v="1"/>
    <n v="0"/>
    <x v="0"/>
    <s v="CARRERA 5 CALLE 27"/>
    <n v="5.3276349999999999"/>
    <n v="-72.407499999999999"/>
    <s v="MOVILIDAD"/>
    <s v="URBANO"/>
    <x v="2"/>
    <s v="MARZO"/>
    <d v="2025-03-17T00:00:00"/>
    <x v="4"/>
    <d v="1899-12-30T15:00:00"/>
    <s v="CAMIONETA"/>
    <s v="MOTOCICLETA"/>
    <n v="1"/>
    <n v="0"/>
    <n v="0"/>
    <n v="0"/>
    <n v="1"/>
    <n v="0"/>
    <n v="0"/>
    <n v="0"/>
    <n v="0"/>
    <n v="0"/>
    <n v="0"/>
    <n v="0"/>
    <s v="MASCULINO"/>
    <s v="FEMENINO"/>
    <n v="1"/>
    <n v="1"/>
    <n v="56"/>
    <n v="26"/>
    <m/>
    <m/>
    <m/>
    <m/>
    <n v="103"/>
    <x v="8"/>
    <m/>
    <s v=""/>
    <x v="1"/>
  </r>
  <r>
    <n v="139"/>
    <x v="1"/>
    <n v="0"/>
    <n v="0"/>
    <x v="1"/>
    <s v="CARRERA 5 CALLE 35"/>
    <n v="5.32125"/>
    <n v="-72.404616666666669"/>
    <s v="MOVILIDAD"/>
    <s v="URBANO"/>
    <x v="0"/>
    <s v="ABRIL"/>
    <d v="2022-04-14T00:00:00"/>
    <x v="1"/>
    <d v="1899-12-30T10:50:00"/>
    <s v="AUTOMOVIL"/>
    <m/>
    <n v="0"/>
    <n v="0"/>
    <n v="1"/>
    <n v="0"/>
    <n v="0"/>
    <n v="0"/>
    <n v="0"/>
    <n v="0"/>
    <n v="0"/>
    <n v="0"/>
    <n v="0"/>
    <n v="0"/>
    <m/>
    <s v="FEMENINO"/>
    <n v="0"/>
    <n v="1"/>
    <m/>
    <m/>
    <m/>
    <m/>
    <m/>
    <m/>
    <n v="157"/>
    <x v="1"/>
    <m/>
    <s v=""/>
    <x v="2"/>
  </r>
  <r>
    <n v="829"/>
    <x v="0"/>
    <n v="1"/>
    <n v="0"/>
    <x v="0"/>
    <s v="CARRERA 5 CALLE 36"/>
    <n v="5.3208277777777777"/>
    <n v="-72.404562500000011"/>
    <s v="MOVILIDAD"/>
    <s v="URBANO"/>
    <x v="3"/>
    <s v="DICIEMBRE"/>
    <d v="2024-12-07T00:00:00"/>
    <x v="5"/>
    <d v="1899-12-30T18:3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39"/>
    <n v="36"/>
    <m/>
    <m/>
    <m/>
    <m/>
    <n v="1"/>
    <x v="3"/>
    <n v="139"/>
    <s v="Impericia en el manejo."/>
    <x v="0"/>
  </r>
  <r>
    <n v="912"/>
    <x v="1"/>
    <n v="0"/>
    <n v="0"/>
    <x v="1"/>
    <s v="CARRERA 5 CALLE 42"/>
    <n v="5.3164069999999999"/>
    <n v="-72.404360999999994"/>
    <s v="MOVILIDAD"/>
    <s v="URBANO"/>
    <x v="2"/>
    <s v="MARZO"/>
    <d v="2025-03-26T00:00:00"/>
    <x v="3"/>
    <d v="1899-12-30T18:20:00"/>
    <s v="AUTOMOVIL"/>
    <s v="BICICLETA"/>
    <n v="0"/>
    <n v="0"/>
    <n v="1"/>
    <n v="0"/>
    <n v="0"/>
    <n v="0"/>
    <n v="0"/>
    <n v="0"/>
    <n v="0"/>
    <n v="0"/>
    <n v="0"/>
    <n v="1"/>
    <s v="MASCULINO"/>
    <s v="MASCULINO"/>
    <n v="2"/>
    <n v="0"/>
    <m/>
    <n v="29"/>
    <m/>
    <m/>
    <m/>
    <m/>
    <n v="115"/>
    <x v="12"/>
    <m/>
    <s v=""/>
    <x v="0"/>
  </r>
  <r>
    <n v="109"/>
    <x v="0"/>
    <n v="2"/>
    <n v="0"/>
    <x v="0"/>
    <s v="CARRERA 5 CALLE 45"/>
    <n v="5.3139833333333328"/>
    <n v="-72.403874999999999"/>
    <s v="MOVILIDAD"/>
    <s v="URBANO"/>
    <x v="0"/>
    <s v="MARZO"/>
    <d v="2022-03-26T00:00:00"/>
    <x v="5"/>
    <d v="1899-12-30T18:3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44"/>
    <m/>
    <m/>
    <n v="49"/>
    <m/>
    <m/>
    <n v="1"/>
    <x v="3"/>
    <m/>
    <s v=""/>
    <x v="0"/>
  </r>
  <r>
    <n v="544"/>
    <x v="0"/>
    <n v="2"/>
    <n v="0"/>
    <x v="0"/>
    <s v="CARRERA 5 CALLE 46 "/>
    <n v="5.3127997222222216"/>
    <n v="-72.404003055555563"/>
    <s v="MOVILIDAD"/>
    <s v="URBANO"/>
    <x v="1"/>
    <s v="AGOSTO"/>
    <d v="2023-08-29T00:00:00"/>
    <x v="6"/>
    <d v="1899-12-30T13:30:00"/>
    <s v="MOTOCICLETA"/>
    <s v="AUTOMOVIL"/>
    <n v="1"/>
    <n v="0"/>
    <n v="1"/>
    <n v="0"/>
    <n v="0"/>
    <n v="0"/>
    <n v="0"/>
    <n v="0"/>
    <n v="0"/>
    <n v="0"/>
    <n v="0"/>
    <n v="0"/>
    <s v="MASCULINO"/>
    <s v="FEMENINO"/>
    <n v="1"/>
    <n v="1"/>
    <n v="23"/>
    <m/>
    <m/>
    <m/>
    <n v="28"/>
    <m/>
    <n v="121"/>
    <x v="7"/>
    <m/>
    <s v=""/>
    <x v="1"/>
  </r>
  <r>
    <n v="479"/>
    <x v="0"/>
    <n v="1"/>
    <n v="0"/>
    <x v="0"/>
    <s v="CARRERA 5 CALLE 47 "/>
    <n v="5.3114388888888886"/>
    <n v="-72.403619444444445"/>
    <s v="MOVILIDAD"/>
    <s v="URBANO"/>
    <x v="1"/>
    <s v="MAYO"/>
    <d v="2023-05-16T00:00:00"/>
    <x v="6"/>
    <d v="1899-12-30T09:10:00"/>
    <s v="MOTOCICLETA"/>
    <s v="TRACTOCAMION"/>
    <n v="1"/>
    <n v="0"/>
    <n v="0"/>
    <n v="0"/>
    <n v="0"/>
    <n v="0"/>
    <n v="0"/>
    <n v="0"/>
    <n v="0"/>
    <n v="1"/>
    <n v="0"/>
    <n v="0"/>
    <s v="MASCULINO"/>
    <m/>
    <n v="1"/>
    <n v="0"/>
    <n v="19"/>
    <m/>
    <m/>
    <m/>
    <m/>
    <m/>
    <n v="102"/>
    <x v="29"/>
    <m/>
    <s v=""/>
    <x v="2"/>
  </r>
  <r>
    <n v="860"/>
    <x v="0"/>
    <n v="1"/>
    <n v="0"/>
    <x v="0"/>
    <s v="CARRERA 5 CALLE 56"/>
    <n v="5.3063989999999999"/>
    <n v="-72.403516999999994"/>
    <s v="MOVILIDAD"/>
    <s v="URBANO"/>
    <x v="2"/>
    <s v="ENERO"/>
    <d v="2025-01-21T00:00:00"/>
    <x v="6"/>
    <d v="1899-12-30T12:25:00"/>
    <s v="CAMION"/>
    <s v="BICICLETA"/>
    <n v="0"/>
    <n v="0"/>
    <n v="0"/>
    <n v="0"/>
    <n v="0"/>
    <n v="0"/>
    <n v="0"/>
    <n v="0"/>
    <n v="1"/>
    <n v="0"/>
    <n v="0"/>
    <n v="1"/>
    <s v="MASCULINO"/>
    <s v="MASCULINO"/>
    <n v="2"/>
    <n v="0"/>
    <m/>
    <n v="41"/>
    <m/>
    <m/>
    <m/>
    <m/>
    <n v="139"/>
    <x v="0"/>
    <m/>
    <s v=""/>
    <x v="1"/>
  </r>
  <r>
    <n v="242"/>
    <x v="0"/>
    <n v="1"/>
    <n v="0"/>
    <x v="0"/>
    <s v="CARRERA 5 CALLE 58"/>
    <n v="5.3059377777777774"/>
    <n v="-72.403483611111113"/>
    <s v="MOVILIDAD"/>
    <s v="URBANO"/>
    <x v="0"/>
    <s v="JULIO"/>
    <d v="2022-07-02T00:00:00"/>
    <x v="5"/>
    <d v="1899-12-30T13:35:00"/>
    <s v="MOTOCICLETA"/>
    <s v="MICROBUS"/>
    <n v="1"/>
    <n v="0"/>
    <n v="0"/>
    <n v="0"/>
    <n v="0"/>
    <n v="1"/>
    <n v="0"/>
    <n v="0"/>
    <n v="0"/>
    <n v="0"/>
    <n v="0"/>
    <n v="0"/>
    <s v="MASCULINO"/>
    <m/>
    <n v="1"/>
    <n v="0"/>
    <n v="16"/>
    <m/>
    <m/>
    <m/>
    <m/>
    <m/>
    <n v="137"/>
    <x v="39"/>
    <n v="139"/>
    <s v="Impericia en el manejo."/>
    <x v="1"/>
  </r>
  <r>
    <n v="856"/>
    <x v="0"/>
    <n v="1"/>
    <n v="1"/>
    <x v="2"/>
    <s v="CARRERA 5 CALLE 6 CORREGIMIENTO DE MORICHAL"/>
    <n v="5.2263390000000003"/>
    <n v="-72.389250000000004"/>
    <s v="MOVILIDAD"/>
    <s v="RURAL"/>
    <x v="2"/>
    <s v="ENERO"/>
    <d v="2025-01-16T00:00:00"/>
    <x v="1"/>
    <d v="1899-12-30T10:10:00"/>
    <s v="CAMION"/>
    <s v="MOTOCICLETA"/>
    <n v="1"/>
    <n v="0"/>
    <n v="0"/>
    <n v="0"/>
    <n v="0"/>
    <n v="0"/>
    <n v="0"/>
    <n v="0"/>
    <n v="1"/>
    <n v="0"/>
    <n v="0"/>
    <n v="0"/>
    <s v="MASCULINO"/>
    <s v="MASCULINO"/>
    <n v="2"/>
    <n v="0"/>
    <n v="28"/>
    <n v="57"/>
    <n v="51"/>
    <m/>
    <m/>
    <n v="28"/>
    <n v="114"/>
    <x v="5"/>
    <n v="127"/>
    <s v="Transitar en contravía."/>
    <x v="2"/>
  </r>
  <r>
    <n v="113"/>
    <x v="1"/>
    <n v="0"/>
    <n v="0"/>
    <x v="1"/>
    <s v="CARRERA 5 CALLE 6 LA CHAPARRERA"/>
    <n v="5.493236111111111"/>
    <n v="-72.226877777777773"/>
    <s v="MOVILIDAD"/>
    <s v="RURAL"/>
    <x v="0"/>
    <s v="ABRIL"/>
    <d v="2022-04-03T00:00:00"/>
    <x v="2"/>
    <d v="1899-12-30T18:30:00"/>
    <s v="AUTOMOVIL"/>
    <s v="CAMION"/>
    <n v="0"/>
    <n v="0"/>
    <n v="1"/>
    <n v="0"/>
    <n v="0"/>
    <n v="0"/>
    <n v="0"/>
    <n v="0"/>
    <n v="1"/>
    <n v="0"/>
    <n v="0"/>
    <n v="0"/>
    <m/>
    <s v="FEMENINO"/>
    <n v="0"/>
    <n v="1"/>
    <m/>
    <m/>
    <m/>
    <m/>
    <m/>
    <m/>
    <n v="134"/>
    <x v="24"/>
    <m/>
    <s v=""/>
    <x v="0"/>
  </r>
  <r>
    <n v="760"/>
    <x v="0"/>
    <n v="2"/>
    <n v="0"/>
    <x v="0"/>
    <s v="CARRERA 5 CALLE 60 ROMBOY"/>
    <n v="5.2980027777777776"/>
    <n v="-72.402366666666666"/>
    <s v="MOVILIDAD"/>
    <s v="URBANO"/>
    <x v="3"/>
    <s v="AGOSTO"/>
    <d v="2024-08-05T00:00:00"/>
    <x v="4"/>
    <d v="1899-12-30T07:2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58"/>
    <n v="20"/>
    <m/>
    <m/>
    <m/>
    <m/>
    <n v="102"/>
    <x v="29"/>
    <n v="157"/>
    <s v="Otra"/>
    <x v="2"/>
  </r>
  <r>
    <n v="106"/>
    <x v="0"/>
    <n v="2"/>
    <n v="0"/>
    <x v="0"/>
    <s v="CARRERA 5 CALLE 64"/>
    <n v="5.2970638888888883"/>
    <n v="-72.402605555555567"/>
    <s v="MOVILIDAD"/>
    <s v="URBANO"/>
    <x v="0"/>
    <s v="MARZO"/>
    <d v="2022-03-30T00:00:00"/>
    <x v="3"/>
    <d v="1899-12-30T20:15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29"/>
    <m/>
    <m/>
    <n v="11"/>
    <m/>
    <m/>
    <n v="139"/>
    <x v="0"/>
    <m/>
    <s v=""/>
    <x v="0"/>
  </r>
  <r>
    <n v="1014"/>
    <x v="0"/>
    <n v="2"/>
    <n v="0"/>
    <x v="0"/>
    <s v="CARRERA 5 CALLES 57 Y 58"/>
    <n v="5.3064369999999998"/>
    <n v="-72.403498999999996"/>
    <s v="MOVILIDAD"/>
    <s v="URBANO"/>
    <x v="2"/>
    <s v="JULIO"/>
    <d v="2025-07-17T00:00:00"/>
    <x v="1"/>
    <d v="1899-12-30T17:20:00"/>
    <s v="AUTOMOVIL"/>
    <s v="TRACTOCAMION"/>
    <n v="0"/>
    <n v="0"/>
    <n v="1"/>
    <n v="0"/>
    <n v="0"/>
    <n v="0"/>
    <n v="0"/>
    <n v="0"/>
    <n v="0"/>
    <n v="1"/>
    <n v="0"/>
    <n v="0"/>
    <s v="MASCULINO"/>
    <s v="MASCULINO"/>
    <n v="2"/>
    <n v="0"/>
    <n v="22"/>
    <n v="44"/>
    <n v="29"/>
    <m/>
    <m/>
    <m/>
    <n v="123"/>
    <x v="21"/>
    <n v="121"/>
    <s v="No mantener distancia de seguridad."/>
    <x v="1"/>
  </r>
  <r>
    <n v="370"/>
    <x v="0"/>
    <n v="0"/>
    <n v="1"/>
    <x v="2"/>
    <s v="CARRERA 5 DIAGONAL 47"/>
    <n v="5.3090666666666664"/>
    <n v="-72.403480555555561"/>
    <s v="MOVILIDAD"/>
    <s v="URBANO"/>
    <x v="0"/>
    <s v="DICIEMBRE"/>
    <d v="2022-12-11T00:00:00"/>
    <x v="2"/>
    <d v="1899-12-30T01:4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m/>
    <m/>
    <m/>
    <m/>
    <m/>
    <m/>
    <n v="116"/>
    <x v="14"/>
    <m/>
    <s v=""/>
    <x v="2"/>
  </r>
  <r>
    <n v="776"/>
    <x v="0"/>
    <n v="1"/>
    <n v="0"/>
    <x v="0"/>
    <s v="CARRERA 5 DIAGONAL 47"/>
    <n v="5.3090666666666664"/>
    <n v="-72.403480555555561"/>
    <s v="MOVILIDAD"/>
    <s v="URBANO"/>
    <x v="3"/>
    <s v="SEPTIEMBRE"/>
    <d v="2024-09-07T00:00:00"/>
    <x v="5"/>
    <d v="1899-12-30T21:50:00"/>
    <s v="MOTOCICLETA"/>
    <s v="AUTOMOVIL"/>
    <n v="1"/>
    <n v="0"/>
    <n v="1"/>
    <n v="0"/>
    <n v="0"/>
    <n v="0"/>
    <n v="0"/>
    <n v="0"/>
    <n v="0"/>
    <n v="0"/>
    <n v="0"/>
    <n v="0"/>
    <s v="MASCULINO"/>
    <s v="FEMENINO"/>
    <n v="1"/>
    <n v="1"/>
    <n v="51"/>
    <n v="55"/>
    <m/>
    <m/>
    <m/>
    <m/>
    <n v="114"/>
    <x v="5"/>
    <n v="157"/>
    <s v="Otra"/>
    <x v="0"/>
  </r>
  <r>
    <n v="1062"/>
    <x v="0"/>
    <n v="2"/>
    <n v="0"/>
    <x v="0"/>
    <s v="CARRERA 5 ENTRE 33 Y 34"/>
    <n v="5.3216899399203399"/>
    <n v="-72.404666665601496"/>
    <s v="MOVILIDAD"/>
    <s v="URBANO"/>
    <x v="2"/>
    <s v="SEPTIEMBRE"/>
    <d v="2025-09-09T00:00:00"/>
    <x v="6"/>
    <d v="1899-12-30T06:30:00"/>
    <s v="BICICLETA"/>
    <s v="MOTOCICLETA"/>
    <n v="1"/>
    <n v="0"/>
    <n v="0"/>
    <n v="0"/>
    <n v="0"/>
    <n v="0"/>
    <n v="0"/>
    <n v="0"/>
    <n v="0"/>
    <n v="0"/>
    <n v="0"/>
    <n v="1"/>
    <s v="MASCULINO"/>
    <s v="MASCULINO"/>
    <n v="2"/>
    <n v="0"/>
    <n v="67"/>
    <n v="46"/>
    <m/>
    <m/>
    <m/>
    <m/>
    <n v="114"/>
    <x v="5"/>
    <n v="116"/>
    <s v="Exceso de velocidad"/>
    <x v="2"/>
  </r>
  <r>
    <n v="906"/>
    <x v="0"/>
    <n v="1"/>
    <n v="0"/>
    <x v="0"/>
    <s v="CARRERA 5 ENTRE CALLE 35 Y 36"/>
    <n v="5.3209400000000002"/>
    <n v="-72.404767000000007"/>
    <s v="MOVILIDAD"/>
    <s v="URBANO"/>
    <x v="2"/>
    <s v="MARZO"/>
    <d v="2025-03-15T00:00:00"/>
    <x v="5"/>
    <d v="1899-12-30T00:1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33"/>
    <m/>
    <m/>
    <m/>
    <m/>
    <m/>
    <n v="157"/>
    <x v="1"/>
    <m/>
    <s v=""/>
    <x v="2"/>
  </r>
  <r>
    <n v="750"/>
    <x v="0"/>
    <n v="1"/>
    <n v="0"/>
    <x v="0"/>
    <s v="CARRERA 5 ENTRE CALLE 39 Y 40"/>
    <n v="5.3193555555555552"/>
    <n v="-72.404716666666673"/>
    <s v="MOVILIDAD"/>
    <s v="URBANO"/>
    <x v="3"/>
    <s v="JULIO"/>
    <d v="2024-07-25T00:00:00"/>
    <x v="1"/>
    <d v="1899-12-30T23:05:00"/>
    <s v="MOTOCICLETA"/>
    <m/>
    <n v="1"/>
    <n v="0"/>
    <n v="0"/>
    <n v="0"/>
    <n v="0"/>
    <n v="0"/>
    <n v="0"/>
    <n v="0"/>
    <n v="0"/>
    <n v="0"/>
    <n v="0"/>
    <n v="0"/>
    <s v="MASCULINO"/>
    <s v="FEMENINO"/>
    <n v="1"/>
    <n v="1"/>
    <n v="26"/>
    <n v="65"/>
    <m/>
    <m/>
    <m/>
    <m/>
    <n v="115"/>
    <x v="12"/>
    <n v="404"/>
    <s v="Transitar por la calzada."/>
    <x v="0"/>
  </r>
  <r>
    <n v="408"/>
    <x v="0"/>
    <n v="1"/>
    <n v="0"/>
    <x v="0"/>
    <s v="CARRERA 5 ENTRE CALLE 49 Y DIAGONAL 49"/>
    <n v="5.3100874999999998"/>
    <n v="-72.403551666666672"/>
    <s v="MOVILIDAD"/>
    <s v="URBANO"/>
    <x v="1"/>
    <s v="FEBRERO"/>
    <d v="2023-02-18T00:00:00"/>
    <x v="5"/>
    <d v="1899-12-30T14:50:00"/>
    <s v="CAMIONETA"/>
    <s v="BICICLETA"/>
    <n v="0"/>
    <n v="0"/>
    <n v="0"/>
    <n v="0"/>
    <n v="1"/>
    <n v="0"/>
    <n v="0"/>
    <n v="0"/>
    <n v="0"/>
    <n v="0"/>
    <n v="0"/>
    <n v="1"/>
    <s v="MASCULINO"/>
    <m/>
    <n v="1"/>
    <n v="0"/>
    <n v="47"/>
    <m/>
    <m/>
    <m/>
    <m/>
    <m/>
    <n v="115"/>
    <x v="12"/>
    <n v="157"/>
    <s v="Otra"/>
    <x v="1"/>
  </r>
  <r>
    <n v="849"/>
    <x v="0"/>
    <n v="2"/>
    <n v="0"/>
    <x v="0"/>
    <s v="CARRERA 5 ENTRE CALLE 59 Y 60"/>
    <n v="5.3028127777777776"/>
    <n v="-72.403131111111122"/>
    <s v="MOVILIDAD"/>
    <s v="URBANO"/>
    <x v="3"/>
    <s v="DICIEMBRE"/>
    <d v="2024-12-26T00:00:00"/>
    <x v="1"/>
    <d v="1899-12-30T18:20:00"/>
    <s v="MOTOCICLETA"/>
    <s v="BICICLETA"/>
    <n v="1"/>
    <n v="0"/>
    <n v="0"/>
    <n v="0"/>
    <n v="0"/>
    <n v="0"/>
    <n v="0"/>
    <n v="0"/>
    <n v="0"/>
    <n v="0"/>
    <n v="0"/>
    <n v="1"/>
    <s v="MASCULINO"/>
    <m/>
    <n v="1"/>
    <n v="0"/>
    <n v="19"/>
    <n v="56"/>
    <m/>
    <m/>
    <m/>
    <m/>
    <n v="157"/>
    <x v="1"/>
    <m/>
    <s v=""/>
    <x v="0"/>
  </r>
  <r>
    <n v="474"/>
    <x v="0"/>
    <n v="1"/>
    <n v="0"/>
    <x v="0"/>
    <s v="CARRERA 5 ENTRE DIAGONAL 47 CALLE 60"/>
    <n v="5.3088361111111109"/>
    <n v="-72.403466666666674"/>
    <s v="MOVILIDAD"/>
    <s v="URBANO"/>
    <x v="1"/>
    <s v="MAYO"/>
    <d v="2023-05-09T00:00:00"/>
    <x v="6"/>
    <d v="1899-12-30T12:15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m/>
    <m/>
    <m/>
    <n v="74"/>
    <m/>
    <m/>
    <n v="407"/>
    <x v="40"/>
    <m/>
    <s v=""/>
    <x v="1"/>
  </r>
  <r>
    <n v="1006"/>
    <x v="0"/>
    <n v="1"/>
    <n v="0"/>
    <x v="0"/>
    <s v="CARRERA 5 N 29-68"/>
    <n v="5.3252220000000001"/>
    <n v="-72.405669000000003"/>
    <s v="MOVILIDAD"/>
    <s v="URBANO"/>
    <x v="2"/>
    <s v="JUNIO"/>
    <d v="2025-06-29T00:00:00"/>
    <x v="2"/>
    <d v="1899-12-30T05:25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27"/>
    <m/>
    <m/>
    <m/>
    <m/>
    <m/>
    <n v="114"/>
    <x v="5"/>
    <m/>
    <s v=""/>
    <x v="2"/>
  </r>
  <r>
    <n v="621"/>
    <x v="0"/>
    <n v="1"/>
    <n v="0"/>
    <x v="0"/>
    <s v="CARRERA 50  # 24-109"/>
    <n v="5.3462805555555555"/>
    <n v="-72.374311111111098"/>
    <s v="MOVILIDAD"/>
    <s v="URBANO"/>
    <x v="1"/>
    <s v="NOVIEMBRE"/>
    <d v="2023-11-29T00:00:00"/>
    <x v="3"/>
    <d v="1899-12-30T22:5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37"/>
    <m/>
    <m/>
    <m/>
    <m/>
    <m/>
    <n v="114"/>
    <x v="5"/>
    <m/>
    <s v=""/>
    <x v="0"/>
  </r>
  <r>
    <n v="1050"/>
    <x v="0"/>
    <n v="1"/>
    <n v="0"/>
    <x v="0"/>
    <s v="CARRERA 50 # CALLE 40"/>
    <n v="5.3407470000000004"/>
    <n v="-72.364774199999999"/>
    <s v="MOVILIDAD"/>
    <s v="URBANO"/>
    <x v="2"/>
    <s v="AGOSTO"/>
    <d v="2025-08-09T00:00:00"/>
    <x v="5"/>
    <d v="1899-12-30T15:40:00"/>
    <s v="MOTOCARRO "/>
    <s v="CAMIONETA"/>
    <n v="0"/>
    <n v="0"/>
    <n v="0"/>
    <n v="0"/>
    <n v="1"/>
    <n v="0"/>
    <n v="0"/>
    <n v="0"/>
    <n v="0"/>
    <n v="0"/>
    <n v="0"/>
    <n v="0"/>
    <s v="MASCULINO"/>
    <s v="MASCULINO"/>
    <n v="2"/>
    <n v="0"/>
    <n v="28"/>
    <n v="52"/>
    <m/>
    <m/>
    <m/>
    <m/>
    <n v="157"/>
    <x v="1"/>
    <m/>
    <s v=""/>
    <x v="1"/>
  </r>
  <r>
    <n v="759"/>
    <x v="0"/>
    <n v="1"/>
    <n v="0"/>
    <x v="0"/>
    <s v="CARRERA 6 # 25"/>
    <n v="5.3300602777777772"/>
    <n v="-72.408016388888896"/>
    <s v="MOVILIDAD"/>
    <s v="URBANO"/>
    <x v="3"/>
    <s v="AGOSTO"/>
    <d v="2024-08-04T00:00:00"/>
    <x v="2"/>
    <d v="1899-12-30T08:00:00"/>
    <s v="MOTOCICLETA"/>
    <s v="CAMIONETA"/>
    <n v="1"/>
    <n v="0"/>
    <n v="0"/>
    <n v="0"/>
    <n v="1"/>
    <n v="0"/>
    <n v="0"/>
    <n v="0"/>
    <n v="0"/>
    <n v="0"/>
    <n v="0"/>
    <n v="0"/>
    <s v="MASCULINO"/>
    <m/>
    <n v="1"/>
    <n v="0"/>
    <n v="23"/>
    <n v="62"/>
    <m/>
    <m/>
    <m/>
    <m/>
    <n v="132"/>
    <x v="13"/>
    <m/>
    <s v=""/>
    <x v="2"/>
  </r>
  <r>
    <n v="844"/>
    <x v="0"/>
    <n v="1"/>
    <n v="0"/>
    <x v="0"/>
    <s v="CARRERA 6 # 25"/>
    <n v="5.3300602777777772"/>
    <n v="-72.408016388888896"/>
    <s v="MOVILIDAD"/>
    <s v="URBANO"/>
    <x v="3"/>
    <s v="DICIEMBRE"/>
    <d v="2024-12-24T00:00:00"/>
    <x v="6"/>
    <d v="1899-12-30T14:15:00"/>
    <s v="MOTOCICLETA"/>
    <s v="CAMIONETA"/>
    <n v="1"/>
    <n v="0"/>
    <n v="0"/>
    <n v="0"/>
    <n v="1"/>
    <n v="0"/>
    <n v="0"/>
    <n v="0"/>
    <n v="0"/>
    <n v="0"/>
    <n v="0"/>
    <n v="0"/>
    <s v="MASCULINO"/>
    <m/>
    <n v="1"/>
    <n v="0"/>
    <n v="44"/>
    <m/>
    <m/>
    <m/>
    <m/>
    <m/>
    <n v="123"/>
    <x v="21"/>
    <n v="157"/>
    <s v="Otra"/>
    <x v="1"/>
  </r>
  <r>
    <n v="998"/>
    <x v="0"/>
    <n v="0"/>
    <n v="1"/>
    <x v="2"/>
    <s v="CARRERA 6 # 40"/>
    <n v="5.3185349999999998"/>
    <n v="-72.403441999999998"/>
    <s v="MOVILIDAD"/>
    <s v="URBANO"/>
    <x v="2"/>
    <s v="JUNIO"/>
    <d v="2025-06-21T00:00:00"/>
    <x v="5"/>
    <d v="1899-12-30T01:15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30"/>
    <m/>
    <m/>
    <m/>
    <m/>
    <m/>
    <n v="139"/>
    <x v="0"/>
    <m/>
    <s v=""/>
    <x v="2"/>
  </r>
  <r>
    <n v="6"/>
    <x v="1"/>
    <n v="0"/>
    <n v="0"/>
    <x v="1"/>
    <s v="CARRERA 6 # 40"/>
    <n v="5.3185555555555553"/>
    <n v="-72.403444444444446"/>
    <s v="MOVILIDAD"/>
    <s v="URBANO"/>
    <x v="0"/>
    <s v="ENERO"/>
    <d v="2022-01-11T00:00:00"/>
    <x v="6"/>
    <d v="1899-12-30T17:20:00"/>
    <s v="AUTOMOVIL"/>
    <s v="CAMIONETA"/>
    <n v="0"/>
    <n v="0"/>
    <n v="1"/>
    <n v="0"/>
    <n v="1"/>
    <n v="0"/>
    <n v="0"/>
    <n v="0"/>
    <n v="0"/>
    <n v="0"/>
    <n v="0"/>
    <n v="0"/>
    <m/>
    <s v="FEMENINO"/>
    <n v="0"/>
    <n v="1"/>
    <m/>
    <m/>
    <m/>
    <m/>
    <m/>
    <m/>
    <n v="139"/>
    <x v="0"/>
    <n v="122"/>
    <s v="Girar bruscamente."/>
    <x v="1"/>
  </r>
  <r>
    <n v="568"/>
    <x v="0"/>
    <n v="1"/>
    <n v="0"/>
    <x v="0"/>
    <s v="CARRERA 6 CALLE 25 "/>
    <n v="5.3300602777777772"/>
    <n v="-72.408016388888896"/>
    <s v="MOVILIDAD"/>
    <s v="URBANO"/>
    <x v="1"/>
    <s v="OCTUBRE"/>
    <d v="2023-10-03T00:00:00"/>
    <x v="6"/>
    <d v="1899-12-30T14:2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19"/>
    <m/>
    <m/>
    <m/>
    <m/>
    <m/>
    <n v="157"/>
    <x v="1"/>
    <m/>
    <s v=""/>
    <x v="1"/>
  </r>
  <r>
    <n v="181"/>
    <x v="1"/>
    <n v="0"/>
    <n v="0"/>
    <x v="1"/>
    <s v="CARRERA 6 CALLE 26"/>
    <n v="5.3291749999999993"/>
    <n v="-72.407375000000002"/>
    <s v="MOVILIDAD"/>
    <s v="URBANO"/>
    <x v="0"/>
    <s v="MAYO"/>
    <d v="2022-05-11T00:00:00"/>
    <x v="3"/>
    <d v="1899-12-30T14:15:00"/>
    <s v="MOTOCICLETA"/>
    <s v="AUTOMOVIL"/>
    <n v="1"/>
    <n v="0"/>
    <n v="1"/>
    <n v="0"/>
    <n v="0"/>
    <n v="0"/>
    <n v="0"/>
    <n v="0"/>
    <n v="0"/>
    <n v="0"/>
    <n v="0"/>
    <n v="0"/>
    <s v="MASCULINO"/>
    <s v="FEMENINO"/>
    <n v="1"/>
    <n v="1"/>
    <m/>
    <m/>
    <m/>
    <m/>
    <m/>
    <m/>
    <n v="157"/>
    <x v="1"/>
    <m/>
    <s v=""/>
    <x v="1"/>
  </r>
  <r>
    <n v="669"/>
    <x v="0"/>
    <n v="1"/>
    <n v="0"/>
    <x v="0"/>
    <s v="CARRERA 6 CALLE 29"/>
    <n v="5.3266583333333335"/>
    <n v="-72.405302777777777"/>
    <s v="MOVILIDAD"/>
    <s v="URBANO"/>
    <x v="3"/>
    <s v="MARZO"/>
    <d v="2024-03-02T00:00:00"/>
    <x v="5"/>
    <d v="1899-12-30T20:50:00"/>
    <s v="MOTOCICLETA"/>
    <s v="CAMPERO"/>
    <n v="1"/>
    <n v="0"/>
    <n v="0"/>
    <n v="1"/>
    <n v="0"/>
    <n v="0"/>
    <n v="0"/>
    <n v="0"/>
    <n v="0"/>
    <n v="0"/>
    <n v="0"/>
    <n v="0"/>
    <s v="MASCULINO"/>
    <m/>
    <n v="1"/>
    <n v="0"/>
    <n v="42"/>
    <n v="61"/>
    <m/>
    <m/>
    <m/>
    <m/>
    <n v="139"/>
    <x v="0"/>
    <n v="123"/>
    <s v="No respetar prelación de intersecciones o giros."/>
    <x v="0"/>
  </r>
  <r>
    <n v="699"/>
    <x v="0"/>
    <n v="1"/>
    <n v="0"/>
    <x v="0"/>
    <s v="CARRERA 6 CALLE 40  "/>
    <n v="5.3185555555555553"/>
    <n v="-72.403444444444446"/>
    <s v="MOVILIDAD"/>
    <s v="URBANO"/>
    <x v="3"/>
    <s v="ABRIL"/>
    <d v="2024-04-27T00:00:00"/>
    <x v="5"/>
    <d v="1899-12-30T00:10:00"/>
    <s v="MOTOCICLETA"/>
    <s v="CAMIONETA"/>
    <n v="1"/>
    <n v="0"/>
    <n v="0"/>
    <n v="0"/>
    <n v="1"/>
    <n v="0"/>
    <n v="0"/>
    <n v="0"/>
    <n v="0"/>
    <n v="0"/>
    <n v="0"/>
    <n v="0"/>
    <s v="MASCULINO"/>
    <m/>
    <n v="1"/>
    <n v="0"/>
    <n v="29"/>
    <n v="38"/>
    <m/>
    <m/>
    <m/>
    <m/>
    <n v="103"/>
    <x v="8"/>
    <m/>
    <s v=""/>
    <x v="2"/>
  </r>
  <r>
    <n v="52"/>
    <x v="1"/>
    <n v="0"/>
    <n v="0"/>
    <x v="1"/>
    <s v="CARRERA 6 CALLE 44"/>
    <n v="5.3148249999999999"/>
    <n v="-72.403061111111114"/>
    <s v="MOVILIDAD"/>
    <s v="URBANO"/>
    <x v="0"/>
    <s v="FEBRERO"/>
    <d v="2022-02-11T00:00:00"/>
    <x v="0"/>
    <d v="1899-12-30T16:15:00"/>
    <s v="AUTOMOVIL"/>
    <s v="AUTOMOVIL"/>
    <n v="0"/>
    <n v="0"/>
    <n v="2"/>
    <n v="0"/>
    <n v="0"/>
    <n v="0"/>
    <n v="0"/>
    <n v="0"/>
    <n v="0"/>
    <n v="0"/>
    <n v="0"/>
    <n v="0"/>
    <m/>
    <s v="FEMENINO"/>
    <n v="0"/>
    <n v="1"/>
    <m/>
    <m/>
    <m/>
    <m/>
    <m/>
    <m/>
    <n v="112"/>
    <x v="4"/>
    <m/>
    <s v=""/>
    <x v="1"/>
  </r>
  <r>
    <n v="151"/>
    <x v="0"/>
    <n v="1"/>
    <n v="0"/>
    <x v="0"/>
    <s v="CARRERA 6 DIAGONAL 47"/>
    <n v="5.3095083333333335"/>
    <n v="-72.4025888888889"/>
    <s v="MOVILIDAD"/>
    <s v="URBANO"/>
    <x v="0"/>
    <s v="ABRIL"/>
    <d v="2022-04-27T00:00:00"/>
    <x v="3"/>
    <d v="1899-12-30T15:1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38"/>
    <m/>
    <m/>
    <m/>
    <m/>
    <m/>
    <n v="139"/>
    <x v="0"/>
    <n v="123"/>
    <s v="No respetar prelación de intersecciones o giros."/>
    <x v="1"/>
  </r>
  <r>
    <n v="332"/>
    <x v="0"/>
    <n v="0"/>
    <n v="1"/>
    <x v="2"/>
    <s v="CARRERA 6B CALLE 40"/>
    <n v="5.3186638888888886"/>
    <n v="-72.403172222222224"/>
    <s v="MOVILIDAD"/>
    <s v="URBANO"/>
    <x v="0"/>
    <s v="OCTUBRE"/>
    <d v="2022-10-14T00:00:00"/>
    <x v="0"/>
    <d v="1899-12-30T16:30:00"/>
    <s v="MOTOCICLETA"/>
    <s v="CAMION"/>
    <n v="1"/>
    <n v="0"/>
    <n v="0"/>
    <n v="0"/>
    <n v="0"/>
    <n v="0"/>
    <n v="0"/>
    <n v="0"/>
    <n v="1"/>
    <n v="0"/>
    <n v="0"/>
    <n v="0"/>
    <m/>
    <s v="FEMENINO"/>
    <n v="0"/>
    <n v="1"/>
    <m/>
    <m/>
    <m/>
    <m/>
    <m/>
    <n v="32"/>
    <n v="141"/>
    <x v="28"/>
    <n v="114"/>
    <s v="Embriaguez aparente."/>
    <x v="1"/>
  </r>
  <r>
    <n v="765"/>
    <x v="0"/>
    <n v="1"/>
    <n v="0"/>
    <x v="0"/>
    <s v="CARRERA 7  # 40-91"/>
    <n v="5.3185972222222224"/>
    <n v="-72.402122222222232"/>
    <s v="MOVILIDAD"/>
    <s v="URBANO"/>
    <x v="3"/>
    <s v="AGOSTO"/>
    <d v="2024-08-20T00:00:00"/>
    <x v="6"/>
    <d v="1899-12-30T11:30:00"/>
    <s v="MOTOCICLETA"/>
    <s v="CAMIONETA"/>
    <n v="1"/>
    <n v="0"/>
    <n v="0"/>
    <n v="0"/>
    <n v="1"/>
    <n v="0"/>
    <n v="0"/>
    <n v="0"/>
    <n v="0"/>
    <n v="0"/>
    <n v="0"/>
    <n v="0"/>
    <s v="MASCULINO"/>
    <m/>
    <n v="1"/>
    <n v="0"/>
    <n v="39"/>
    <n v="31"/>
    <n v="59"/>
    <m/>
    <m/>
    <m/>
    <n v="104"/>
    <x v="9"/>
    <n v="115"/>
    <s v="Embriaguez o Sustancias alucinogenas"/>
    <x v="2"/>
  </r>
  <r>
    <n v="547"/>
    <x v="0"/>
    <n v="1"/>
    <n v="0"/>
    <x v="0"/>
    <s v="CARRERA 7  # 45 - 111 "/>
    <n v="5.3141627777777778"/>
    <n v="-72.402021388888897"/>
    <s v="MOVILIDAD"/>
    <s v="URBANO"/>
    <x v="1"/>
    <s v="SEPTIEMBRE"/>
    <d v="2023-09-02T00:00:00"/>
    <x v="5"/>
    <d v="1899-12-30T17:1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50"/>
    <m/>
    <m/>
    <m/>
    <m/>
    <m/>
    <n v="139"/>
    <x v="0"/>
    <m/>
    <s v=""/>
    <x v="1"/>
  </r>
  <r>
    <n v="610"/>
    <x v="0"/>
    <n v="2"/>
    <n v="0"/>
    <x v="0"/>
    <s v="CARRERA 7  # 45- 39"/>
    <n v="5.3141416666666661"/>
    <n v="-72.402022222222229"/>
    <s v="MOVILIDAD"/>
    <s v="URBANO"/>
    <x v="1"/>
    <s v="NOVIEMBRE"/>
    <d v="2023-11-15T00:00:00"/>
    <x v="3"/>
    <d v="1899-12-30T17:00:00"/>
    <s v="MOTOCICLETA"/>
    <s v="BICICLETA"/>
    <n v="1"/>
    <n v="0"/>
    <n v="0"/>
    <n v="0"/>
    <n v="0"/>
    <n v="0"/>
    <n v="0"/>
    <n v="0"/>
    <n v="0"/>
    <n v="0"/>
    <n v="0"/>
    <n v="1"/>
    <s v="MASCULINO"/>
    <m/>
    <n v="1"/>
    <n v="0"/>
    <n v="25"/>
    <n v="59"/>
    <m/>
    <m/>
    <m/>
    <m/>
    <n v="121"/>
    <x v="7"/>
    <n v="139"/>
    <s v="Impericia en el manejo."/>
    <x v="1"/>
  </r>
  <r>
    <n v="909"/>
    <x v="1"/>
    <n v="0"/>
    <n v="0"/>
    <x v="1"/>
    <s v="CARRERA 7 # 40 "/>
    <n v="5.3185111111111105"/>
    <n v="-72.402433333333335"/>
    <s v="MOVILIDAD"/>
    <s v="URBANO"/>
    <x v="2"/>
    <s v="MARZO"/>
    <d v="2025-03-22T00:00:00"/>
    <x v="5"/>
    <d v="1899-12-30T09:43:00"/>
    <s v="MOTOCICLETA"/>
    <s v="MOTOCICLETA"/>
    <n v="2"/>
    <n v="0"/>
    <n v="0"/>
    <n v="0"/>
    <n v="0"/>
    <n v="0"/>
    <n v="0"/>
    <n v="0"/>
    <n v="0"/>
    <n v="0"/>
    <n v="0"/>
    <n v="0"/>
    <s v="MASCULINO"/>
    <s v="MASCULINO"/>
    <n v="2"/>
    <n v="0"/>
    <n v="38"/>
    <n v="31"/>
    <m/>
    <m/>
    <m/>
    <m/>
    <n v="115"/>
    <x v="12"/>
    <m/>
    <s v=""/>
    <x v="2"/>
  </r>
  <r>
    <n v="943"/>
    <x v="1"/>
    <n v="0"/>
    <n v="0"/>
    <x v="1"/>
    <s v="CARRERA 7 # 40 "/>
    <n v="5.3185111111111105"/>
    <n v="-72.402433333333335"/>
    <s v="MOVILIDAD"/>
    <s v="URBANO"/>
    <x v="2"/>
    <s v="ABRIL"/>
    <d v="2025-04-19T00:00:00"/>
    <x v="5"/>
    <d v="1899-12-30T18:20:00"/>
    <s v="AUTOMOVIL"/>
    <s v="CAMPERO"/>
    <n v="0"/>
    <n v="0"/>
    <n v="1"/>
    <n v="1"/>
    <n v="0"/>
    <n v="0"/>
    <n v="0"/>
    <n v="0"/>
    <n v="0"/>
    <n v="0"/>
    <n v="0"/>
    <n v="0"/>
    <s v="MASCULINO"/>
    <s v="MASCULINO"/>
    <n v="2"/>
    <n v="0"/>
    <n v="47"/>
    <n v="36"/>
    <m/>
    <m/>
    <m/>
    <m/>
    <n v="114"/>
    <x v="5"/>
    <n v="104"/>
    <s v="Adelantar invadiendo carril de sentido contrario."/>
    <x v="0"/>
  </r>
  <r>
    <n v="690"/>
    <x v="0"/>
    <n v="4"/>
    <n v="0"/>
    <x v="0"/>
    <s v="CARRERA 7 # 42"/>
    <n v="5.316613888888889"/>
    <n v="-72.402241666666669"/>
    <s v="MOVILIDAD"/>
    <s v="URBANO"/>
    <x v="3"/>
    <s v="ABRIL"/>
    <d v="2024-04-08T00:00:00"/>
    <x v="4"/>
    <d v="1899-12-30T21:15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n v="43"/>
    <n v="31"/>
    <n v="30"/>
    <n v="2"/>
    <m/>
    <m/>
    <n v="139"/>
    <x v="0"/>
    <n v="115"/>
    <s v="Embriaguez o Sustancias alucinogenas"/>
    <x v="0"/>
  </r>
  <r>
    <n v="30"/>
    <x v="1"/>
    <n v="0"/>
    <n v="0"/>
    <x v="1"/>
    <s v="CARRERA 7 # 42"/>
    <n v="5.316613888888889"/>
    <n v="-72.402241666666669"/>
    <s v="MOVILIDAD"/>
    <s v="URBANO"/>
    <x v="0"/>
    <s v="ENERO"/>
    <d v="2022-01-29T00:00:00"/>
    <x v="5"/>
    <d v="1899-12-30T23:5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m/>
    <m/>
    <m/>
    <m/>
    <m/>
    <m/>
    <n v="115"/>
    <x v="12"/>
    <n v="132"/>
    <s v="No respetar prelación."/>
    <x v="0"/>
  </r>
  <r>
    <n v="350"/>
    <x v="0"/>
    <n v="3"/>
    <n v="0"/>
    <x v="0"/>
    <s v="CARRERA 7 # 42"/>
    <n v="5.316613888888889"/>
    <n v="-72.402241666666669"/>
    <s v="MOVILIDAD"/>
    <s v="URBANO"/>
    <x v="0"/>
    <s v="NOVIEMBRE"/>
    <d v="2022-11-05T00:00:00"/>
    <x v="5"/>
    <d v="1899-12-30T23:2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32"/>
    <n v="19"/>
    <m/>
    <m/>
    <n v="19"/>
    <m/>
    <n v="114"/>
    <x v="5"/>
    <m/>
    <s v=""/>
    <x v="0"/>
  </r>
  <r>
    <n v="306"/>
    <x v="1"/>
    <n v="0"/>
    <n v="0"/>
    <x v="1"/>
    <s v="CARRERA 7 # CALLE 24"/>
    <n v="5.3316625000000002"/>
    <n v="-72.40793583333334"/>
    <s v="MOVILIDAD"/>
    <s v="URBANO"/>
    <x v="0"/>
    <s v="SEPTIEMBRE"/>
    <d v="2022-09-09T00:00:00"/>
    <x v="0"/>
    <d v="1899-12-30T23:50:00"/>
    <s v="AUTOMOVIL"/>
    <s v="AUTOMOVIL"/>
    <n v="0"/>
    <n v="0"/>
    <n v="2"/>
    <n v="0"/>
    <n v="0"/>
    <n v="0"/>
    <n v="0"/>
    <n v="0"/>
    <n v="0"/>
    <n v="0"/>
    <n v="0"/>
    <n v="0"/>
    <s v="MASCULINO"/>
    <m/>
    <n v="1"/>
    <n v="0"/>
    <m/>
    <m/>
    <m/>
    <m/>
    <m/>
    <m/>
    <n v="157"/>
    <x v="1"/>
    <m/>
    <s v=""/>
    <x v="0"/>
  </r>
  <r>
    <n v="678"/>
    <x v="0"/>
    <n v="2"/>
    <n v="0"/>
    <x v="0"/>
    <s v="CARRERA 7 CALLE 30"/>
    <n v="5.325685"/>
    <n v="-72.403162500000008"/>
    <s v="MOVILIDAD"/>
    <s v="URBANO"/>
    <x v="3"/>
    <s v="MARZO"/>
    <d v="2024-03-11T00:00:00"/>
    <x v="4"/>
    <d v="1899-12-30T19:50:00"/>
    <s v="MOTOCICLETA"/>
    <m/>
    <n v="1"/>
    <n v="0"/>
    <n v="0"/>
    <n v="0"/>
    <n v="0"/>
    <n v="0"/>
    <n v="0"/>
    <n v="0"/>
    <n v="0"/>
    <n v="0"/>
    <n v="0"/>
    <n v="0"/>
    <s v="MASCULINO"/>
    <s v="FEMENINO"/>
    <n v="1"/>
    <n v="1"/>
    <n v="65"/>
    <m/>
    <m/>
    <m/>
    <m/>
    <m/>
    <n v="116"/>
    <x v="14"/>
    <m/>
    <s v=""/>
    <x v="0"/>
  </r>
  <r>
    <n v="537"/>
    <x v="0"/>
    <n v="1"/>
    <n v="0"/>
    <x v="0"/>
    <s v="CARRERA 7 CALLE 30 "/>
    <n v="5.325685"/>
    <n v="-72.403162500000008"/>
    <s v="MOVILIDAD"/>
    <s v="URBANO"/>
    <x v="1"/>
    <s v="AGOSTO"/>
    <d v="2023-08-18T00:00:00"/>
    <x v="0"/>
    <d v="1899-12-30T21:2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25"/>
    <m/>
    <m/>
    <m/>
    <m/>
    <m/>
    <n v="139"/>
    <x v="0"/>
    <n v="114"/>
    <s v="Embriaguez aparente."/>
    <x v="0"/>
  </r>
  <r>
    <n v="276"/>
    <x v="0"/>
    <n v="1"/>
    <n v="0"/>
    <x v="0"/>
    <s v="CARRERA 7 CALLE 40"/>
    <n v="5.3185111111111105"/>
    <n v="-72.402433333333335"/>
    <s v="MOVILIDAD"/>
    <s v="URBANO"/>
    <x v="0"/>
    <s v="JULIO"/>
    <d v="2022-07-14T00:00:00"/>
    <x v="1"/>
    <d v="1899-12-30T19:10:00"/>
    <s v="MOTOCICLETA"/>
    <s v="CAMION"/>
    <n v="1"/>
    <n v="0"/>
    <n v="0"/>
    <n v="0"/>
    <n v="0"/>
    <n v="0"/>
    <n v="0"/>
    <n v="0"/>
    <n v="1"/>
    <n v="0"/>
    <n v="0"/>
    <n v="0"/>
    <s v="MASCULINO"/>
    <m/>
    <n v="1"/>
    <n v="0"/>
    <n v="27"/>
    <m/>
    <m/>
    <m/>
    <m/>
    <m/>
    <n v="122"/>
    <x v="2"/>
    <n v="93"/>
    <s v="Transitar distante de la acera u orilla de la calzada."/>
    <x v="0"/>
  </r>
  <r>
    <n v="120"/>
    <x v="1"/>
    <n v="0"/>
    <n v="0"/>
    <x v="1"/>
    <s v="CARRERA 7 CALLE 45"/>
    <n v="5.3138722222222219"/>
    <n v="-72.401638888888897"/>
    <s v="MOVILIDAD"/>
    <s v="URBANO"/>
    <x v="0"/>
    <s v="ABRIL"/>
    <d v="2022-04-05T00:00:00"/>
    <x v="6"/>
    <d v="1899-12-30T19:30:00"/>
    <s v="MOTOCICLETA"/>
    <s v="CAMIONETA"/>
    <n v="1"/>
    <n v="0"/>
    <n v="0"/>
    <n v="0"/>
    <n v="1"/>
    <n v="0"/>
    <n v="0"/>
    <n v="0"/>
    <n v="0"/>
    <n v="0"/>
    <n v="0"/>
    <n v="0"/>
    <s v="MASCULINO"/>
    <m/>
    <n v="1"/>
    <n v="0"/>
    <m/>
    <m/>
    <m/>
    <m/>
    <m/>
    <m/>
    <n v="104"/>
    <x v="9"/>
    <m/>
    <s v=""/>
    <x v="0"/>
  </r>
  <r>
    <n v="21"/>
    <x v="1"/>
    <n v="0"/>
    <n v="0"/>
    <x v="1"/>
    <s v="CARRERA 7 CALLE 46"/>
    <n v="5.3129609999999996"/>
    <n v="-72.401919000000007"/>
    <s v="MOVILIDAD"/>
    <s v="URBANO"/>
    <x v="0"/>
    <s v="ENERO"/>
    <d v="2022-01-23T00:00:00"/>
    <x v="2"/>
    <d v="1899-12-30T18:4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m/>
    <m/>
    <m/>
    <m/>
    <m/>
    <m/>
    <n v="121"/>
    <x v="7"/>
    <m/>
    <s v=""/>
    <x v="0"/>
  </r>
  <r>
    <n v="661"/>
    <x v="0"/>
    <n v="3"/>
    <n v="0"/>
    <x v="0"/>
    <s v="CARRERA 7 CALLE 48"/>
    <n v="5.3111999999999995"/>
    <n v="-72.401741666666666"/>
    <s v="MOVILIDAD"/>
    <s v="URBANO"/>
    <x v="3"/>
    <s v="FEBRERO"/>
    <d v="2024-02-11T00:00:00"/>
    <x v="2"/>
    <d v="1899-12-30T21:3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23"/>
    <n v="20"/>
    <n v="22"/>
    <m/>
    <m/>
    <m/>
    <n v="139"/>
    <x v="0"/>
    <m/>
    <s v=""/>
    <x v="0"/>
  </r>
  <r>
    <n v="215"/>
    <x v="0"/>
    <n v="1"/>
    <n v="1"/>
    <x v="2"/>
    <s v="CARRERA 7 DIAGONAL 47"/>
    <n v="5.31"/>
    <n v="-72.40162222222223"/>
    <s v="MOVILIDAD"/>
    <s v="URBANO"/>
    <x v="0"/>
    <s v="JUNIO"/>
    <d v="2022-06-12T00:00:00"/>
    <x v="2"/>
    <d v="1899-12-30T20:20:00"/>
    <s v="MOTOCICLETA"/>
    <s v="AUTOMOVIL"/>
    <n v="1"/>
    <n v="0"/>
    <n v="1"/>
    <n v="0"/>
    <n v="0"/>
    <n v="0"/>
    <n v="0"/>
    <n v="0"/>
    <n v="0"/>
    <n v="0"/>
    <n v="0"/>
    <n v="0"/>
    <m/>
    <s v="FEMENINO"/>
    <n v="0"/>
    <n v="1"/>
    <m/>
    <m/>
    <m/>
    <m/>
    <n v="50"/>
    <n v="46"/>
    <n v="157"/>
    <x v="1"/>
    <m/>
    <s v=""/>
    <x v="0"/>
  </r>
  <r>
    <n v="155"/>
    <x v="0"/>
    <n v="1"/>
    <n v="0"/>
    <x v="0"/>
    <s v="CARRERA 7 DIAGONAL 47"/>
    <n v="5.31"/>
    <n v="-72.40162222222223"/>
    <s v="MOVILIDAD"/>
    <s v="URBANO"/>
    <x v="0"/>
    <s v="ABRIL"/>
    <d v="2022-04-29T00:00:00"/>
    <x v="0"/>
    <d v="1899-12-30T15:0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18"/>
    <m/>
    <m/>
    <m/>
    <m/>
    <m/>
    <n v="139"/>
    <x v="0"/>
    <m/>
    <s v=""/>
    <x v="1"/>
  </r>
  <r>
    <n v="99"/>
    <x v="0"/>
    <n v="1"/>
    <n v="0"/>
    <x v="0"/>
    <s v="CARRERA 7 DIAGONAL 47"/>
    <n v="5.31"/>
    <n v="-72.40162222222223"/>
    <s v="MOVILIDAD"/>
    <s v="URBANO"/>
    <x v="0"/>
    <s v="MARZO"/>
    <d v="2022-03-26T00:00:00"/>
    <x v="5"/>
    <d v="1899-12-30T18:3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21"/>
    <m/>
    <m/>
    <m/>
    <m/>
    <m/>
    <n v="112"/>
    <x v="4"/>
    <n v="115"/>
    <s v="Embriaguez o Sustancias alucinogenas"/>
    <x v="0"/>
  </r>
  <r>
    <n v="877"/>
    <x v="1"/>
    <n v="0"/>
    <n v="0"/>
    <x v="1"/>
    <s v="CARRERA 7 DIAGONAL 47 "/>
    <n v="5.31"/>
    <n v="-72.40162222222223"/>
    <s v="MOVILIDAD"/>
    <s v="URBANO"/>
    <x v="2"/>
    <s v="FEBRERO"/>
    <d v="2025-02-18T00:00:00"/>
    <x v="6"/>
    <d v="1899-12-30T03:20:00"/>
    <s v="CAMIONETA"/>
    <m/>
    <n v="0"/>
    <n v="0"/>
    <n v="0"/>
    <n v="0"/>
    <n v="1"/>
    <n v="0"/>
    <n v="0"/>
    <n v="0"/>
    <n v="0"/>
    <n v="0"/>
    <n v="0"/>
    <n v="0"/>
    <s v="MASCULINO"/>
    <m/>
    <n v="1"/>
    <n v="0"/>
    <n v="51"/>
    <m/>
    <m/>
    <m/>
    <m/>
    <m/>
    <n v="157"/>
    <x v="1"/>
    <m/>
    <s v=""/>
    <x v="2"/>
  </r>
  <r>
    <n v="828"/>
    <x v="0"/>
    <n v="1"/>
    <n v="0"/>
    <x v="0"/>
    <s v="CARRERA 7 DIAGONAL 47 "/>
    <n v="5.31"/>
    <n v="-72.40162222222223"/>
    <s v="MOVILIDAD"/>
    <s v="URBANO"/>
    <x v="3"/>
    <s v="DICIEMBRE"/>
    <d v="2024-12-06T00:00:00"/>
    <x v="0"/>
    <d v="1899-12-30T12:15:00"/>
    <s v="MOTOCICLETA"/>
    <s v="BUSETA"/>
    <n v="1"/>
    <n v="0"/>
    <n v="0"/>
    <n v="0"/>
    <n v="0"/>
    <n v="0"/>
    <n v="0"/>
    <n v="1"/>
    <n v="0"/>
    <n v="0"/>
    <n v="0"/>
    <n v="0"/>
    <s v="MASCULINO"/>
    <m/>
    <n v="1"/>
    <n v="0"/>
    <n v="58"/>
    <m/>
    <m/>
    <m/>
    <m/>
    <m/>
    <n v="123"/>
    <x v="21"/>
    <n v="139"/>
    <s v="Impericia en el manejo."/>
    <x v="1"/>
  </r>
  <r>
    <n v="867"/>
    <x v="0"/>
    <n v="1"/>
    <n v="0"/>
    <x v="0"/>
    <s v="CARRERA 7 DIAGONAL 47 "/>
    <n v="5.31"/>
    <n v="-72.40162222222223"/>
    <s v="MOVILIDAD"/>
    <s v="URBANO"/>
    <x v="2"/>
    <s v="FEBRERO"/>
    <d v="2025-02-03T00:00:00"/>
    <x v="4"/>
    <d v="1899-12-30T08:10:00"/>
    <s v="MOTOCICLETA"/>
    <s v="MOTOCICLETA"/>
    <n v="2"/>
    <n v="0"/>
    <n v="0"/>
    <n v="0"/>
    <n v="0"/>
    <n v="0"/>
    <n v="0"/>
    <n v="0"/>
    <n v="0"/>
    <n v="0"/>
    <n v="0"/>
    <n v="0"/>
    <s v="MASCULINO"/>
    <s v="MASCULINO"/>
    <n v="2"/>
    <n v="0"/>
    <n v="48"/>
    <n v="52"/>
    <m/>
    <m/>
    <m/>
    <m/>
    <n v="112"/>
    <x v="4"/>
    <m/>
    <s v=""/>
    <x v="2"/>
  </r>
  <r>
    <n v="172"/>
    <x v="0"/>
    <n v="2"/>
    <n v="0"/>
    <x v="0"/>
    <s v="CARRERA 7 ESTE CALLE 64"/>
    <n v="5.2987133333333336"/>
    <n v="-72.400726666666671"/>
    <s v="MOVILIDAD"/>
    <s v="URBANO"/>
    <x v="0"/>
    <s v="MAYO"/>
    <d v="2022-05-08T00:00:00"/>
    <x v="2"/>
    <d v="1899-12-30T05:30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n v="18"/>
    <n v="29"/>
    <m/>
    <m/>
    <m/>
    <m/>
    <n v="112"/>
    <x v="4"/>
    <n v="114"/>
    <s v="Embriaguez aparente."/>
    <x v="2"/>
  </r>
  <r>
    <n v="990"/>
    <x v="0"/>
    <n v="2"/>
    <n v="0"/>
    <x v="0"/>
    <s v="CARRERA 7 TRANSVERSAL 18"/>
    <n v="5.3327780000000002"/>
    <n v="-72.408844000000002"/>
    <s v="MOVILIDAD"/>
    <s v="URBANO"/>
    <x v="2"/>
    <s v="JUNIO"/>
    <d v="2025-06-15T00:00:00"/>
    <x v="2"/>
    <d v="1899-12-30T08:30:00"/>
    <s v="MOTOCICLETA"/>
    <m/>
    <n v="1"/>
    <n v="0"/>
    <n v="0"/>
    <n v="0"/>
    <n v="0"/>
    <n v="0"/>
    <n v="0"/>
    <n v="0"/>
    <n v="0"/>
    <n v="0"/>
    <n v="0"/>
    <n v="0"/>
    <s v="MASCULINO"/>
    <s v="MASCULINO"/>
    <n v="2"/>
    <n v="0"/>
    <n v="53"/>
    <n v="26"/>
    <m/>
    <m/>
    <m/>
    <m/>
    <n v="157"/>
    <x v="1"/>
    <m/>
    <s v=""/>
    <x v="2"/>
  </r>
  <r>
    <n v="778"/>
    <x v="0"/>
    <n v="2"/>
    <n v="0"/>
    <x v="0"/>
    <s v="CARRERA 7 TRANSVERSAL 18 "/>
    <n v="5.3327888888888886"/>
    <n v="-72.408850000000001"/>
    <s v="MOVILIDAD"/>
    <s v="URBANO"/>
    <x v="3"/>
    <s v="SEPTIEMBRE"/>
    <d v="2024-09-08T00:00:00"/>
    <x v="2"/>
    <d v="1899-12-30T20:00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n v="44"/>
    <n v="28"/>
    <n v="27"/>
    <m/>
    <m/>
    <m/>
    <n v="112"/>
    <x v="4"/>
    <m/>
    <s v=""/>
    <x v="0"/>
  </r>
  <r>
    <n v="395"/>
    <x v="0"/>
    <n v="1"/>
    <n v="0"/>
    <x v="0"/>
    <s v="CARRERA 7 TRANSVERSAL 18 MARGINAL DE LA SELVA "/>
    <n v="5.3328036111111112"/>
    <n v="-72.408825555555566"/>
    <s v="MOVILIDAD"/>
    <s v="URBANO"/>
    <x v="1"/>
    <s v="ENERO"/>
    <d v="2023-01-27T00:00:00"/>
    <x v="0"/>
    <d v="1899-12-30T15:30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n v="34"/>
    <n v="28"/>
    <m/>
    <m/>
    <m/>
    <m/>
    <n v="112"/>
    <x v="4"/>
    <m/>
    <s v=""/>
    <x v="1"/>
  </r>
  <r>
    <n v="825"/>
    <x v="0"/>
    <n v="0"/>
    <n v="1"/>
    <x v="2"/>
    <s v="CARRERA 7B ENTRE CALLE 23Y24"/>
    <n v="5.3323186111111109"/>
    <n v="-72.406719722222235"/>
    <s v="MOVILIDAD"/>
    <s v="URBANO"/>
    <x v="3"/>
    <s v="DICIEMBRE"/>
    <d v="2024-12-04T00:00:00"/>
    <x v="3"/>
    <d v="1899-12-30T01:30:00"/>
    <s v="SIN INFORMACION"/>
    <m/>
    <n v="0"/>
    <n v="0"/>
    <n v="0"/>
    <n v="0"/>
    <n v="0"/>
    <n v="0"/>
    <n v="0"/>
    <n v="0"/>
    <n v="0"/>
    <n v="0"/>
    <n v="0"/>
    <n v="0"/>
    <s v="MASCULINO"/>
    <m/>
    <n v="1"/>
    <n v="0"/>
    <m/>
    <m/>
    <m/>
    <m/>
    <m/>
    <n v="25"/>
    <n v="1"/>
    <x v="3"/>
    <m/>
    <s v=""/>
    <x v="2"/>
  </r>
  <r>
    <n v="521"/>
    <x v="0"/>
    <n v="2"/>
    <n v="0"/>
    <x v="0"/>
    <s v="CARRERA 7B OESTE  CALLE 65 "/>
    <n v="5.3005472222222219"/>
    <n v="-72.419972222222228"/>
    <s v="MOVILIDAD"/>
    <s v="URBANO"/>
    <x v="1"/>
    <s v="JULIO"/>
    <d v="2023-07-13T00:00:00"/>
    <x v="1"/>
    <d v="1899-12-30T18:30:00"/>
    <s v="MOTOCICLETA"/>
    <m/>
    <n v="1"/>
    <n v="0"/>
    <n v="0"/>
    <n v="0"/>
    <n v="0"/>
    <n v="0"/>
    <n v="0"/>
    <n v="0"/>
    <n v="0"/>
    <n v="0"/>
    <n v="0"/>
    <n v="0"/>
    <m/>
    <s v="FEMENINO"/>
    <n v="0"/>
    <n v="1"/>
    <n v="24"/>
    <m/>
    <m/>
    <n v="77"/>
    <m/>
    <m/>
    <n v="139"/>
    <x v="0"/>
    <n v="127"/>
    <s v="Transitar en contravía."/>
    <x v="0"/>
  </r>
  <r>
    <n v="546"/>
    <x v="0"/>
    <n v="0"/>
    <n v="1"/>
    <x v="2"/>
    <s v="CARRERA 7B OESTE CALLE 65  "/>
    <n v="5.3005550000000001"/>
    <n v="-72.419994444444455"/>
    <s v="MOVILIDAD"/>
    <s v="URBANO"/>
    <x v="1"/>
    <s v="JULIO"/>
    <d v="2023-07-13T00:00:00"/>
    <x v="1"/>
    <d v="1899-12-30T14:20:00"/>
    <s v="MOTOCICLETA"/>
    <s v="AUTOMOVIL"/>
    <n v="1"/>
    <n v="0"/>
    <n v="1"/>
    <n v="0"/>
    <n v="0"/>
    <n v="0"/>
    <n v="0"/>
    <n v="0"/>
    <n v="0"/>
    <n v="0"/>
    <n v="0"/>
    <n v="0"/>
    <m/>
    <s v="FEMENINO"/>
    <n v="0"/>
    <n v="1"/>
    <m/>
    <m/>
    <m/>
    <m/>
    <m/>
    <m/>
    <n v="1"/>
    <x v="3"/>
    <m/>
    <s v=""/>
    <x v="1"/>
  </r>
  <r>
    <n v="80"/>
    <x v="0"/>
    <n v="1"/>
    <n v="0"/>
    <x v="0"/>
    <s v="CARRERA 8 # CALLE 24"/>
    <n v="5.3322805555555552"/>
    <n v="-72.405719444444443"/>
    <s v="MOVILIDAD"/>
    <s v="URBANO"/>
    <x v="0"/>
    <s v="MARZO"/>
    <d v="2022-03-11T00:00:00"/>
    <x v="0"/>
    <d v="1899-12-30T18:00:00"/>
    <s v="MOTOCICLETA"/>
    <s v="CAMIONETA"/>
    <n v="1"/>
    <n v="0"/>
    <n v="0"/>
    <n v="0"/>
    <n v="1"/>
    <n v="0"/>
    <n v="0"/>
    <n v="0"/>
    <n v="0"/>
    <n v="0"/>
    <n v="0"/>
    <n v="0"/>
    <s v="MASCULINO"/>
    <m/>
    <n v="1"/>
    <n v="0"/>
    <n v="24"/>
    <m/>
    <m/>
    <m/>
    <m/>
    <m/>
    <n v="139"/>
    <x v="0"/>
    <m/>
    <s v=""/>
    <x v="0"/>
  </r>
  <r>
    <n v="987"/>
    <x v="0"/>
    <n v="1"/>
    <n v="0"/>
    <x v="0"/>
    <s v="CARRERA 8 CALLE 23"/>
    <n v="5.3332259999999998"/>
    <n v="-72.405951000000002"/>
    <s v="MOVILIDAD"/>
    <s v="URBANO"/>
    <x v="2"/>
    <s v="JUNIO"/>
    <d v="2025-06-13T00:00:00"/>
    <x v="0"/>
    <d v="1899-12-30T19:35:00"/>
    <s v="BICICLETA"/>
    <s v="AUTOMOVIL"/>
    <n v="0"/>
    <n v="0"/>
    <n v="1"/>
    <n v="0"/>
    <n v="0"/>
    <n v="0"/>
    <n v="0"/>
    <n v="0"/>
    <n v="0"/>
    <n v="0"/>
    <n v="0"/>
    <n v="1"/>
    <s v="MASCULINO"/>
    <s v="MASCULINO"/>
    <n v="2"/>
    <n v="0"/>
    <n v="24"/>
    <n v="59"/>
    <m/>
    <m/>
    <m/>
    <m/>
    <n v="157"/>
    <x v="1"/>
    <m/>
    <s v=""/>
    <x v="0"/>
  </r>
  <r>
    <n v="901"/>
    <x v="0"/>
    <n v="1"/>
    <n v="0"/>
    <x v="0"/>
    <s v="CARRERA 8 MARGINAL DE LA SELVA"/>
    <n v="5.3362699999999998"/>
    <n v="-72.407183000000003"/>
    <s v="MOVILIDAD"/>
    <s v="URBANO"/>
    <x v="2"/>
    <s v="MARZO"/>
    <d v="2025-03-06T00:00:00"/>
    <x v="1"/>
    <d v="1899-12-30T08:30:00"/>
    <s v="CAMIONETA"/>
    <s v="MOTOCICLETA"/>
    <n v="1"/>
    <n v="0"/>
    <n v="0"/>
    <n v="0"/>
    <n v="1"/>
    <n v="0"/>
    <n v="0"/>
    <n v="0"/>
    <n v="0"/>
    <n v="0"/>
    <n v="0"/>
    <n v="0"/>
    <s v="MASCULINO"/>
    <s v="MASCULINO"/>
    <n v="2"/>
    <n v="0"/>
    <n v="32"/>
    <n v="32"/>
    <m/>
    <m/>
    <m/>
    <m/>
    <n v="122"/>
    <x v="2"/>
    <n v="157"/>
    <s v="Otra"/>
    <x v="2"/>
  </r>
  <r>
    <n v="257"/>
    <x v="0"/>
    <n v="1"/>
    <n v="0"/>
    <x v="0"/>
    <s v="CARRERA 9 CALLE 23"/>
    <n v="5.3335169444444439"/>
    <n v="-72.404180833333342"/>
    <s v="MOVILIDAD"/>
    <s v="URBANO"/>
    <x v="0"/>
    <s v="JULIO"/>
    <d v="2022-07-21T00:00:00"/>
    <x v="1"/>
    <d v="1899-12-30T06:20:00"/>
    <s v="MOTOCICLETA"/>
    <s v="CAMIONETA"/>
    <n v="1"/>
    <n v="0"/>
    <n v="0"/>
    <n v="0"/>
    <n v="1"/>
    <n v="0"/>
    <n v="0"/>
    <n v="0"/>
    <n v="0"/>
    <n v="0"/>
    <n v="0"/>
    <n v="0"/>
    <m/>
    <s v="FEMENINO"/>
    <n v="0"/>
    <n v="1"/>
    <n v="33"/>
    <m/>
    <m/>
    <m/>
    <m/>
    <m/>
    <n v="112"/>
    <x v="4"/>
    <m/>
    <s v=""/>
    <x v="2"/>
  </r>
  <r>
    <n v="111"/>
    <x v="1"/>
    <n v="0"/>
    <n v="0"/>
    <x v="1"/>
    <s v="CARRERA 9 CALLE 41"/>
    <n v="5.3171833333333334"/>
    <n v="-72.400455555555567"/>
    <s v="MOVILIDAD"/>
    <s v="URBANO"/>
    <x v="0"/>
    <s v="ABRIL"/>
    <d v="2022-04-02T00:00:00"/>
    <x v="5"/>
    <d v="1899-12-30T12:40:00"/>
    <s v="AUTOMOVIL"/>
    <s v="CAMIONETA"/>
    <n v="0"/>
    <n v="0"/>
    <n v="1"/>
    <n v="0"/>
    <n v="1"/>
    <n v="0"/>
    <n v="0"/>
    <n v="0"/>
    <n v="0"/>
    <n v="0"/>
    <n v="0"/>
    <n v="0"/>
    <s v="MASCULINO"/>
    <s v="FEMENINO"/>
    <n v="1"/>
    <n v="1"/>
    <m/>
    <m/>
    <m/>
    <m/>
    <m/>
    <m/>
    <n v="112"/>
    <x v="4"/>
    <m/>
    <s v=""/>
    <x v="1"/>
  </r>
  <r>
    <n v="37"/>
    <x v="0"/>
    <n v="0"/>
    <n v="1"/>
    <x v="2"/>
    <s v="CARRERA 9 CALLE 67"/>
    <n v="5.2961200000000002"/>
    <n v="-72.398351000000005"/>
    <s v="MOVILIDAD"/>
    <s v="URBANO"/>
    <x v="0"/>
    <s v="FEBRERO"/>
    <d v="2022-02-01T00:00:00"/>
    <x v="6"/>
    <d v="1899-12-30T22:18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m/>
    <m/>
    <m/>
    <m/>
    <m/>
    <n v="31"/>
    <n v="116"/>
    <x v="14"/>
    <m/>
    <s v=""/>
    <x v="0"/>
  </r>
  <r>
    <n v="1004"/>
    <x v="0"/>
    <n v="1"/>
    <n v="0"/>
    <x v="0"/>
    <s v="CARRERA 9 DIAGONAL 47"/>
    <n v="5.3109630000000001"/>
    <n v="-72.399827999999999"/>
    <s v="MOVILIDAD"/>
    <s v="URBANO"/>
    <x v="2"/>
    <s v="JUNIO"/>
    <d v="2025-06-25T00:00:00"/>
    <x v="3"/>
    <d v="1899-12-30T15:30:00"/>
    <s v="MOTOCICLETA"/>
    <m/>
    <n v="1"/>
    <n v="0"/>
    <n v="0"/>
    <n v="0"/>
    <n v="0"/>
    <n v="0"/>
    <n v="0"/>
    <n v="0"/>
    <n v="0"/>
    <n v="0"/>
    <n v="0"/>
    <n v="0"/>
    <s v="FEMENINO"/>
    <m/>
    <n v="0"/>
    <n v="1"/>
    <n v="32"/>
    <m/>
    <m/>
    <m/>
    <m/>
    <m/>
    <n v="139"/>
    <x v="0"/>
    <m/>
    <s v=""/>
    <x v="1"/>
  </r>
  <r>
    <n v="66"/>
    <x v="0"/>
    <n v="1"/>
    <n v="0"/>
    <x v="0"/>
    <s v="CARRERA 9 ESTE # 64-25"/>
    <n v="5.2972333333333328"/>
    <n v="-72.397388888888898"/>
    <s v="MOVILIDAD"/>
    <s v="URBANO"/>
    <x v="0"/>
    <s v="FEBRERO"/>
    <d v="2022-02-24T00:00:00"/>
    <x v="1"/>
    <d v="1899-12-30T12:2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20"/>
    <m/>
    <m/>
    <m/>
    <m/>
    <m/>
    <n v="141"/>
    <x v="28"/>
    <n v="116"/>
    <s v="Exceso de velocidad"/>
    <x v="1"/>
  </r>
  <r>
    <n v="724"/>
    <x v="0"/>
    <n v="1"/>
    <n v="1"/>
    <x v="2"/>
    <s v="CARRERA 9B CALLE 40 "/>
    <n v="5.3183388888888885"/>
    <n v="-72.400169444444444"/>
    <s v="MOVILIDAD"/>
    <s v="URBANO"/>
    <x v="3"/>
    <s v="JUNIO"/>
    <d v="2024-06-02T00:00:00"/>
    <x v="2"/>
    <d v="1899-12-30T23:00:00"/>
    <s v="MOTOCICLETA"/>
    <m/>
    <n v="1"/>
    <n v="0"/>
    <n v="0"/>
    <n v="0"/>
    <n v="0"/>
    <n v="0"/>
    <n v="0"/>
    <n v="0"/>
    <n v="0"/>
    <n v="0"/>
    <n v="0"/>
    <n v="0"/>
    <s v="MASCULINO"/>
    <s v="FEMENINO"/>
    <n v="1"/>
    <n v="1"/>
    <m/>
    <n v="70"/>
    <m/>
    <m/>
    <m/>
    <n v="24"/>
    <n v="115"/>
    <x v="12"/>
    <n v="139"/>
    <s v="Impericia en el manejo."/>
    <x v="0"/>
  </r>
  <r>
    <n v="417"/>
    <x v="0"/>
    <n v="1"/>
    <n v="0"/>
    <x v="0"/>
    <s v="CARRERA E OESTE CALLE 59"/>
    <n v="5.3038863888888885"/>
    <n v="-72.416143055555565"/>
    <s v="MOVILIDAD"/>
    <s v="URBANO"/>
    <x v="1"/>
    <s v="FEBRERO"/>
    <d v="2023-02-24T00:00:00"/>
    <x v="0"/>
    <d v="1899-12-30T07:5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26"/>
    <m/>
    <m/>
    <m/>
    <m/>
    <m/>
    <n v="104"/>
    <x v="9"/>
    <m/>
    <s v=""/>
    <x v="2"/>
  </r>
  <r>
    <n v="194"/>
    <x v="1"/>
    <n v="0"/>
    <n v="0"/>
    <x v="1"/>
    <s v="CARRERA11  # 23-24"/>
    <n v="5.3338555555555551"/>
    <n v="-72.402822222222227"/>
    <s v="MOVILIDAD"/>
    <s v="URBANO"/>
    <x v="0"/>
    <s v="MAYO"/>
    <d v="2022-05-26T00:00:00"/>
    <x v="1"/>
    <d v="1899-12-30T18:10:00"/>
    <s v="MOTOCICLETA"/>
    <s v="CAMPERO"/>
    <n v="1"/>
    <n v="0"/>
    <n v="0"/>
    <n v="1"/>
    <n v="0"/>
    <n v="0"/>
    <n v="0"/>
    <n v="0"/>
    <n v="0"/>
    <n v="0"/>
    <n v="0"/>
    <n v="0"/>
    <m/>
    <s v="FEMENINO"/>
    <n v="0"/>
    <n v="1"/>
    <m/>
    <m/>
    <m/>
    <m/>
    <m/>
    <m/>
    <n v="122"/>
    <x v="2"/>
    <m/>
    <s v=""/>
    <x v="0"/>
  </r>
  <r>
    <n v="315"/>
    <x v="0"/>
    <n v="2"/>
    <n v="0"/>
    <x v="0"/>
    <s v="CARRERA12A CALLE 31"/>
    <n v="5.3268024999999994"/>
    <n v="-72.399525555555556"/>
    <s v="MOVILIDAD"/>
    <s v="URBANO"/>
    <x v="0"/>
    <s v="SEPTIEMBRE"/>
    <d v="2022-09-26T00:00:00"/>
    <x v="4"/>
    <d v="1899-12-30T15:30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n v="23"/>
    <n v="24"/>
    <m/>
    <m/>
    <m/>
    <m/>
    <n v="123"/>
    <x v="21"/>
    <n v="139"/>
    <s v="Impericia en el manejo."/>
    <x v="1"/>
  </r>
  <r>
    <n v="186"/>
    <x v="1"/>
    <n v="0"/>
    <n v="0"/>
    <x v="1"/>
    <s v="CARRERA12A CALLE 44B"/>
    <n v="5.3148694444444446"/>
    <n v="-72.396861111111122"/>
    <s v="MOVILIDAD"/>
    <s v="URBANO"/>
    <x v="0"/>
    <s v="MAYO"/>
    <d v="2022-05-16T00:00:00"/>
    <x v="4"/>
    <d v="1899-12-30T06:20:00"/>
    <s v="MOTOCICLETA"/>
    <s v="AUTOMOVIL"/>
    <n v="1"/>
    <n v="0"/>
    <n v="1"/>
    <n v="0"/>
    <n v="0"/>
    <n v="0"/>
    <n v="0"/>
    <n v="0"/>
    <n v="0"/>
    <n v="0"/>
    <n v="0"/>
    <n v="0"/>
    <s v="MASCULINO"/>
    <s v="FEMENINO"/>
    <n v="1"/>
    <n v="1"/>
    <m/>
    <m/>
    <m/>
    <m/>
    <m/>
    <m/>
    <n v="112"/>
    <x v="4"/>
    <n v="157"/>
    <s v="Otra"/>
    <x v="2"/>
  </r>
  <r>
    <n v="189"/>
    <x v="1"/>
    <n v="0"/>
    <n v="0"/>
    <x v="1"/>
    <s v="CARRERA14  # 30-60"/>
    <n v="5.3279861111111106"/>
    <n v="-72.398002777777791"/>
    <s v="MOVILIDAD"/>
    <s v="URBANO"/>
    <x v="0"/>
    <s v="MAYO"/>
    <d v="2022-05-21T00:00:00"/>
    <x v="5"/>
    <d v="1899-12-30T20:10:00"/>
    <s v="AUTOMOVIL"/>
    <s v="AUTOMOVIL"/>
    <n v="0"/>
    <n v="0"/>
    <n v="2"/>
    <n v="0"/>
    <n v="0"/>
    <n v="0"/>
    <n v="0"/>
    <n v="0"/>
    <n v="0"/>
    <n v="0"/>
    <n v="0"/>
    <n v="0"/>
    <m/>
    <s v="FEMENINO"/>
    <n v="0"/>
    <n v="1"/>
    <m/>
    <m/>
    <m/>
    <m/>
    <m/>
    <m/>
    <n v="157"/>
    <x v="1"/>
    <m/>
    <s v=""/>
    <x v="0"/>
  </r>
  <r>
    <n v="107"/>
    <x v="0"/>
    <n v="0"/>
    <n v="1"/>
    <x v="2"/>
    <s v="CARRERA18  # 18-48"/>
    <n v="5.3393861111111107"/>
    <n v="-72.398141666666675"/>
    <s v="MOVILIDAD"/>
    <s v="URBANO"/>
    <x v="0"/>
    <s v="MARZO"/>
    <d v="2022-03-31T00:00:00"/>
    <x v="1"/>
    <d v="1899-12-30T02:3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m/>
    <m/>
    <m/>
    <m/>
    <m/>
    <n v="22"/>
    <n v="139"/>
    <x v="0"/>
    <n v="157"/>
    <s v="Otra"/>
    <x v="2"/>
  </r>
  <r>
    <n v="125"/>
    <x v="1"/>
    <n v="0"/>
    <n v="0"/>
    <x v="1"/>
    <s v="CARRERA18  # 24-65"/>
    <n v="5.3345722222222216"/>
    <n v="-72.39521388888889"/>
    <s v="MOVILIDAD"/>
    <s v="URBANO"/>
    <x v="0"/>
    <s v="ABRIL"/>
    <d v="2022-04-07T00:00:00"/>
    <x v="1"/>
    <d v="1899-12-30T11:20:00"/>
    <s v="AUTOMOVIL"/>
    <s v="CAMIONETA"/>
    <n v="0"/>
    <n v="0"/>
    <n v="1"/>
    <n v="0"/>
    <n v="1"/>
    <n v="0"/>
    <n v="0"/>
    <n v="0"/>
    <n v="0"/>
    <n v="0"/>
    <n v="0"/>
    <n v="0"/>
    <s v="MASCULINO"/>
    <m/>
    <n v="1"/>
    <n v="0"/>
    <m/>
    <m/>
    <m/>
    <m/>
    <m/>
    <m/>
    <n v="112"/>
    <x v="4"/>
    <m/>
    <s v=""/>
    <x v="2"/>
  </r>
  <r>
    <n v="382"/>
    <x v="0"/>
    <n v="1"/>
    <n v="0"/>
    <x v="0"/>
    <s v="CARRERA19  # 17-60"/>
    <n v="5.3402694444444441"/>
    <n v="-72.397541666666669"/>
    <s v="MOVILIDAD"/>
    <s v="URBANO"/>
    <x v="0"/>
    <s v="DICIEMBRE"/>
    <d v="2022-12-30T00:00:00"/>
    <x v="0"/>
    <d v="1899-12-30T09:10:00"/>
    <s v="MICROBUS"/>
    <m/>
    <n v="0"/>
    <n v="0"/>
    <n v="0"/>
    <n v="0"/>
    <n v="0"/>
    <n v="1"/>
    <n v="0"/>
    <n v="0"/>
    <n v="0"/>
    <n v="0"/>
    <n v="0"/>
    <n v="0"/>
    <s v="MASCULINO"/>
    <s v="FEMENINO"/>
    <n v="1"/>
    <n v="1"/>
    <n v="55"/>
    <m/>
    <m/>
    <n v="54"/>
    <m/>
    <m/>
    <n v="404"/>
    <x v="27"/>
    <n v="409"/>
    <s v="Cruzar sin observar."/>
    <x v="2"/>
  </r>
  <r>
    <n v="548"/>
    <x v="0"/>
    <n v="1"/>
    <n v="0"/>
    <x v="0"/>
    <s v="CARRRERA 5 ENTRE CALLE 39 Y 40  "/>
    <n v="5.3197022222222223"/>
    <n v="-72.404686388888891"/>
    <s v="MOVILIDAD"/>
    <s v="URBANO"/>
    <x v="1"/>
    <s v="SEPTIEMBRE"/>
    <d v="2023-09-02T00:00:00"/>
    <x v="5"/>
    <d v="1899-12-30T12:40:00"/>
    <s v="MOTOCICLETA"/>
    <s v="TRACTOCAMION"/>
    <n v="1"/>
    <n v="0"/>
    <n v="0"/>
    <n v="0"/>
    <n v="0"/>
    <n v="0"/>
    <n v="0"/>
    <n v="0"/>
    <n v="0"/>
    <n v="1"/>
    <n v="0"/>
    <n v="0"/>
    <s v="MASCULINO"/>
    <m/>
    <n v="1"/>
    <n v="0"/>
    <n v="21"/>
    <m/>
    <m/>
    <m/>
    <m/>
    <m/>
    <n v="114"/>
    <x v="5"/>
    <n v="121"/>
    <s v="No mantener distancia de seguridad."/>
    <x v="1"/>
  </r>
  <r>
    <n v="162"/>
    <x v="0"/>
    <n v="0"/>
    <n v="1"/>
    <x v="2"/>
    <s v="DESCENSO VIA LA VIRGEN"/>
    <n v="5.3428111111111107"/>
    <n v="-72.410127777777788"/>
    <s v="MOVILIDAD"/>
    <s v="RURAL"/>
    <x v="0"/>
    <s v="MAYO"/>
    <d v="2022-05-01T00:00:00"/>
    <x v="2"/>
    <d v="1899-12-30T14:20:00"/>
    <s v="BICICLETA"/>
    <m/>
    <n v="0"/>
    <n v="0"/>
    <n v="0"/>
    <n v="0"/>
    <n v="0"/>
    <n v="0"/>
    <n v="0"/>
    <n v="0"/>
    <n v="0"/>
    <n v="0"/>
    <n v="0"/>
    <n v="1"/>
    <s v="MASCULINO"/>
    <m/>
    <n v="1"/>
    <n v="0"/>
    <m/>
    <m/>
    <m/>
    <m/>
    <m/>
    <n v="15"/>
    <n v="1"/>
    <x v="3"/>
    <m/>
    <s v=""/>
    <x v="1"/>
  </r>
  <r>
    <n v="191"/>
    <x v="1"/>
    <n v="0"/>
    <n v="0"/>
    <x v="1"/>
    <s v="DIAGONAL 14  # 08-04"/>
    <n v="5.3422938888888885"/>
    <n v="-72.40247027777778"/>
    <s v="MOVILIDAD"/>
    <s v="URBANO"/>
    <x v="0"/>
    <s v="MAYO"/>
    <d v="2022-05-19T00:00:00"/>
    <x v="1"/>
    <d v="1899-12-30T10:40:00"/>
    <s v="AUTOMOVIL"/>
    <s v="CAMIONETA"/>
    <n v="0"/>
    <n v="0"/>
    <n v="1"/>
    <n v="0"/>
    <n v="1"/>
    <n v="0"/>
    <n v="0"/>
    <n v="0"/>
    <n v="0"/>
    <n v="0"/>
    <n v="0"/>
    <n v="0"/>
    <s v="MASCULINO"/>
    <m/>
    <n v="1"/>
    <n v="0"/>
    <m/>
    <m/>
    <m/>
    <m/>
    <m/>
    <m/>
    <n v="134"/>
    <x v="24"/>
    <m/>
    <s v=""/>
    <x v="2"/>
  </r>
  <r>
    <n v="160"/>
    <x v="1"/>
    <n v="0"/>
    <n v="0"/>
    <x v="1"/>
    <s v="DIAGONAL 15 CALLE 40"/>
    <n v="5.3194166666666662"/>
    <n v="-72.392711111111112"/>
    <s v="MOVILIDAD"/>
    <s v="URBANO"/>
    <x v="0"/>
    <s v="ABRIL"/>
    <d v="2022-04-29T00:00:00"/>
    <x v="0"/>
    <d v="1899-12-30T07:15:00"/>
    <s v="AUTOMOVIL"/>
    <s v="CAMIONETA"/>
    <n v="0"/>
    <n v="0"/>
    <n v="1"/>
    <n v="0"/>
    <n v="1"/>
    <n v="0"/>
    <n v="0"/>
    <n v="0"/>
    <n v="0"/>
    <n v="0"/>
    <n v="0"/>
    <n v="0"/>
    <m/>
    <s v="FEMENINO"/>
    <n v="0"/>
    <n v="1"/>
    <m/>
    <m/>
    <m/>
    <m/>
    <m/>
    <m/>
    <n v="132"/>
    <x v="13"/>
    <m/>
    <s v=""/>
    <x v="2"/>
  </r>
  <r>
    <n v="397"/>
    <x v="0"/>
    <n v="1"/>
    <n v="0"/>
    <x v="0"/>
    <s v="DIAGONAL 23 CALLE 40"/>
    <n v="5.3269583333333328"/>
    <n v="-72.381819444444432"/>
    <s v="MOVILIDAD"/>
    <s v="URBANO"/>
    <x v="1"/>
    <s v="ENERO"/>
    <d v="2023-01-27T00:00:00"/>
    <x v="0"/>
    <d v="1899-12-30T04:30:00"/>
    <s v="AUTOMOVIL"/>
    <m/>
    <n v="0"/>
    <n v="0"/>
    <n v="1"/>
    <n v="0"/>
    <n v="0"/>
    <n v="0"/>
    <n v="0"/>
    <n v="0"/>
    <n v="0"/>
    <n v="0"/>
    <n v="0"/>
    <n v="0"/>
    <s v="MASCULINO"/>
    <m/>
    <n v="1"/>
    <n v="0"/>
    <n v="30"/>
    <m/>
    <m/>
    <m/>
    <m/>
    <m/>
    <n v="157"/>
    <x v="1"/>
    <m/>
    <s v=""/>
    <x v="2"/>
  </r>
  <r>
    <n v="336"/>
    <x v="0"/>
    <n v="0"/>
    <n v="1"/>
    <x v="2"/>
    <s v="DIAGONAL 30 CALLE 6"/>
    <n v="5.325381666666666"/>
    <n v="-72.403511388888901"/>
    <s v="MOVILIDAD"/>
    <s v="URBANO"/>
    <x v="0"/>
    <s v="OCTUBRE"/>
    <d v="2022-10-21T00:00:00"/>
    <x v="0"/>
    <d v="1899-12-30T19:50:00"/>
    <s v="MOTOCICLETA"/>
    <m/>
    <n v="1"/>
    <n v="0"/>
    <n v="0"/>
    <n v="0"/>
    <n v="0"/>
    <n v="0"/>
    <n v="0"/>
    <n v="0"/>
    <n v="0"/>
    <n v="0"/>
    <n v="0"/>
    <n v="0"/>
    <s v="MASCULINO"/>
    <s v="FEMENINO"/>
    <n v="1"/>
    <n v="1"/>
    <m/>
    <m/>
    <m/>
    <m/>
    <m/>
    <n v="59"/>
    <n v="139"/>
    <x v="0"/>
    <n v="409"/>
    <s v="Cruzar sin observar."/>
    <x v="0"/>
  </r>
  <r>
    <n v="70"/>
    <x v="0"/>
    <n v="2"/>
    <n v="0"/>
    <x v="0"/>
    <s v="DIAGONAL 30 TRASVERSAL7A-08"/>
    <n v="5.3259333333333334"/>
    <n v="-72.402750000000012"/>
    <s v="MOVILIDAD"/>
    <s v="URBANO"/>
    <x v="0"/>
    <s v="MARZO"/>
    <d v="2022-03-03T00:00:00"/>
    <x v="1"/>
    <d v="1899-12-30T08:22:00"/>
    <s v="MOTOCICLETA"/>
    <s v="BICICLETA"/>
    <n v="1"/>
    <n v="0"/>
    <n v="0"/>
    <n v="0"/>
    <n v="0"/>
    <n v="0"/>
    <n v="0"/>
    <n v="0"/>
    <n v="0"/>
    <n v="0"/>
    <n v="0"/>
    <n v="1"/>
    <s v="MASCULINO"/>
    <m/>
    <n v="1"/>
    <n v="0"/>
    <n v="47"/>
    <m/>
    <m/>
    <m/>
    <m/>
    <m/>
    <n v="157"/>
    <x v="1"/>
    <m/>
    <s v=""/>
    <x v="2"/>
  </r>
  <r>
    <n v="396"/>
    <x v="0"/>
    <n v="4"/>
    <n v="0"/>
    <x v="0"/>
    <s v="DIAGONAL 47 # 40"/>
    <n v="5.3192944444444441"/>
    <n v="-72.389711111111112"/>
    <s v="MOVILIDAD"/>
    <s v="URBANO"/>
    <x v="1"/>
    <s v="ENERO"/>
    <d v="2023-01-31T00:00:00"/>
    <x v="6"/>
    <d v="1899-12-30T06:45:00"/>
    <s v="AUTOMOVIL"/>
    <s v="CAMIONETA"/>
    <n v="0"/>
    <n v="0"/>
    <n v="1"/>
    <n v="0"/>
    <n v="1"/>
    <n v="0"/>
    <n v="0"/>
    <n v="0"/>
    <n v="0"/>
    <n v="0"/>
    <n v="0"/>
    <n v="0"/>
    <s v="MASCULINO"/>
    <s v="FEMENINO"/>
    <n v="1"/>
    <n v="1"/>
    <n v="28"/>
    <n v="35"/>
    <m/>
    <m/>
    <n v="22"/>
    <m/>
    <n v="121"/>
    <x v="7"/>
    <m/>
    <s v=""/>
    <x v="2"/>
  </r>
  <r>
    <n v="645"/>
    <x v="0"/>
    <n v="1"/>
    <n v="0"/>
    <x v="0"/>
    <s v="DIAGONAL 47 # 40"/>
    <n v="5.3192944444444441"/>
    <n v="-72.389711111111112"/>
    <s v="MOVILIDAD"/>
    <s v="URBANO"/>
    <x v="3"/>
    <s v="ENERO"/>
    <d v="2024-01-01T00:00:00"/>
    <x v="4"/>
    <d v="1899-12-30T07:2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38"/>
    <m/>
    <m/>
    <m/>
    <m/>
    <m/>
    <n v="116"/>
    <x v="14"/>
    <m/>
    <s v=""/>
    <x v="2"/>
  </r>
  <r>
    <n v="430"/>
    <x v="1"/>
    <n v="0"/>
    <n v="0"/>
    <x v="1"/>
    <s v="DIAGONAL 47 # 40"/>
    <n v="5.3192944444444441"/>
    <n v="-72.389711111111112"/>
    <s v="MOVILIDAD"/>
    <s v="URBANO"/>
    <x v="1"/>
    <s v="MARZO"/>
    <d v="2023-03-16T00:00:00"/>
    <x v="1"/>
    <d v="1899-12-30T19:00:00"/>
    <s v="AUTOMOVIL"/>
    <s v="CAMION"/>
    <n v="0"/>
    <n v="0"/>
    <n v="1"/>
    <n v="0"/>
    <n v="0"/>
    <n v="0"/>
    <n v="0"/>
    <n v="0"/>
    <n v="1"/>
    <n v="0"/>
    <n v="0"/>
    <n v="0"/>
    <m/>
    <s v="FEMENINO"/>
    <n v="0"/>
    <n v="1"/>
    <m/>
    <m/>
    <m/>
    <m/>
    <m/>
    <m/>
    <n v="115"/>
    <x v="12"/>
    <n v="143"/>
    <s v="Poner en marcha un vehículo sin precauciones."/>
    <x v="0"/>
  </r>
  <r>
    <n v="532"/>
    <x v="0"/>
    <n v="2"/>
    <n v="0"/>
    <x v="0"/>
    <s v="DIAGONAL 47 # 40 "/>
    <n v="5.3192944444444441"/>
    <n v="-72.389711111111112"/>
    <s v="MOVILIDAD"/>
    <s v="URBANO"/>
    <x v="1"/>
    <s v="AGOSTO"/>
    <d v="2023-08-13T00:00:00"/>
    <x v="2"/>
    <d v="1899-12-30T20:10:00"/>
    <s v="MOTOCICLETA"/>
    <s v="CAMIONETA"/>
    <n v="1"/>
    <n v="0"/>
    <n v="0"/>
    <n v="0"/>
    <n v="1"/>
    <n v="0"/>
    <n v="0"/>
    <n v="0"/>
    <n v="0"/>
    <n v="0"/>
    <n v="0"/>
    <n v="0"/>
    <s v="MASCULINO"/>
    <m/>
    <n v="1"/>
    <n v="0"/>
    <n v="55"/>
    <m/>
    <m/>
    <m/>
    <n v="17"/>
    <m/>
    <n v="157"/>
    <x v="1"/>
    <m/>
    <s v=""/>
    <x v="0"/>
  </r>
  <r>
    <n v="947"/>
    <x v="0"/>
    <n v="2"/>
    <n v="0"/>
    <x v="0"/>
    <s v="DIAGONAL 47 # 40 "/>
    <n v="5.3192944444444441"/>
    <n v="-72.389711111111112"/>
    <s v="MOVILIDAD"/>
    <s v="URBANO"/>
    <x v="2"/>
    <s v="ABRIL"/>
    <d v="2025-04-23T00:00:00"/>
    <x v="3"/>
    <d v="1899-12-30T13:10:00"/>
    <s v="CAMION"/>
    <s v="MOTOCICLETA"/>
    <n v="1"/>
    <n v="0"/>
    <n v="0"/>
    <n v="0"/>
    <n v="0"/>
    <n v="0"/>
    <n v="0"/>
    <n v="0"/>
    <n v="1"/>
    <n v="0"/>
    <n v="0"/>
    <n v="0"/>
    <s v="MASCULINO"/>
    <s v="MASCULINO"/>
    <n v="2"/>
    <n v="0"/>
    <n v="45"/>
    <n v="18"/>
    <n v="18"/>
    <m/>
    <m/>
    <m/>
    <n v="121"/>
    <x v="7"/>
    <m/>
    <s v=""/>
    <x v="1"/>
  </r>
  <r>
    <n v="882"/>
    <x v="0"/>
    <n v="0"/>
    <n v="1"/>
    <x v="2"/>
    <s v="DIAGONAL 47 # 40 "/>
    <n v="5.3192944444444441"/>
    <n v="-72.389711111111112"/>
    <s v="MOVILIDAD"/>
    <s v="URBANO"/>
    <x v="2"/>
    <s v="FEBRERO"/>
    <d v="2025-02-21T00:00:00"/>
    <x v="0"/>
    <d v="1899-12-30T19:30:00"/>
    <s v="CAMIONETA"/>
    <s v="MOTOCICLETA"/>
    <n v="1"/>
    <n v="0"/>
    <n v="0"/>
    <n v="0"/>
    <n v="1"/>
    <n v="0"/>
    <n v="0"/>
    <n v="0"/>
    <n v="0"/>
    <n v="0"/>
    <n v="0"/>
    <n v="0"/>
    <s v="MASCULINO"/>
    <s v="MASCULINO"/>
    <n v="2"/>
    <n v="0"/>
    <n v="31"/>
    <n v="20"/>
    <m/>
    <m/>
    <m/>
    <n v="31"/>
    <n v="112"/>
    <x v="4"/>
    <n v="157"/>
    <s v="Otra"/>
    <x v="0"/>
  </r>
  <r>
    <n v="1051"/>
    <x v="0"/>
    <n v="1"/>
    <n v="0"/>
    <x v="0"/>
    <s v="DIAGONAL 47 # CARRERA 11"/>
    <n v="5.3117774000000004"/>
    <n v="-72.398182800000001"/>
    <s v="MOVILIDAD"/>
    <s v="URBANO"/>
    <x v="2"/>
    <s v="AGOSTO"/>
    <d v="2025-08-23T00:00:00"/>
    <x v="5"/>
    <d v="1899-12-30T19:40:00"/>
    <s v="MOTOCICLETA"/>
    <s v="MOTOCICLETA"/>
    <n v="2"/>
    <n v="0"/>
    <n v="0"/>
    <n v="0"/>
    <n v="0"/>
    <n v="0"/>
    <n v="0"/>
    <n v="0"/>
    <n v="0"/>
    <n v="0"/>
    <n v="0"/>
    <n v="0"/>
    <s v="MASCULINO"/>
    <s v="MASCULINO"/>
    <n v="2"/>
    <n v="0"/>
    <n v="49"/>
    <n v="32"/>
    <m/>
    <m/>
    <m/>
    <m/>
    <n v="115"/>
    <x v="12"/>
    <n v="116"/>
    <s v="Exceso de velocidad"/>
    <x v="0"/>
  </r>
  <r>
    <n v="1112"/>
    <x v="0"/>
    <n v="1"/>
    <n v="0"/>
    <x v="0"/>
    <s v="DIAGONAL 47 # CARRERA 5A"/>
    <n v="5.3092018948984601"/>
    <n v="-72.402942038372004"/>
    <s v="MOVILIDAD"/>
    <s v="URBANO"/>
    <x v="2"/>
    <s v="OCTUBRE"/>
    <d v="2025-10-04T00:00:00"/>
    <x v="5"/>
    <d v="1899-12-30T20:11:00"/>
    <s v="MOTOCICLETA"/>
    <s v="CAMION"/>
    <n v="1"/>
    <n v="0"/>
    <n v="0"/>
    <n v="0"/>
    <n v="0"/>
    <n v="0"/>
    <n v="0"/>
    <n v="0"/>
    <n v="1"/>
    <n v="0"/>
    <n v="0"/>
    <n v="0"/>
    <s v="MASCULINO"/>
    <m/>
    <n v="1"/>
    <n v="0"/>
    <n v="22"/>
    <n v="48"/>
    <m/>
    <m/>
    <m/>
    <m/>
    <n v="114"/>
    <x v="5"/>
    <m/>
    <s v=""/>
    <x v="0"/>
  </r>
  <r>
    <n v="1081"/>
    <x v="0"/>
    <n v="3"/>
    <n v="0"/>
    <x v="0"/>
    <s v="DIAGONAL 47 # TRANSVERSAL 18"/>
    <n v="5.3165824920000002"/>
    <n v="-72.392322719999996"/>
    <s v="MOVILIDAD"/>
    <s v="URBANO"/>
    <x v="2"/>
    <s v="SEPTIEMBRE"/>
    <d v="2025-09-28T00:00:00"/>
    <x v="2"/>
    <d v="1899-12-30T14:00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n v="17"/>
    <n v="48"/>
    <m/>
    <m/>
    <m/>
    <m/>
    <n v="139"/>
    <x v="0"/>
    <n v="132"/>
    <s v="No respetar prelación."/>
    <x v="1"/>
  </r>
  <r>
    <n v="1071"/>
    <x v="0"/>
    <n v="1"/>
    <n v="0"/>
    <x v="0"/>
    <s v="DIAGONAL 47 CARRERA 16"/>
    <n v="5.3159510000000001"/>
    <n v="-72.393032000000005"/>
    <s v="MOVILIDAD"/>
    <s v="URBANO"/>
    <x v="2"/>
    <s v="SEPTIEMBRE"/>
    <d v="2025-09-14T00:00:00"/>
    <x v="2"/>
    <d v="1899-12-30T20:11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32"/>
    <m/>
    <m/>
    <m/>
    <m/>
    <m/>
    <n v="139"/>
    <x v="0"/>
    <n v="114"/>
    <s v="Embriaguez aparente."/>
    <x v="0"/>
  </r>
  <r>
    <n v="1076"/>
    <x v="1"/>
    <n v="0"/>
    <n v="0"/>
    <x v="1"/>
    <s v="DIAGONAL 47 CARRERA 5"/>
    <n v="5.3087224441237097"/>
    <n v="-72.403818367914596"/>
    <s v="MOVILIDAD"/>
    <s v="URBANO"/>
    <x v="2"/>
    <s v="SEPTIEMBRE"/>
    <d v="2025-09-11T00:00:00"/>
    <x v="1"/>
    <d v="1899-12-30T03:10:00"/>
    <s v="AUTOMOVIL"/>
    <m/>
    <n v="0"/>
    <n v="0"/>
    <n v="1"/>
    <n v="0"/>
    <n v="0"/>
    <n v="0"/>
    <n v="0"/>
    <n v="0"/>
    <n v="0"/>
    <n v="0"/>
    <n v="0"/>
    <n v="0"/>
    <s v="MASCULINO"/>
    <m/>
    <n v="1"/>
    <n v="0"/>
    <m/>
    <m/>
    <m/>
    <m/>
    <m/>
    <m/>
    <n v="114"/>
    <x v="5"/>
    <m/>
    <s v=""/>
    <x v="2"/>
  </r>
  <r>
    <n v="923"/>
    <x v="0"/>
    <n v="0"/>
    <n v="1"/>
    <x v="2"/>
    <s v="DIAGONAL 47 ENTRE CARRERAS 4-5"/>
    <n v="5.3088559999999996"/>
    <n v="-72.405288999999996"/>
    <s v="MOVILIDAD"/>
    <s v="URBANO"/>
    <x v="2"/>
    <s v="ABRIL"/>
    <d v="2025-04-04T00:00:00"/>
    <x v="0"/>
    <d v="1899-12-30T20:15:00"/>
    <s v="MOTOCICLETA"/>
    <s v="CAMION "/>
    <n v="1"/>
    <n v="0"/>
    <n v="0"/>
    <n v="0"/>
    <n v="0"/>
    <n v="0"/>
    <n v="0"/>
    <n v="0"/>
    <n v="0"/>
    <n v="0"/>
    <n v="0"/>
    <n v="0"/>
    <s v="MASCULINO"/>
    <s v="N/A"/>
    <n v="1"/>
    <n v="0"/>
    <n v="44"/>
    <m/>
    <m/>
    <m/>
    <m/>
    <m/>
    <n v="114"/>
    <x v="5"/>
    <n v="141"/>
    <s v="Vehículo mal estacionado."/>
    <x v="0"/>
  </r>
  <r>
    <n v="884"/>
    <x v="0"/>
    <n v="1"/>
    <n v="0"/>
    <x v="0"/>
    <s v="DIAGONAL 47 FRENTE FUERZA AEREA"/>
    <n v="5.3186439999999999"/>
    <n v="-72.390163000000001"/>
    <s v="MOVILIDAD"/>
    <s v="URBANO"/>
    <x v="2"/>
    <s v="FEBRERO"/>
    <d v="2025-02-27T00:00:00"/>
    <x v="1"/>
    <d v="1899-12-30T20:3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33"/>
    <m/>
    <m/>
    <m/>
    <m/>
    <m/>
    <n v="139"/>
    <x v="0"/>
    <n v="157"/>
    <s v="Otra"/>
    <x v="0"/>
  </r>
  <r>
    <n v="1098"/>
    <x v="1"/>
    <n v="0"/>
    <n v="0"/>
    <x v="1"/>
    <s v="DIAGONAL 9 # TRANSVERSAL 10"/>
    <n v="5.3370951709999499"/>
    <n v="-72.406603967998706"/>
    <s v="MOVILIDAD"/>
    <s v="URBANO"/>
    <x v="2"/>
    <s v="SEPTIEMBRE"/>
    <d v="2025-09-28T00:00:00"/>
    <x v="2"/>
    <d v="1899-12-30T14:55:00"/>
    <s v="AUTOMOVIL"/>
    <s v="MOTOCICLETA"/>
    <n v="1"/>
    <n v="0"/>
    <n v="1"/>
    <n v="0"/>
    <n v="0"/>
    <n v="0"/>
    <n v="0"/>
    <n v="0"/>
    <n v="0"/>
    <n v="0"/>
    <n v="0"/>
    <n v="0"/>
    <s v="FEMENINO"/>
    <s v="MASCULINO"/>
    <n v="1"/>
    <n v="1"/>
    <m/>
    <m/>
    <m/>
    <m/>
    <m/>
    <m/>
    <n v="139"/>
    <x v="0"/>
    <m/>
    <s v=""/>
    <x v="1"/>
  </r>
  <r>
    <n v="518"/>
    <x v="1"/>
    <n v="0"/>
    <n v="0"/>
    <x v="1"/>
    <s v="DIAGONAL 9 ENTRE CALLE 10 Y 11 "/>
    <n v="5.3496388888888884"/>
    <n v="-72.394041666666666"/>
    <s v="MOVILIDAD"/>
    <s v="URBANO"/>
    <x v="1"/>
    <s v="JULIO"/>
    <d v="2023-07-08T00:00:00"/>
    <x v="5"/>
    <d v="1899-12-30T02:50:00"/>
    <s v="CAMIONETA"/>
    <m/>
    <n v="0"/>
    <n v="0"/>
    <n v="0"/>
    <n v="0"/>
    <n v="1"/>
    <n v="0"/>
    <n v="0"/>
    <n v="0"/>
    <n v="0"/>
    <n v="0"/>
    <n v="0"/>
    <n v="0"/>
    <s v="MASCULINO"/>
    <m/>
    <n v="1"/>
    <n v="0"/>
    <m/>
    <m/>
    <m/>
    <m/>
    <m/>
    <m/>
    <n v="1"/>
    <x v="3"/>
    <m/>
    <s v=""/>
    <x v="2"/>
  </r>
  <r>
    <n v="992"/>
    <x v="0"/>
    <n v="0"/>
    <n v="1"/>
    <x v="2"/>
    <s v="ESTADIO"/>
    <n v="5.3173579999999996"/>
    <n v="-72.392126000000005"/>
    <s v="MOVILIDAD"/>
    <s v="URBANO"/>
    <x v="2"/>
    <s v="JUNIO"/>
    <d v="2025-06-15T00:00:00"/>
    <x v="2"/>
    <d v="1899-12-30T18:0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17"/>
    <m/>
    <m/>
    <m/>
    <m/>
    <m/>
    <n v="139"/>
    <x v="0"/>
    <m/>
    <s v=""/>
    <x v="0"/>
  </r>
  <r>
    <n v="712"/>
    <x v="0"/>
    <n v="0"/>
    <n v="1"/>
    <x v="2"/>
    <s v="GLORIETA CENTRO DE HIPOTERAPIA"/>
    <n v="5.3162324999999999"/>
    <n v="-72.422700555555565"/>
    <s v="MOVILIDAD"/>
    <s v="RURAL"/>
    <x v="3"/>
    <s v="MAYO"/>
    <d v="2024-05-11T00:00:00"/>
    <x v="5"/>
    <d v="1899-12-30T21:45:00"/>
    <s v="MOTOCICLETA"/>
    <m/>
    <n v="1"/>
    <n v="0"/>
    <n v="0"/>
    <n v="0"/>
    <n v="0"/>
    <n v="0"/>
    <n v="0"/>
    <n v="0"/>
    <n v="0"/>
    <n v="0"/>
    <n v="0"/>
    <n v="0"/>
    <m/>
    <s v="FEMENINO"/>
    <n v="0"/>
    <n v="1"/>
    <m/>
    <m/>
    <m/>
    <m/>
    <m/>
    <m/>
    <n v="1"/>
    <x v="3"/>
    <m/>
    <s v=""/>
    <x v="0"/>
  </r>
  <r>
    <n v="373"/>
    <x v="0"/>
    <n v="1"/>
    <n v="0"/>
    <x v="0"/>
    <s v="KILMETRO 42 YOPAL-QUEBRADASECA"/>
    <n v="5.1268849999999997"/>
    <n v="-72.180439444444445"/>
    <s v="MOVILIDAD"/>
    <s v="RURAL"/>
    <x v="0"/>
    <s v="DICIEMBRE"/>
    <d v="2022-12-16T00:00:00"/>
    <x v="0"/>
    <d v="1899-12-30T14:45:00"/>
    <s v="BUSETA"/>
    <s v="VOLQUETA"/>
    <n v="0"/>
    <n v="0"/>
    <n v="0"/>
    <n v="0"/>
    <n v="0"/>
    <n v="0"/>
    <n v="0"/>
    <n v="1"/>
    <n v="0"/>
    <n v="0"/>
    <n v="1"/>
    <n v="0"/>
    <s v="MASCULINO"/>
    <m/>
    <n v="1"/>
    <n v="0"/>
    <n v="35"/>
    <m/>
    <m/>
    <m/>
    <m/>
    <m/>
    <n v="139"/>
    <x v="0"/>
    <n v="157"/>
    <s v="Otra"/>
    <x v="1"/>
  </r>
  <r>
    <n v="448"/>
    <x v="0"/>
    <n v="0"/>
    <n v="1"/>
    <x v="2"/>
    <s v="KILOMATRO 12 VIA MATEPANTANO LA SALLE"/>
    <n v="5.3096555555555556"/>
    <n v="-72.257234722222222"/>
    <s v="MOVILIDAD"/>
    <s v="RURAL"/>
    <x v="1"/>
    <s v="ABRIL"/>
    <d v="2023-04-02T00:00:00"/>
    <x v="2"/>
    <d v="1899-12-30T17:30:00"/>
    <s v="MOTOCICLETA"/>
    <m/>
    <n v="1"/>
    <n v="0"/>
    <n v="0"/>
    <n v="0"/>
    <n v="0"/>
    <n v="0"/>
    <n v="0"/>
    <n v="0"/>
    <n v="0"/>
    <n v="0"/>
    <n v="0"/>
    <n v="0"/>
    <m/>
    <s v="FEMENINO"/>
    <n v="0"/>
    <n v="1"/>
    <m/>
    <m/>
    <m/>
    <m/>
    <m/>
    <m/>
    <n v="1"/>
    <x v="3"/>
    <m/>
    <s v=""/>
    <x v="1"/>
  </r>
  <r>
    <n v="984"/>
    <x v="1"/>
    <n v="0"/>
    <n v="0"/>
    <x v="1"/>
    <s v="KM 0 + 600 VIA YOPAL - PUNTO NUEVO"/>
    <n v="5.337561"/>
    <n v="-72.354636999999997"/>
    <s v="MOVILIDAD"/>
    <s v="RURAL"/>
    <x v="2"/>
    <s v="JUNIO"/>
    <d v="2025-06-09T00:00:00"/>
    <x v="4"/>
    <d v="1899-12-30T04:05:00"/>
    <s v="CAMIONETA"/>
    <m/>
    <n v="0"/>
    <n v="0"/>
    <n v="0"/>
    <n v="0"/>
    <n v="1"/>
    <n v="0"/>
    <n v="0"/>
    <n v="0"/>
    <n v="0"/>
    <n v="0"/>
    <n v="0"/>
    <n v="0"/>
    <s v="MASCULINO"/>
    <m/>
    <n v="1"/>
    <n v="0"/>
    <n v="44"/>
    <m/>
    <m/>
    <m/>
    <m/>
    <m/>
    <n v="157"/>
    <x v="1"/>
    <m/>
    <s v=""/>
    <x v="2"/>
  </r>
  <r>
    <n v="995"/>
    <x v="0"/>
    <n v="2"/>
    <n v="0"/>
    <x v="0"/>
    <s v="KM 1 + 400 VIOA YOPAL - PUNTO NUEVO"/>
    <n v="5.3370280000000001"/>
    <n v="-72.341572999999997"/>
    <s v="MOVILIDAD"/>
    <s v="RURAL"/>
    <x v="2"/>
    <s v="JUNIO"/>
    <d v="2025-06-13T00:00:00"/>
    <x v="0"/>
    <d v="1899-12-30T09:10:00"/>
    <s v="MOTOCICLETA"/>
    <s v="MOTOCARRO"/>
    <n v="1"/>
    <n v="1"/>
    <n v="0"/>
    <n v="0"/>
    <n v="0"/>
    <n v="0"/>
    <n v="0"/>
    <n v="0"/>
    <n v="0"/>
    <n v="0"/>
    <n v="0"/>
    <n v="0"/>
    <s v="MASCULINO"/>
    <s v="MASCULINO"/>
    <n v="2"/>
    <n v="0"/>
    <n v="28"/>
    <n v="35"/>
    <m/>
    <m/>
    <m/>
    <m/>
    <n v="139"/>
    <x v="0"/>
    <m/>
    <s v=""/>
    <x v="2"/>
  </r>
  <r>
    <n v="500"/>
    <x v="0"/>
    <n v="1"/>
    <n v="0"/>
    <x v="0"/>
    <s v="KM 1 + 800 VIA YOPAL- MATEPANTANO "/>
    <n v="5.3370155555555554"/>
    <n v="-72.349864999999994"/>
    <s v="MOVILIDAD"/>
    <s v="RURAL"/>
    <x v="1"/>
    <s v="JUNIO"/>
    <d v="2023-06-07T00:00:00"/>
    <x v="3"/>
    <d v="1899-12-30T06:20:00"/>
    <s v="MOTOCICLETA"/>
    <s v="CAMIONETA"/>
    <n v="1"/>
    <n v="0"/>
    <n v="0"/>
    <n v="0"/>
    <n v="1"/>
    <n v="0"/>
    <n v="0"/>
    <n v="0"/>
    <n v="0"/>
    <n v="0"/>
    <n v="0"/>
    <n v="0"/>
    <s v="MASCULINO"/>
    <m/>
    <n v="1"/>
    <n v="0"/>
    <n v="68"/>
    <m/>
    <m/>
    <m/>
    <m/>
    <m/>
    <n v="104"/>
    <x v="9"/>
    <m/>
    <s v=""/>
    <x v="2"/>
  </r>
  <r>
    <n v="968"/>
    <x v="0"/>
    <n v="0"/>
    <n v="1"/>
    <x v="2"/>
    <s v="Km 1 FRENTE AL VIVERO YOPAL-AGUAZUL"/>
    <n v="5.3205400000000003"/>
    <n v="-72.416863000000006"/>
    <s v="DITRA"/>
    <s v="RURAL"/>
    <x v="2"/>
    <s v="MAYO"/>
    <d v="2025-05-17T00:00:00"/>
    <x v="5"/>
    <d v="1899-12-30T12:00:00"/>
    <s v="MOTOCICLETA"/>
    <m/>
    <n v="1"/>
    <n v="0"/>
    <n v="0"/>
    <n v="0"/>
    <n v="0"/>
    <n v="0"/>
    <n v="0"/>
    <n v="0"/>
    <n v="0"/>
    <n v="0"/>
    <n v="0"/>
    <n v="0"/>
    <m/>
    <s v="FEMENINO"/>
    <n v="0"/>
    <n v="1"/>
    <n v="30"/>
    <m/>
    <m/>
    <m/>
    <m/>
    <m/>
    <n v="139"/>
    <x v="0"/>
    <m/>
    <s v=""/>
    <x v="1"/>
  </r>
  <r>
    <n v="953"/>
    <x v="0"/>
    <n v="0"/>
    <n v="1"/>
    <x v="2"/>
    <s v="Km 1 VIA CORREGIMIENTO EL TALADRO"/>
    <n v="5.4378440000000001"/>
    <n v="-72.250613999999999"/>
    <s v="DITRA"/>
    <s v="RURAL"/>
    <x v="2"/>
    <s v="MAYO"/>
    <d v="2025-05-04T00:00:00"/>
    <x v="2"/>
    <d v="1899-12-30T20:2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43"/>
    <m/>
    <m/>
    <m/>
    <m/>
    <m/>
    <n v="114"/>
    <x v="5"/>
    <n v="139"/>
    <s v="Impericia en el manejo."/>
    <x v="0"/>
  </r>
  <r>
    <n v="913"/>
    <x v="0"/>
    <n v="0"/>
    <n v="1"/>
    <x v="2"/>
    <s v="Km 1 VIA YOPAL-MATEPANTANO"/>
    <n v="5.3370550000000003"/>
    <n v="-72.337442999999993"/>
    <s v="DITRA"/>
    <s v="RURAL"/>
    <x v="2"/>
    <s v="MARZO"/>
    <d v="2025-03-29T00:00:00"/>
    <x v="5"/>
    <d v="1899-12-30T19:30:00"/>
    <s v="CAMPERO"/>
    <s v="MOTOCICLETA"/>
    <n v="1"/>
    <n v="0"/>
    <n v="0"/>
    <n v="1"/>
    <n v="0"/>
    <n v="0"/>
    <n v="0"/>
    <n v="0"/>
    <n v="0"/>
    <n v="0"/>
    <n v="0"/>
    <n v="0"/>
    <s v="FEMENINO"/>
    <s v="MASCULINO"/>
    <n v="1"/>
    <n v="1"/>
    <n v="67"/>
    <n v="40"/>
    <m/>
    <m/>
    <m/>
    <n v="67"/>
    <n v="157"/>
    <x v="1"/>
    <m/>
    <s v=""/>
    <x v="0"/>
  </r>
  <r>
    <n v="876"/>
    <x v="1"/>
    <n v="0"/>
    <n v="0"/>
    <x v="1"/>
    <s v="KM 1+800 VIA YOPAL-MORICHAL"/>
    <n v="5.264526"/>
    <n v="-72.399467000000001"/>
    <s v="MOVILIDAD"/>
    <s v="RURAL"/>
    <x v="2"/>
    <s v="FEBRERO"/>
    <d v="2025-02-17T00:00:00"/>
    <x v="4"/>
    <d v="1899-12-30T05:45:00"/>
    <s v="MOTOCICLETA"/>
    <s v="MOTOCICLETA"/>
    <n v="2"/>
    <n v="0"/>
    <n v="0"/>
    <n v="0"/>
    <n v="0"/>
    <n v="0"/>
    <n v="0"/>
    <n v="0"/>
    <n v="0"/>
    <n v="0"/>
    <n v="0"/>
    <n v="0"/>
    <s v="MASCULINO"/>
    <s v="MASCULINO"/>
    <n v="2"/>
    <n v="0"/>
    <n v="76"/>
    <n v="24"/>
    <m/>
    <m/>
    <m/>
    <m/>
    <n v="115"/>
    <x v="12"/>
    <n v="139"/>
    <s v="Impericia en el manejo."/>
    <x v="2"/>
  </r>
  <r>
    <n v="426"/>
    <x v="0"/>
    <n v="0"/>
    <n v="1"/>
    <x v="2"/>
    <s v="KM 10+700 GUAYAQUE "/>
    <n v="5.3771202777777773"/>
    <n v="-72.363846111111101"/>
    <s v="DITRA"/>
    <s v="RURAL"/>
    <x v="1"/>
    <s v="MARZO"/>
    <d v="2023-03-05T00:00:00"/>
    <x v="2"/>
    <d v="1899-12-30T20:40:00"/>
    <s v="AUTOMOVIL"/>
    <m/>
    <n v="0"/>
    <n v="0"/>
    <n v="1"/>
    <n v="0"/>
    <n v="0"/>
    <n v="0"/>
    <n v="0"/>
    <n v="0"/>
    <n v="0"/>
    <n v="0"/>
    <n v="0"/>
    <n v="0"/>
    <s v="MASCULINO"/>
    <m/>
    <n v="1"/>
    <n v="0"/>
    <m/>
    <m/>
    <m/>
    <m/>
    <m/>
    <n v="53"/>
    <n v="157"/>
    <x v="1"/>
    <m/>
    <s v=""/>
    <x v="0"/>
  </r>
  <r>
    <n v="478"/>
    <x v="0"/>
    <n v="0"/>
    <n v="1"/>
    <x v="2"/>
    <s v="KM 102+00 VIA MONTERREY YOPAL "/>
    <n v="5.3217042000000001"/>
    <n v="-72.415500699999996"/>
    <s v="DITRA"/>
    <s v="RURAL"/>
    <x v="1"/>
    <s v="MAYO"/>
    <d v="2023-05-16T00:00:00"/>
    <x v="6"/>
    <d v="1899-12-30T04:1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m/>
    <m/>
    <m/>
    <m/>
    <m/>
    <n v="29"/>
    <n v="116"/>
    <x v="14"/>
    <m/>
    <s v=""/>
    <x v="2"/>
  </r>
  <r>
    <n v="908"/>
    <x v="0"/>
    <n v="1"/>
    <n v="1"/>
    <x v="2"/>
    <s v="Km 102+50 VIA MONTERREY-YOPAL"/>
    <n v="5.3216169999999998"/>
    <n v="-72.415498999999997"/>
    <s v="DITRA"/>
    <s v="RURAL"/>
    <x v="2"/>
    <s v="MARZO"/>
    <d v="2025-03-18T00:00:00"/>
    <x v="6"/>
    <d v="1899-12-30T12:33:00"/>
    <s v="MOTOCICLETA"/>
    <m/>
    <n v="1"/>
    <n v="0"/>
    <n v="0"/>
    <n v="0"/>
    <n v="0"/>
    <n v="0"/>
    <n v="0"/>
    <n v="0"/>
    <n v="0"/>
    <n v="0"/>
    <n v="0"/>
    <n v="0"/>
    <s v="MASCULINO"/>
    <s v="FEMENINO"/>
    <n v="1"/>
    <n v="1"/>
    <n v="25"/>
    <n v="45"/>
    <m/>
    <m/>
    <m/>
    <m/>
    <n v="139"/>
    <x v="0"/>
    <n v="134"/>
    <s v="Reverso imprudente."/>
    <x v="1"/>
  </r>
  <r>
    <n v="388"/>
    <x v="0"/>
    <n v="0"/>
    <n v="1"/>
    <x v="2"/>
    <s v="KM 12+200 VIA YOPAL - RIN# DEL SOLDADO"/>
    <n v="5.3711272222222215"/>
    <n v="-72.472857222222231"/>
    <s v="DITRA"/>
    <s v="RURAL"/>
    <x v="1"/>
    <s v="ENERO"/>
    <d v="2023-01-13T00:00:00"/>
    <x v="0"/>
    <d v="1899-12-30T17:1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m/>
    <m/>
    <m/>
    <m/>
    <m/>
    <n v="17"/>
    <n v="116"/>
    <x v="14"/>
    <m/>
    <s v=""/>
    <x v="1"/>
  </r>
  <r>
    <n v="981"/>
    <x v="0"/>
    <n v="0"/>
    <n v="1"/>
    <x v="2"/>
    <s v="KM 12+300 VIA YOPAL - PAZ DE ARIPORA"/>
    <n v="5.4047179999999999"/>
    <n v="-72.320577"/>
    <s v="DITRA"/>
    <s v="RURAL"/>
    <x v="2"/>
    <s v="JUNIO"/>
    <d v="2025-06-07T00:00:00"/>
    <x v="5"/>
    <d v="1899-12-30T05:2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25"/>
    <m/>
    <m/>
    <m/>
    <m/>
    <m/>
    <n v="139"/>
    <x v="0"/>
    <m/>
    <s v=""/>
    <x v="2"/>
  </r>
  <r>
    <n v="497"/>
    <x v="0"/>
    <n v="2"/>
    <n v="0"/>
    <x v="0"/>
    <s v="KM 12YOPAL EL MORRO"/>
    <n v="5.4528530555555559"/>
    <n v="-72.456541666666666"/>
    <s v="MOVILIDAD"/>
    <s v="URBANO"/>
    <x v="1"/>
    <s v="JUNIO"/>
    <d v="2023-06-04T00:00:00"/>
    <x v="2"/>
    <d v="1899-12-30T06:50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n v="30"/>
    <n v="30"/>
    <m/>
    <m/>
    <m/>
    <m/>
    <n v="115"/>
    <x v="12"/>
    <m/>
    <s v=""/>
    <x v="2"/>
  </r>
  <r>
    <n v="893"/>
    <x v="0"/>
    <n v="0"/>
    <n v="2"/>
    <x v="2"/>
    <s v="KM 13 + 500 LA NIATA"/>
    <n v="5.4104710000000003"/>
    <n v="-72.306315999999995"/>
    <s v="DITRA"/>
    <s v="RURAL"/>
    <x v="2"/>
    <s v="MARZO"/>
    <d v="2025-03-08T00:00:00"/>
    <x v="5"/>
    <d v="1899-12-30T06:20:00"/>
    <s v="AUTOMOVIL"/>
    <m/>
    <n v="0"/>
    <n v="0"/>
    <n v="1"/>
    <n v="0"/>
    <n v="0"/>
    <n v="0"/>
    <n v="0"/>
    <n v="0"/>
    <n v="0"/>
    <n v="0"/>
    <n v="0"/>
    <n v="0"/>
    <s v="MASCULINO"/>
    <s v="FEMENINO"/>
    <n v="1"/>
    <n v="1"/>
    <n v="37"/>
    <n v="26"/>
    <m/>
    <m/>
    <m/>
    <m/>
    <n v="139"/>
    <x v="0"/>
    <m/>
    <s v=""/>
    <x v="2"/>
  </r>
  <r>
    <n v="852"/>
    <x v="0"/>
    <n v="2"/>
    <n v="0"/>
    <x v="0"/>
    <s v="KM 14 VIA YOPAL-TACARIMENA"/>
    <n v="5.3523490000000002"/>
    <n v="-72.268598999999995"/>
    <s v="MOVILIDAD"/>
    <s v="RURAL"/>
    <x v="2"/>
    <s v="ENERO"/>
    <d v="2025-01-02T00:00:00"/>
    <x v="1"/>
    <d v="1899-12-30T13:50:00"/>
    <s v="AUTOMOVIL"/>
    <s v="MOTOCICLETA"/>
    <n v="1"/>
    <n v="0"/>
    <n v="1"/>
    <n v="0"/>
    <n v="0"/>
    <n v="0"/>
    <n v="0"/>
    <n v="0"/>
    <n v="0"/>
    <n v="0"/>
    <n v="0"/>
    <n v="0"/>
    <s v="MASCULINO"/>
    <s v="MASCULINO"/>
    <n v="2"/>
    <n v="0"/>
    <n v="45"/>
    <m/>
    <n v="28"/>
    <m/>
    <m/>
    <m/>
    <n v="139"/>
    <x v="0"/>
    <m/>
    <s v=""/>
    <x v="1"/>
  </r>
  <r>
    <n v="928"/>
    <x v="0"/>
    <n v="1"/>
    <n v="0"/>
    <x v="0"/>
    <s v="KM 2 VIA YOPAL-MATEPANTANO"/>
    <n v="5.3369119999999999"/>
    <n v="-72.331635000000006"/>
    <s v="MOVILIDAD"/>
    <s v="RURAL"/>
    <x v="2"/>
    <s v="ABRIL"/>
    <d v="2025-04-03T00:00:00"/>
    <x v="1"/>
    <d v="1899-12-30T22:05:00"/>
    <s v="CAMIONETA"/>
    <s v="MOTOCICLETA"/>
    <n v="1"/>
    <n v="0"/>
    <n v="0"/>
    <n v="0"/>
    <n v="1"/>
    <n v="0"/>
    <n v="0"/>
    <n v="0"/>
    <n v="0"/>
    <n v="0"/>
    <n v="0"/>
    <n v="0"/>
    <s v="MASCULINO"/>
    <s v="MASCULINO"/>
    <n v="2"/>
    <n v="0"/>
    <n v="43"/>
    <n v="43"/>
    <m/>
    <m/>
    <m/>
    <m/>
    <n v="157"/>
    <x v="1"/>
    <m/>
    <s v=""/>
    <x v="0"/>
  </r>
  <r>
    <n v="167"/>
    <x v="0"/>
    <n v="0"/>
    <n v="1"/>
    <x v="2"/>
    <s v="KM 2,5 VIA YOPAL MORICHAL"/>
    <n v="5.2949027777777777"/>
    <n v="-72.402358333333339"/>
    <s v="MOVILIDAD"/>
    <s v="RURAL"/>
    <x v="0"/>
    <s v="MAYO"/>
    <d v="2022-05-01T00:00:00"/>
    <x v="2"/>
    <d v="1899-12-30T10:3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m/>
    <m/>
    <m/>
    <m/>
    <m/>
    <n v="41"/>
    <n v="157"/>
    <x v="1"/>
    <m/>
    <s v=""/>
    <x v="2"/>
  </r>
  <r>
    <n v="638"/>
    <x v="0"/>
    <n v="0"/>
    <n v="1"/>
    <x v="2"/>
    <s v="KM 21+500 YOPAL PALOBAJITO "/>
    <n v="5.4454527777777777"/>
    <n v="-72.317720277777781"/>
    <s v="MOVILIDAD"/>
    <s v="URBANO"/>
    <x v="1"/>
    <s v="DICIEMBRE"/>
    <d v="2023-12-22T00:00:00"/>
    <x v="0"/>
    <d v="1899-12-30T19:30:00"/>
    <s v="CAMION"/>
    <m/>
    <n v="0"/>
    <n v="0"/>
    <n v="0"/>
    <n v="0"/>
    <n v="0"/>
    <n v="0"/>
    <n v="0"/>
    <n v="0"/>
    <n v="1"/>
    <n v="0"/>
    <n v="0"/>
    <n v="0"/>
    <s v="MASCULINO"/>
    <m/>
    <n v="1"/>
    <n v="0"/>
    <m/>
    <m/>
    <m/>
    <m/>
    <m/>
    <n v="69"/>
    <n v="157"/>
    <x v="1"/>
    <m/>
    <s v=""/>
    <x v="0"/>
  </r>
  <r>
    <n v="470"/>
    <x v="0"/>
    <n v="1"/>
    <n v="1"/>
    <x v="2"/>
    <s v="KM 22+ 500 YOPAL TACARIMENA"/>
    <n v="5.3422227777777778"/>
    <n v="-72.198367222222231"/>
    <s v="DITRA"/>
    <s v="RURAL"/>
    <x v="1"/>
    <s v="MAYO"/>
    <d v="2023-05-07T00:00:00"/>
    <x v="2"/>
    <d v="1899-12-30T16:0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21"/>
    <m/>
    <m/>
    <m/>
    <m/>
    <n v="19"/>
    <n v="116"/>
    <x v="14"/>
    <n v="139"/>
    <s v="Impericia en el manejo."/>
    <x v="1"/>
  </r>
  <r>
    <n v="427"/>
    <x v="0"/>
    <n v="0"/>
    <n v="2"/>
    <x v="2"/>
    <s v="KM 24 VIA YOPAL- TILODIRAN "/>
    <n v="5.1910869444444447"/>
    <n v="-72.317316666666656"/>
    <s v="DITRA"/>
    <s v="RURAL"/>
    <x v="1"/>
    <s v="MARZO"/>
    <d v="2023-03-12T00:00:00"/>
    <x v="2"/>
    <d v="1899-12-30T19:30:00"/>
    <s v="MOTOCICLETA"/>
    <s v="AUTOMOVIL"/>
    <n v="1"/>
    <n v="0"/>
    <n v="1"/>
    <n v="0"/>
    <n v="0"/>
    <n v="0"/>
    <n v="0"/>
    <n v="0"/>
    <n v="0"/>
    <n v="0"/>
    <n v="0"/>
    <n v="0"/>
    <m/>
    <s v="FEMENINO"/>
    <n v="0"/>
    <n v="1"/>
    <m/>
    <n v="7"/>
    <m/>
    <n v="2"/>
    <m/>
    <n v="35"/>
    <n v="141"/>
    <x v="28"/>
    <n v="116"/>
    <s v="Exceso de velocidad"/>
    <x v="0"/>
  </r>
  <r>
    <n v="441"/>
    <x v="0"/>
    <n v="0"/>
    <n v="1"/>
    <x v="2"/>
    <s v="KM 26+650 RUTA ARAGUANEY "/>
    <n v="5.4732144444444444"/>
    <n v="-72.250083611111108"/>
    <s v="DITRA"/>
    <s v="RURAL"/>
    <x v="1"/>
    <s v="MARZO"/>
    <d v="2023-03-19T00:00:00"/>
    <x v="2"/>
    <d v="1899-12-30T01:14:00"/>
    <s v="MOTOCICLETA"/>
    <m/>
    <n v="1"/>
    <n v="0"/>
    <n v="0"/>
    <n v="0"/>
    <n v="0"/>
    <n v="0"/>
    <n v="0"/>
    <n v="0"/>
    <n v="0"/>
    <n v="0"/>
    <n v="0"/>
    <n v="0"/>
    <m/>
    <s v="FEMENINO"/>
    <n v="0"/>
    <n v="1"/>
    <m/>
    <m/>
    <m/>
    <m/>
    <m/>
    <m/>
    <n v="1"/>
    <x v="3"/>
    <m/>
    <s v=""/>
    <x v="2"/>
  </r>
  <r>
    <n v="1068"/>
    <x v="0"/>
    <n v="0"/>
    <n v="1"/>
    <x v="2"/>
    <s v="KM 3 + 800 MORICHAL - YOPAL"/>
    <n v="5.2424153899999997"/>
    <n v="-72.391473559999994"/>
    <s v="MOVILIDAD"/>
    <s v="RURAL"/>
    <x v="2"/>
    <s v="SEPTIEMBRE"/>
    <d v="2025-09-11T00:00:00"/>
    <x v="1"/>
    <d v="1899-12-30T09:42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m/>
    <m/>
    <m/>
    <m/>
    <m/>
    <m/>
    <n v="157"/>
    <x v="1"/>
    <m/>
    <s v=""/>
    <x v="2"/>
  </r>
  <r>
    <n v="539"/>
    <x v="0"/>
    <n v="0"/>
    <n v="1"/>
    <x v="2"/>
    <s v="km 42 YOPAL VEREDA QUEBRADA SECA "/>
    <n v="5.1266286111111103"/>
    <n v="-72.179981111111118"/>
    <s v="DITRA"/>
    <s v="RURAL"/>
    <x v="1"/>
    <s v="AGOSTO"/>
    <d v="2023-08-24T00:00:00"/>
    <x v="1"/>
    <d v="1899-12-30T12:30:00"/>
    <s v="MOTOCICLETA"/>
    <s v="CAMIONETA"/>
    <n v="1"/>
    <n v="0"/>
    <n v="0"/>
    <n v="0"/>
    <n v="1"/>
    <n v="0"/>
    <n v="0"/>
    <n v="0"/>
    <n v="0"/>
    <n v="0"/>
    <n v="0"/>
    <n v="0"/>
    <s v="MASCULINO"/>
    <m/>
    <n v="1"/>
    <n v="0"/>
    <m/>
    <m/>
    <m/>
    <m/>
    <m/>
    <n v="33"/>
    <n v="114"/>
    <x v="5"/>
    <m/>
    <s v=""/>
    <x v="1"/>
  </r>
  <r>
    <n v="967"/>
    <x v="0"/>
    <n v="0"/>
    <n v="1"/>
    <x v="2"/>
    <s v="Km 44 VIA YOPAL-PUNTO NUEVO"/>
    <n v="5.2938340000000004"/>
    <n v="-72.178768000000005"/>
    <s v="DITRA"/>
    <s v="RURAL"/>
    <x v="2"/>
    <s v="MAYO"/>
    <d v="2025-05-11T00:00:00"/>
    <x v="2"/>
    <d v="1899-12-30T17:0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58"/>
    <m/>
    <m/>
    <m/>
    <m/>
    <m/>
    <n v="114"/>
    <x v="5"/>
    <n v="139"/>
    <s v="Impericia en el manejo."/>
    <x v="1"/>
  </r>
  <r>
    <n v="866"/>
    <x v="0"/>
    <n v="0"/>
    <n v="1"/>
    <x v="2"/>
    <s v="Km 5,8 VIA YOPAL-MORICHAL"/>
    <n v="5.2706689999999998"/>
    <n v="-72.399950000000004"/>
    <s v="DITRA"/>
    <s v="RURAL"/>
    <x v="2"/>
    <s v="FEBRERO"/>
    <d v="2025-02-02T00:00:00"/>
    <x v="2"/>
    <d v="1899-12-30T21:4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41"/>
    <m/>
    <m/>
    <m/>
    <m/>
    <n v="41"/>
    <n v="157"/>
    <x v="1"/>
    <n v="114"/>
    <s v="Embriaguez aparente."/>
    <x v="0"/>
  </r>
  <r>
    <n v="628"/>
    <x v="0"/>
    <n v="3"/>
    <n v="0"/>
    <x v="0"/>
    <s v="KM 7+000 VIA YOPAL-MORICHAL"/>
    <n v="5.274952777777778"/>
    <n v="-72.400394444444444"/>
    <s v="MOVILIDAD"/>
    <s v="RURAL"/>
    <x v="1"/>
    <s v="DICIEMBRE"/>
    <d v="2023-12-10T00:00:00"/>
    <x v="2"/>
    <d v="1899-12-30T19:10:00"/>
    <s v="MOTOCICLETA"/>
    <m/>
    <n v="1"/>
    <n v="0"/>
    <n v="0"/>
    <n v="0"/>
    <n v="0"/>
    <n v="0"/>
    <n v="0"/>
    <n v="0"/>
    <n v="0"/>
    <n v="0"/>
    <n v="0"/>
    <n v="0"/>
    <s v="MASCULINO"/>
    <s v="FEMENINO"/>
    <n v="1"/>
    <n v="1"/>
    <n v="32"/>
    <n v="44"/>
    <m/>
    <m/>
    <n v="28"/>
    <m/>
    <n v="114"/>
    <x v="5"/>
    <n v="139"/>
    <s v="Impericia en el manejo."/>
    <x v="0"/>
  </r>
  <r>
    <n v="950"/>
    <x v="0"/>
    <n v="1"/>
    <n v="1"/>
    <x v="2"/>
    <s v="KM 7+400 VIA YOPAL-EL MORRO"/>
    <n v="5.3877370000000004"/>
    <n v="-72.423214999999999"/>
    <s v="DITRA"/>
    <s v="RURAL"/>
    <x v="2"/>
    <s v="ABRIL"/>
    <d v="2025-04-28T00:00:00"/>
    <x v="4"/>
    <d v="1899-12-30T00:01:00"/>
    <s v="MOTOCICLETA"/>
    <m/>
    <n v="1"/>
    <n v="0"/>
    <n v="0"/>
    <n v="0"/>
    <n v="0"/>
    <n v="0"/>
    <n v="0"/>
    <n v="0"/>
    <n v="0"/>
    <n v="0"/>
    <n v="0"/>
    <n v="0"/>
    <s v="MASCULINO"/>
    <s v="MASCULINO"/>
    <n v="2"/>
    <n v="0"/>
    <n v="22"/>
    <n v="26"/>
    <m/>
    <m/>
    <m/>
    <m/>
    <n v="114"/>
    <x v="5"/>
    <n v="116"/>
    <s v="Exceso de velocidad"/>
    <x v="2"/>
  </r>
  <r>
    <n v="865"/>
    <x v="1"/>
    <n v="0"/>
    <n v="0"/>
    <x v="1"/>
    <s v="KM 9+500 VIA YOPAL-MORICHAL"/>
    <n v="5.2500280000000004"/>
    <n v="-72.395154000000005"/>
    <s v="MOVILIDAD"/>
    <s v="RURAL"/>
    <x v="2"/>
    <s v="ENERO"/>
    <d v="2025-01-31T00:00:00"/>
    <x v="0"/>
    <d v="1899-12-30T22:55:00"/>
    <s v="AUTOMOVIL"/>
    <m/>
    <n v="0"/>
    <n v="0"/>
    <n v="1"/>
    <n v="0"/>
    <n v="0"/>
    <n v="0"/>
    <n v="0"/>
    <n v="0"/>
    <n v="0"/>
    <n v="0"/>
    <n v="0"/>
    <n v="0"/>
    <s v="MASCULINO"/>
    <m/>
    <n v="1"/>
    <n v="0"/>
    <n v="44"/>
    <m/>
    <m/>
    <m/>
    <m/>
    <m/>
    <n v="157"/>
    <x v="1"/>
    <m/>
    <s v=""/>
    <x v="0"/>
  </r>
  <r>
    <n v="787"/>
    <x v="0"/>
    <n v="0"/>
    <n v="1"/>
    <x v="2"/>
    <s v="KM 91 + 710  MONTERREY- YOPAL"/>
    <n v="5.2608702000000003"/>
    <n v="-72.481724400000004"/>
    <s v="DITRA"/>
    <s v="RURAL"/>
    <x v="3"/>
    <s v="OCTUBRE"/>
    <d v="2024-10-04T00:00:00"/>
    <x v="0"/>
    <d v="1899-12-30T14:58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m/>
    <m/>
    <m/>
    <m/>
    <m/>
    <m/>
    <n v="1"/>
    <x v="3"/>
    <m/>
    <s v=""/>
    <x v="1"/>
  </r>
  <r>
    <n v="318"/>
    <x v="0"/>
    <n v="1"/>
    <n v="0"/>
    <x v="0"/>
    <s v="KM. 0+400 VIA MATEPANTANO"/>
    <n v="5.3395169444444441"/>
    <n v="-72.361400277777776"/>
    <s v="MOVILIDAD"/>
    <s v="RURAL"/>
    <x v="0"/>
    <s v="SEPTIEMBRE"/>
    <d v="2022-09-27T00:00:00"/>
    <x v="6"/>
    <d v="1899-12-30T23:40:00"/>
    <s v="MOTOCICLETA"/>
    <m/>
    <n v="1"/>
    <n v="0"/>
    <n v="0"/>
    <n v="0"/>
    <n v="0"/>
    <n v="0"/>
    <n v="0"/>
    <n v="0"/>
    <n v="0"/>
    <n v="0"/>
    <n v="0"/>
    <n v="0"/>
    <m/>
    <s v="FEMENINO"/>
    <n v="0"/>
    <n v="1"/>
    <n v="21"/>
    <m/>
    <m/>
    <m/>
    <m/>
    <m/>
    <n v="139"/>
    <x v="0"/>
    <n v="157"/>
    <s v="Otra"/>
    <x v="0"/>
  </r>
  <r>
    <n v="110"/>
    <x v="0"/>
    <n v="2"/>
    <n v="0"/>
    <x v="0"/>
    <s v="KM. 0+500 MIRADOR DE LA VIRGEN"/>
    <n v="5.3423241666666668"/>
    <n v="-72.412918611111124"/>
    <s v="MOVILIDAD"/>
    <s v="RURAL"/>
    <x v="0"/>
    <s v="MARZO"/>
    <d v="2022-03-31T00:00:00"/>
    <x v="1"/>
    <d v="1899-12-30T12:5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24"/>
    <n v="17"/>
    <m/>
    <m/>
    <m/>
    <m/>
    <n v="121"/>
    <x v="7"/>
    <m/>
    <s v=""/>
    <x v="1"/>
  </r>
  <r>
    <n v="185"/>
    <x v="0"/>
    <n v="2"/>
    <n v="0"/>
    <x v="0"/>
    <s v="KM. 0+500 YOPAL PAZ DE ARIPORO"/>
    <n v="5.3553227777777774"/>
    <n v="-72.406182222222228"/>
    <s v="MOVILIDAD"/>
    <s v="RURAL"/>
    <x v="0"/>
    <s v="MAYO"/>
    <d v="2022-05-15T00:00:00"/>
    <x v="2"/>
    <d v="1899-12-30T21:45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28"/>
    <m/>
    <m/>
    <n v="75"/>
    <m/>
    <m/>
    <n v="157"/>
    <x v="1"/>
    <n v="404"/>
    <s v="Transitar por la calzada."/>
    <x v="0"/>
  </r>
  <r>
    <n v="223"/>
    <x v="0"/>
    <n v="1"/>
    <n v="0"/>
    <x v="0"/>
    <s v="KM. 0+800 YOPAL SIRIVANA"/>
    <n v="5.3504005555555549"/>
    <n v="-72.385784166666667"/>
    <s v="MOVILIDAD"/>
    <s v="URBANO"/>
    <x v="0"/>
    <s v="JUNIO"/>
    <d v="2022-06-19T00:00:00"/>
    <x v="2"/>
    <d v="1899-12-30T20:3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27"/>
    <m/>
    <m/>
    <m/>
    <m/>
    <m/>
    <n v="114"/>
    <x v="5"/>
    <n v="137"/>
    <s v="Falta de señales en vehículo varado"/>
    <x v="0"/>
  </r>
  <r>
    <n v="541"/>
    <x v="0"/>
    <n v="0"/>
    <n v="1"/>
    <x v="2"/>
    <s v="KM. 1 + 500 metros de la via yopal - aguazul "/>
    <n v="5.320071111111111"/>
    <n v="-72.417412500000012"/>
    <s v="DITRA"/>
    <s v="RURAL"/>
    <x v="1"/>
    <s v="AGOSTO"/>
    <d v="2023-08-26T00:00:00"/>
    <x v="5"/>
    <d v="1899-12-30T22:40:00"/>
    <s v="MOTOCICLETA"/>
    <s v="AUTOMOVIL"/>
    <n v="1"/>
    <n v="0"/>
    <n v="1"/>
    <n v="0"/>
    <n v="0"/>
    <n v="0"/>
    <n v="0"/>
    <n v="0"/>
    <n v="0"/>
    <n v="0"/>
    <n v="0"/>
    <n v="0"/>
    <m/>
    <s v="FEMENINO"/>
    <n v="0"/>
    <n v="1"/>
    <m/>
    <m/>
    <m/>
    <m/>
    <m/>
    <n v="36"/>
    <n v="139"/>
    <x v="0"/>
    <n v="127"/>
    <s v="Transitar en contravía."/>
    <x v="0"/>
  </r>
  <r>
    <n v="245"/>
    <x v="1"/>
    <n v="0"/>
    <n v="0"/>
    <x v="1"/>
    <s v="KM. 1 VIA MATEPANTANO"/>
    <n v="5.3383905555555549"/>
    <n v="-72.356616388888881"/>
    <s v="MOVILIDAD"/>
    <s v="RURAL"/>
    <x v="0"/>
    <s v="JULIO"/>
    <d v="2022-07-09T00:00:00"/>
    <x v="5"/>
    <d v="1899-12-30T14:50:00"/>
    <s v="MOTOCICLETA"/>
    <s v="CAMIONETA"/>
    <n v="1"/>
    <n v="0"/>
    <n v="0"/>
    <n v="0"/>
    <n v="1"/>
    <n v="0"/>
    <n v="0"/>
    <n v="0"/>
    <n v="0"/>
    <n v="0"/>
    <n v="0"/>
    <n v="0"/>
    <m/>
    <s v="FEMENINO"/>
    <n v="0"/>
    <n v="1"/>
    <m/>
    <m/>
    <m/>
    <m/>
    <m/>
    <m/>
    <n v="121"/>
    <x v="7"/>
    <m/>
    <s v=""/>
    <x v="1"/>
  </r>
  <r>
    <n v="835"/>
    <x v="0"/>
    <n v="0"/>
    <n v="1"/>
    <x v="2"/>
    <s v="KM. 1 VIA MATEPANTANO"/>
    <n v="5.3383841666666667"/>
    <n v="-72.356564166666658"/>
    <s v="MOVILIDAD"/>
    <s v="RURAL"/>
    <x v="3"/>
    <s v="DICIEMBRE"/>
    <d v="2024-12-15T00:00:00"/>
    <x v="2"/>
    <d v="1899-12-30T18:25:00"/>
    <s v="MOTOCICLETA"/>
    <s v="CAMION"/>
    <n v="1"/>
    <n v="0"/>
    <n v="0"/>
    <n v="0"/>
    <n v="0"/>
    <n v="0"/>
    <n v="0"/>
    <n v="0"/>
    <n v="1"/>
    <n v="0"/>
    <n v="0"/>
    <n v="0"/>
    <s v="MASCULINO"/>
    <m/>
    <n v="1"/>
    <n v="0"/>
    <m/>
    <n v="52"/>
    <m/>
    <m/>
    <m/>
    <n v="63"/>
    <n v="114"/>
    <x v="5"/>
    <n v="157"/>
    <s v="Otra"/>
    <x v="0"/>
  </r>
  <r>
    <n v="491"/>
    <x v="1"/>
    <n v="0"/>
    <n v="0"/>
    <x v="1"/>
    <s v="KM. 1 VIA YOPAL - SIRIVANA "/>
    <n v="5.3511733333333327"/>
    <n v="-72.372736944444441"/>
    <s v="MOVILIDAD"/>
    <s v="RURAL"/>
    <x v="1"/>
    <s v="MAYO"/>
    <d v="2023-05-25T00:00:00"/>
    <x v="1"/>
    <d v="1899-12-30T23:00:00"/>
    <s v="CAMIONETA"/>
    <s v="CAMION"/>
    <n v="0"/>
    <n v="0"/>
    <n v="0"/>
    <n v="0"/>
    <n v="1"/>
    <n v="0"/>
    <n v="0"/>
    <n v="0"/>
    <n v="1"/>
    <n v="0"/>
    <n v="0"/>
    <n v="0"/>
    <m/>
    <s v="FEMENINO"/>
    <n v="0"/>
    <n v="1"/>
    <m/>
    <m/>
    <m/>
    <m/>
    <m/>
    <m/>
    <n v="304"/>
    <x v="41"/>
    <m/>
    <s v=""/>
    <x v="0"/>
  </r>
  <r>
    <n v="279"/>
    <x v="0"/>
    <n v="1"/>
    <n v="0"/>
    <x v="0"/>
    <s v="KM. 1 VIA YOPAL AGUAZUL"/>
    <n v="5.3229138888888885"/>
    <n v="-72.414462222222227"/>
    <s v="MOVILIDAD"/>
    <s v="URBANO"/>
    <x v="0"/>
    <s v="AGOSTO"/>
    <d v="2022-08-12T00:00:00"/>
    <x v="0"/>
    <d v="1899-12-30T18:10:00"/>
    <s v="MOTOCICLETA"/>
    <s v="CAMIONETA"/>
    <n v="1"/>
    <n v="0"/>
    <n v="0"/>
    <n v="0"/>
    <n v="1"/>
    <n v="0"/>
    <n v="0"/>
    <n v="0"/>
    <n v="0"/>
    <n v="0"/>
    <n v="0"/>
    <n v="0"/>
    <m/>
    <s v="FEMENINO"/>
    <n v="0"/>
    <n v="1"/>
    <n v="31"/>
    <m/>
    <m/>
    <m/>
    <m/>
    <m/>
    <n v="157"/>
    <x v="1"/>
    <m/>
    <s v=""/>
    <x v="0"/>
  </r>
  <r>
    <n v="307"/>
    <x v="0"/>
    <n v="1"/>
    <n v="0"/>
    <x v="0"/>
    <s v="KM. 1 VIA YOPAL SIRIVANA"/>
    <n v="5.3509266666666662"/>
    <n v="-72.368641944444434"/>
    <s v="MOVILIDAD"/>
    <s v="URBANO"/>
    <x v="0"/>
    <s v="SEPTIEMBRE"/>
    <d v="2022-09-14T00:00:00"/>
    <x v="3"/>
    <d v="1899-12-30T07:10:00"/>
    <s v="AUTOMOVIL"/>
    <s v="AUTOMOVIL"/>
    <n v="0"/>
    <n v="0"/>
    <n v="2"/>
    <n v="0"/>
    <n v="0"/>
    <n v="0"/>
    <n v="0"/>
    <n v="0"/>
    <n v="0"/>
    <n v="0"/>
    <n v="0"/>
    <n v="0"/>
    <m/>
    <s v="FEMENINO"/>
    <n v="0"/>
    <n v="1"/>
    <n v="49"/>
    <m/>
    <m/>
    <m/>
    <m/>
    <m/>
    <n v="121"/>
    <x v="7"/>
    <n v="125"/>
    <s v="Estacionar sin seguridad."/>
    <x v="2"/>
  </r>
  <r>
    <n v="77"/>
    <x v="0"/>
    <n v="0"/>
    <n v="1"/>
    <x v="2"/>
    <s v="KM. 1 VIA YOPAL-AGUAZUL"/>
    <n v="5.3269861111111112"/>
    <n v="-72.411683333333343"/>
    <s v="DITRA"/>
    <s v="RURAL"/>
    <x v="0"/>
    <s v="MARZO"/>
    <d v="2022-03-08T00:00:00"/>
    <x v="6"/>
    <d v="1899-12-30T20:10:00"/>
    <s v="MOTOCICLETA"/>
    <s v="CAMIONETA"/>
    <n v="1"/>
    <n v="0"/>
    <n v="0"/>
    <n v="0"/>
    <n v="1"/>
    <n v="0"/>
    <n v="0"/>
    <n v="0"/>
    <n v="0"/>
    <n v="0"/>
    <n v="0"/>
    <n v="0"/>
    <m/>
    <s v="FEMENINO"/>
    <n v="0"/>
    <n v="1"/>
    <n v="29"/>
    <n v="0"/>
    <m/>
    <m/>
    <m/>
    <m/>
    <n v="99"/>
    <x v="20"/>
    <m/>
    <s v=""/>
    <x v="0"/>
  </r>
  <r>
    <n v="616"/>
    <x v="0"/>
    <n v="2"/>
    <n v="0"/>
    <x v="0"/>
    <s v="KM. 1 YOPAL LA PAZ "/>
    <n v="5.358750555555555"/>
    <n v="-72.408608888888892"/>
    <s v="MOVILIDAD"/>
    <s v="RURAL"/>
    <x v="1"/>
    <s v="NOVIEMBRE"/>
    <d v="2023-11-20T00:00:00"/>
    <x v="4"/>
    <d v="1899-12-30T18:5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42"/>
    <n v="28"/>
    <m/>
    <m/>
    <m/>
    <m/>
    <n v="99"/>
    <x v="20"/>
    <m/>
    <s v=""/>
    <x v="0"/>
  </r>
  <r>
    <n v="88"/>
    <x v="1"/>
    <n v="0"/>
    <n v="0"/>
    <x v="1"/>
    <s v="KM. 1+600 YOPAL-AGUAZUL"/>
    <n v="5.3225208333333329"/>
    <n v="-72.414977222222234"/>
    <s v="MOVILIDAD"/>
    <s v="RURAL"/>
    <x v="0"/>
    <s v="MARZO"/>
    <d v="2022-03-17T00:00:00"/>
    <x v="1"/>
    <d v="1899-12-30T21:40:00"/>
    <s v="AUTOMOVIL"/>
    <s v="TRACTOCAMION"/>
    <n v="0"/>
    <n v="0"/>
    <n v="1"/>
    <n v="0"/>
    <n v="0"/>
    <n v="0"/>
    <n v="0"/>
    <n v="0"/>
    <n v="0"/>
    <n v="1"/>
    <n v="0"/>
    <n v="0"/>
    <s v="MASCULINO"/>
    <m/>
    <n v="1"/>
    <n v="0"/>
    <m/>
    <m/>
    <m/>
    <m/>
    <m/>
    <m/>
    <n v="121"/>
    <x v="7"/>
    <m/>
    <s v=""/>
    <x v="0"/>
  </r>
  <r>
    <n v="27"/>
    <x v="1"/>
    <n v="0"/>
    <n v="0"/>
    <x v="1"/>
    <s v="KM. 1+800 VIA LA VIRGEN "/>
    <n v="5.3462333333333332"/>
    <n v="-72.316913888888891"/>
    <s v="MOVILIDAD"/>
    <s v="RURAL"/>
    <x v="0"/>
    <s v="ENERO"/>
    <d v="2022-01-22T00:00:00"/>
    <x v="5"/>
    <d v="1899-12-30T12:40:00"/>
    <s v="AUTOMOVIL"/>
    <m/>
    <n v="0"/>
    <n v="0"/>
    <n v="1"/>
    <n v="0"/>
    <n v="0"/>
    <n v="0"/>
    <n v="0"/>
    <n v="0"/>
    <n v="0"/>
    <n v="0"/>
    <n v="0"/>
    <n v="0"/>
    <s v="MASCULINO"/>
    <m/>
    <n v="1"/>
    <n v="0"/>
    <m/>
    <m/>
    <m/>
    <m/>
    <m/>
    <m/>
    <n v="211"/>
    <x v="42"/>
    <m/>
    <s v=""/>
    <x v="1"/>
  </r>
  <r>
    <n v="773"/>
    <x v="0"/>
    <n v="0"/>
    <n v="1"/>
    <x v="2"/>
    <s v="KM. 10 +700METROS YOPAL MORICHAL"/>
    <n v="5.2392905555555558"/>
    <n v="-72.390162777777789"/>
    <s v="MOVILIDAD"/>
    <s v="RURAL"/>
    <x v="3"/>
    <s v="AGOSTO"/>
    <d v="2024-08-30T00:00:00"/>
    <x v="0"/>
    <d v="1899-12-30T02:3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m/>
    <m/>
    <m/>
    <m/>
    <m/>
    <n v="43"/>
    <n v="157"/>
    <x v="1"/>
    <m/>
    <s v=""/>
    <x v="2"/>
  </r>
  <r>
    <n v="409"/>
    <x v="0"/>
    <n v="1"/>
    <n v="0"/>
    <x v="0"/>
    <s v="KM. 10 VIA YOPAL TILODIRAN "/>
    <n v="5.2482761111111111"/>
    <n v="-72.394051388888897"/>
    <s v="MOVILIDAD"/>
    <s v="URBANO"/>
    <x v="1"/>
    <s v="FEBRERO"/>
    <d v="2023-02-18T00:00:00"/>
    <x v="5"/>
    <d v="1899-12-30T11:30:00"/>
    <s v="MOTOCICLETA"/>
    <s v="CAMION"/>
    <n v="1"/>
    <n v="0"/>
    <n v="0"/>
    <n v="0"/>
    <n v="0"/>
    <n v="0"/>
    <n v="0"/>
    <n v="0"/>
    <n v="1"/>
    <n v="0"/>
    <n v="0"/>
    <n v="0"/>
    <s v="MASCULINO"/>
    <m/>
    <n v="1"/>
    <n v="0"/>
    <n v="26"/>
    <m/>
    <m/>
    <m/>
    <m/>
    <m/>
    <n v="104"/>
    <x v="9"/>
    <m/>
    <s v=""/>
    <x v="2"/>
  </r>
  <r>
    <n v="86"/>
    <x v="1"/>
    <n v="0"/>
    <n v="0"/>
    <x v="1"/>
    <s v="KM. 101+5 VIA YOPAL-AGUAZUL"/>
    <n v="5.2147269999999999"/>
    <n v="-72.511959000000004"/>
    <s v="MOVILIDAD"/>
    <s v="RURAL"/>
    <x v="0"/>
    <s v="MARZO"/>
    <d v="2022-03-15T00:00:00"/>
    <x v="6"/>
    <d v="1899-12-30T16:45:00"/>
    <s v="CAMIONETA"/>
    <s v="CAMION"/>
    <n v="0"/>
    <n v="0"/>
    <n v="0"/>
    <n v="0"/>
    <n v="1"/>
    <n v="0"/>
    <n v="0"/>
    <n v="0"/>
    <n v="1"/>
    <n v="0"/>
    <n v="0"/>
    <n v="0"/>
    <s v="MASCULINO"/>
    <m/>
    <n v="1"/>
    <n v="0"/>
    <m/>
    <m/>
    <m/>
    <m/>
    <m/>
    <m/>
    <n v="103"/>
    <x v="8"/>
    <n v="157"/>
    <s v="Otra"/>
    <x v="1"/>
  </r>
  <r>
    <n v="256"/>
    <x v="1"/>
    <n v="0"/>
    <n v="0"/>
    <x v="1"/>
    <s v="KM. 102 MONTERREY YOPAL"/>
    <n v="5.321669"/>
    <n v="-72.415500399999999"/>
    <s v="MOVILIDAD"/>
    <s v="RURAL"/>
    <x v="0"/>
    <s v="JULIO"/>
    <d v="2022-07-19T00:00:00"/>
    <x v="6"/>
    <d v="1899-12-30T15:25:00"/>
    <s v="AUTOMOVIL"/>
    <s v="AUTOMOVIL"/>
    <n v="0"/>
    <n v="0"/>
    <n v="2"/>
    <n v="0"/>
    <n v="0"/>
    <n v="0"/>
    <n v="0"/>
    <n v="0"/>
    <n v="0"/>
    <n v="0"/>
    <n v="0"/>
    <n v="0"/>
    <s v="MASCULINO"/>
    <m/>
    <n v="1"/>
    <n v="0"/>
    <m/>
    <m/>
    <m/>
    <m/>
    <m/>
    <m/>
    <n v="121"/>
    <x v="7"/>
    <m/>
    <s v=""/>
    <x v="1"/>
  </r>
  <r>
    <n v="289"/>
    <x v="0"/>
    <n v="2"/>
    <n v="0"/>
    <x v="0"/>
    <s v="KM. 102 MONTERREY YOPAL"/>
    <n v="5.3217091999999999"/>
    <n v="-72.415532499999998"/>
    <s v="MOVILIDAD"/>
    <s v="RURAL"/>
    <x v="0"/>
    <s v="AGOSTO"/>
    <d v="2022-08-28T00:00:00"/>
    <x v="2"/>
    <d v="1899-12-30T15:30:00"/>
    <s v="MOTOCICLETA"/>
    <s v="AUTOMOVIL"/>
    <n v="1"/>
    <n v="0"/>
    <n v="1"/>
    <n v="0"/>
    <n v="0"/>
    <n v="0"/>
    <n v="0"/>
    <n v="0"/>
    <n v="0"/>
    <n v="0"/>
    <n v="0"/>
    <n v="0"/>
    <s v="MASCULINO"/>
    <s v="FEMENINO"/>
    <n v="1"/>
    <n v="1"/>
    <n v="22"/>
    <n v="26"/>
    <m/>
    <m/>
    <m/>
    <m/>
    <n v="116"/>
    <x v="14"/>
    <n v="121"/>
    <s v="No mantener distancia de seguridad."/>
    <x v="1"/>
  </r>
  <r>
    <n v="246"/>
    <x v="0"/>
    <n v="1"/>
    <n v="0"/>
    <x v="0"/>
    <s v="KM. 102+700 AGUAZUL YOPAL"/>
    <n v="5.2555555555555555"/>
    <n v="-72.486707777777781"/>
    <s v="MOVILIDAD"/>
    <s v="RURAL"/>
    <x v="0"/>
    <s v="JULIO"/>
    <d v="2022-07-08T00:00:00"/>
    <x v="0"/>
    <d v="1899-12-30T12:20:00"/>
    <s v="MOTOCICLETA"/>
    <s v="TRACTOCAMION"/>
    <n v="1"/>
    <n v="0"/>
    <n v="0"/>
    <n v="0"/>
    <n v="0"/>
    <n v="0"/>
    <n v="0"/>
    <n v="0"/>
    <n v="0"/>
    <n v="1"/>
    <n v="0"/>
    <n v="0"/>
    <m/>
    <s v="FEMENINO"/>
    <n v="0"/>
    <n v="1"/>
    <n v="56"/>
    <m/>
    <m/>
    <m/>
    <m/>
    <m/>
    <n v="102"/>
    <x v="29"/>
    <m/>
    <s v=""/>
    <x v="1"/>
  </r>
  <r>
    <n v="406"/>
    <x v="0"/>
    <n v="1"/>
    <n v="0"/>
    <x v="0"/>
    <s v="KM. 103 VIA MONTERREY YOPAL "/>
    <n v="5.3304410000000004"/>
    <n v="-72.409929300000002"/>
    <s v="MOVILIDAD"/>
    <s v="RURAL"/>
    <x v="1"/>
    <s v="FEBRERO"/>
    <d v="2023-02-12T00:00:00"/>
    <x v="2"/>
    <d v="1899-12-30T22:5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50"/>
    <n v="24"/>
    <m/>
    <m/>
    <m/>
    <m/>
    <n v="104"/>
    <x v="9"/>
    <m/>
    <s v=""/>
    <x v="0"/>
  </r>
  <r>
    <n v="301"/>
    <x v="1"/>
    <n v="0"/>
    <n v="0"/>
    <x v="1"/>
    <s v="KM. 104 MONTERREY YOPAL"/>
    <n v="5.3386699999999996"/>
    <n v="-72.406081599999993"/>
    <s v="MOVILIDAD"/>
    <s v="RURAL"/>
    <x v="0"/>
    <s v="SEPTIEMBRE"/>
    <d v="2022-09-07T00:00:00"/>
    <x v="3"/>
    <d v="1899-12-30T04:15:00"/>
    <s v="AUTOMOVIL"/>
    <s v="CAMION"/>
    <n v="0"/>
    <n v="0"/>
    <n v="1"/>
    <n v="0"/>
    <n v="0"/>
    <n v="0"/>
    <n v="0"/>
    <n v="0"/>
    <n v="1"/>
    <n v="0"/>
    <n v="0"/>
    <n v="0"/>
    <m/>
    <s v="FEMENINO"/>
    <n v="0"/>
    <n v="1"/>
    <m/>
    <m/>
    <m/>
    <m/>
    <m/>
    <m/>
    <n v="110"/>
    <x v="38"/>
    <m/>
    <s v=""/>
    <x v="2"/>
  </r>
  <r>
    <n v="684"/>
    <x v="0"/>
    <n v="1"/>
    <n v="1"/>
    <x v="2"/>
    <s v="KM. 11 VIA YOPAL MORICHAL"/>
    <n v="5.2362094444444445"/>
    <n v="-72.389050555555556"/>
    <s v="MOVILIDAD"/>
    <s v="RURAL"/>
    <x v="3"/>
    <s v="MARZO"/>
    <d v="2024-03-27T00:00:00"/>
    <x v="3"/>
    <d v="1899-12-30T16:30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m/>
    <n v="33"/>
    <n v="37"/>
    <m/>
    <m/>
    <n v="30"/>
    <n v="139"/>
    <x v="0"/>
    <n v="114"/>
    <s v="Embriaguez aparente."/>
    <x v="1"/>
  </r>
  <r>
    <n v="341"/>
    <x v="0"/>
    <n v="0"/>
    <n v="1"/>
    <x v="2"/>
    <s v="KM. 11,700 VIA YOPAL MATEPANTANO "/>
    <n v="5.3135983333333332"/>
    <n v="-72.2675725"/>
    <s v="MOVILIDAD"/>
    <s v="RURAL"/>
    <x v="0"/>
    <s v="OCTUBRE"/>
    <d v="2022-10-26T00:00:00"/>
    <x v="3"/>
    <d v="1899-12-30T02:2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m/>
    <m/>
    <m/>
    <m/>
    <m/>
    <n v="31"/>
    <n v="114"/>
    <x v="5"/>
    <n v="116"/>
    <s v="Exceso de velocidad"/>
    <x v="2"/>
  </r>
  <r>
    <n v="576"/>
    <x v="0"/>
    <n v="1"/>
    <n v="0"/>
    <x v="0"/>
    <s v="KM. 12 VEREDA MORRO "/>
    <n v="5.4410725000000006"/>
    <n v="-72.449205000000006"/>
    <s v="MOVILIDAD"/>
    <s v="RURAL"/>
    <x v="1"/>
    <s v="OCTUBRE"/>
    <d v="2023-10-15T00:00:00"/>
    <x v="2"/>
    <d v="1899-12-30T19:50:00"/>
    <s v="MOTOCICLETA"/>
    <s v="AUTOMOVIL"/>
    <n v="1"/>
    <n v="0"/>
    <n v="1"/>
    <n v="0"/>
    <n v="0"/>
    <n v="0"/>
    <n v="0"/>
    <n v="0"/>
    <n v="0"/>
    <n v="0"/>
    <n v="0"/>
    <n v="0"/>
    <m/>
    <s v="FEMENINO"/>
    <n v="0"/>
    <n v="1"/>
    <n v="30"/>
    <m/>
    <m/>
    <m/>
    <m/>
    <m/>
    <n v="157"/>
    <x v="1"/>
    <m/>
    <s v=""/>
    <x v="0"/>
  </r>
  <r>
    <n v="401"/>
    <x v="0"/>
    <n v="4"/>
    <n v="0"/>
    <x v="0"/>
    <s v="KM. 12 VIA YOPAL MATEPANTANO "/>
    <n v="5.3127424999999997"/>
    <n v="-72.265044444444442"/>
    <s v="MOVILIDAD"/>
    <s v="RURAL"/>
    <x v="1"/>
    <s v="FEBRERO"/>
    <d v="2023-02-02T00:00:00"/>
    <x v="1"/>
    <d v="1899-12-30T22:20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n v="21"/>
    <n v="20"/>
    <m/>
    <m/>
    <n v="20"/>
    <m/>
    <n v="157"/>
    <x v="1"/>
    <n v="139"/>
    <s v="Impericia en el manejo."/>
    <x v="0"/>
  </r>
  <r>
    <n v="47"/>
    <x v="0"/>
    <n v="4"/>
    <n v="0"/>
    <x v="0"/>
    <s v="KM. 12 VIA YOPAL-PALOMAS"/>
    <n v="5.3642249999999994"/>
    <n v="-72.300008333333324"/>
    <s v="MOVILIDAD"/>
    <s v="URBANO"/>
    <x v="0"/>
    <s v="FEBRERO"/>
    <d v="2022-02-11T00:00:00"/>
    <x v="0"/>
    <d v="1899-12-30T07:40:00"/>
    <s v="AUTOMOVIL"/>
    <m/>
    <n v="0"/>
    <n v="0"/>
    <n v="1"/>
    <n v="0"/>
    <n v="0"/>
    <n v="0"/>
    <n v="0"/>
    <n v="0"/>
    <n v="0"/>
    <n v="0"/>
    <n v="0"/>
    <n v="0"/>
    <s v="MASCULINO"/>
    <s v="FEMENINO"/>
    <n v="1"/>
    <n v="1"/>
    <n v="26"/>
    <m/>
    <m/>
    <m/>
    <n v="21"/>
    <m/>
    <n v="115"/>
    <x v="12"/>
    <m/>
    <s v=""/>
    <x v="2"/>
  </r>
  <r>
    <n v="823"/>
    <x v="0"/>
    <n v="1"/>
    <n v="2"/>
    <x v="2"/>
    <s v="KM. 12 YOPAL - MORICHAL"/>
    <n v="5.2309952777777777"/>
    <n v="-72.387313333333339"/>
    <s v="MOVILIDAD"/>
    <s v="URBANO"/>
    <x v="3"/>
    <s v="NOVIEMBRE"/>
    <d v="2024-11-25T00:00:00"/>
    <x v="4"/>
    <d v="1899-12-30T16:45:00"/>
    <s v="MOTOCICLETA"/>
    <m/>
    <n v="1"/>
    <n v="0"/>
    <n v="0"/>
    <n v="0"/>
    <n v="0"/>
    <n v="0"/>
    <n v="0"/>
    <n v="0"/>
    <n v="0"/>
    <n v="0"/>
    <n v="0"/>
    <n v="0"/>
    <s v="MASCULINO"/>
    <s v="FEMENINO"/>
    <n v="1"/>
    <n v="1"/>
    <m/>
    <m/>
    <m/>
    <m/>
    <m/>
    <m/>
    <n v="157"/>
    <x v="1"/>
    <n v="139"/>
    <s v="Impericia en el manejo."/>
    <x v="1"/>
  </r>
  <r>
    <n v="716"/>
    <x v="0"/>
    <n v="1"/>
    <n v="1"/>
    <x v="2"/>
    <s v="KM. 12+300 VIA MATEPANTANO"/>
    <n v="5.3116908333333335"/>
    <n v="-72.262290833333338"/>
    <s v="MOVILIDAD"/>
    <s v="RURAL"/>
    <x v="3"/>
    <s v="MAYO"/>
    <d v="2024-05-19T00:00:00"/>
    <x v="2"/>
    <d v="1899-12-30T20:24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m/>
    <n v="48"/>
    <m/>
    <m/>
    <m/>
    <n v="21"/>
    <n v="139"/>
    <x v="0"/>
    <m/>
    <s v=""/>
    <x v="0"/>
  </r>
  <r>
    <n v="618"/>
    <x v="0"/>
    <n v="1"/>
    <n v="0"/>
    <x v="0"/>
    <s v="KM. 12+800 YOPAL PUNTO NUEVO "/>
    <n v="5.3098749999999999"/>
    <n v="-72.257718055555557"/>
    <s v="MOVILIDAD"/>
    <s v="RURAL"/>
    <x v="1"/>
    <s v="NOVIEMBRE"/>
    <d v="2023-11-12T00:00:00"/>
    <x v="2"/>
    <d v="1899-12-30T16:15:00"/>
    <s v="MOTOCICLETA"/>
    <s v="CAMIONETA"/>
    <n v="1"/>
    <n v="0"/>
    <n v="0"/>
    <n v="0"/>
    <n v="1"/>
    <n v="0"/>
    <n v="0"/>
    <n v="0"/>
    <n v="0"/>
    <n v="0"/>
    <n v="0"/>
    <n v="0"/>
    <s v="MASCULINO"/>
    <m/>
    <n v="1"/>
    <n v="0"/>
    <n v="20"/>
    <m/>
    <m/>
    <m/>
    <m/>
    <m/>
    <n v="116"/>
    <x v="14"/>
    <m/>
    <s v=""/>
    <x v="1"/>
  </r>
  <r>
    <n v="615"/>
    <x v="0"/>
    <n v="1"/>
    <n v="0"/>
    <x v="0"/>
    <s v="KM. 13 FRENTE AL CEMENTERIO PALOMAS"/>
    <n v="5.3550763888888886"/>
    <n v="-72.271244999999993"/>
    <s v="MOVILIDAD"/>
    <s v="URBANO"/>
    <x v="1"/>
    <s v="NOVIEMBRE"/>
    <d v="2023-11-19T00:00:00"/>
    <x v="2"/>
    <d v="1899-12-30T18:20:00"/>
    <s v="AUTOMOVIL"/>
    <s v="CAMIONETA"/>
    <n v="0"/>
    <n v="0"/>
    <n v="1"/>
    <n v="0"/>
    <n v="1"/>
    <n v="0"/>
    <n v="0"/>
    <n v="0"/>
    <n v="0"/>
    <n v="0"/>
    <n v="0"/>
    <n v="0"/>
    <s v="MASCULINO"/>
    <m/>
    <n v="1"/>
    <n v="0"/>
    <m/>
    <m/>
    <m/>
    <m/>
    <n v="32"/>
    <m/>
    <n v="157"/>
    <x v="1"/>
    <n v="157"/>
    <s v="Otra"/>
    <x v="0"/>
  </r>
  <r>
    <n v="94"/>
    <x v="1"/>
    <n v="0"/>
    <n v="0"/>
    <x v="1"/>
    <s v="KM. 13+600 YOPAL-TILODIRAN"/>
    <n v="5.3194111111111111"/>
    <n v="-72.386997222222234"/>
    <s v="MOVILIDAD"/>
    <s v="RURAL"/>
    <x v="0"/>
    <s v="MARZO"/>
    <d v="2022-03-19T00:00:00"/>
    <x v="5"/>
    <d v="1899-12-30T22:30:00"/>
    <s v="TRACTOCAMION"/>
    <s v="VOLQUETA"/>
    <n v="0"/>
    <n v="0"/>
    <n v="0"/>
    <n v="0"/>
    <n v="0"/>
    <n v="0"/>
    <n v="0"/>
    <n v="0"/>
    <n v="0"/>
    <n v="1"/>
    <n v="1"/>
    <n v="0"/>
    <s v="MASCULINO"/>
    <m/>
    <n v="1"/>
    <n v="0"/>
    <m/>
    <m/>
    <m/>
    <m/>
    <m/>
    <m/>
    <n v="104"/>
    <x v="9"/>
    <m/>
    <s v=""/>
    <x v="0"/>
  </r>
  <r>
    <n v="178"/>
    <x v="0"/>
    <n v="2"/>
    <n v="0"/>
    <x v="0"/>
    <s v="KM. 13+700 YOPAL TILODIRAN"/>
    <n v="5.2184805555555558"/>
    <n v="-72.383572222222227"/>
    <s v="MOVILIDAD"/>
    <s v="URBANO"/>
    <x v="0"/>
    <s v="MAYO"/>
    <d v="2022-05-11T00:00:00"/>
    <x v="3"/>
    <d v="1899-12-30T08:00:00"/>
    <s v="MOTOCICLETA"/>
    <s v="MOTOCARRO"/>
    <n v="1"/>
    <n v="1"/>
    <n v="0"/>
    <n v="0"/>
    <n v="0"/>
    <n v="0"/>
    <n v="0"/>
    <n v="0"/>
    <n v="0"/>
    <n v="0"/>
    <n v="0"/>
    <n v="0"/>
    <s v="MASCULINO"/>
    <m/>
    <n v="1"/>
    <n v="0"/>
    <n v="24"/>
    <n v="66"/>
    <m/>
    <m/>
    <m/>
    <m/>
    <n v="123"/>
    <x v="21"/>
    <n v="139"/>
    <s v="Impericia en el manejo."/>
    <x v="2"/>
  </r>
  <r>
    <n v="11"/>
    <x v="0"/>
    <n v="2"/>
    <n v="0"/>
    <x v="0"/>
    <s v="KM. 15 YOPAL-TILODIRAN"/>
    <n v="5.2125886111111113"/>
    <n v="-72.381484999999998"/>
    <s v="MOVILIDAD"/>
    <s v="RURAL"/>
    <x v="0"/>
    <s v="ENERO"/>
    <d v="2022-01-16T00:00:00"/>
    <x v="2"/>
    <d v="1899-12-30T00:45:00"/>
    <s v="MOTOCICLETA"/>
    <m/>
    <n v="1"/>
    <n v="0"/>
    <n v="0"/>
    <n v="0"/>
    <n v="0"/>
    <n v="0"/>
    <n v="0"/>
    <n v="0"/>
    <n v="0"/>
    <n v="0"/>
    <n v="0"/>
    <n v="0"/>
    <s v="MASCULINO"/>
    <s v="FEMENINO"/>
    <n v="1"/>
    <n v="1"/>
    <n v="20"/>
    <n v="19"/>
    <m/>
    <m/>
    <m/>
    <m/>
    <n v="157"/>
    <x v="1"/>
    <m/>
    <s v=""/>
    <x v="2"/>
  </r>
  <r>
    <n v="277"/>
    <x v="0"/>
    <n v="0"/>
    <n v="1"/>
    <x v="2"/>
    <s v="KM. 16 VIA YOPAL TILODIRAN"/>
    <n v="5.284558333333333"/>
    <n v="-72.401191666666676"/>
    <s v="MOVILIDAD"/>
    <s v="RURAL"/>
    <x v="0"/>
    <s v="AGOSTO"/>
    <d v="2022-08-12T00:00:00"/>
    <x v="0"/>
    <d v="1899-12-30T12:25:00"/>
    <s v="MOTOCICLETA"/>
    <s v="MOTOCICLETA"/>
    <n v="2"/>
    <n v="0"/>
    <n v="0"/>
    <n v="0"/>
    <n v="0"/>
    <n v="0"/>
    <n v="0"/>
    <n v="0"/>
    <n v="0"/>
    <n v="0"/>
    <n v="0"/>
    <n v="0"/>
    <m/>
    <s v="FEMENINO"/>
    <n v="0"/>
    <n v="1"/>
    <m/>
    <m/>
    <m/>
    <m/>
    <m/>
    <n v="66"/>
    <n v="1"/>
    <x v="3"/>
    <m/>
    <s v=""/>
    <x v="1"/>
  </r>
  <r>
    <n v="285"/>
    <x v="0"/>
    <n v="1"/>
    <n v="0"/>
    <x v="0"/>
    <s v="KM. 17 VIA YOPAL MATEPANTANO"/>
    <n v="5.2991302777777776"/>
    <n v="-72.217984722222226"/>
    <s v="MOVILIDAD"/>
    <s v="RURAL"/>
    <x v="0"/>
    <s v="AGOSTO"/>
    <d v="2022-08-20T00:00:00"/>
    <x v="5"/>
    <d v="1899-12-30T07:50:00"/>
    <s v="CAMIONETA"/>
    <s v="BICICLETA"/>
    <n v="0"/>
    <n v="0"/>
    <n v="0"/>
    <n v="0"/>
    <n v="1"/>
    <n v="0"/>
    <n v="0"/>
    <n v="0"/>
    <n v="0"/>
    <n v="0"/>
    <n v="0"/>
    <n v="1"/>
    <s v="MASCULINO"/>
    <m/>
    <n v="1"/>
    <n v="0"/>
    <n v="51"/>
    <m/>
    <m/>
    <m/>
    <m/>
    <m/>
    <n v="157"/>
    <x v="1"/>
    <m/>
    <s v=""/>
    <x v="2"/>
  </r>
  <r>
    <n v="1021"/>
    <x v="0"/>
    <n v="0"/>
    <n v="1"/>
    <x v="2"/>
    <s v="KM. 17 VIA YOPAL-VR LA UNION"/>
    <n v="5.2988770000000001"/>
    <n v="-72.217347799999999"/>
    <s v="MOVILIDAD"/>
    <s v="RURAL"/>
    <x v="2"/>
    <s v="JULIO"/>
    <d v="2025-07-26T00:00:00"/>
    <x v="5"/>
    <d v="1899-12-30T23:30:00"/>
    <s v="MOTOCICLETA"/>
    <s v="CAMIONETA"/>
    <n v="1"/>
    <n v="0"/>
    <n v="0"/>
    <n v="0"/>
    <n v="1"/>
    <n v="0"/>
    <n v="0"/>
    <n v="0"/>
    <n v="0"/>
    <n v="0"/>
    <n v="0"/>
    <n v="0"/>
    <s v="MASCULINO"/>
    <s v="FEMENINO"/>
    <n v="1"/>
    <n v="1"/>
    <n v="34"/>
    <n v="23"/>
    <m/>
    <m/>
    <m/>
    <m/>
    <n v="139"/>
    <x v="0"/>
    <m/>
    <s v=""/>
    <x v="0"/>
  </r>
  <r>
    <n v="208"/>
    <x v="0"/>
    <n v="2"/>
    <n v="0"/>
    <x v="0"/>
    <s v="KM. 17 YOPAL EL TRIUNFO"/>
    <n v="5.3611849999999999"/>
    <n v="-72.287068000000005"/>
    <s v="MOVILIDAD"/>
    <s v="RURAL"/>
    <x v="0"/>
    <s v="JUNIO"/>
    <d v="2022-06-08T00:00:00"/>
    <x v="3"/>
    <d v="1899-12-30T13:30:00"/>
    <s v="MOTOCICLETA"/>
    <s v="CAMION"/>
    <n v="1"/>
    <n v="0"/>
    <n v="0"/>
    <n v="0"/>
    <n v="0"/>
    <n v="0"/>
    <n v="0"/>
    <n v="0"/>
    <n v="1"/>
    <n v="0"/>
    <n v="0"/>
    <n v="0"/>
    <s v="MASCULINO"/>
    <m/>
    <n v="1"/>
    <n v="0"/>
    <n v="15"/>
    <m/>
    <m/>
    <m/>
    <n v="12"/>
    <m/>
    <n v="139"/>
    <x v="0"/>
    <m/>
    <s v=""/>
    <x v="1"/>
  </r>
  <r>
    <n v="337"/>
    <x v="0"/>
    <n v="0"/>
    <n v="1"/>
    <x v="2"/>
    <s v="KM. 18 VIA TILODIRAN "/>
    <n v="5.1851409999999998"/>
    <n v="-72.286740300000005"/>
    <s v="MOVILIDAD"/>
    <s v="RURAL"/>
    <x v="0"/>
    <s v="OCTUBRE"/>
    <d v="2022-10-21T00:00:00"/>
    <x v="0"/>
    <d v="1899-12-30T21:48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m/>
    <m/>
    <m/>
    <m/>
    <m/>
    <n v="37"/>
    <n v="1"/>
    <x v="3"/>
    <m/>
    <s v=""/>
    <x v="0"/>
  </r>
  <r>
    <n v="5"/>
    <x v="0"/>
    <n v="2"/>
    <n v="0"/>
    <x v="0"/>
    <s v="KM. 18 YOPAL TILODIRAN"/>
    <n v="5.2000147222222228"/>
    <n v="-72.358561388888887"/>
    <s v="MOVILIDAD"/>
    <s v="RURAL"/>
    <x v="0"/>
    <s v="ENERO"/>
    <d v="2022-01-09T00:00:00"/>
    <x v="2"/>
    <d v="1899-12-30T19:3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31"/>
    <n v="28"/>
    <m/>
    <m/>
    <m/>
    <m/>
    <n v="139"/>
    <x v="0"/>
    <n v="139"/>
    <s v="Impericia en el manejo."/>
    <x v="0"/>
  </r>
  <r>
    <n v="748"/>
    <x v="0"/>
    <n v="1"/>
    <n v="0"/>
    <x v="0"/>
    <s v="KM. 2 VIA MATEPANTANO"/>
    <n v="5.3369972222222222"/>
    <n v="-72.347780555555545"/>
    <s v="MOVILIDAD"/>
    <s v="RURAL"/>
    <x v="3"/>
    <s v="JULIO"/>
    <d v="2024-07-20T00:00:00"/>
    <x v="5"/>
    <d v="1899-12-30T14:24:00"/>
    <s v="MOTOCICLETA"/>
    <s v="MICROBUS"/>
    <n v="1"/>
    <n v="0"/>
    <n v="0"/>
    <n v="0"/>
    <n v="0"/>
    <n v="1"/>
    <n v="0"/>
    <n v="0"/>
    <n v="0"/>
    <n v="0"/>
    <n v="0"/>
    <n v="0"/>
    <s v="MASCULINO"/>
    <m/>
    <n v="1"/>
    <n v="0"/>
    <n v="22"/>
    <n v="43"/>
    <m/>
    <m/>
    <m/>
    <m/>
    <n v="139"/>
    <x v="0"/>
    <n v="157"/>
    <s v="Otra"/>
    <x v="1"/>
  </r>
  <r>
    <n v="1033"/>
    <x v="0"/>
    <n v="2"/>
    <n v="0"/>
    <x v="0"/>
    <s v="KM. 2 VIA MATEPANTANO"/>
    <n v="5.3370499999999996"/>
    <n v="-72.347070000000002"/>
    <s v="MOVILIDAD"/>
    <s v="RURAL"/>
    <x v="2"/>
    <s v="AGOSTO"/>
    <d v="2025-08-03T00:00:00"/>
    <x v="2"/>
    <d v="1899-12-30T16:20:00"/>
    <s v="MOTOCICLETA"/>
    <s v="MOTOCICLETA"/>
    <n v="2"/>
    <n v="0"/>
    <n v="0"/>
    <n v="0"/>
    <n v="0"/>
    <n v="0"/>
    <n v="0"/>
    <n v="0"/>
    <n v="0"/>
    <n v="0"/>
    <n v="0"/>
    <n v="0"/>
    <s v="MASCULINO"/>
    <s v="MASCULINO"/>
    <n v="2"/>
    <n v="0"/>
    <n v="55"/>
    <n v="47"/>
    <m/>
    <m/>
    <m/>
    <m/>
    <n v="127"/>
    <x v="18"/>
    <m/>
    <s v=""/>
    <x v="1"/>
  </r>
  <r>
    <n v="725"/>
    <x v="0"/>
    <n v="1"/>
    <n v="0"/>
    <x v="0"/>
    <s v="KM. 2 VIA YOPAL AGUAZUL"/>
    <n v="5.317396111111111"/>
    <n v="-72.420268611111112"/>
    <s v="MOVILIDAD"/>
    <s v="RURAL"/>
    <x v="3"/>
    <s v="JUNIO"/>
    <d v="2024-06-03T00:00:00"/>
    <x v="4"/>
    <d v="1899-12-30T19:1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23"/>
    <m/>
    <m/>
    <m/>
    <m/>
    <m/>
    <n v="121"/>
    <x v="7"/>
    <m/>
    <s v=""/>
    <x v="0"/>
  </r>
  <r>
    <n v="772"/>
    <x v="0"/>
    <n v="3"/>
    <n v="0"/>
    <x v="0"/>
    <s v="KM. 2 VIA YOPAL MATEPANTANO"/>
    <n v="5.3370361111111109"/>
    <n v="-72.347808333333333"/>
    <s v="MOVILIDAD"/>
    <s v="RURAL"/>
    <x v="3"/>
    <s v="AGOSTO"/>
    <d v="2024-08-29T00:00:00"/>
    <x v="1"/>
    <d v="1899-12-30T19:0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23"/>
    <n v="55"/>
    <n v="14"/>
    <m/>
    <m/>
    <m/>
    <n v="112"/>
    <x v="4"/>
    <m/>
    <s v=""/>
    <x v="0"/>
  </r>
  <r>
    <n v="445"/>
    <x v="0"/>
    <n v="1"/>
    <n v="1"/>
    <x v="2"/>
    <s v="KM. 2 VIA YOPAL MORICHAL "/>
    <n v="5.3067124999999997"/>
    <n v="-72.403491388888895"/>
    <s v="MOVILIDAD"/>
    <s v="URBANO"/>
    <x v="1"/>
    <s v="ABRIL"/>
    <d v="2023-04-02T00:00:00"/>
    <x v="2"/>
    <d v="1899-12-30T02:15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m/>
    <m/>
    <m/>
    <m/>
    <n v="30"/>
    <n v="40"/>
    <n v="116"/>
    <x v="14"/>
    <n v="114"/>
    <s v="Embriaguez aparente."/>
    <x v="2"/>
  </r>
  <r>
    <n v="76"/>
    <x v="0"/>
    <n v="5"/>
    <n v="0"/>
    <x v="0"/>
    <s v="KM. 2+400  VIAMATEPANTANO"/>
    <n v="5.3370305555555548"/>
    <n v="-72.344124999999991"/>
    <s v="MOVILIDAD"/>
    <s v="RURAL"/>
    <x v="0"/>
    <s v="MARZO"/>
    <d v="2022-03-06T00:00:00"/>
    <x v="2"/>
    <d v="1899-12-30T12:00:00"/>
    <s v="MOTOCICLETA"/>
    <m/>
    <n v="1"/>
    <n v="0"/>
    <n v="0"/>
    <n v="0"/>
    <n v="0"/>
    <n v="0"/>
    <n v="0"/>
    <n v="0"/>
    <n v="0"/>
    <n v="0"/>
    <n v="0"/>
    <n v="0"/>
    <s v="MASCULINO"/>
    <s v="FEMENINO"/>
    <n v="1"/>
    <n v="1"/>
    <n v="24"/>
    <n v="52"/>
    <m/>
    <m/>
    <n v="14"/>
    <m/>
    <n v="157"/>
    <x v="1"/>
    <m/>
    <s v=""/>
    <x v="1"/>
  </r>
  <r>
    <n v="237"/>
    <x v="0"/>
    <n v="4"/>
    <n v="1"/>
    <x v="2"/>
    <s v="KM. 22 VIA YOPAL TILODIRAN"/>
    <n v="5.1910947222222221"/>
    <n v="-72.317379722222213"/>
    <s v="MOVILIDAD"/>
    <s v="RURAL"/>
    <x v="0"/>
    <s v="JULIO"/>
    <d v="2022-07-03T00:00:00"/>
    <x v="2"/>
    <d v="1899-12-30T05:30:00"/>
    <s v="CAMIONETA"/>
    <m/>
    <n v="0"/>
    <n v="0"/>
    <n v="0"/>
    <n v="0"/>
    <n v="1"/>
    <n v="0"/>
    <n v="0"/>
    <n v="0"/>
    <n v="0"/>
    <n v="0"/>
    <n v="0"/>
    <n v="0"/>
    <s v="MASCULINO"/>
    <m/>
    <n v="1"/>
    <n v="0"/>
    <n v="23"/>
    <m/>
    <n v="25"/>
    <m/>
    <m/>
    <n v="42"/>
    <n v="157"/>
    <x v="1"/>
    <m/>
    <s v=""/>
    <x v="2"/>
  </r>
  <r>
    <n v="529"/>
    <x v="0"/>
    <n v="1"/>
    <n v="1"/>
    <x v="2"/>
    <s v="KM. 24 YOPAL GLORIETA AL VENADO VEREDA TACARIMENA"/>
    <n v="5.3410788888888883"/>
    <n v="-72.196267222222232"/>
    <s v="MOVILIDAD"/>
    <s v="RURAL"/>
    <x v="1"/>
    <s v="AGOSTO"/>
    <d v="2023-08-14T00:00:00"/>
    <x v="4"/>
    <d v="1899-12-30T11:20:00"/>
    <s v="MOTOCICLETA"/>
    <s v="CAMION"/>
    <n v="1"/>
    <n v="0"/>
    <n v="0"/>
    <n v="0"/>
    <n v="0"/>
    <n v="0"/>
    <n v="0"/>
    <n v="0"/>
    <n v="1"/>
    <n v="0"/>
    <n v="0"/>
    <n v="0"/>
    <s v="MASCULINO"/>
    <m/>
    <n v="1"/>
    <n v="0"/>
    <m/>
    <m/>
    <m/>
    <m/>
    <n v="25"/>
    <n v="30"/>
    <n v="157"/>
    <x v="1"/>
    <m/>
    <s v=""/>
    <x v="2"/>
  </r>
  <r>
    <n v="523"/>
    <x v="0"/>
    <n v="2"/>
    <n v="0"/>
    <x v="0"/>
    <s v="KM. 25 + 400 VIA YOPAL PUNTO NUEVO VEREDA EL TRIUNFO "/>
    <n v="5.3557600000000001"/>
    <n v="-72.229031000000006"/>
    <s v="MOVILIDAD"/>
    <s v="URBANO"/>
    <x v="1"/>
    <s v="JULIO"/>
    <d v="2023-07-22T00:00:00"/>
    <x v="5"/>
    <d v="1899-12-30T16:4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22"/>
    <m/>
    <m/>
    <m/>
    <n v="21"/>
    <m/>
    <n v="157"/>
    <x v="1"/>
    <m/>
    <s v=""/>
    <x v="1"/>
  </r>
  <r>
    <n v="676"/>
    <x v="0"/>
    <n v="0"/>
    <n v="1"/>
    <x v="2"/>
    <s v="KM. 25 VIA YOPAL CORREGIMIENTO TACARIMENA"/>
    <n v="5.3248741666666666"/>
    <n v="-72.185778333333332"/>
    <s v="MOVILIDAD"/>
    <s v="RURAL"/>
    <x v="3"/>
    <s v="MARZO"/>
    <d v="2024-03-09T00:00:00"/>
    <x v="5"/>
    <d v="1899-12-30T22:4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50"/>
    <m/>
    <m/>
    <m/>
    <m/>
    <m/>
    <n v="114"/>
    <x v="5"/>
    <m/>
    <s v=""/>
    <x v="0"/>
  </r>
  <r>
    <n v="1040"/>
    <x v="0"/>
    <n v="0"/>
    <n v="1"/>
    <x v="2"/>
    <s v="KM. 3 VIA LA UNION"/>
    <n v="5.312195"/>
    <n v="-72.357566000000006"/>
    <s v="MOVILIDAD"/>
    <s v="RURAL"/>
    <x v="2"/>
    <s v="AGOSTO"/>
    <d v="2025-08-09T00:00:00"/>
    <x v="5"/>
    <d v="1899-12-30T17:00:00"/>
    <s v="MOTOCICLETA"/>
    <m/>
    <n v="1"/>
    <n v="0"/>
    <n v="0"/>
    <n v="0"/>
    <n v="0"/>
    <n v="0"/>
    <n v="0"/>
    <n v="0"/>
    <n v="0"/>
    <n v="0"/>
    <n v="0"/>
    <n v="0"/>
    <s v="MASCULINO"/>
    <s v="FEMENINO"/>
    <n v="1"/>
    <n v="1"/>
    <n v="26"/>
    <m/>
    <m/>
    <m/>
    <m/>
    <m/>
    <n v="157"/>
    <x v="1"/>
    <n v="115"/>
    <s v="Embriaguez o Sustancias alucinogenas"/>
    <x v="1"/>
  </r>
  <r>
    <n v="62"/>
    <x v="0"/>
    <n v="3"/>
    <n v="0"/>
    <x v="0"/>
    <s v="KM. 3 VIA MORICHAL"/>
    <n v="5.3027499999999996"/>
    <n v="-72.403122222222223"/>
    <s v="MOVILIDAD"/>
    <s v="URBANO"/>
    <x v="0"/>
    <s v="FEBRERO"/>
    <d v="2022-02-19T00:00:00"/>
    <x v="5"/>
    <d v="1899-12-30T19:40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n v="27"/>
    <n v="41"/>
    <m/>
    <m/>
    <n v="11"/>
    <m/>
    <n v="116"/>
    <x v="14"/>
    <n v="139"/>
    <s v="Impericia en el manejo."/>
    <x v="0"/>
  </r>
  <r>
    <n v="584"/>
    <x v="0"/>
    <n v="2"/>
    <n v="0"/>
    <x v="0"/>
    <s v="KM. 3,5 ABAJO DE LA SUBASTA GANADERA "/>
    <n v="5.3365211111111108"/>
    <n v="-72.333086111111101"/>
    <s v="MOVILIDAD"/>
    <s v="RURAL"/>
    <x v="1"/>
    <s v="OCTUBRE"/>
    <d v="2023-10-26T00:00:00"/>
    <x v="1"/>
    <d v="1899-12-30T21:30:00"/>
    <s v="MOTOCICLETA"/>
    <s v="CAMIONETA"/>
    <n v="1"/>
    <n v="0"/>
    <n v="0"/>
    <n v="0"/>
    <n v="1"/>
    <n v="0"/>
    <n v="0"/>
    <n v="0"/>
    <n v="0"/>
    <n v="0"/>
    <n v="0"/>
    <n v="0"/>
    <m/>
    <s v="FEMENINO"/>
    <n v="0"/>
    <n v="1"/>
    <n v="21"/>
    <m/>
    <m/>
    <m/>
    <n v="4"/>
    <m/>
    <n v="122"/>
    <x v="2"/>
    <m/>
    <s v=""/>
    <x v="0"/>
  </r>
  <r>
    <n v="255"/>
    <x v="0"/>
    <n v="1"/>
    <n v="0"/>
    <x v="0"/>
    <s v="KM. 3+400 YOPAL EL MORRO"/>
    <n v="5.3925219444444448"/>
    <n v="-72.426863333333344"/>
    <s v="MOVILIDAD"/>
    <s v="RURAL"/>
    <x v="0"/>
    <s v="JULIO"/>
    <d v="2022-07-19T00:00:00"/>
    <x v="6"/>
    <d v="1899-12-30T18:00:00"/>
    <s v="MOTOCICLETA"/>
    <s v="MICROBUS"/>
    <n v="1"/>
    <n v="0"/>
    <n v="0"/>
    <n v="0"/>
    <n v="0"/>
    <n v="1"/>
    <n v="0"/>
    <n v="0"/>
    <n v="0"/>
    <n v="0"/>
    <n v="0"/>
    <n v="0"/>
    <s v="MASCULINO"/>
    <m/>
    <n v="1"/>
    <n v="0"/>
    <n v="46"/>
    <m/>
    <m/>
    <m/>
    <m/>
    <m/>
    <n v="104"/>
    <x v="9"/>
    <n v="139"/>
    <s v="Impericia en el manejo."/>
    <x v="0"/>
  </r>
  <r>
    <n v="22"/>
    <x v="0"/>
    <n v="1"/>
    <n v="0"/>
    <x v="0"/>
    <s v="KM. 30+600 YOPAL-TILO"/>
    <n v="5.1733527777777777"/>
    <n v="-72.274497222222223"/>
    <s v="MOVILIDAD"/>
    <s v="RURAL"/>
    <x v="0"/>
    <s v="ENERO"/>
    <d v="2022-01-22T00:00:00"/>
    <x v="5"/>
    <d v="1899-12-30T18:30:00"/>
    <s v="MOTOCICLETA"/>
    <s v="CAMIONETA"/>
    <n v="1"/>
    <n v="0"/>
    <n v="0"/>
    <n v="0"/>
    <n v="1"/>
    <n v="0"/>
    <n v="0"/>
    <n v="0"/>
    <n v="0"/>
    <n v="0"/>
    <n v="0"/>
    <n v="0"/>
    <m/>
    <s v="FEMENINO"/>
    <n v="0"/>
    <n v="1"/>
    <n v="58"/>
    <m/>
    <m/>
    <m/>
    <m/>
    <m/>
    <n v="137"/>
    <x v="39"/>
    <n v="139"/>
    <s v="Impericia en el manejo."/>
    <x v="0"/>
  </r>
  <r>
    <n v="613"/>
    <x v="0"/>
    <n v="2"/>
    <n v="0"/>
    <x v="0"/>
    <s v="KM. 35 VIA YOPAL TILODIRAN "/>
    <n v="5.1417291666666669"/>
    <n v="-72.221426666666673"/>
    <s v="MOVILIDAD"/>
    <s v="RURAL"/>
    <x v="1"/>
    <s v="NOVIEMBRE"/>
    <d v="2023-11-18T00:00:00"/>
    <x v="5"/>
    <d v="1899-12-30T21:45:00"/>
    <s v="CAMPERO"/>
    <s v="CAMIONETA"/>
    <n v="0"/>
    <n v="0"/>
    <n v="0"/>
    <n v="1"/>
    <n v="1"/>
    <n v="0"/>
    <n v="0"/>
    <n v="0"/>
    <n v="0"/>
    <n v="0"/>
    <n v="0"/>
    <n v="0"/>
    <s v="MASCULINO"/>
    <m/>
    <n v="1"/>
    <n v="0"/>
    <n v="45"/>
    <n v="34"/>
    <m/>
    <m/>
    <m/>
    <m/>
    <n v="115"/>
    <x v="12"/>
    <n v="115"/>
    <s v="Embriaguez o Sustancias alucinogenas"/>
    <x v="0"/>
  </r>
  <r>
    <n v="718"/>
    <x v="0"/>
    <n v="2"/>
    <n v="0"/>
    <x v="0"/>
    <s v="KM. 36 VIA YOPAL TILODIRAN"/>
    <n v="5.1400480555555559"/>
    <n v="-72.20301111111111"/>
    <s v="MOVILIDAD"/>
    <s v="RURAL"/>
    <x v="3"/>
    <s v="MAYO"/>
    <d v="2024-05-27T00:00:00"/>
    <x v="4"/>
    <d v="1899-12-30T14:10:00"/>
    <s v="MOTOCICLETA"/>
    <m/>
    <n v="1"/>
    <n v="0"/>
    <n v="0"/>
    <n v="0"/>
    <n v="0"/>
    <n v="0"/>
    <n v="0"/>
    <n v="0"/>
    <n v="0"/>
    <n v="0"/>
    <n v="0"/>
    <n v="0"/>
    <m/>
    <s v="FEMENINO"/>
    <n v="0"/>
    <n v="1"/>
    <n v="12"/>
    <n v="60"/>
    <m/>
    <m/>
    <m/>
    <m/>
    <n v="139"/>
    <x v="0"/>
    <m/>
    <s v=""/>
    <x v="1"/>
  </r>
  <r>
    <n v="800"/>
    <x v="0"/>
    <n v="1"/>
    <n v="1"/>
    <x v="2"/>
    <s v="KM. 4 + 100 FUERZA AEREA VIA PI#"/>
    <n v="5.2866333333333335"/>
    <n v="-72.363375833333322"/>
    <s v="MOVILIDAD"/>
    <s v="RURAL"/>
    <x v="3"/>
    <s v="OCTUBRE"/>
    <d v="2024-10-26T00:00:00"/>
    <x v="5"/>
    <d v="1899-12-30T18:50:00"/>
    <s v="MOTOCICLETA"/>
    <s v="BICICLETA"/>
    <n v="1"/>
    <n v="0"/>
    <n v="0"/>
    <n v="0"/>
    <n v="0"/>
    <n v="0"/>
    <n v="0"/>
    <n v="0"/>
    <n v="0"/>
    <n v="0"/>
    <n v="0"/>
    <n v="1"/>
    <s v="MASCULINO"/>
    <m/>
    <n v="1"/>
    <n v="0"/>
    <m/>
    <m/>
    <m/>
    <m/>
    <m/>
    <n v="28"/>
    <n v="157"/>
    <x v="1"/>
    <m/>
    <s v=""/>
    <x v="0"/>
  </r>
  <r>
    <n v="589"/>
    <x v="1"/>
    <n v="0"/>
    <n v="0"/>
    <x v="1"/>
    <s v="KM. 4 VIA MORICHAL "/>
    <n v="5.2962319444444441"/>
    <n v="-72.402468611111118"/>
    <s v="MOVILIDAD"/>
    <s v="RURAL"/>
    <x v="1"/>
    <s v="OCTUBRE"/>
    <d v="2023-10-29T00:00:00"/>
    <x v="2"/>
    <d v="1899-12-30T23:04:00"/>
    <s v="MOTOCICLETA"/>
    <s v="AUTOMOVIL"/>
    <n v="1"/>
    <n v="0"/>
    <n v="1"/>
    <n v="0"/>
    <n v="0"/>
    <n v="0"/>
    <n v="0"/>
    <n v="0"/>
    <n v="0"/>
    <n v="0"/>
    <n v="0"/>
    <n v="0"/>
    <m/>
    <s v="FEMENINO"/>
    <n v="0"/>
    <n v="1"/>
    <m/>
    <m/>
    <m/>
    <m/>
    <m/>
    <m/>
    <n v="115"/>
    <x v="12"/>
    <m/>
    <s v=""/>
    <x v="0"/>
  </r>
  <r>
    <n v="1012"/>
    <x v="0"/>
    <n v="1"/>
    <n v="0"/>
    <x v="0"/>
    <s v="KM. 4 VIA YOPAL-MORICHAL"/>
    <n v="5.2635829999999997"/>
    <n v="-72.399395999999996"/>
    <s v="MOVILIDAD"/>
    <s v="RURAL"/>
    <x v="2"/>
    <s v="JULIO"/>
    <d v="2025-07-15T00:00:00"/>
    <x v="6"/>
    <d v="1899-12-30T16:20:00"/>
    <s v="MOTOCICLETA"/>
    <s v="TRACTOCAMION"/>
    <n v="1"/>
    <n v="0"/>
    <n v="0"/>
    <n v="0"/>
    <n v="0"/>
    <n v="0"/>
    <n v="0"/>
    <n v="0"/>
    <n v="0"/>
    <n v="1"/>
    <n v="0"/>
    <n v="0"/>
    <s v="MASCULINO"/>
    <s v="MASCULINO"/>
    <n v="2"/>
    <n v="0"/>
    <n v="75"/>
    <n v="44"/>
    <m/>
    <m/>
    <m/>
    <m/>
    <n v="132"/>
    <x v="13"/>
    <n v="139"/>
    <s v="Impericia en el manejo."/>
    <x v="1"/>
  </r>
  <r>
    <n v="72"/>
    <x v="0"/>
    <n v="3"/>
    <n v="0"/>
    <x v="0"/>
    <s v="KM. 4 VIA YOPAL-MORRO"/>
    <n v="5.3966666666666674"/>
    <n v="-72.430297222222222"/>
    <s v="MOVILIDAD"/>
    <s v="RURAL"/>
    <x v="0"/>
    <s v="MARZO"/>
    <d v="2022-03-04T00:00:00"/>
    <x v="0"/>
    <d v="1899-12-30T19:34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n v="57"/>
    <n v="40"/>
    <m/>
    <m/>
    <n v="49"/>
    <m/>
    <n v="139"/>
    <x v="0"/>
    <n v="157"/>
    <s v="Otra"/>
    <x v="0"/>
  </r>
  <r>
    <n v="742"/>
    <x v="0"/>
    <n v="3"/>
    <n v="0"/>
    <x v="0"/>
    <s v="KM. 4+400METROSTILODIRAN VEREDA LOS MANGOS"/>
    <n v="5.0987047222222222"/>
    <n v="-72.1818913888889"/>
    <s v="MOVILIDAD"/>
    <s v="RURAL"/>
    <x v="3"/>
    <s v="JULIO"/>
    <d v="2024-07-07T00:00:00"/>
    <x v="2"/>
    <d v="1899-12-30T16:30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n v="22"/>
    <n v="24"/>
    <n v="22"/>
    <m/>
    <m/>
    <m/>
    <n v="115"/>
    <x v="12"/>
    <n v="157"/>
    <s v="Otra"/>
    <x v="1"/>
  </r>
  <r>
    <n v="770"/>
    <x v="0"/>
    <n v="0"/>
    <n v="1"/>
    <x v="2"/>
    <s v="KM. 42 VIA YOPAL AL MORRO"/>
    <n v="5.4287729999999996"/>
    <n v="-72.449529999999996"/>
    <s v="MOVILIDAD"/>
    <s v="RURAL"/>
    <x v="3"/>
    <s v="AGOSTO"/>
    <d v="2024-08-26T00:00:00"/>
    <x v="4"/>
    <d v="1899-12-30T14:5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m/>
    <m/>
    <m/>
    <m/>
    <m/>
    <n v="26"/>
    <n v="139"/>
    <x v="0"/>
    <n v="157"/>
    <s v="Otra"/>
    <x v="1"/>
  </r>
  <r>
    <n v="1107"/>
    <x v="0"/>
    <n v="0"/>
    <n v="1"/>
    <x v="2"/>
    <s v="KM. 48 VERDA LOS MANGOS"/>
    <n v="5.0691360000000003"/>
    <n v="-72.173591000000002"/>
    <s v="MOVILIDAD"/>
    <s v="RURAL"/>
    <x v="2"/>
    <s v="OCTUBRE"/>
    <d v="2025-10-03T00:00:00"/>
    <x v="0"/>
    <d v="1899-12-30T20:1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18"/>
    <m/>
    <m/>
    <m/>
    <m/>
    <m/>
    <n v="114"/>
    <x v="5"/>
    <n v="139"/>
    <s v="Impericia en el manejo."/>
    <x v="0"/>
  </r>
  <r>
    <n v="1055"/>
    <x v="0"/>
    <n v="1"/>
    <n v="0"/>
    <x v="0"/>
    <s v="KM. 5 VIA MORICHAL"/>
    <n v="5.2538879999999999"/>
    <n v="-72.397795599999995"/>
    <s v="MOVILIDAD"/>
    <s v="RURAL"/>
    <x v="2"/>
    <s v="AGOSTO"/>
    <d v="2025-08-30T00:00:00"/>
    <x v="5"/>
    <d v="1899-12-30T03:30:00"/>
    <s v="TRACTOCAMION "/>
    <s v="MOTOCICLETA"/>
    <n v="1"/>
    <n v="0"/>
    <n v="0"/>
    <n v="0"/>
    <n v="0"/>
    <n v="0"/>
    <n v="0"/>
    <n v="0"/>
    <n v="0"/>
    <n v="0"/>
    <n v="0"/>
    <n v="0"/>
    <s v="MASCULINO"/>
    <s v="MASCULINO"/>
    <n v="2"/>
    <n v="0"/>
    <n v="46"/>
    <n v="21"/>
    <m/>
    <m/>
    <m/>
    <m/>
    <n v="114"/>
    <x v="5"/>
    <n v="121"/>
    <s v="No mantener distancia de seguridad."/>
    <x v="2"/>
  </r>
  <r>
    <n v="598"/>
    <x v="0"/>
    <n v="1"/>
    <n v="0"/>
    <x v="0"/>
    <s v="KM. 5 VIA YOPAL "/>
    <n v="5.3046202777777776"/>
    <n v="-72.44502833333334"/>
    <s v="MOVILIDAD"/>
    <s v="RURAL"/>
    <x v="1"/>
    <s v="NOVIEMBRE"/>
    <d v="2023-11-04T00:00:00"/>
    <x v="5"/>
    <d v="1899-12-30T17:55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23"/>
    <m/>
    <m/>
    <m/>
    <m/>
    <m/>
    <n v="139"/>
    <x v="0"/>
    <m/>
    <s v=""/>
    <x v="1"/>
  </r>
  <r>
    <n v="536"/>
    <x v="0"/>
    <n v="1"/>
    <n v="0"/>
    <x v="0"/>
    <s v="KM. 5 VIA YOPAL MORICHAL"/>
    <n v="5.2934041666666669"/>
    <n v="-72.402111111111111"/>
    <s v="MOVILIDAD"/>
    <s v="RURAL"/>
    <x v="1"/>
    <s v="AGOSTO"/>
    <d v="2023-08-17T00:00:00"/>
    <x v="1"/>
    <d v="1899-12-30T14:3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35"/>
    <m/>
    <m/>
    <m/>
    <m/>
    <m/>
    <n v="103"/>
    <x v="8"/>
    <m/>
    <s v=""/>
    <x v="1"/>
  </r>
  <r>
    <n v="272"/>
    <x v="0"/>
    <n v="1"/>
    <n v="0"/>
    <x v="0"/>
    <s v="KM. 5 YOPAL MATEPANTANO"/>
    <n v="5.3370527777777772"/>
    <n v="-72.340469722222224"/>
    <s v="MOVILIDAD"/>
    <s v="URBANO"/>
    <x v="0"/>
    <s v="AGOSTO"/>
    <d v="2022-08-07T00:00:00"/>
    <x v="2"/>
    <d v="1899-12-30T15:0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56"/>
    <m/>
    <m/>
    <m/>
    <m/>
    <m/>
    <n v="115"/>
    <x v="12"/>
    <n v="123"/>
    <s v="No respetar prelación de intersecciones o giros."/>
    <x v="1"/>
  </r>
  <r>
    <n v="98"/>
    <x v="1"/>
    <n v="0"/>
    <n v="0"/>
    <x v="1"/>
    <s v="KM. 5+500 YOPAL-AGUAZUL"/>
    <n v="5.3052863888888888"/>
    <n v="-72.411226944444451"/>
    <s v="MOVILIDAD"/>
    <s v="RURAL"/>
    <x v="0"/>
    <s v="MARZO"/>
    <d v="2022-03-22T00:00:00"/>
    <x v="6"/>
    <d v="1899-12-30T18:40:00"/>
    <s v="AUTOMOVIL"/>
    <s v="CAMION"/>
    <n v="0"/>
    <n v="0"/>
    <n v="1"/>
    <n v="0"/>
    <n v="0"/>
    <n v="0"/>
    <n v="0"/>
    <n v="0"/>
    <n v="1"/>
    <n v="0"/>
    <n v="0"/>
    <n v="0"/>
    <m/>
    <s v="FEMENINO"/>
    <n v="0"/>
    <n v="1"/>
    <m/>
    <m/>
    <m/>
    <m/>
    <m/>
    <m/>
    <n v="121"/>
    <x v="7"/>
    <m/>
    <s v=""/>
    <x v="0"/>
  </r>
  <r>
    <n v="154"/>
    <x v="0"/>
    <n v="0"/>
    <n v="1"/>
    <x v="2"/>
    <s v="KM. 5+800 YOPAL MORICHAL"/>
    <n v="5.2938511111111106"/>
    <n v="-72.402238611111116"/>
    <s v="MOVILIDAD"/>
    <s v="RURAL"/>
    <x v="0"/>
    <s v="ABRIL"/>
    <d v="2022-04-30T00:00:00"/>
    <x v="5"/>
    <d v="1899-12-30T19:15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m/>
    <m/>
    <m/>
    <m/>
    <m/>
    <n v="47"/>
    <n v="115"/>
    <x v="12"/>
    <n v="137"/>
    <s v="Falta de señales en vehículo varado"/>
    <x v="0"/>
  </r>
  <r>
    <n v="588"/>
    <x v="0"/>
    <n v="0"/>
    <n v="1"/>
    <x v="2"/>
    <s v="KM. 5+800M VIA TILODIRAN "/>
    <n v="5.2927549999999997"/>
    <n v="-72.402073888888893"/>
    <s v="MOVILIDAD"/>
    <s v="RURAL"/>
    <x v="1"/>
    <s v="OCTUBRE"/>
    <d v="2023-10-31T00:00:00"/>
    <x v="6"/>
    <d v="1899-12-30T12:20:00"/>
    <s v="MOTOCICLETA"/>
    <m/>
    <n v="1"/>
    <n v="0"/>
    <n v="0"/>
    <n v="0"/>
    <n v="0"/>
    <n v="0"/>
    <n v="0"/>
    <n v="0"/>
    <n v="0"/>
    <n v="0"/>
    <n v="0"/>
    <n v="0"/>
    <m/>
    <s v="FEMENINO"/>
    <n v="0"/>
    <n v="1"/>
    <m/>
    <m/>
    <m/>
    <m/>
    <m/>
    <n v="42"/>
    <n v="114"/>
    <x v="5"/>
    <m/>
    <s v=""/>
    <x v="1"/>
  </r>
  <r>
    <n v="646"/>
    <x v="1"/>
    <n v="1"/>
    <n v="1"/>
    <x v="2"/>
    <s v="KM. 55 VIA YOPAL-QUEBRADA SECA"/>
    <n v="5.1142319444444437"/>
    <n v="-72.100654999999989"/>
    <s v="MOVILIDAD"/>
    <s v="RURAL"/>
    <x v="3"/>
    <s v="ENERO"/>
    <d v="2024-01-08T00:00:00"/>
    <x v="4"/>
    <d v="1899-12-30T20:0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m/>
    <m/>
    <m/>
    <m/>
    <m/>
    <n v="16"/>
    <n v="116"/>
    <x v="14"/>
    <m/>
    <s v=""/>
    <x v="0"/>
  </r>
  <r>
    <n v="672"/>
    <x v="0"/>
    <n v="0"/>
    <n v="1"/>
    <x v="2"/>
    <s v="KM. 59 + 50 METROS VIA YOPAL QUEBRADA SECA"/>
    <n v="5.1087002777777775"/>
    <n v="-72.064522222222223"/>
    <s v="MOVILIDAD"/>
    <s v="RURAL"/>
    <x v="3"/>
    <s v="MARZO"/>
    <d v="2024-03-03T00:00:00"/>
    <x v="2"/>
    <d v="1899-12-30T01:30:00"/>
    <s v="TRACTOCAMION"/>
    <m/>
    <n v="0"/>
    <n v="0"/>
    <n v="0"/>
    <n v="0"/>
    <n v="0"/>
    <n v="0"/>
    <n v="0"/>
    <n v="0"/>
    <n v="0"/>
    <n v="1"/>
    <n v="0"/>
    <n v="0"/>
    <s v="MASCULINO"/>
    <m/>
    <n v="1"/>
    <n v="0"/>
    <m/>
    <m/>
    <m/>
    <m/>
    <m/>
    <n v="31"/>
    <n v="157"/>
    <x v="1"/>
    <m/>
    <s v=""/>
    <x v="2"/>
  </r>
  <r>
    <n v="324"/>
    <x v="0"/>
    <n v="3"/>
    <n v="0"/>
    <x v="0"/>
    <s v="KM. 6 VIA MATEPANTANO"/>
    <n v="5.3347852777777778"/>
    <n v="-72.312307777777775"/>
    <s v="MOVILIDAD"/>
    <s v="RURAL"/>
    <x v="0"/>
    <s v="OCTUBRE"/>
    <d v="2022-10-03T00:00:00"/>
    <x v="4"/>
    <d v="1899-12-30T07:1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29"/>
    <n v="20"/>
    <m/>
    <m/>
    <n v="42"/>
    <m/>
    <n v="129"/>
    <x v="43"/>
    <n v="121"/>
    <s v="No mantener distancia de seguridad."/>
    <x v="2"/>
  </r>
  <r>
    <n v="387"/>
    <x v="0"/>
    <n v="1"/>
    <n v="0"/>
    <x v="0"/>
    <s v="KM. 6 VIA YOPAL - MORICHAL "/>
    <n v="5.2832972222222221"/>
    <n v="-72.401041666666671"/>
    <s v="MOVILIDAD"/>
    <s v="RURAL"/>
    <x v="1"/>
    <s v="ENERO"/>
    <d v="2023-01-14T00:00:00"/>
    <x v="5"/>
    <d v="1899-12-30T16:30:00"/>
    <s v="AUTOMOVIL"/>
    <m/>
    <n v="0"/>
    <n v="0"/>
    <n v="1"/>
    <n v="0"/>
    <n v="0"/>
    <n v="0"/>
    <n v="0"/>
    <n v="0"/>
    <n v="0"/>
    <n v="0"/>
    <n v="0"/>
    <n v="0"/>
    <s v="MASCULINO"/>
    <m/>
    <n v="1"/>
    <n v="0"/>
    <n v="50"/>
    <m/>
    <m/>
    <m/>
    <m/>
    <m/>
    <n v="115"/>
    <x v="12"/>
    <m/>
    <s v=""/>
    <x v="1"/>
  </r>
  <r>
    <n v="692"/>
    <x v="0"/>
    <n v="2"/>
    <n v="0"/>
    <x v="0"/>
    <s v="KM. 6 VIA YOPAL - SIRIVANA"/>
    <n v="5.354622222222222"/>
    <n v="-72.340006388888881"/>
    <s v="MOVILIDAD"/>
    <s v="URBANO"/>
    <x v="3"/>
    <s v="ABRIL"/>
    <d v="2024-04-14T00:00:00"/>
    <x v="2"/>
    <d v="1899-12-30T08:30:00"/>
    <s v="MOTOCICLETA"/>
    <s v="CAMIONETA"/>
    <n v="1"/>
    <n v="0"/>
    <n v="0"/>
    <n v="0"/>
    <n v="1"/>
    <n v="0"/>
    <n v="0"/>
    <n v="0"/>
    <n v="0"/>
    <n v="0"/>
    <n v="0"/>
    <n v="0"/>
    <s v="MASCULINO"/>
    <m/>
    <n v="1"/>
    <n v="0"/>
    <n v="29"/>
    <n v="26"/>
    <n v="25"/>
    <m/>
    <m/>
    <m/>
    <n v="112"/>
    <x v="4"/>
    <n v="157"/>
    <s v="Otra"/>
    <x v="2"/>
  </r>
  <r>
    <n v="1067"/>
    <x v="0"/>
    <n v="2"/>
    <n v="0"/>
    <x v="0"/>
    <s v="KM. 6.2 VIA MATEPANTANO VEREDA PUNTO NUEVO"/>
    <n v="5.3342309999999999"/>
    <n v="-72.309877"/>
    <s v="MOVILIDAD"/>
    <s v="RURAL"/>
    <x v="2"/>
    <s v="SEPTIEMBRE"/>
    <d v="2025-09-12T00:00:00"/>
    <x v="0"/>
    <d v="1899-12-30T18:50:00"/>
    <s v="MOTOCICLETA"/>
    <s v="AUTOMOVIL"/>
    <n v="1"/>
    <n v="0"/>
    <n v="1"/>
    <n v="0"/>
    <n v="0"/>
    <n v="0"/>
    <n v="0"/>
    <n v="0"/>
    <n v="0"/>
    <n v="0"/>
    <n v="0"/>
    <n v="0"/>
    <s v="MASCULINO"/>
    <s v="FEMENINO"/>
    <n v="1"/>
    <n v="1"/>
    <n v="26"/>
    <n v="58"/>
    <m/>
    <m/>
    <m/>
    <m/>
    <n v="105"/>
    <x v="44"/>
    <m/>
    <s v=""/>
    <x v="0"/>
  </r>
  <r>
    <n v="43"/>
    <x v="1"/>
    <n v="0"/>
    <n v="0"/>
    <x v="1"/>
    <s v="KM. 6+600 MORICHAL-TILODIR"/>
    <n v="5.2844944444444444"/>
    <n v="-72.401136111111114"/>
    <s v="MOVILIDAD"/>
    <s v="RURAL"/>
    <x v="0"/>
    <s v="FEBRERO"/>
    <d v="2022-02-08T00:00:00"/>
    <x v="6"/>
    <d v="1899-12-30T21:30:00"/>
    <s v="CAMIONETA"/>
    <s v="CAMIONETA"/>
    <n v="0"/>
    <n v="0"/>
    <n v="0"/>
    <n v="0"/>
    <n v="2"/>
    <n v="0"/>
    <n v="0"/>
    <n v="0"/>
    <n v="0"/>
    <n v="0"/>
    <n v="0"/>
    <n v="0"/>
    <m/>
    <s v="FEMENINO"/>
    <n v="0"/>
    <n v="1"/>
    <m/>
    <m/>
    <m/>
    <m/>
    <m/>
    <m/>
    <n v="103"/>
    <x v="8"/>
    <m/>
    <s v=""/>
    <x v="0"/>
  </r>
  <r>
    <n v="1005"/>
    <x v="0"/>
    <n v="1"/>
    <n v="0"/>
    <x v="0"/>
    <s v="KM. 60 VIA YOPAL-QUEBRADASECA"/>
    <n v="5.1247670000000003"/>
    <n v="-72.176444000000004"/>
    <s v="MOVILIDAD"/>
    <s v="RURAL"/>
    <x v="2"/>
    <s v="JUNIO"/>
    <d v="2025-06-27T00:00:00"/>
    <x v="0"/>
    <d v="1899-12-30T19:20:00"/>
    <s v="MOTOCICLETA"/>
    <s v="CAMIONETA"/>
    <n v="1"/>
    <n v="0"/>
    <n v="0"/>
    <n v="0"/>
    <n v="1"/>
    <n v="0"/>
    <n v="0"/>
    <n v="0"/>
    <n v="0"/>
    <n v="0"/>
    <n v="0"/>
    <n v="0"/>
    <s v="MASCULINO"/>
    <s v="MASCULINO"/>
    <n v="2"/>
    <n v="0"/>
    <n v="34"/>
    <n v="30"/>
    <m/>
    <m/>
    <m/>
    <m/>
    <n v="139"/>
    <x v="0"/>
    <m/>
    <s v=""/>
    <x v="0"/>
  </r>
  <r>
    <n v="92"/>
    <x v="0"/>
    <n v="0"/>
    <n v="1"/>
    <x v="2"/>
    <s v="KM. 7 VIA YOPAL-MATEPANTANO"/>
    <n v="5.3322522222222224"/>
    <n v="-72.302777777777777"/>
    <s v="MOVILIDAD"/>
    <s v="RURAL"/>
    <x v="0"/>
    <s v="MARZO"/>
    <d v="2022-03-19T00:00:00"/>
    <x v="5"/>
    <d v="1899-12-30T19:40:00"/>
    <s v="AUTOMOVIL"/>
    <m/>
    <n v="0"/>
    <n v="0"/>
    <n v="1"/>
    <n v="0"/>
    <n v="0"/>
    <n v="0"/>
    <n v="0"/>
    <n v="0"/>
    <n v="0"/>
    <n v="0"/>
    <n v="0"/>
    <n v="0"/>
    <s v="MASCULINO"/>
    <m/>
    <n v="1"/>
    <n v="0"/>
    <m/>
    <m/>
    <m/>
    <m/>
    <m/>
    <n v="45"/>
    <n v="404"/>
    <x v="27"/>
    <n v="157"/>
    <s v="Otra"/>
    <x v="0"/>
  </r>
  <r>
    <n v="126"/>
    <x v="1"/>
    <n v="0"/>
    <n v="0"/>
    <x v="1"/>
    <s v="KM. 74+700 YOPAL QUEBRADA SECA"/>
    <n v="5.3423241666666668"/>
    <n v="-72.412918611111124"/>
    <s v="MOVILIDAD"/>
    <s v="RURAL"/>
    <x v="0"/>
    <s v="ABRIL"/>
    <d v="2022-04-06T00:00:00"/>
    <x v="3"/>
    <d v="1899-12-30T21:14:00"/>
    <s v="TRACTOCAMION"/>
    <m/>
    <n v="0"/>
    <n v="0"/>
    <n v="0"/>
    <n v="0"/>
    <n v="0"/>
    <n v="0"/>
    <n v="0"/>
    <n v="0"/>
    <n v="0"/>
    <n v="1"/>
    <n v="0"/>
    <n v="0"/>
    <s v="MASCULINO"/>
    <m/>
    <n v="1"/>
    <n v="0"/>
    <m/>
    <m/>
    <m/>
    <m/>
    <m/>
    <m/>
    <n v="157"/>
    <x v="1"/>
    <m/>
    <s v=""/>
    <x v="0"/>
  </r>
  <r>
    <n v="201"/>
    <x v="0"/>
    <n v="0"/>
    <n v="1"/>
    <x v="2"/>
    <s v="KM. 8+400 YOPAL MATEPANTANO"/>
    <n v="5.327883611111111"/>
    <n v="-72.292462777777772"/>
    <s v="MOVILIDAD"/>
    <s v="RURAL"/>
    <x v="0"/>
    <s v="MAYO"/>
    <d v="2022-05-29T00:00:00"/>
    <x v="2"/>
    <d v="1899-12-30T08:00:00"/>
    <s v="MOTOCICLETA"/>
    <m/>
    <n v="1"/>
    <n v="0"/>
    <n v="0"/>
    <n v="0"/>
    <n v="0"/>
    <n v="0"/>
    <n v="0"/>
    <n v="0"/>
    <n v="0"/>
    <n v="0"/>
    <n v="0"/>
    <n v="0"/>
    <m/>
    <s v="FEMENINO"/>
    <n v="0"/>
    <n v="1"/>
    <m/>
    <m/>
    <m/>
    <m/>
    <m/>
    <n v="74"/>
    <n v="202"/>
    <x v="45"/>
    <m/>
    <s v=""/>
    <x v="2"/>
  </r>
  <r>
    <n v="608"/>
    <x v="0"/>
    <n v="2"/>
    <n v="0"/>
    <x v="0"/>
    <s v="KM. 9 VIA MORICHAL FRENTE AL COLEGIO GIMNASIO DE LOS LLANOS "/>
    <n v="5.2641272222222222"/>
    <n v="-72.399416111111123"/>
    <s v="MOVILIDAD"/>
    <s v="RURAL"/>
    <x v="1"/>
    <s v="NOVIEMBRE"/>
    <d v="2023-11-14T00:00:00"/>
    <x v="6"/>
    <d v="1899-12-30T19:0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22"/>
    <n v="17"/>
    <m/>
    <m/>
    <m/>
    <m/>
    <n v="139"/>
    <x v="0"/>
    <n v="157"/>
    <s v="Otra"/>
    <x v="0"/>
  </r>
  <r>
    <n v="554"/>
    <x v="0"/>
    <n v="0"/>
    <n v="1"/>
    <x v="2"/>
    <s v="KM. 9+ 100 VEREDA LA UNION "/>
    <n v="5.2806411111111107"/>
    <n v="-72.320818333333335"/>
    <s v="MOVILIDAD"/>
    <s v="RURAL"/>
    <x v="1"/>
    <s v="SEPTIEMBRE"/>
    <d v="2023-09-09T00:00:00"/>
    <x v="5"/>
    <d v="1899-12-30T11:35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m/>
    <m/>
    <m/>
    <m/>
    <m/>
    <n v="19"/>
    <n v="139"/>
    <x v="0"/>
    <n v="114"/>
    <s v="Embriaguez aparente."/>
    <x v="2"/>
  </r>
  <r>
    <n v="806"/>
    <x v="0"/>
    <n v="0"/>
    <n v="1"/>
    <x v="2"/>
    <s v="KM. 94 YOPAL AGUAZUL"/>
    <n v="5.2765402000000003"/>
    <n v="-72.468671400000005"/>
    <s v="DITRA"/>
    <s v="RURAL"/>
    <x v="3"/>
    <s v="NOVIEMBRE"/>
    <d v="2024-11-05T00:00:00"/>
    <x v="6"/>
    <d v="1899-12-30T23:06:00"/>
    <s v="MOTOCICLETA"/>
    <m/>
    <n v="1"/>
    <n v="0"/>
    <n v="0"/>
    <n v="0"/>
    <n v="0"/>
    <n v="0"/>
    <n v="0"/>
    <n v="0"/>
    <n v="0"/>
    <n v="0"/>
    <n v="0"/>
    <n v="0"/>
    <m/>
    <s v="FEMENINO"/>
    <n v="0"/>
    <n v="1"/>
    <m/>
    <m/>
    <m/>
    <m/>
    <m/>
    <m/>
    <n v="1"/>
    <x v="3"/>
    <m/>
    <s v=""/>
    <x v="0"/>
  </r>
  <r>
    <n v="744"/>
    <x v="0"/>
    <n v="2"/>
    <n v="0"/>
    <x v="0"/>
    <s v="KM0+550VIA YOPAL - PAZ DE ARIPORO"/>
    <n v="5.3558452777777772"/>
    <n v="-72.406720833333338"/>
    <s v="MOVILIDAD"/>
    <s v="URBANO"/>
    <x v="3"/>
    <s v="JULIO"/>
    <d v="2024-07-10T00:00:00"/>
    <x v="3"/>
    <d v="1899-12-30T22:3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38"/>
    <n v="36"/>
    <m/>
    <m/>
    <m/>
    <m/>
    <n v="139"/>
    <x v="0"/>
    <n v="114"/>
    <s v="Embriaguez aparente."/>
    <x v="0"/>
  </r>
  <r>
    <n v="846"/>
    <x v="0"/>
    <n v="1"/>
    <n v="1"/>
    <x v="2"/>
    <s v="KM0+700VIA YOPAL-PI#"/>
    <n v="5.3121111111111112"/>
    <n v="-72.379643055555547"/>
    <s v="DITRA"/>
    <s v="RURAL"/>
    <x v="3"/>
    <s v="DICIEMBRE"/>
    <d v="2024-12-24T00:00:00"/>
    <x v="6"/>
    <d v="1899-12-30T11:15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m/>
    <n v="30"/>
    <m/>
    <m/>
    <m/>
    <n v="23"/>
    <n v="115"/>
    <x v="12"/>
    <n v="139"/>
    <s v="Impericia en el manejo."/>
    <x v="2"/>
  </r>
  <r>
    <n v="82"/>
    <x v="0"/>
    <n v="1"/>
    <n v="0"/>
    <x v="0"/>
    <s v="KM1+100"/>
    <n v="5.361294"/>
    <n v="-72.403891000000002"/>
    <s v="MOVILIDAD"/>
    <s v="RURAL"/>
    <x v="0"/>
    <s v="MARZO"/>
    <d v="2022-03-11T00:00:00"/>
    <x v="0"/>
    <d v="1899-12-30T05:30:00"/>
    <s v="MOTOCICLETA"/>
    <s v="AUTOMOVIL"/>
    <n v="1"/>
    <n v="0"/>
    <n v="1"/>
    <n v="0"/>
    <n v="0"/>
    <n v="0"/>
    <n v="0"/>
    <n v="0"/>
    <n v="0"/>
    <n v="0"/>
    <n v="0"/>
    <n v="0"/>
    <m/>
    <s v="FEMENINO"/>
    <n v="0"/>
    <n v="1"/>
    <m/>
    <m/>
    <m/>
    <m/>
    <n v="21"/>
    <m/>
    <n v="110"/>
    <x v="38"/>
    <m/>
    <s v=""/>
    <x v="2"/>
  </r>
  <r>
    <n v="119"/>
    <x v="1"/>
    <n v="0"/>
    <n v="0"/>
    <x v="1"/>
    <s v="KM101+800"/>
    <n v="5.3140400000000003"/>
    <n v="-72.426490999999999"/>
    <s v="MOVILIDAD"/>
    <s v="RURAL"/>
    <x v="0"/>
    <s v="ABRIL"/>
    <d v="2022-04-09T00:00:00"/>
    <x v="5"/>
    <d v="1899-12-30T14:20:00"/>
    <s v="AUTOMOVIL"/>
    <s v="CAMIONETA"/>
    <n v="0"/>
    <n v="0"/>
    <n v="1"/>
    <n v="0"/>
    <n v="1"/>
    <n v="0"/>
    <n v="0"/>
    <n v="0"/>
    <n v="0"/>
    <n v="0"/>
    <n v="0"/>
    <n v="0"/>
    <s v="MASCULINO"/>
    <m/>
    <n v="1"/>
    <n v="0"/>
    <m/>
    <m/>
    <m/>
    <m/>
    <m/>
    <m/>
    <n v="121"/>
    <x v="7"/>
    <m/>
    <s v=""/>
    <x v="1"/>
  </r>
  <r>
    <n v="847"/>
    <x v="1"/>
    <n v="0"/>
    <n v="0"/>
    <x v="1"/>
    <s v="KM5 VIA YOPAL-LA PEDRERA"/>
    <n v="5.2876672222222219"/>
    <n v="-72.36456583333333"/>
    <s v="MOVILIDAD"/>
    <s v="RURAL"/>
    <x v="3"/>
    <s v="DICIEMBRE"/>
    <d v="2024-12-01T00:00:00"/>
    <x v="2"/>
    <d v="1899-12-30T16:40:00"/>
    <s v="MOTOCICLETA"/>
    <m/>
    <n v="1"/>
    <n v="0"/>
    <n v="0"/>
    <n v="0"/>
    <n v="0"/>
    <n v="0"/>
    <n v="0"/>
    <n v="0"/>
    <n v="0"/>
    <n v="0"/>
    <n v="0"/>
    <n v="0"/>
    <m/>
    <s v="FEMENINO"/>
    <n v="0"/>
    <n v="1"/>
    <n v="39"/>
    <n v="43"/>
    <m/>
    <m/>
    <m/>
    <m/>
    <n v="157"/>
    <x v="1"/>
    <m/>
    <s v=""/>
    <x v="1"/>
  </r>
  <r>
    <n v="727"/>
    <x v="0"/>
    <n v="1"/>
    <n v="0"/>
    <x v="0"/>
    <s v="MARGINAL DE LA SELVA  CARRERA 8"/>
    <n v="5.3363452777777773"/>
    <n v="-72.40715055555556"/>
    <s v="MOVILIDAD"/>
    <s v="URBANO"/>
    <x v="3"/>
    <s v="JUNIO"/>
    <d v="2024-06-08T00:00:00"/>
    <x v="5"/>
    <d v="1899-12-30T12:0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32"/>
    <n v="17"/>
    <m/>
    <m/>
    <m/>
    <m/>
    <n v="157"/>
    <x v="1"/>
    <n v="132"/>
    <s v="No respetar prelación."/>
    <x v="1"/>
  </r>
  <r>
    <n v="1091"/>
    <x v="1"/>
    <n v="0"/>
    <n v="0"/>
    <x v="1"/>
    <s v="MARGINAL DE LA SELVA # CALLE 13A"/>
    <n v="5.3429867079999802"/>
    <n v="-72.4039981579987"/>
    <s v="MOVILIDAD"/>
    <s v="URBANO"/>
    <x v="2"/>
    <s v="SEPTIEMBRE"/>
    <d v="2025-09-22T00:00:00"/>
    <x v="4"/>
    <d v="1899-12-30T18:39:00"/>
    <s v="CAMIONETA"/>
    <s v="MOTOCICLETA"/>
    <n v="1"/>
    <n v="0"/>
    <n v="0"/>
    <n v="0"/>
    <n v="1"/>
    <n v="0"/>
    <n v="0"/>
    <n v="0"/>
    <n v="0"/>
    <n v="0"/>
    <n v="0"/>
    <n v="0"/>
    <s v="FEMENINO"/>
    <s v="MASCULINO"/>
    <n v="1"/>
    <n v="1"/>
    <m/>
    <m/>
    <m/>
    <m/>
    <m/>
    <m/>
    <n v="112"/>
    <x v="4"/>
    <m/>
    <s v=""/>
    <x v="0"/>
  </r>
  <r>
    <n v="1118"/>
    <x v="1"/>
    <n v="0"/>
    <n v="0"/>
    <x v="1"/>
    <s v="MARGINAL DE LA SELVA # CALLE 13A"/>
    <n v="5.3430970177062402"/>
    <n v="-72.404012551271293"/>
    <s v="MOVILIDAD"/>
    <s v="URBANO"/>
    <x v="2"/>
    <s v="OCTUBRE"/>
    <d v="2025-10-07T00:00:00"/>
    <x v="6"/>
    <d v="1899-12-30T14:23:00"/>
    <s v="MOTOCICLETA"/>
    <s v="MOTOCICLETA"/>
    <n v="2"/>
    <n v="0"/>
    <n v="0"/>
    <n v="0"/>
    <n v="0"/>
    <n v="0"/>
    <n v="0"/>
    <n v="0"/>
    <n v="0"/>
    <n v="0"/>
    <n v="0"/>
    <n v="0"/>
    <s v="MASCULINO"/>
    <s v="MASCULINO"/>
    <n v="2"/>
    <n v="0"/>
    <m/>
    <m/>
    <m/>
    <m/>
    <m/>
    <m/>
    <n v="93"/>
    <x v="11"/>
    <m/>
    <s v=""/>
    <x v="1"/>
  </r>
  <r>
    <n v="619"/>
    <x v="0"/>
    <n v="2"/>
    <n v="0"/>
    <x v="0"/>
    <s v="MARGINAL DE LA SELVA # CARRERA 7"/>
    <n v="5.3328027777777773"/>
    <n v="-72.408847222222221"/>
    <s v="MOVILIDAD"/>
    <s v="URBANO"/>
    <x v="1"/>
    <s v="NOVIEMBRE"/>
    <d v="2023-11-26T00:00:00"/>
    <x v="2"/>
    <d v="1899-12-30T20:3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48"/>
    <n v="23"/>
    <m/>
    <m/>
    <m/>
    <m/>
    <n v="122"/>
    <x v="2"/>
    <m/>
    <s v=""/>
    <x v="0"/>
  </r>
  <r>
    <n v="854"/>
    <x v="0"/>
    <n v="2"/>
    <n v="0"/>
    <x v="0"/>
    <s v="MARGINAL DE LA SELVA # CARRERA 7B"/>
    <n v="5.3355990000000002"/>
    <n v="-72.407506999999995"/>
    <s v="MOVILIDAD"/>
    <s v="URBANO"/>
    <x v="2"/>
    <s v="ENERO"/>
    <d v="2025-01-10T00:00:00"/>
    <x v="0"/>
    <d v="1899-12-30T20:05:00"/>
    <s v="AUTOMOVIL"/>
    <s v="MOTOCICLETA"/>
    <n v="1"/>
    <n v="0"/>
    <n v="1"/>
    <n v="0"/>
    <n v="0"/>
    <n v="0"/>
    <n v="0"/>
    <n v="0"/>
    <n v="0"/>
    <n v="0"/>
    <n v="0"/>
    <n v="0"/>
    <s v="FEMENINO"/>
    <s v="MASCULINO"/>
    <n v="1"/>
    <n v="1"/>
    <n v="52"/>
    <n v="21"/>
    <n v="19"/>
    <m/>
    <m/>
    <m/>
    <n v="157"/>
    <x v="1"/>
    <m/>
    <s v=""/>
    <x v="0"/>
  </r>
  <r>
    <n v="873"/>
    <x v="0"/>
    <n v="1"/>
    <n v="0"/>
    <x v="0"/>
    <s v="MARGINAL DE LA SELVA # CARRERA 8"/>
    <n v="5.3363452777777773"/>
    <n v="-72.40715055555556"/>
    <s v="MOVILIDAD"/>
    <s v="URBANO"/>
    <x v="2"/>
    <s v="FEBRERO"/>
    <d v="2025-02-13T00:00:00"/>
    <x v="1"/>
    <d v="1899-12-30T18:30:00"/>
    <s v="AUTOMOVIL"/>
    <s v="MOTOCICLETA"/>
    <n v="1"/>
    <n v="0"/>
    <n v="1"/>
    <n v="0"/>
    <n v="0"/>
    <n v="0"/>
    <n v="0"/>
    <n v="0"/>
    <n v="0"/>
    <n v="0"/>
    <n v="0"/>
    <n v="0"/>
    <s v="FEMENINO"/>
    <s v="MASCULINO"/>
    <n v="1"/>
    <n v="1"/>
    <n v="43"/>
    <n v="27"/>
    <m/>
    <m/>
    <m/>
    <m/>
    <n v="139"/>
    <x v="0"/>
    <n v="121"/>
    <s v="No mantener distancia de seguridad."/>
    <x v="0"/>
  </r>
  <r>
    <n v="24"/>
    <x v="0"/>
    <n v="2"/>
    <n v="0"/>
    <x v="0"/>
    <s v="MARGINAL DE LA SELVA CARRERA 7B"/>
    <n v="5.3355990000000002"/>
    <n v="-72.407506999999995"/>
    <s v="MOVILIDAD"/>
    <s v="URBANO"/>
    <x v="0"/>
    <s v="ENERO"/>
    <d v="2022-01-25T00:00:00"/>
    <x v="6"/>
    <d v="1899-12-30T22:05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22"/>
    <m/>
    <m/>
    <m/>
    <n v="22"/>
    <m/>
    <n v="121"/>
    <x v="7"/>
    <m/>
    <s v=""/>
    <x v="0"/>
  </r>
  <r>
    <n v="571"/>
    <x v="1"/>
    <n v="0"/>
    <n v="0"/>
    <x v="1"/>
    <s v="Marginal de la selva entre calle 9 y 10"/>
    <n v="5.3458847222222223"/>
    <n v="-72.402614166666666"/>
    <s v="MOVILIDAD"/>
    <s v="URBANO"/>
    <x v="1"/>
    <s v="OCTUBRE"/>
    <d v="2023-10-05T00:00:00"/>
    <x v="1"/>
    <d v="1899-12-30T08:40:00"/>
    <s v="CAMIONETA"/>
    <s v="MICROBUS"/>
    <n v="0"/>
    <n v="0"/>
    <n v="0"/>
    <n v="0"/>
    <n v="1"/>
    <n v="1"/>
    <n v="0"/>
    <n v="0"/>
    <n v="0"/>
    <n v="0"/>
    <n v="0"/>
    <n v="0"/>
    <s v="MASCULINO"/>
    <m/>
    <n v="1"/>
    <n v="0"/>
    <m/>
    <m/>
    <m/>
    <m/>
    <m/>
    <m/>
    <n v="121"/>
    <x v="7"/>
    <m/>
    <s v=""/>
    <x v="2"/>
  </r>
  <r>
    <n v="1059"/>
    <x v="0"/>
    <n v="1"/>
    <n v="0"/>
    <x v="0"/>
    <s v="MARGINAL DE LA SELVA FRENTE A MEDICINA LEGAL "/>
    <n v="5.34129202"/>
    <n v="-72.404819000000003"/>
    <s v="MOVILIDAD"/>
    <s v="URBANO"/>
    <x v="2"/>
    <s v="SEPTIEMBRE"/>
    <d v="2025-09-06T00:00:00"/>
    <x v="5"/>
    <d v="1899-12-30T18:50:00"/>
    <s v="CAMIONETA"/>
    <s v="MOTOCICLETA"/>
    <n v="1"/>
    <n v="0"/>
    <n v="0"/>
    <n v="0"/>
    <n v="1"/>
    <n v="0"/>
    <n v="0"/>
    <n v="0"/>
    <n v="0"/>
    <n v="0"/>
    <n v="0"/>
    <n v="0"/>
    <s v="MASCULINO"/>
    <s v="FEMENINO"/>
    <n v="1"/>
    <n v="1"/>
    <n v="59"/>
    <n v="40"/>
    <n v="36"/>
    <n v="6"/>
    <m/>
    <m/>
    <n v="121"/>
    <x v="7"/>
    <n v="102"/>
    <s v="Adelantar por la derecha."/>
    <x v="0"/>
  </r>
  <r>
    <n v="1046"/>
    <x v="0"/>
    <n v="1"/>
    <n v="1"/>
    <x v="2"/>
    <s v="MARGINAL DE LA SELVA NO 5 N 140"/>
    <n v="5.4938909999999996"/>
    <n v="-72.229062999999996"/>
    <s v="MOVILIDAD"/>
    <s v="RURAL"/>
    <x v="2"/>
    <s v="AGOSTO"/>
    <d v="2025-08-21T00:00:00"/>
    <x v="1"/>
    <d v="1899-12-30T10:45:00"/>
    <s v="MOTOCICLETA"/>
    <s v="VOLQUETA"/>
    <n v="1"/>
    <n v="0"/>
    <n v="0"/>
    <n v="0"/>
    <n v="0"/>
    <n v="0"/>
    <n v="0"/>
    <n v="0"/>
    <n v="0"/>
    <n v="0"/>
    <n v="1"/>
    <n v="0"/>
    <s v="FEMENINO"/>
    <s v="MASCULINO"/>
    <n v="1"/>
    <n v="1"/>
    <n v="34"/>
    <m/>
    <m/>
    <m/>
    <m/>
    <m/>
    <n v="122"/>
    <x v="2"/>
    <n v="104"/>
    <s v="Adelantar invadiendo carril de sentido contrario."/>
    <x v="2"/>
  </r>
  <r>
    <n v="473"/>
    <x v="1"/>
    <n v="0"/>
    <n v="0"/>
    <x v="1"/>
    <s v="MARGINAL DE LA SELVA R 65 # CALLE 4 "/>
    <n v="5.3520777777777777"/>
    <n v="-72.403580555555564"/>
    <s v="MOVILIDAD"/>
    <s v="URBANO"/>
    <x v="1"/>
    <s v="MAYO"/>
    <d v="2023-05-06T00:00:00"/>
    <x v="5"/>
    <d v="1899-12-30T09:40:00"/>
    <s v="TRACTOCAMION"/>
    <s v="VOLQUETA"/>
    <n v="0"/>
    <n v="0"/>
    <n v="0"/>
    <n v="0"/>
    <n v="0"/>
    <n v="0"/>
    <n v="0"/>
    <n v="0"/>
    <n v="0"/>
    <n v="1"/>
    <n v="1"/>
    <n v="0"/>
    <m/>
    <s v="FEMENINO"/>
    <n v="0"/>
    <n v="1"/>
    <m/>
    <m/>
    <m/>
    <m/>
    <m/>
    <m/>
    <n v="123"/>
    <x v="21"/>
    <m/>
    <s v=""/>
    <x v="2"/>
  </r>
  <r>
    <n v="1048"/>
    <x v="0"/>
    <n v="0"/>
    <n v="2"/>
    <x v="2"/>
    <s v="MONTERREY YOPAL KM. 91 +6 600"/>
    <n v="5.2602421000000001"/>
    <n v="-72.482476300000002"/>
    <s v="DITRA"/>
    <s v="RURAL"/>
    <x v="2"/>
    <s v="AGOSTO"/>
    <d v="2025-08-24T00:00:00"/>
    <x v="2"/>
    <d v="1899-12-30T10:20:00"/>
    <s v="MOTOCICLETA"/>
    <m/>
    <n v="1"/>
    <n v="0"/>
    <n v="0"/>
    <n v="0"/>
    <n v="0"/>
    <n v="0"/>
    <n v="0"/>
    <n v="0"/>
    <n v="0"/>
    <n v="0"/>
    <n v="0"/>
    <n v="0"/>
    <s v="FEMENINO"/>
    <s v="MASCULINO"/>
    <n v="1"/>
    <n v="1"/>
    <n v="19"/>
    <n v="26"/>
    <m/>
    <m/>
    <m/>
    <m/>
    <n v="139"/>
    <x v="0"/>
    <m/>
    <s v=""/>
    <x v="2"/>
  </r>
  <r>
    <n v="248"/>
    <x v="1"/>
    <n v="0"/>
    <n v="0"/>
    <x v="1"/>
    <s v="PLANTA TRATAMIENTO BUENA VISTA"/>
    <n v="5.358344166666666"/>
    <n v="-72.38868305555556"/>
    <s v="MOVILIDAD"/>
    <s v="URBANO"/>
    <x v="0"/>
    <s v="JULIO"/>
    <d v="2022-07-12T00:00:00"/>
    <x v="6"/>
    <d v="1899-12-30T14:40:00"/>
    <s v="CAMION"/>
    <m/>
    <n v="0"/>
    <n v="0"/>
    <n v="0"/>
    <n v="0"/>
    <n v="0"/>
    <n v="0"/>
    <n v="0"/>
    <n v="0"/>
    <n v="1"/>
    <n v="0"/>
    <n v="0"/>
    <n v="0"/>
    <m/>
    <s v="FEMENINO"/>
    <n v="0"/>
    <n v="1"/>
    <m/>
    <m/>
    <m/>
    <m/>
    <m/>
    <m/>
    <n v="157"/>
    <x v="1"/>
    <m/>
    <s v=""/>
    <x v="1"/>
  </r>
  <r>
    <n v="879"/>
    <x v="0"/>
    <n v="0"/>
    <n v="1"/>
    <x v="2"/>
    <s v="POLCA CHAPARRERA"/>
    <n v="5.3201159999999996"/>
    <n v="-72.276144000000002"/>
    <s v="DITRA"/>
    <s v="RURAL"/>
    <x v="2"/>
    <s v="FEBRERO"/>
    <d v="2025-02-21T00:00:00"/>
    <x v="0"/>
    <d v="1899-12-30T09:15:00"/>
    <s v="MOTOCICLETA"/>
    <m/>
    <n v="1"/>
    <n v="0"/>
    <n v="0"/>
    <n v="0"/>
    <n v="0"/>
    <n v="0"/>
    <n v="0"/>
    <n v="0"/>
    <n v="0"/>
    <n v="0"/>
    <n v="0"/>
    <n v="0"/>
    <m/>
    <m/>
    <n v="0"/>
    <n v="0"/>
    <m/>
    <m/>
    <m/>
    <m/>
    <m/>
    <m/>
    <n v="139"/>
    <x v="0"/>
    <m/>
    <s v=""/>
    <x v="2"/>
  </r>
  <r>
    <n v="689"/>
    <x v="0"/>
    <n v="0"/>
    <n v="1"/>
    <x v="2"/>
    <s v="RUTA ARAGUANEY"/>
    <n v="5.4251297222222226"/>
    <n v="-72.311127222222225"/>
    <s v="DITRA"/>
    <s v="RURAL"/>
    <x v="3"/>
    <s v="ABRIL"/>
    <d v="2024-04-07T00:00:00"/>
    <x v="2"/>
    <d v="1899-12-30T13:20:00"/>
    <s v="MOTOCICLETA"/>
    <m/>
    <n v="1"/>
    <n v="0"/>
    <n v="0"/>
    <n v="0"/>
    <n v="0"/>
    <n v="0"/>
    <n v="0"/>
    <n v="0"/>
    <n v="0"/>
    <n v="0"/>
    <n v="0"/>
    <n v="0"/>
    <m/>
    <s v="FEMENINO"/>
    <n v="0"/>
    <n v="1"/>
    <m/>
    <m/>
    <m/>
    <m/>
    <m/>
    <m/>
    <n v="157"/>
    <x v="1"/>
    <m/>
    <s v=""/>
    <x v="1"/>
  </r>
  <r>
    <n v="688"/>
    <x v="0"/>
    <n v="0"/>
    <n v="1"/>
    <x v="2"/>
    <s v="RUTA ARAGUANEY"/>
    <n v="5.4211613888888888"/>
    <n v="-72.311060833333329"/>
    <s v="DITRA"/>
    <s v="RURAL"/>
    <x v="3"/>
    <s v="ABRIL"/>
    <d v="2024-04-06T00:00:00"/>
    <x v="5"/>
    <d v="1899-12-30T21:35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m/>
    <m/>
    <m/>
    <m/>
    <m/>
    <m/>
    <n v="122"/>
    <x v="2"/>
    <n v="139"/>
    <s v="Impericia en el manejo."/>
    <x v="0"/>
  </r>
  <r>
    <n v="755"/>
    <x v="0"/>
    <n v="0"/>
    <n v="1"/>
    <x v="2"/>
    <s v="RUTA ARAGUANEY"/>
    <n v="5.3718944444444441"/>
    <n v="-72.367647222222217"/>
    <s v="DITRA"/>
    <s v="RURAL"/>
    <x v="3"/>
    <s v="JULIO"/>
    <d v="2024-07-30T00:00:00"/>
    <x v="6"/>
    <d v="1899-12-30T05:30:00"/>
    <s v="MOTOCICLETA"/>
    <m/>
    <n v="1"/>
    <n v="0"/>
    <n v="0"/>
    <n v="0"/>
    <n v="0"/>
    <n v="0"/>
    <n v="0"/>
    <n v="0"/>
    <n v="0"/>
    <n v="0"/>
    <n v="0"/>
    <n v="0"/>
    <m/>
    <s v="FEMENINO"/>
    <n v="0"/>
    <n v="1"/>
    <m/>
    <m/>
    <m/>
    <m/>
    <m/>
    <m/>
    <n v="1"/>
    <x v="3"/>
    <m/>
    <s v=""/>
    <x v="2"/>
  </r>
  <r>
    <n v="769"/>
    <x v="0"/>
    <n v="0"/>
    <n v="1"/>
    <x v="2"/>
    <s v="RUTA ARAGUANEY"/>
    <n v="5.4217555555555554"/>
    <n v="-72.310488888888884"/>
    <s v="DITRA"/>
    <s v="RURAL"/>
    <x v="3"/>
    <s v="AGOSTO"/>
    <d v="2024-08-22T00:00:00"/>
    <x v="1"/>
    <d v="1899-12-30T23:21:00"/>
    <s v="MOTOCICLETA"/>
    <m/>
    <n v="1"/>
    <n v="0"/>
    <n v="0"/>
    <n v="0"/>
    <n v="0"/>
    <n v="0"/>
    <n v="0"/>
    <n v="0"/>
    <n v="0"/>
    <n v="0"/>
    <n v="0"/>
    <n v="0"/>
    <s v="MASCULINO"/>
    <s v="FEMENINO"/>
    <n v="1"/>
    <n v="1"/>
    <m/>
    <m/>
    <m/>
    <m/>
    <m/>
    <m/>
    <n v="1"/>
    <x v="3"/>
    <m/>
    <s v=""/>
    <x v="0"/>
  </r>
  <r>
    <n v="590"/>
    <x v="0"/>
    <n v="0"/>
    <n v="1"/>
    <x v="2"/>
    <s v="RUTA ARAGUANEY 05+050 YOPAL - PAZ DE ARIPORO"/>
    <n v="5.3583161111111108"/>
    <n v="-72.388962222222233"/>
    <s v="DITRA"/>
    <s v="RURAL"/>
    <x v="1"/>
    <s v="OCTUBRE"/>
    <d v="2023-10-07T00:00:00"/>
    <x v="5"/>
    <d v="1899-12-30T22:07:00"/>
    <s v="MOTOCICLETA"/>
    <s v="AUTOMOVIL"/>
    <n v="1"/>
    <n v="0"/>
    <n v="1"/>
    <n v="0"/>
    <n v="0"/>
    <n v="0"/>
    <n v="0"/>
    <n v="0"/>
    <n v="0"/>
    <n v="0"/>
    <n v="0"/>
    <n v="0"/>
    <m/>
    <s v="FEMENINO"/>
    <n v="0"/>
    <n v="1"/>
    <m/>
    <m/>
    <m/>
    <m/>
    <m/>
    <m/>
    <n v="1"/>
    <x v="3"/>
    <m/>
    <s v=""/>
    <x v="0"/>
  </r>
  <r>
    <n v="567"/>
    <x v="0"/>
    <n v="0"/>
    <n v="1"/>
    <x v="2"/>
    <s v="RUTA ARAGUANEY 15+600 YOPAL PAZ DE ARIPORO"/>
    <n v="5.4079802777777779"/>
    <n v="-72.31248027777778"/>
    <s v="MOVILIDAD"/>
    <s v="URBANO"/>
    <x v="1"/>
    <s v="SEPTIEMBRE"/>
    <d v="2023-09-23T00:00:00"/>
    <x v="5"/>
    <d v="1899-12-30T12:25:00"/>
    <s v="MOTOCICLETA"/>
    <s v="MOTOCICLETA"/>
    <n v="2"/>
    <n v="0"/>
    <n v="0"/>
    <n v="0"/>
    <n v="0"/>
    <n v="0"/>
    <n v="0"/>
    <n v="0"/>
    <n v="0"/>
    <n v="0"/>
    <n v="0"/>
    <n v="0"/>
    <m/>
    <s v="FEMENINO"/>
    <n v="0"/>
    <n v="1"/>
    <m/>
    <m/>
    <m/>
    <m/>
    <m/>
    <m/>
    <n v="1"/>
    <x v="3"/>
    <m/>
    <s v=""/>
    <x v="1"/>
  </r>
  <r>
    <n v="781"/>
    <x v="0"/>
    <n v="0"/>
    <n v="1"/>
    <x v="2"/>
    <s v="TILO -QUEBRADA SECA"/>
    <n v="5.1147091666666666"/>
    <n v="-72.166765833333343"/>
    <s v="MOVILIDAD"/>
    <s v="RURAL"/>
    <x v="3"/>
    <s v="SEPTIEMBRE"/>
    <d v="2024-09-22T00:00:00"/>
    <x v="2"/>
    <d v="1899-12-30T12:09:00"/>
    <s v="MOTOCICLETA"/>
    <s v="AUTOMOVIL"/>
    <n v="1"/>
    <n v="0"/>
    <n v="1"/>
    <n v="0"/>
    <n v="0"/>
    <n v="0"/>
    <n v="0"/>
    <n v="0"/>
    <n v="0"/>
    <n v="0"/>
    <n v="0"/>
    <n v="0"/>
    <m/>
    <s v="FEMENINO"/>
    <n v="0"/>
    <n v="1"/>
    <m/>
    <m/>
    <m/>
    <m/>
    <m/>
    <m/>
    <n v="1"/>
    <x v="3"/>
    <m/>
    <s v=""/>
    <x v="1"/>
  </r>
  <r>
    <n v="1043"/>
    <x v="0"/>
    <n v="1"/>
    <n v="1"/>
    <x v="2"/>
    <s v="TRANSEVERSAL 18 N 14-20"/>
    <n v="5.341558"/>
    <n v="-72.404658999999995"/>
    <s v="MOVILIDAD"/>
    <s v="URBANO"/>
    <x v="2"/>
    <s v="AGOSTO"/>
    <d v="2025-08-14T00:00:00"/>
    <x v="1"/>
    <d v="1899-12-30T18:20:00"/>
    <s v="MOTOCICLETA"/>
    <s v="TRACTOCAMION"/>
    <n v="1"/>
    <n v="0"/>
    <n v="0"/>
    <n v="0"/>
    <n v="0"/>
    <n v="0"/>
    <n v="0"/>
    <n v="0"/>
    <n v="0"/>
    <n v="1"/>
    <n v="0"/>
    <n v="0"/>
    <s v="FEMENINO"/>
    <s v="MASCULINO"/>
    <n v="1"/>
    <n v="1"/>
    <n v="10"/>
    <n v="32"/>
    <m/>
    <m/>
    <m/>
    <m/>
    <n v="139"/>
    <x v="0"/>
    <n v="132"/>
    <s v="No respetar prelación."/>
    <x v="0"/>
  </r>
  <r>
    <n v="545"/>
    <x v="1"/>
    <n v="0"/>
    <n v="0"/>
    <x v="1"/>
    <s v="TRANSVERSAL 10 ENTRE CALLE 10 B-13 B "/>
    <n v="5.3369669444444439"/>
    <n v="-72.405804722222229"/>
    <s v="MOVILIDAD"/>
    <s v="URBANO"/>
    <x v="1"/>
    <s v="AGOSTO"/>
    <d v="2023-08-31T00:00:00"/>
    <x v="1"/>
    <d v="1899-12-30T15:45:00"/>
    <s v="AUTOMOVIL"/>
    <m/>
    <n v="0"/>
    <n v="0"/>
    <n v="1"/>
    <n v="0"/>
    <n v="0"/>
    <n v="0"/>
    <n v="0"/>
    <n v="0"/>
    <n v="0"/>
    <n v="0"/>
    <n v="0"/>
    <n v="0"/>
    <m/>
    <s v="FEMENINO"/>
    <n v="0"/>
    <n v="1"/>
    <m/>
    <m/>
    <m/>
    <m/>
    <m/>
    <m/>
    <n v="115"/>
    <x v="12"/>
    <n v="139"/>
    <s v="Impericia en el manejo."/>
    <x v="1"/>
  </r>
  <r>
    <n v="948"/>
    <x v="1"/>
    <n v="0"/>
    <n v="0"/>
    <x v="1"/>
    <s v="TRANSVERSAL 10 No. 20-10"/>
    <n v="5.334873"/>
    <n v="-72.402760000000001"/>
    <s v="MOVILIDAD"/>
    <s v="URBANO"/>
    <x v="2"/>
    <s v="ABRIL"/>
    <d v="2025-04-23T00:00:00"/>
    <x v="3"/>
    <d v="1899-12-30T10:00:00"/>
    <s v="AUTOMOVIL"/>
    <s v="CAMIONETA"/>
    <n v="0"/>
    <n v="0"/>
    <n v="1"/>
    <n v="0"/>
    <n v="1"/>
    <n v="0"/>
    <n v="0"/>
    <n v="0"/>
    <n v="0"/>
    <n v="0"/>
    <n v="0"/>
    <n v="0"/>
    <s v="FEMENINO"/>
    <m/>
    <n v="0"/>
    <n v="1"/>
    <n v="29"/>
    <m/>
    <m/>
    <m/>
    <m/>
    <m/>
    <n v="157"/>
    <x v="1"/>
    <m/>
    <s v=""/>
    <x v="2"/>
  </r>
  <r>
    <n v="570"/>
    <x v="0"/>
    <n v="1"/>
    <n v="0"/>
    <x v="0"/>
    <s v="TRANSVERSAL 11  # 20-15"/>
    <n v="5.3353452777777779"/>
    <n v="-72.402597777777785"/>
    <s v="MOVILIDAD"/>
    <s v="URBANO"/>
    <x v="1"/>
    <s v="OCTUBRE"/>
    <d v="2023-10-05T00:00:00"/>
    <x v="1"/>
    <d v="1899-12-30T12:36:00"/>
    <s v="MOTOCICLETA"/>
    <s v="MOTOCICLETA"/>
    <n v="2"/>
    <n v="0"/>
    <n v="0"/>
    <n v="0"/>
    <n v="0"/>
    <n v="0"/>
    <n v="0"/>
    <n v="0"/>
    <n v="0"/>
    <n v="0"/>
    <n v="0"/>
    <n v="0"/>
    <m/>
    <s v="FEMENINO"/>
    <n v="0"/>
    <n v="1"/>
    <m/>
    <m/>
    <m/>
    <m/>
    <n v="6"/>
    <m/>
    <n v="104"/>
    <x v="9"/>
    <m/>
    <s v=""/>
    <x v="1"/>
  </r>
  <r>
    <n v="180"/>
    <x v="0"/>
    <n v="0"/>
    <n v="1"/>
    <x v="2"/>
    <s v="TRANSVERSAL 11  # 20A-25"/>
    <n v="5.3351655555555553"/>
    <n v="-72.402756388888889"/>
    <s v="MOVILIDAD"/>
    <s v="URBANO"/>
    <x v="0"/>
    <s v="MAYO"/>
    <d v="2022-05-12T00:00:00"/>
    <x v="1"/>
    <d v="1899-12-30T11:40:00"/>
    <s v="MOTOCICLETA"/>
    <m/>
    <n v="1"/>
    <n v="0"/>
    <n v="0"/>
    <n v="0"/>
    <n v="0"/>
    <n v="0"/>
    <n v="0"/>
    <n v="0"/>
    <n v="0"/>
    <n v="0"/>
    <n v="0"/>
    <n v="0"/>
    <s v="MASCULINO"/>
    <s v="FEMENINO"/>
    <n v="1"/>
    <n v="1"/>
    <m/>
    <m/>
    <m/>
    <m/>
    <m/>
    <n v="57"/>
    <n v="409"/>
    <x v="19"/>
    <m/>
    <s v=""/>
    <x v="2"/>
  </r>
  <r>
    <n v="1008"/>
    <x v="0"/>
    <n v="1"/>
    <n v="0"/>
    <x v="0"/>
    <s v="TRANSVERSAL 11 CALLE 19"/>
    <n v="5.336862"/>
    <n v="-72.401961"/>
    <s v="MOVILIDAD"/>
    <s v="URBANO"/>
    <x v="2"/>
    <s v="JULIO"/>
    <d v="2025-07-03T00:00:00"/>
    <x v="1"/>
    <d v="1899-12-30T17:30:00"/>
    <s v="MOTOCICLETA"/>
    <s v="AUTOMOVIL"/>
    <n v="1"/>
    <n v="0"/>
    <n v="1"/>
    <n v="0"/>
    <n v="0"/>
    <n v="0"/>
    <n v="0"/>
    <n v="0"/>
    <n v="0"/>
    <n v="0"/>
    <n v="0"/>
    <n v="0"/>
    <s v="MASCULINO"/>
    <s v="FEMENINO"/>
    <n v="1"/>
    <n v="1"/>
    <n v="34"/>
    <n v="32"/>
    <m/>
    <m/>
    <m/>
    <m/>
    <n v="127"/>
    <x v="18"/>
    <m/>
    <s v=""/>
    <x v="1"/>
  </r>
  <r>
    <n v="259"/>
    <x v="0"/>
    <n v="1"/>
    <n v="0"/>
    <x v="0"/>
    <s v="TRANSVERSAL 11 CALLE 36"/>
    <n v="5.3223802777777776"/>
    <n v="-72.400233888888891"/>
    <s v="MOVILIDAD"/>
    <s v="URBANO"/>
    <x v="0"/>
    <s v="JULIO"/>
    <d v="2022-07-22T00:00:00"/>
    <x v="0"/>
    <d v="1899-12-30T19:2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69"/>
    <m/>
    <m/>
    <m/>
    <m/>
    <m/>
    <n v="1"/>
    <x v="3"/>
    <m/>
    <s v=""/>
    <x v="0"/>
  </r>
  <r>
    <n v="415"/>
    <x v="0"/>
    <n v="1"/>
    <n v="0"/>
    <x v="0"/>
    <s v="TRANSVERSAL 11 ENTRE CALLE 20 Y 21 "/>
    <n v="5.3350822222222218"/>
    <n v="-72.402703888888894"/>
    <s v="MOVILIDAD"/>
    <s v="URBANO"/>
    <x v="1"/>
    <s v="FEBRERO"/>
    <d v="2023-02-20T00:00:00"/>
    <x v="4"/>
    <d v="1899-12-30T19:35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31"/>
    <m/>
    <m/>
    <m/>
    <m/>
    <m/>
    <n v="157"/>
    <x v="1"/>
    <m/>
    <s v=""/>
    <x v="0"/>
  </r>
  <r>
    <n v="39"/>
    <x v="0"/>
    <n v="1"/>
    <n v="0"/>
    <x v="0"/>
    <s v="TRANSVERSAL 11A  # 34A-40"/>
    <n v="5.3230055555555555"/>
    <n v="-72.40055000000001"/>
    <s v="MOVILIDAD"/>
    <s v="URBANO"/>
    <x v="0"/>
    <s v="FEBRERO"/>
    <d v="2022-02-01T00:00:00"/>
    <x v="6"/>
    <d v="1899-12-30T08:1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25"/>
    <m/>
    <m/>
    <m/>
    <m/>
    <m/>
    <n v="139"/>
    <x v="0"/>
    <m/>
    <s v=""/>
    <x v="2"/>
  </r>
  <r>
    <n v="667"/>
    <x v="0"/>
    <n v="1"/>
    <n v="0"/>
    <x v="0"/>
    <s v="TRANSVERSAL 15  # 28A BIS 26"/>
    <n v="5.3307500000000001"/>
    <n v="-72.394819444444451"/>
    <s v="MOVILIDAD"/>
    <s v="URBANO"/>
    <x v="3"/>
    <s v="FEBRERO"/>
    <d v="2024-02-22T00:00:00"/>
    <x v="1"/>
    <d v="1899-12-30T12:05:00"/>
    <s v="MOTOCICLETA"/>
    <s v="AUTOMOVIL"/>
    <n v="1"/>
    <n v="0"/>
    <n v="1"/>
    <n v="0"/>
    <n v="0"/>
    <n v="0"/>
    <n v="0"/>
    <n v="0"/>
    <n v="0"/>
    <n v="0"/>
    <n v="0"/>
    <n v="0"/>
    <s v="MASCULINO"/>
    <s v="FEMENINO"/>
    <n v="1"/>
    <n v="1"/>
    <n v="31"/>
    <n v="27"/>
    <n v="0"/>
    <m/>
    <m/>
    <m/>
    <n v="122"/>
    <x v="2"/>
    <n v="139"/>
    <s v="Impericia en el manejo."/>
    <x v="1"/>
  </r>
  <r>
    <n v="654"/>
    <x v="0"/>
    <n v="0"/>
    <n v="1"/>
    <x v="2"/>
    <s v="TRANSVERSAL 15  CALLE 40 "/>
    <n v="5.3195916666666667"/>
    <n v="-72.392866666666677"/>
    <s v="MOVILIDAD"/>
    <s v="URBANO"/>
    <x v="3"/>
    <s v="ENERO"/>
    <d v="2024-01-31T00:00:00"/>
    <x v="3"/>
    <d v="1899-12-30T02:2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m/>
    <m/>
    <m/>
    <m/>
    <m/>
    <n v="19"/>
    <n v="139"/>
    <x v="0"/>
    <n v="114"/>
    <s v="Embriaguez aparente."/>
    <x v="2"/>
  </r>
  <r>
    <n v="270"/>
    <x v="0"/>
    <n v="0"/>
    <n v="1"/>
    <x v="2"/>
    <s v="TRANSVERSAL 15 CALLE 30"/>
    <n v="5.3292638888888888"/>
    <n v="-72.394544444444449"/>
    <s v="MOVILIDAD"/>
    <s v="URBANO"/>
    <x v="0"/>
    <s v="AGOSTO"/>
    <d v="2022-08-06T00:00:00"/>
    <x v="5"/>
    <d v="1899-12-30T02:30:00"/>
    <s v="MOTOCICLETA"/>
    <m/>
    <n v="1"/>
    <n v="0"/>
    <n v="0"/>
    <n v="0"/>
    <n v="0"/>
    <n v="0"/>
    <n v="0"/>
    <n v="0"/>
    <n v="0"/>
    <n v="0"/>
    <n v="0"/>
    <n v="0"/>
    <m/>
    <s v="FEMENINO"/>
    <n v="0"/>
    <n v="1"/>
    <m/>
    <m/>
    <m/>
    <m/>
    <m/>
    <n v="25"/>
    <n v="1"/>
    <x v="3"/>
    <m/>
    <s v=""/>
    <x v="2"/>
  </r>
  <r>
    <n v="79"/>
    <x v="0"/>
    <n v="2"/>
    <n v="0"/>
    <x v="0"/>
    <s v="TRANSVERSAL 15 CALLE 33"/>
    <n v="5.3263083333333334"/>
    <n v="-72.394130555555563"/>
    <s v="MOVILIDAD"/>
    <s v="URBANO"/>
    <x v="0"/>
    <s v="MARZO"/>
    <d v="2022-03-08T00:00:00"/>
    <x v="6"/>
    <d v="1899-12-30T19:10:00"/>
    <s v="MOTOCICLETA"/>
    <m/>
    <n v="1"/>
    <n v="0"/>
    <n v="0"/>
    <n v="0"/>
    <n v="0"/>
    <n v="0"/>
    <n v="0"/>
    <n v="0"/>
    <n v="0"/>
    <n v="0"/>
    <n v="0"/>
    <n v="0"/>
    <s v="MASCULINO"/>
    <s v="FEMENINO"/>
    <n v="1"/>
    <n v="1"/>
    <n v="20"/>
    <m/>
    <m/>
    <n v="13"/>
    <m/>
    <m/>
    <n v="409"/>
    <x v="19"/>
    <m/>
    <s v=""/>
    <x v="0"/>
  </r>
  <r>
    <n v="756"/>
    <x v="1"/>
    <n v="0"/>
    <n v="0"/>
    <x v="1"/>
    <s v="TRANSVERSAL 15 CALLE 35"/>
    <n v="5.3245027777777771"/>
    <n v="-72.39381111111112"/>
    <s v="MOVILIDAD"/>
    <s v="URBANO"/>
    <x v="3"/>
    <s v="JULIO"/>
    <d v="2024-07-31T00:00:00"/>
    <x v="3"/>
    <d v="1899-12-30T20:5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25"/>
    <m/>
    <m/>
    <m/>
    <m/>
    <m/>
    <n v="139"/>
    <x v="0"/>
    <n v="142"/>
    <s v="Semáforo en rojo."/>
    <x v="0"/>
  </r>
  <r>
    <n v="346"/>
    <x v="0"/>
    <n v="3"/>
    <n v="0"/>
    <x v="0"/>
    <s v="TRANSVERSAL 15 CALLE 35"/>
    <n v="5.3245444444444443"/>
    <n v="-72.393758333333338"/>
    <s v="MOVILIDAD"/>
    <s v="URBANO"/>
    <x v="0"/>
    <s v="OCTUBRE"/>
    <d v="2022-10-30T00:00:00"/>
    <x v="2"/>
    <d v="1899-12-30T03:45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30"/>
    <m/>
    <m/>
    <n v="19"/>
    <m/>
    <m/>
    <n v="114"/>
    <x v="5"/>
    <n v="141"/>
    <s v="Vehículo mal estacionado."/>
    <x v="2"/>
  </r>
  <r>
    <n v="260"/>
    <x v="0"/>
    <n v="2"/>
    <n v="0"/>
    <x v="0"/>
    <s v="TRANSVERSAL 15 CALLE 36"/>
    <n v="5.3235969444444446"/>
    <n v="-72.393601111111124"/>
    <s v="MOVILIDAD"/>
    <s v="URBANO"/>
    <x v="0"/>
    <s v="JULIO"/>
    <d v="2022-07-26T00:00:00"/>
    <x v="6"/>
    <d v="1899-12-30T19:00:00"/>
    <s v="MOTOCICLETA"/>
    <s v="CAMIONETA"/>
    <n v="1"/>
    <n v="0"/>
    <n v="0"/>
    <n v="0"/>
    <n v="1"/>
    <n v="0"/>
    <n v="0"/>
    <n v="0"/>
    <n v="0"/>
    <n v="0"/>
    <n v="0"/>
    <n v="0"/>
    <s v="MASCULINO"/>
    <s v="FEMENINO"/>
    <n v="1"/>
    <n v="1"/>
    <n v="54"/>
    <n v="32"/>
    <m/>
    <m/>
    <m/>
    <m/>
    <n v="121"/>
    <x v="7"/>
    <m/>
    <s v=""/>
    <x v="0"/>
  </r>
  <r>
    <n v="437"/>
    <x v="0"/>
    <n v="2"/>
    <n v="0"/>
    <x v="0"/>
    <s v="TRANSVERSAL 15 CALLE 36"/>
    <n v="5.3236527777777773"/>
    <n v="-72.393595555555564"/>
    <s v="MOVILIDAD"/>
    <s v="URBANO"/>
    <x v="1"/>
    <s v="MARZO"/>
    <d v="2023-03-25T00:00:00"/>
    <x v="5"/>
    <d v="1899-12-30T17:00:00"/>
    <s v="MOTOCICLETA"/>
    <m/>
    <n v="1"/>
    <n v="0"/>
    <n v="0"/>
    <n v="0"/>
    <n v="0"/>
    <n v="0"/>
    <n v="0"/>
    <n v="0"/>
    <n v="0"/>
    <n v="0"/>
    <n v="0"/>
    <n v="0"/>
    <s v="MASCULINO"/>
    <s v="FEMENINO"/>
    <n v="1"/>
    <n v="1"/>
    <n v="20"/>
    <m/>
    <m/>
    <m/>
    <n v="12"/>
    <m/>
    <n v="114"/>
    <x v="5"/>
    <n v="139"/>
    <s v="Impericia en el manejo."/>
    <x v="1"/>
  </r>
  <r>
    <n v="929"/>
    <x v="0"/>
    <n v="2"/>
    <n v="0"/>
    <x v="0"/>
    <s v="TRANSVERSAL 15 CALLE 37"/>
    <n v="5.3223700000000003"/>
    <n v="-72.393314000000004"/>
    <s v="MOVILIDAD"/>
    <s v="URBANO"/>
    <x v="2"/>
    <s v="ABRIL"/>
    <d v="2025-04-06T00:00:00"/>
    <x v="2"/>
    <d v="1899-12-30T10:20:00"/>
    <s v="MOTOCICLETA"/>
    <s v="MOTOCICLETA"/>
    <n v="2"/>
    <n v="0"/>
    <n v="0"/>
    <n v="0"/>
    <n v="0"/>
    <n v="0"/>
    <n v="0"/>
    <n v="0"/>
    <n v="0"/>
    <n v="0"/>
    <n v="0"/>
    <n v="0"/>
    <s v="FEMENINO"/>
    <s v="MASCULINO"/>
    <n v="1"/>
    <n v="1"/>
    <n v="30"/>
    <m/>
    <m/>
    <m/>
    <m/>
    <m/>
    <n v="139"/>
    <x v="0"/>
    <n v="112"/>
    <s v="Desobedecer señales o normas de tránsito."/>
    <x v="2"/>
  </r>
  <r>
    <n v="89"/>
    <x v="0"/>
    <n v="1"/>
    <n v="0"/>
    <x v="0"/>
    <s v="TRANSVERSAL 15 CALLE 38A"/>
    <n v="5.3207249999999995"/>
    <n v="-72.393052777777783"/>
    <s v="MOVILIDAD"/>
    <s v="URBANO"/>
    <x v="0"/>
    <s v="MARZO"/>
    <d v="2022-03-18T00:00:00"/>
    <x v="0"/>
    <d v="1899-12-30T12:20:00"/>
    <s v="MOTOCICLETA"/>
    <s v="CAMIONETA"/>
    <n v="1"/>
    <n v="0"/>
    <n v="0"/>
    <n v="0"/>
    <n v="1"/>
    <n v="0"/>
    <n v="0"/>
    <n v="0"/>
    <n v="0"/>
    <n v="0"/>
    <n v="0"/>
    <n v="0"/>
    <s v="MASCULINO"/>
    <m/>
    <n v="1"/>
    <n v="0"/>
    <n v="23"/>
    <m/>
    <m/>
    <m/>
    <m/>
    <m/>
    <n v="122"/>
    <x v="2"/>
    <n v="139"/>
    <s v="Impericia en el manejo."/>
    <x v="1"/>
  </r>
  <r>
    <n v="197"/>
    <x v="0"/>
    <n v="0"/>
    <n v="1"/>
    <x v="2"/>
    <s v="TRANSVERSAL 15 CALLE 40"/>
    <n v="5.3195249999999996"/>
    <n v="-72.392769444444454"/>
    <s v="MOVILIDAD"/>
    <s v="URBANO"/>
    <x v="0"/>
    <s v="MAYO"/>
    <d v="2022-05-28T00:00:00"/>
    <x v="5"/>
    <d v="1899-12-30T02:4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m/>
    <m/>
    <m/>
    <m/>
    <m/>
    <n v="34"/>
    <n v="1"/>
    <x v="3"/>
    <m/>
    <s v=""/>
    <x v="2"/>
  </r>
  <r>
    <n v="117"/>
    <x v="0"/>
    <n v="0"/>
    <n v="1"/>
    <x v="2"/>
    <s v="TRANSVERSAL 15 CLLE 36"/>
    <n v="5.3235916666666663"/>
    <n v="-72.393497222222223"/>
    <s v="MOVILIDAD"/>
    <s v="URBANO"/>
    <x v="0"/>
    <s v="ABRIL"/>
    <d v="2022-04-07T00:00:00"/>
    <x v="1"/>
    <d v="1899-12-30T02:2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m/>
    <m/>
    <m/>
    <m/>
    <m/>
    <n v="25"/>
    <n v="115"/>
    <x v="12"/>
    <m/>
    <s v=""/>
    <x v="2"/>
  </r>
  <r>
    <n v="994"/>
    <x v="0"/>
    <n v="2"/>
    <n v="0"/>
    <x v="0"/>
    <s v="TRANSVERSAL 15 DIAGONAL 47"/>
    <n v="5.3145199999999999"/>
    <n v="-72.394403999999994"/>
    <s v="MOVILIDAD"/>
    <s v="URBANO"/>
    <x v="2"/>
    <s v="JUNIO"/>
    <d v="2025-06-18T00:00:00"/>
    <x v="3"/>
    <d v="1899-12-30T05:40:00"/>
    <s v="MOTOCICLETA"/>
    <m/>
    <n v="1"/>
    <n v="0"/>
    <n v="0"/>
    <n v="0"/>
    <n v="0"/>
    <n v="0"/>
    <n v="0"/>
    <n v="0"/>
    <n v="0"/>
    <n v="0"/>
    <n v="0"/>
    <n v="0"/>
    <s v="MASCULINO"/>
    <s v="FEMENINO"/>
    <n v="1"/>
    <n v="1"/>
    <n v="21"/>
    <n v="21"/>
    <m/>
    <m/>
    <m/>
    <m/>
    <n v="139"/>
    <x v="0"/>
    <m/>
    <s v=""/>
    <x v="2"/>
  </r>
  <r>
    <n v="140"/>
    <x v="1"/>
    <n v="0"/>
    <n v="0"/>
    <x v="1"/>
    <s v="TRANSVERSAL 17 CALLE 31"/>
    <n v="5.3289388888888887"/>
    <n v="-72.393138888888899"/>
    <s v="MOVILIDAD"/>
    <s v="URBANO"/>
    <x v="0"/>
    <s v="ABRIL"/>
    <d v="2022-04-19T00:00:00"/>
    <x v="6"/>
    <d v="1899-12-30T20:10:00"/>
    <s v="AUTOMOVIL"/>
    <s v="AUTOMOVIL"/>
    <n v="0"/>
    <n v="0"/>
    <n v="2"/>
    <n v="0"/>
    <n v="0"/>
    <n v="0"/>
    <n v="0"/>
    <n v="0"/>
    <n v="0"/>
    <n v="0"/>
    <n v="0"/>
    <n v="0"/>
    <s v="MASCULINO"/>
    <s v="FEMENINO"/>
    <n v="1"/>
    <n v="1"/>
    <m/>
    <m/>
    <m/>
    <m/>
    <m/>
    <m/>
    <n v="103"/>
    <x v="8"/>
    <m/>
    <s v=""/>
    <x v="0"/>
  </r>
  <r>
    <n v="115"/>
    <x v="1"/>
    <n v="0"/>
    <n v="0"/>
    <x v="1"/>
    <s v="TRANSVERSAL 17A CALLE 27"/>
    <n v="5.3400749999999997"/>
    <n v="-72.399355555555559"/>
    <s v="MOVILIDAD"/>
    <s v="URBANO"/>
    <x v="0"/>
    <s v="ABRIL"/>
    <d v="2022-04-05T00:00:00"/>
    <x v="6"/>
    <d v="1899-12-30T20:00:00"/>
    <s v="MOTOCICLETA"/>
    <s v="CAMIONETA"/>
    <n v="1"/>
    <n v="0"/>
    <n v="0"/>
    <n v="0"/>
    <n v="1"/>
    <n v="0"/>
    <n v="0"/>
    <n v="0"/>
    <n v="0"/>
    <n v="0"/>
    <n v="0"/>
    <n v="0"/>
    <m/>
    <s v="FEMENINO"/>
    <n v="0"/>
    <n v="1"/>
    <m/>
    <m/>
    <m/>
    <m/>
    <m/>
    <m/>
    <n v="121"/>
    <x v="7"/>
    <m/>
    <s v=""/>
    <x v="0"/>
  </r>
  <r>
    <n v="763"/>
    <x v="0"/>
    <n v="1"/>
    <n v="0"/>
    <x v="0"/>
    <s v="TRANSVERSAL 18  CALLE 37"/>
    <n v="5.319577777777778"/>
    <n v="-72.417869444444449"/>
    <s v="MOVILIDAD"/>
    <s v="URBANO"/>
    <x v="3"/>
    <s v="AGOSTO"/>
    <d v="2024-08-13T00:00:00"/>
    <x v="6"/>
    <d v="1899-12-30T14:00:00"/>
    <s v="MOTOCICLETA"/>
    <s v="CAMIONETA"/>
    <n v="1"/>
    <n v="0"/>
    <n v="0"/>
    <n v="0"/>
    <n v="1"/>
    <n v="0"/>
    <n v="0"/>
    <n v="0"/>
    <n v="0"/>
    <n v="0"/>
    <n v="0"/>
    <n v="0"/>
    <s v="MASCULINO"/>
    <m/>
    <n v="1"/>
    <n v="0"/>
    <n v="26"/>
    <n v="57"/>
    <m/>
    <m/>
    <m/>
    <m/>
    <n v="112"/>
    <x v="4"/>
    <m/>
    <s v=""/>
    <x v="1"/>
  </r>
  <r>
    <n v="97"/>
    <x v="1"/>
    <n v="0"/>
    <n v="0"/>
    <x v="1"/>
    <s v="TRANSVERSAL 18 # CALLE 24"/>
    <n v="5.3299500000000002"/>
    <n v="-72.410002777777777"/>
    <s v="MOVILIDAD"/>
    <s v="URBANO"/>
    <x v="0"/>
    <s v="MARZO"/>
    <d v="2022-03-19T00:00:00"/>
    <x v="5"/>
    <d v="1899-12-30T10:30:00"/>
    <s v="MOTOCICLETA"/>
    <s v="BICICLETA"/>
    <n v="1"/>
    <n v="0"/>
    <n v="0"/>
    <n v="0"/>
    <n v="0"/>
    <n v="0"/>
    <n v="0"/>
    <n v="0"/>
    <n v="0"/>
    <n v="0"/>
    <n v="0"/>
    <n v="1"/>
    <s v="MASCULINO"/>
    <s v="FEMENINO"/>
    <n v="1"/>
    <n v="1"/>
    <m/>
    <m/>
    <m/>
    <m/>
    <m/>
    <m/>
    <n v="121"/>
    <x v="7"/>
    <m/>
    <s v=""/>
    <x v="2"/>
  </r>
  <r>
    <n v="410"/>
    <x v="0"/>
    <n v="2"/>
    <n v="0"/>
    <x v="0"/>
    <s v="TRANSVERSAL 18 # CALLE 26  "/>
    <n v="5.3267538888888888"/>
    <n v="-72.411795555555557"/>
    <s v="MOVILIDAD"/>
    <s v="URBANO"/>
    <x v="1"/>
    <s v="FEBRERO"/>
    <d v="2023-02-17T00:00:00"/>
    <x v="0"/>
    <d v="1899-12-30T10:06:00"/>
    <s v="AUTOMOVIL"/>
    <s v="CAMPERO"/>
    <n v="0"/>
    <n v="0"/>
    <n v="1"/>
    <n v="1"/>
    <n v="0"/>
    <n v="0"/>
    <n v="0"/>
    <n v="0"/>
    <n v="0"/>
    <n v="0"/>
    <n v="0"/>
    <n v="0"/>
    <s v="MASCULINO"/>
    <m/>
    <n v="1"/>
    <n v="0"/>
    <n v="39"/>
    <m/>
    <m/>
    <m/>
    <m/>
    <m/>
    <n v="157"/>
    <x v="1"/>
    <n v="157"/>
    <s v="Otra"/>
    <x v="2"/>
  </r>
  <r>
    <n v="793"/>
    <x v="0"/>
    <n v="1"/>
    <n v="0"/>
    <x v="0"/>
    <s v="TRANSVERSAL 18 CALLE 30"/>
    <n v="5.321791666666666"/>
    <n v="-72.415013888888893"/>
    <s v="MOVILIDAD"/>
    <s v="URBANO"/>
    <x v="3"/>
    <s v="OCTUBRE"/>
    <d v="2024-10-17T00:00:00"/>
    <x v="1"/>
    <d v="1899-12-30T17:10:00"/>
    <s v="MOTOCICLETA"/>
    <m/>
    <n v="1"/>
    <n v="0"/>
    <n v="0"/>
    <n v="0"/>
    <n v="0"/>
    <n v="0"/>
    <n v="0"/>
    <n v="0"/>
    <n v="0"/>
    <n v="0"/>
    <n v="0"/>
    <n v="0"/>
    <s v="MASCULINO"/>
    <s v="FEMENINO"/>
    <n v="1"/>
    <n v="1"/>
    <n v="46"/>
    <m/>
    <m/>
    <m/>
    <m/>
    <m/>
    <n v="139"/>
    <x v="0"/>
    <n v="409"/>
    <s v="Cruzar sin observar."/>
    <x v="1"/>
  </r>
  <r>
    <n v="804"/>
    <x v="0"/>
    <n v="2"/>
    <n v="0"/>
    <x v="0"/>
    <s v="TRANSVERSAL 18 CALLE 30"/>
    <n v="5.321791666666666"/>
    <n v="-72.415013888888893"/>
    <s v="MOVILIDAD"/>
    <s v="URBANO"/>
    <x v="3"/>
    <s v="NOVIEMBRE"/>
    <d v="2024-11-03T00:00:00"/>
    <x v="2"/>
    <d v="1899-12-30T13:10:00"/>
    <s v="MOTOCICLETA"/>
    <s v="AUTOMOVIL"/>
    <n v="1"/>
    <n v="0"/>
    <n v="1"/>
    <n v="0"/>
    <n v="0"/>
    <n v="0"/>
    <n v="0"/>
    <n v="0"/>
    <n v="0"/>
    <n v="0"/>
    <n v="0"/>
    <n v="0"/>
    <s v="MASCULINO"/>
    <s v="FEMENINO"/>
    <n v="1"/>
    <n v="1"/>
    <n v="28"/>
    <n v="38"/>
    <n v="17"/>
    <m/>
    <m/>
    <m/>
    <n v="112"/>
    <x v="4"/>
    <m/>
    <s v=""/>
    <x v="1"/>
  </r>
  <r>
    <n v="751"/>
    <x v="1"/>
    <n v="0"/>
    <n v="0"/>
    <x v="1"/>
    <s v="TRANSVERSAL 18 CALLE 30  "/>
    <n v="5.321791666666666"/>
    <n v="-72.415013888888893"/>
    <s v="MOVILIDAD"/>
    <s v="URBANO"/>
    <x v="3"/>
    <s v="JULIO"/>
    <d v="2024-07-25T00:00:00"/>
    <x v="1"/>
    <d v="1899-12-30T14:15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m/>
    <n v="21"/>
    <n v="31"/>
    <m/>
    <m/>
    <m/>
    <n v="139"/>
    <x v="0"/>
    <m/>
    <s v=""/>
    <x v="1"/>
  </r>
  <r>
    <n v="323"/>
    <x v="0"/>
    <n v="1"/>
    <n v="0"/>
    <x v="0"/>
    <s v="TRANSVERSAL 18 CALLE 40"/>
    <n v="5.3191972222222219"/>
    <n v="-72.393116666666671"/>
    <s v="MOVILIDAD"/>
    <s v="URBANO"/>
    <x v="0"/>
    <s v="OCTUBRE"/>
    <d v="2022-10-02T00:00:00"/>
    <x v="2"/>
    <d v="1899-12-30T05:0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48"/>
    <m/>
    <m/>
    <m/>
    <m/>
    <m/>
    <n v="139"/>
    <x v="0"/>
    <m/>
    <s v=""/>
    <x v="2"/>
  </r>
  <r>
    <n v="687"/>
    <x v="0"/>
    <n v="0"/>
    <n v="1"/>
    <x v="2"/>
    <s v="TRANSVERSAL 18 CALLE 40"/>
    <n v="5.3164444444444445"/>
    <n v="-72.392258333333345"/>
    <s v="MOVILIDAD"/>
    <s v="URBANO"/>
    <x v="3"/>
    <s v="ABRIL"/>
    <d v="2024-04-06T00:00:00"/>
    <x v="5"/>
    <d v="1899-12-30T03:5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m/>
    <m/>
    <m/>
    <m/>
    <m/>
    <n v="28"/>
    <n v="114"/>
    <x v="5"/>
    <m/>
    <s v=""/>
    <x v="2"/>
  </r>
  <r>
    <n v="859"/>
    <x v="1"/>
    <n v="0"/>
    <n v="0"/>
    <x v="1"/>
    <s v="TRANSVERSAL 18 CALLE 6"/>
    <n v="5.3500839999999998"/>
    <n v="-72.402977000000007"/>
    <s v="MOVILIDAD"/>
    <s v="URBANO"/>
    <x v="2"/>
    <s v="ENERO"/>
    <d v="2025-01-01T00:00:00"/>
    <x v="3"/>
    <d v="1899-12-30T17:30:00"/>
    <s v="MOTOCICLETA"/>
    <s v="MOTOCICLETA"/>
    <n v="2"/>
    <n v="0"/>
    <n v="0"/>
    <n v="0"/>
    <n v="0"/>
    <n v="0"/>
    <n v="0"/>
    <n v="0"/>
    <n v="0"/>
    <n v="0"/>
    <n v="0"/>
    <n v="0"/>
    <s v="FEMENINO"/>
    <s v="MASCULINO"/>
    <n v="1"/>
    <n v="1"/>
    <n v="29"/>
    <n v="29"/>
    <n v="9"/>
    <m/>
    <m/>
    <m/>
    <n v="115"/>
    <x v="12"/>
    <m/>
    <s v=""/>
    <x v="1"/>
  </r>
  <r>
    <n v="187"/>
    <x v="1"/>
    <n v="0"/>
    <n v="0"/>
    <x v="1"/>
    <s v="TRANSVERSAL 18 CALLE 8"/>
    <n v="5.3478972222222216"/>
    <n v="-72.402502777777784"/>
    <s v="MOVILIDAD"/>
    <s v="URBANO"/>
    <x v="0"/>
    <s v="MAYO"/>
    <d v="2022-05-18T00:00:00"/>
    <x v="3"/>
    <d v="1899-12-30T17:40:00"/>
    <s v="MICROBUS"/>
    <s v="CAMION"/>
    <n v="0"/>
    <n v="0"/>
    <n v="0"/>
    <n v="0"/>
    <n v="0"/>
    <n v="1"/>
    <n v="0"/>
    <n v="0"/>
    <n v="1"/>
    <n v="0"/>
    <n v="0"/>
    <n v="0"/>
    <s v="MASCULINO"/>
    <s v="FEMENINO"/>
    <n v="1"/>
    <n v="1"/>
    <m/>
    <m/>
    <m/>
    <m/>
    <m/>
    <m/>
    <n v="145"/>
    <x v="10"/>
    <m/>
    <s v=""/>
    <x v="1"/>
  </r>
  <r>
    <n v="945"/>
    <x v="0"/>
    <n v="1"/>
    <n v="0"/>
    <x v="0"/>
    <s v="TRANSVERSAL 18 CARRERA 8  "/>
    <n v="5.336271"/>
    <n v="-72.407182000000006"/>
    <s v="MOVILIDAD"/>
    <s v="URBANO"/>
    <x v="2"/>
    <s v="ABRIL"/>
    <d v="2025-04-13T00:00:00"/>
    <x v="2"/>
    <d v="1899-12-30T19:50:00"/>
    <s v="CAMPERO"/>
    <s v="MOTOCICLETA"/>
    <n v="1"/>
    <n v="0"/>
    <n v="0"/>
    <n v="1"/>
    <n v="0"/>
    <n v="0"/>
    <n v="0"/>
    <n v="0"/>
    <n v="0"/>
    <n v="0"/>
    <n v="0"/>
    <n v="0"/>
    <s v="MASCULINO"/>
    <s v="MASCULINO"/>
    <n v="2"/>
    <n v="0"/>
    <n v="74"/>
    <n v="18"/>
    <n v="16"/>
    <m/>
    <m/>
    <m/>
    <n v="122"/>
    <x v="2"/>
    <n v="139"/>
    <s v="Impericia en el manejo."/>
    <x v="0"/>
  </r>
  <r>
    <n v="338"/>
    <x v="0"/>
    <n v="1"/>
    <n v="0"/>
    <x v="0"/>
    <s v="TRANSVERSAL 18 DIAGONAL 47"/>
    <n v="5.3165166666666668"/>
    <n v="-72.392266666666671"/>
    <s v="MOVILIDAD"/>
    <s v="URBANO"/>
    <x v="0"/>
    <s v="OCTUBRE"/>
    <d v="2022-10-21T00:00:00"/>
    <x v="0"/>
    <d v="1899-12-30T01:14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28"/>
    <m/>
    <m/>
    <m/>
    <m/>
    <m/>
    <n v="157"/>
    <x v="1"/>
    <m/>
    <s v=""/>
    <x v="2"/>
  </r>
  <r>
    <n v="213"/>
    <x v="0"/>
    <n v="0"/>
    <n v="1"/>
    <x v="2"/>
    <s v="TRANSVERSAL 18 DIAGONAL 47"/>
    <n v="5.3165166666666668"/>
    <n v="-72.392266666666671"/>
    <s v="MOVILIDAD"/>
    <s v="URBANO"/>
    <x v="0"/>
    <s v="JUNIO"/>
    <d v="2022-06-10T00:00:00"/>
    <x v="0"/>
    <d v="1899-12-30T16:45:00"/>
    <s v="MOTOCICLETA"/>
    <s v="AUTOMOVIL"/>
    <n v="1"/>
    <n v="0"/>
    <n v="1"/>
    <n v="0"/>
    <n v="0"/>
    <n v="0"/>
    <n v="0"/>
    <n v="0"/>
    <n v="0"/>
    <n v="0"/>
    <n v="0"/>
    <n v="0"/>
    <m/>
    <s v="FEMENINO"/>
    <n v="0"/>
    <n v="1"/>
    <m/>
    <m/>
    <m/>
    <m/>
    <m/>
    <m/>
    <n v="157"/>
    <x v="1"/>
    <n v="114"/>
    <s v="Embriaguez aparente."/>
    <x v="1"/>
  </r>
  <r>
    <n v="930"/>
    <x v="0"/>
    <n v="1"/>
    <n v="0"/>
    <x v="0"/>
    <s v="TRANSVERSAL 18 DIAGONAL 47"/>
    <n v="5.3165166666666668"/>
    <n v="-72.392266666666671"/>
    <s v="MOVILIDAD"/>
    <s v="URBANO"/>
    <x v="2"/>
    <s v="ABRIL"/>
    <d v="2025-04-08T00:00:00"/>
    <x v="6"/>
    <d v="1899-12-30T13:5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23"/>
    <m/>
    <m/>
    <m/>
    <m/>
    <m/>
    <n v="139"/>
    <x v="0"/>
    <m/>
    <s v=""/>
    <x v="1"/>
  </r>
  <r>
    <n v="228"/>
    <x v="0"/>
    <n v="2"/>
    <n v="0"/>
    <x v="0"/>
    <s v="TRANSVERSAL 18 DIAGONAL 47"/>
    <n v="5.3165166666666668"/>
    <n v="-72.392266666666671"/>
    <s v="MOVILIDAD"/>
    <s v="URBANO"/>
    <x v="0"/>
    <s v="JUNIO"/>
    <d v="2022-06-23T00:00:00"/>
    <x v="1"/>
    <d v="1899-12-30T08:20:00"/>
    <s v="MOTOCICLETA"/>
    <s v="VOLQUETA"/>
    <n v="1"/>
    <n v="0"/>
    <n v="0"/>
    <n v="0"/>
    <n v="0"/>
    <n v="0"/>
    <n v="0"/>
    <n v="0"/>
    <n v="0"/>
    <n v="0"/>
    <n v="1"/>
    <n v="0"/>
    <s v="MASCULINO"/>
    <s v="FEMENINO"/>
    <n v="1"/>
    <n v="1"/>
    <n v="19"/>
    <m/>
    <m/>
    <m/>
    <n v="18"/>
    <m/>
    <n v="139"/>
    <x v="0"/>
    <m/>
    <s v=""/>
    <x v="2"/>
  </r>
  <r>
    <n v="268"/>
    <x v="0"/>
    <n v="3"/>
    <n v="0"/>
    <x v="0"/>
    <s v="TRANSVERSAL 18 DIAGONAL 47"/>
    <n v="5.3165166666666668"/>
    <n v="-72.392266666666671"/>
    <s v="MOVILIDAD"/>
    <s v="URBANO"/>
    <x v="0"/>
    <s v="AGOSTO"/>
    <d v="2022-08-01T00:00:00"/>
    <x v="4"/>
    <d v="1899-12-30T06:20:00"/>
    <s v="MOTOCICLETA"/>
    <s v="AUTOMOVIL"/>
    <n v="1"/>
    <n v="0"/>
    <n v="1"/>
    <n v="0"/>
    <n v="0"/>
    <n v="0"/>
    <n v="0"/>
    <n v="0"/>
    <n v="0"/>
    <n v="0"/>
    <n v="0"/>
    <n v="0"/>
    <m/>
    <s v="FEMENINO"/>
    <n v="0"/>
    <n v="1"/>
    <n v="18"/>
    <m/>
    <m/>
    <m/>
    <n v="23"/>
    <m/>
    <n v="139"/>
    <x v="0"/>
    <n v="115"/>
    <s v="Embriaguez o Sustancias alucinogenas"/>
    <x v="2"/>
  </r>
  <r>
    <n v="670"/>
    <x v="0"/>
    <n v="1"/>
    <n v="0"/>
    <x v="0"/>
    <s v="TRANSVERSAL 18 DIAGONAL 47"/>
    <n v="5.3165166666666668"/>
    <n v="-72.392266666666671"/>
    <s v="MOVILIDAD"/>
    <s v="URBANO"/>
    <x v="3"/>
    <s v="MARZO"/>
    <d v="2024-03-02T00:00:00"/>
    <x v="5"/>
    <d v="1899-12-30T19:2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23"/>
    <n v="48"/>
    <m/>
    <m/>
    <m/>
    <m/>
    <n v="123"/>
    <x v="21"/>
    <n v="139"/>
    <s v="Impericia en el manejo."/>
    <x v="0"/>
  </r>
  <r>
    <n v="104"/>
    <x v="0"/>
    <n v="1"/>
    <n v="0"/>
    <x v="0"/>
    <s v="TRANSVERSAL 18 DIAGONAL 47"/>
    <n v="5.3165166666666668"/>
    <n v="-72.392266666666671"/>
    <s v="MOVILIDAD"/>
    <s v="URBANO"/>
    <x v="0"/>
    <s v="MARZO"/>
    <d v="2022-03-29T00:00:00"/>
    <x v="6"/>
    <d v="1899-12-30T13:0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35"/>
    <m/>
    <m/>
    <m/>
    <m/>
    <m/>
    <n v="122"/>
    <x v="2"/>
    <n v="139"/>
    <s v="Impericia en el manejo."/>
    <x v="1"/>
  </r>
  <r>
    <n v="604"/>
    <x v="0"/>
    <n v="1"/>
    <n v="0"/>
    <x v="0"/>
    <s v="TRANSVERSAL 18 DIAGONAL 47"/>
    <n v="5.3165166666666668"/>
    <n v="-72.392266666666671"/>
    <s v="MOVILIDAD"/>
    <s v="URBANO"/>
    <x v="1"/>
    <s v="NOVIEMBRE"/>
    <d v="2023-11-10T00:00:00"/>
    <x v="0"/>
    <d v="1899-12-30T08:1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27"/>
    <m/>
    <m/>
    <m/>
    <m/>
    <m/>
    <n v="121"/>
    <x v="7"/>
    <m/>
    <s v=""/>
    <x v="2"/>
  </r>
  <r>
    <n v="203"/>
    <x v="0"/>
    <n v="1"/>
    <n v="0"/>
    <x v="0"/>
    <s v="TRANSVERSAL 18 DIAGONAL 47"/>
    <n v="5.3165166666666668"/>
    <n v="-72.392266666666671"/>
    <s v="MOVILIDAD"/>
    <s v="URBANO"/>
    <x v="0"/>
    <s v="MAYO"/>
    <d v="2022-05-30T00:00:00"/>
    <x v="4"/>
    <d v="1899-12-30T14:30:00"/>
    <s v="AUTOMOVIL"/>
    <s v="AUTOMOVIL"/>
    <n v="0"/>
    <n v="0"/>
    <n v="2"/>
    <n v="0"/>
    <n v="0"/>
    <n v="0"/>
    <n v="0"/>
    <n v="0"/>
    <n v="0"/>
    <n v="0"/>
    <n v="0"/>
    <n v="0"/>
    <s v="MASCULINO"/>
    <m/>
    <n v="1"/>
    <n v="0"/>
    <n v="53"/>
    <m/>
    <m/>
    <m/>
    <m/>
    <m/>
    <n v="112"/>
    <x v="4"/>
    <m/>
    <s v=""/>
    <x v="1"/>
  </r>
  <r>
    <n v="1078"/>
    <x v="0"/>
    <n v="1"/>
    <n v="0"/>
    <x v="0"/>
    <s v="TRANSVERSAL 18 MARGINAL DE LA SELVA # TRANSVERSAL 17 PATINODROMO"/>
    <n v="5.3411418419999999"/>
    <n v="-72.404873050000006"/>
    <s v="MOVILIDAD"/>
    <s v="URBANO"/>
    <x v="2"/>
    <s v="SEPTIEMBRE"/>
    <d v="2025-09-17T00:00:00"/>
    <x v="3"/>
    <d v="1899-12-30T07:50:00"/>
    <s v="CAMIONETA"/>
    <s v="MOTOCICLETA"/>
    <n v="1"/>
    <n v="0"/>
    <n v="0"/>
    <n v="0"/>
    <n v="1"/>
    <n v="0"/>
    <n v="0"/>
    <n v="0"/>
    <n v="0"/>
    <n v="0"/>
    <n v="0"/>
    <n v="0"/>
    <s v="MASCULINO"/>
    <s v="FEMENINO"/>
    <n v="1"/>
    <n v="1"/>
    <n v="57"/>
    <n v="59"/>
    <m/>
    <m/>
    <m/>
    <m/>
    <n v="123"/>
    <x v="21"/>
    <n v="157"/>
    <s v="Otra"/>
    <x v="2"/>
  </r>
  <r>
    <n v="507"/>
    <x v="0"/>
    <n v="2"/>
    <n v="0"/>
    <x v="0"/>
    <s v="TRANSVERSAL 18 MARGINAL DE LA SELVA CALLE 10"/>
    <n v="5.3452205555555556"/>
    <n v="-72.402862777777784"/>
    <s v="MOVILIDAD"/>
    <s v="URBANO"/>
    <x v="1"/>
    <s v="JUNIO"/>
    <d v="2023-06-13T00:00:00"/>
    <x v="6"/>
    <d v="1899-12-30T06:1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36"/>
    <n v="43"/>
    <m/>
    <m/>
    <m/>
    <m/>
    <n v="127"/>
    <x v="18"/>
    <m/>
    <s v=""/>
    <x v="2"/>
  </r>
  <r>
    <n v="1030"/>
    <x v="0"/>
    <n v="2"/>
    <n v="0"/>
    <x v="0"/>
    <s v="TRANSVERSAL 18 MARGINAL DE LA SELVA ENTRE 8 Y 10"/>
    <n v="5.347658"/>
    <n v="-72.402497999999994"/>
    <s v="MOVILIDAD"/>
    <s v="URBANO"/>
    <x v="2"/>
    <s v="AGOSTO"/>
    <d v="2025-08-01T00:00:00"/>
    <x v="0"/>
    <d v="1899-12-30T08:25:00"/>
    <s v="MOTOCICLETA"/>
    <m/>
    <n v="1"/>
    <n v="0"/>
    <n v="0"/>
    <n v="0"/>
    <n v="0"/>
    <n v="0"/>
    <n v="0"/>
    <n v="0"/>
    <n v="0"/>
    <n v="0"/>
    <n v="0"/>
    <n v="0"/>
    <s v="FEMENINO"/>
    <s v="FEMENINO"/>
    <n v="0"/>
    <n v="2"/>
    <n v="31"/>
    <n v="61"/>
    <m/>
    <m/>
    <m/>
    <m/>
    <n v="157"/>
    <x v="1"/>
    <n v="139"/>
    <s v="Impericia en el manejo."/>
    <x v="2"/>
  </r>
  <r>
    <n v="1034"/>
    <x v="1"/>
    <n v="0"/>
    <n v="0"/>
    <x v="1"/>
    <s v="TRANSVERSAL 18 N 14-53"/>
    <n v="5.3431040000000003"/>
    <n v="-72.403924000000004"/>
    <s v="MOVILIDAD"/>
    <s v="URBANO"/>
    <x v="2"/>
    <s v="AGOSTO"/>
    <d v="2025-08-04T00:00:00"/>
    <x v="4"/>
    <d v="1899-12-30T20:40:00"/>
    <s v="CAMION "/>
    <s v="MOTOCICLETA"/>
    <n v="1"/>
    <n v="0"/>
    <n v="0"/>
    <n v="0"/>
    <n v="0"/>
    <n v="0"/>
    <n v="0"/>
    <n v="0"/>
    <n v="0"/>
    <n v="0"/>
    <n v="0"/>
    <n v="0"/>
    <s v="MASCULINO"/>
    <s v="MASCULINO"/>
    <n v="2"/>
    <n v="0"/>
    <n v="38"/>
    <n v="21"/>
    <n v="24"/>
    <m/>
    <m/>
    <m/>
    <n v="157"/>
    <x v="1"/>
    <m/>
    <s v=""/>
    <x v="0"/>
  </r>
  <r>
    <n v="918"/>
    <x v="1"/>
    <n v="0"/>
    <n v="0"/>
    <x v="1"/>
    <s v="TRANSVERSAL 18 TRANSVERSAL 10"/>
    <n v="5.3375830000000004"/>
    <n v="-72.406552000000005"/>
    <s v="MOVILIDAD"/>
    <s v="URBANO"/>
    <x v="2"/>
    <s v="MARZO"/>
    <d v="2025-03-28T00:00:00"/>
    <x v="0"/>
    <d v="1899-12-30T10:30:00"/>
    <s v="MOTOCICLETA"/>
    <s v="MOTOCICLETA"/>
    <n v="2"/>
    <n v="0"/>
    <n v="0"/>
    <n v="0"/>
    <n v="0"/>
    <n v="0"/>
    <n v="0"/>
    <n v="0"/>
    <n v="0"/>
    <n v="0"/>
    <n v="0"/>
    <n v="0"/>
    <s v="MASCULINO"/>
    <s v="MASCULINO"/>
    <n v="2"/>
    <n v="0"/>
    <n v="26"/>
    <n v="58"/>
    <m/>
    <m/>
    <m/>
    <m/>
    <n v="121"/>
    <x v="7"/>
    <n v="119"/>
    <s v="Frenar bruscamente."/>
    <x v="2"/>
  </r>
  <r>
    <n v="434"/>
    <x v="0"/>
    <n v="1"/>
    <n v="0"/>
    <x v="0"/>
    <s v="TRANSVERSAL 23 CALLE 30"/>
    <n v="5.332527777777778"/>
    <n v="-72.388361388888896"/>
    <s v="MOVILIDAD"/>
    <s v="URBANO"/>
    <x v="1"/>
    <s v="MARZO"/>
    <d v="2023-03-19T00:00:00"/>
    <x v="2"/>
    <d v="1899-12-30T21:2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23"/>
    <m/>
    <m/>
    <m/>
    <m/>
    <m/>
    <n v="122"/>
    <x v="2"/>
    <m/>
    <s v=""/>
    <x v="0"/>
  </r>
  <r>
    <n v="359"/>
    <x v="0"/>
    <n v="2"/>
    <n v="0"/>
    <x v="0"/>
    <s v="TRANSVERSAL 23 CALLE 35 A "/>
    <n v="5.3290833333333332"/>
    <n v="-72.384372222222225"/>
    <s v="MOVILIDAD"/>
    <s v="URBANO"/>
    <x v="0"/>
    <s v="NOVIEMBRE"/>
    <d v="2022-11-23T00:00:00"/>
    <x v="3"/>
    <d v="1899-12-30T08:10:00"/>
    <s v="MOTOCICLETA"/>
    <s v="AUTOMOVIL"/>
    <n v="1"/>
    <n v="0"/>
    <n v="1"/>
    <n v="0"/>
    <n v="0"/>
    <n v="0"/>
    <n v="0"/>
    <n v="0"/>
    <n v="0"/>
    <n v="0"/>
    <n v="0"/>
    <n v="0"/>
    <m/>
    <s v="FEMENINO"/>
    <n v="0"/>
    <n v="1"/>
    <n v="32"/>
    <m/>
    <m/>
    <m/>
    <n v="20"/>
    <m/>
    <n v="132"/>
    <x v="13"/>
    <n v="139"/>
    <s v="Impericia en el manejo."/>
    <x v="2"/>
  </r>
  <r>
    <n v="857"/>
    <x v="0"/>
    <n v="1"/>
    <n v="0"/>
    <x v="0"/>
    <s v="TRANSVERSAL 23 CALLE 40 "/>
    <n v="5.3247020000000003"/>
    <n v="-72.384179000000003"/>
    <s v="MOVILIDAD"/>
    <s v="URBANO"/>
    <x v="2"/>
    <s v="ENERO"/>
    <d v="2025-01-14T00:00:00"/>
    <x v="6"/>
    <d v="1899-12-30T22:20:00"/>
    <s v="AUTOMOVIL"/>
    <s v="CAMIONETA"/>
    <n v="0"/>
    <n v="0"/>
    <n v="1"/>
    <n v="0"/>
    <n v="1"/>
    <n v="0"/>
    <n v="0"/>
    <n v="0"/>
    <n v="0"/>
    <n v="0"/>
    <n v="0"/>
    <n v="0"/>
    <s v="MASCULINO"/>
    <s v="FEMENINO"/>
    <n v="1"/>
    <n v="1"/>
    <n v="41"/>
    <n v="26"/>
    <n v="27"/>
    <m/>
    <m/>
    <m/>
    <n v="115"/>
    <x v="12"/>
    <n v="139"/>
    <s v="Impericia en el manejo."/>
    <x v="0"/>
  </r>
  <r>
    <n v="868"/>
    <x v="0"/>
    <n v="1"/>
    <n v="0"/>
    <x v="0"/>
    <s v="TRANSVERSAL 24C CALLE 35"/>
    <n v="5.3293799999999996"/>
    <n v="-72.384707000000006"/>
    <s v="MOVILIDAD"/>
    <s v="URBANO"/>
    <x v="2"/>
    <s v="FEBRERO"/>
    <d v="2025-02-05T00:00:00"/>
    <x v="3"/>
    <d v="1899-12-30T15:00:00"/>
    <s v="MOTOCICLETA"/>
    <s v="AUTOMOVIL"/>
    <n v="1"/>
    <n v="0"/>
    <n v="1"/>
    <n v="0"/>
    <n v="0"/>
    <n v="0"/>
    <n v="0"/>
    <n v="0"/>
    <n v="0"/>
    <n v="0"/>
    <n v="0"/>
    <n v="0"/>
    <s v="MASCULINO"/>
    <s v="MASCULINO"/>
    <n v="2"/>
    <n v="0"/>
    <n v="23"/>
    <n v="62"/>
    <m/>
    <m/>
    <m/>
    <m/>
    <n v="112"/>
    <x v="4"/>
    <n v="139"/>
    <s v="Impericia en el manejo."/>
    <x v="1"/>
  </r>
  <r>
    <n v="424"/>
    <x v="1"/>
    <n v="0"/>
    <n v="0"/>
    <x v="1"/>
    <s v="TRANSVERSAL 30 CALLE 11"/>
    <n v="5.3506947222222223"/>
    <n v="-72.390242777777786"/>
    <s v="MOVILIDAD"/>
    <s v="URBANO"/>
    <x v="1"/>
    <s v="MARZO"/>
    <d v="2023-03-01T00:00:00"/>
    <x v="3"/>
    <d v="1899-12-30T12:30:00"/>
    <s v="AUTOMOVIL"/>
    <s v="CAMIONETA"/>
    <n v="0"/>
    <n v="0"/>
    <n v="1"/>
    <n v="0"/>
    <n v="1"/>
    <n v="0"/>
    <n v="0"/>
    <n v="0"/>
    <n v="0"/>
    <n v="0"/>
    <n v="0"/>
    <n v="0"/>
    <m/>
    <s v="FEMENINO"/>
    <n v="0"/>
    <n v="1"/>
    <m/>
    <m/>
    <m/>
    <m/>
    <m/>
    <m/>
    <n v="157"/>
    <x v="1"/>
    <m/>
    <s v=""/>
    <x v="1"/>
  </r>
  <r>
    <n v="41"/>
    <x v="0"/>
    <n v="1"/>
    <n v="0"/>
    <x v="0"/>
    <s v="TRANSVERSAL 36 CALLE 35"/>
    <n v="5.3330055555555553"/>
    <n v="-72.379563888888882"/>
    <s v="MOVILIDAD"/>
    <s v="URBANO"/>
    <x v="0"/>
    <s v="FEBRERO"/>
    <d v="2022-02-02T00:00:00"/>
    <x v="3"/>
    <d v="1899-12-30T11:1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m/>
    <m/>
    <m/>
    <n v="24"/>
    <m/>
    <m/>
    <n v="112"/>
    <x v="4"/>
    <m/>
    <s v=""/>
    <x v="2"/>
  </r>
  <r>
    <n v="767"/>
    <x v="0"/>
    <n v="1"/>
    <n v="0"/>
    <x v="0"/>
    <s v="TRANSVERSAL 6 CALLE 36"/>
    <n v="5.3211972222222217"/>
    <n v="-72.402666666666676"/>
    <s v="MOVILIDAD"/>
    <s v="URBANO"/>
    <x v="3"/>
    <s v="AGOSTO"/>
    <d v="2024-08-22T00:00:00"/>
    <x v="1"/>
    <d v="1899-12-30T20:45:00"/>
    <s v="MOTOCICLETA"/>
    <s v="AUTOMOVIL"/>
    <n v="1"/>
    <n v="0"/>
    <n v="1"/>
    <n v="0"/>
    <n v="0"/>
    <n v="0"/>
    <n v="0"/>
    <n v="0"/>
    <n v="0"/>
    <n v="0"/>
    <n v="0"/>
    <n v="0"/>
    <s v="MASCULINO"/>
    <s v="FEMENINO"/>
    <n v="1"/>
    <n v="1"/>
    <n v="16"/>
    <n v="48"/>
    <m/>
    <m/>
    <m/>
    <m/>
    <n v="134"/>
    <x v="24"/>
    <n v="157"/>
    <s v="Otra"/>
    <x v="0"/>
  </r>
  <r>
    <n v="524"/>
    <x v="0"/>
    <n v="2"/>
    <n v="0"/>
    <x v="0"/>
    <s v="TRANSVERSAL 6 CALLE 36"/>
    <n v="5.3211861111111105"/>
    <n v="-72.402669444444456"/>
    <s v="MOVILIDAD"/>
    <s v="URBANO"/>
    <x v="1"/>
    <s v="JULIO"/>
    <d v="2023-07-29T00:00:00"/>
    <x v="5"/>
    <d v="1899-12-30T16:10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n v="20"/>
    <n v="24"/>
    <m/>
    <m/>
    <m/>
    <m/>
    <n v="114"/>
    <x v="5"/>
    <n v="112"/>
    <s v="Desobedecer señales o normas de tránsito."/>
    <x v="1"/>
  </r>
  <r>
    <n v="129"/>
    <x v="0"/>
    <n v="2"/>
    <n v="0"/>
    <x v="0"/>
    <s v="TRANSVERSAL 6 CALLE 40"/>
    <n v="5.3185500000000001"/>
    <n v="-72.401605555555562"/>
    <s v="MOVILIDAD"/>
    <s v="URBANO"/>
    <x v="0"/>
    <s v="ABRIL"/>
    <d v="2022-04-10T00:00:00"/>
    <x v="2"/>
    <d v="1899-12-30T05:15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24"/>
    <m/>
    <m/>
    <m/>
    <n v="30"/>
    <m/>
    <n v="141"/>
    <x v="28"/>
    <n v="110"/>
    <s v="Exceso en horas de conducción."/>
    <x v="2"/>
  </r>
  <r>
    <n v="68"/>
    <x v="0"/>
    <n v="2"/>
    <n v="0"/>
    <x v="0"/>
    <s v="TRANSVERSAL 7  # 33-16"/>
    <n v="5.3236416666666662"/>
    <n v="-72.402377777777787"/>
    <s v="MOVILIDAD"/>
    <s v="URBANO"/>
    <x v="0"/>
    <s v="FEBRERO"/>
    <d v="2022-02-26T00:00:00"/>
    <x v="5"/>
    <d v="1899-12-30T21:0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22"/>
    <m/>
    <m/>
    <m/>
    <m/>
    <m/>
    <n v="104"/>
    <x v="9"/>
    <n v="114"/>
    <s v="Embriaguez aparente."/>
    <x v="0"/>
  </r>
  <r>
    <n v="824"/>
    <x v="0"/>
    <n v="2"/>
    <n v="0"/>
    <x v="0"/>
    <s v="TRANSVERSAL 7  # 36B-24"/>
    <n v="5.320945"/>
    <n v="-72.401078611111117"/>
    <s v="MOVILIDAD"/>
    <s v="URBANO"/>
    <x v="3"/>
    <s v="DICIEMBRE"/>
    <d v="2024-12-01T00:00:00"/>
    <x v="2"/>
    <d v="1899-12-30T13:40:00"/>
    <s v="MOTOCICLETA"/>
    <s v="AUTOMOVIL"/>
    <n v="1"/>
    <n v="0"/>
    <n v="1"/>
    <n v="0"/>
    <n v="0"/>
    <n v="0"/>
    <n v="0"/>
    <n v="0"/>
    <n v="0"/>
    <n v="0"/>
    <n v="0"/>
    <n v="0"/>
    <s v="MASCULINO"/>
    <s v="FEMENINO"/>
    <n v="1"/>
    <n v="1"/>
    <n v="45"/>
    <n v="30"/>
    <n v="10"/>
    <m/>
    <m/>
    <m/>
    <n v="139"/>
    <x v="0"/>
    <m/>
    <s v=""/>
    <x v="1"/>
  </r>
  <r>
    <n v="579"/>
    <x v="0"/>
    <n v="2"/>
    <n v="1"/>
    <x v="2"/>
    <s v="TRANSVERSAL 7  # 37B-54 "/>
    <n v="5.3193999999999999"/>
    <n v="-72.400330555555556"/>
    <s v="MOVILIDAD"/>
    <s v="URBANO"/>
    <x v="1"/>
    <s v="OCTUBRE"/>
    <d v="2023-10-22T00:00:00"/>
    <x v="2"/>
    <d v="1899-12-30T16:00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n v="27"/>
    <m/>
    <m/>
    <m/>
    <n v="7"/>
    <n v="25"/>
    <n v="157"/>
    <x v="1"/>
    <m/>
    <s v=""/>
    <x v="1"/>
  </r>
  <r>
    <n v="707"/>
    <x v="0"/>
    <n v="1"/>
    <n v="0"/>
    <x v="0"/>
    <s v="TRANSVERSAL 7  CALLE 32"/>
    <n v="5.3244583333333333"/>
    <n v="-72.402727777777784"/>
    <s v="MOVILIDAD"/>
    <s v="URBANO"/>
    <x v="3"/>
    <s v="MAYO"/>
    <d v="2024-05-11T00:00:00"/>
    <x v="5"/>
    <d v="1899-12-30T17:36:00"/>
    <s v="MOTOCICLETA"/>
    <s v="BICICLETA"/>
    <n v="1"/>
    <n v="0"/>
    <n v="0"/>
    <n v="0"/>
    <n v="0"/>
    <n v="0"/>
    <n v="0"/>
    <n v="0"/>
    <n v="0"/>
    <n v="0"/>
    <n v="0"/>
    <n v="1"/>
    <s v="MASCULINO"/>
    <m/>
    <n v="1"/>
    <n v="0"/>
    <n v="12"/>
    <n v="21"/>
    <m/>
    <m/>
    <m/>
    <m/>
    <n v="157"/>
    <x v="1"/>
    <m/>
    <s v=""/>
    <x v="1"/>
  </r>
  <r>
    <n v="1095"/>
    <x v="1"/>
    <n v="0"/>
    <n v="0"/>
    <x v="1"/>
    <s v="TRANSVERSAL 7 # CALLE 32"/>
    <n v="5.3243683329999598"/>
    <n v="-72.402676666998701"/>
    <s v="MOVILIDAD"/>
    <s v="URBANO"/>
    <x v="2"/>
    <s v="SEPTIEMBRE"/>
    <d v="2025-09-26T00:00:00"/>
    <x v="0"/>
    <d v="1899-12-30T22:45:00"/>
    <s v="AUTOMOVIL"/>
    <s v="MOTOCICLETA"/>
    <n v="1"/>
    <n v="0"/>
    <n v="1"/>
    <n v="0"/>
    <n v="0"/>
    <n v="0"/>
    <n v="0"/>
    <n v="0"/>
    <n v="0"/>
    <n v="0"/>
    <n v="0"/>
    <n v="0"/>
    <s v="MASCULINO"/>
    <s v="FEMENINO"/>
    <n v="1"/>
    <n v="1"/>
    <m/>
    <m/>
    <m/>
    <m/>
    <m/>
    <m/>
    <n v="157"/>
    <x v="1"/>
    <m/>
    <s v=""/>
    <x v="0"/>
  </r>
  <r>
    <n v="1070"/>
    <x v="0"/>
    <n v="1"/>
    <n v="0"/>
    <x v="0"/>
    <s v="TRANSVERSAL 7 # CALLE 35"/>
    <n v="5.3221558995263001"/>
    <n v="-72.401646765274194"/>
    <s v="MOVILIDAD"/>
    <s v="URBANO"/>
    <x v="2"/>
    <s v="SEPTIEMBRE"/>
    <d v="2025-09-14T00:00:00"/>
    <x v="2"/>
    <d v="1899-12-30T14:40:00"/>
    <s v="CAMIONETA"/>
    <s v="MOTOCICLETA"/>
    <n v="1"/>
    <n v="0"/>
    <n v="0"/>
    <n v="0"/>
    <n v="1"/>
    <n v="0"/>
    <n v="0"/>
    <n v="0"/>
    <n v="0"/>
    <n v="0"/>
    <n v="0"/>
    <n v="0"/>
    <s v="MASCULINO"/>
    <s v="MASCULINO"/>
    <n v="2"/>
    <n v="0"/>
    <n v="22"/>
    <n v="60"/>
    <m/>
    <m/>
    <m/>
    <m/>
    <n v="122"/>
    <x v="2"/>
    <n v="139"/>
    <s v="Impericia en el manejo."/>
    <x v="1"/>
  </r>
  <r>
    <n v="1101"/>
    <x v="1"/>
    <n v="0"/>
    <n v="0"/>
    <x v="1"/>
    <s v="TRANSVERSAL 7 # CALLE 36B"/>
    <n v="5.3210987616330296"/>
    <n v="-72.401073798537197"/>
    <s v="MOVILIDAD"/>
    <s v="URBANO"/>
    <x v="2"/>
    <s v="OCTUBRE"/>
    <d v="2025-10-01T00:00:00"/>
    <x v="3"/>
    <d v="1899-12-30T11:49:00"/>
    <s v="MOTOCICLETA"/>
    <s v="CAMIONETA"/>
    <n v="1"/>
    <n v="0"/>
    <n v="0"/>
    <n v="0"/>
    <n v="1"/>
    <n v="0"/>
    <n v="0"/>
    <n v="0"/>
    <n v="0"/>
    <n v="0"/>
    <n v="0"/>
    <n v="0"/>
    <s v="MASCULINO"/>
    <s v="MASCULINO"/>
    <n v="2"/>
    <n v="0"/>
    <m/>
    <m/>
    <m/>
    <m/>
    <m/>
    <m/>
    <n v="104"/>
    <x v="9"/>
    <m/>
    <s v=""/>
    <x v="2"/>
  </r>
  <r>
    <n v="390"/>
    <x v="1"/>
    <n v="0"/>
    <n v="0"/>
    <x v="1"/>
    <s v="TRANSVERSAL 7 CALLE 30"/>
    <n v="5.3255202777777777"/>
    <n v="-72.403247777777779"/>
    <s v="MOVILIDAD"/>
    <s v="URBANO"/>
    <x v="1"/>
    <s v="ENERO"/>
    <d v="2023-01-15T00:00:00"/>
    <x v="2"/>
    <d v="1899-12-30T18:10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n v="42"/>
    <n v="25"/>
    <m/>
    <m/>
    <m/>
    <m/>
    <n v="121"/>
    <x v="7"/>
    <n v="139"/>
    <s v="Impericia en el manejo."/>
    <x v="0"/>
  </r>
  <r>
    <n v="916"/>
    <x v="0"/>
    <n v="3"/>
    <n v="0"/>
    <x v="0"/>
    <s v="TRANSVERSAL 7 CALLE 31A"/>
    <n v="5.324757"/>
    <n v="-72.402889000000002"/>
    <s v="MOVILIDAD"/>
    <s v="URBANO"/>
    <x v="2"/>
    <s v="MARZO"/>
    <d v="2025-03-27T00:00:00"/>
    <x v="1"/>
    <d v="1899-12-30T20:46:00"/>
    <s v="MOTOCICLETA"/>
    <s v="MOTOCICLETA"/>
    <n v="2"/>
    <n v="0"/>
    <n v="0"/>
    <n v="0"/>
    <n v="0"/>
    <n v="0"/>
    <n v="0"/>
    <n v="0"/>
    <n v="0"/>
    <n v="0"/>
    <n v="0"/>
    <n v="0"/>
    <s v="MASCULINO"/>
    <s v="MASCULINO"/>
    <n v="2"/>
    <n v="0"/>
    <n v="26"/>
    <n v="20"/>
    <m/>
    <m/>
    <m/>
    <m/>
    <n v="104"/>
    <x v="9"/>
    <m/>
    <s v=""/>
    <x v="0"/>
  </r>
  <r>
    <n v="51"/>
    <x v="0"/>
    <n v="3"/>
    <n v="0"/>
    <x v="0"/>
    <s v="TRANSVERSAL 7 CALLE 34"/>
    <n v="5.3228305555555551"/>
    <n v="-72.401933333333332"/>
    <s v="MOVILIDAD"/>
    <s v="URBANO"/>
    <x v="0"/>
    <s v="FEBRERO"/>
    <d v="2022-02-13T00:00:00"/>
    <x v="2"/>
    <d v="1899-12-30T15:5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60"/>
    <n v="21"/>
    <m/>
    <m/>
    <n v="5"/>
    <m/>
    <n v="112"/>
    <x v="4"/>
    <n v="131"/>
    <s v="Salirse de la calzada."/>
    <x v="1"/>
  </r>
  <r>
    <n v="274"/>
    <x v="0"/>
    <n v="1"/>
    <n v="0"/>
    <x v="0"/>
    <s v="TRANSVERSAL 7 CALLE 37B"/>
    <n v="5.3195638888888883"/>
    <n v="-72.400413888888892"/>
    <s v="MOVILIDAD"/>
    <s v="URBANO"/>
    <x v="0"/>
    <s v="AGOSTO"/>
    <d v="2022-08-07T00:00:00"/>
    <x v="2"/>
    <d v="1899-12-30T20:50:00"/>
    <s v="MOTOCICLETA"/>
    <s v="MOTOCICLETA"/>
    <n v="2"/>
    <n v="0"/>
    <n v="0"/>
    <n v="0"/>
    <n v="0"/>
    <n v="0"/>
    <n v="0"/>
    <n v="0"/>
    <n v="0"/>
    <n v="0"/>
    <n v="0"/>
    <n v="0"/>
    <m/>
    <s v="FEMENINO"/>
    <n v="0"/>
    <n v="1"/>
    <m/>
    <m/>
    <m/>
    <m/>
    <n v="23"/>
    <m/>
    <n v="115"/>
    <x v="12"/>
    <n v="104"/>
    <s v="Adelantar invadiendo carril de sentido contrario."/>
    <x v="0"/>
  </r>
  <r>
    <n v="407"/>
    <x v="0"/>
    <n v="1"/>
    <n v="0"/>
    <x v="0"/>
    <s v="TRANSVERSAL 7 CALLE 40BOMBA TERPEL "/>
    <n v="5.3184624999999999"/>
    <n v="-72.399751666666674"/>
    <s v="MOVILIDAD"/>
    <s v="URBANO"/>
    <x v="1"/>
    <s v="FEBRERO"/>
    <d v="2023-02-17T00:00:00"/>
    <x v="0"/>
    <d v="1899-12-30T20:20:00"/>
    <s v="MICROBUS"/>
    <m/>
    <n v="0"/>
    <n v="0"/>
    <n v="0"/>
    <n v="0"/>
    <n v="0"/>
    <n v="1"/>
    <n v="0"/>
    <n v="0"/>
    <n v="0"/>
    <n v="0"/>
    <n v="0"/>
    <n v="0"/>
    <m/>
    <s v="FEMENINO"/>
    <n v="0"/>
    <n v="1"/>
    <m/>
    <m/>
    <m/>
    <n v="16"/>
    <m/>
    <m/>
    <n v="157"/>
    <x v="1"/>
    <m/>
    <s v=""/>
    <x v="0"/>
  </r>
  <r>
    <n v="641"/>
    <x v="0"/>
    <n v="0"/>
    <n v="1"/>
    <x v="2"/>
    <s v="TRANSVERSAL 7B ENTRE CALLES 15 Y 16"/>
    <n v="5.3410413888888888"/>
    <n v="-72.405252222222231"/>
    <s v="MOVILIDAD"/>
    <s v="URBANO"/>
    <x v="1"/>
    <s v="DICIEMBRE"/>
    <d v="2023-12-30T00:00:00"/>
    <x v="5"/>
    <d v="1899-12-30T04:50:00"/>
    <s v="MOTOCICLETA"/>
    <m/>
    <n v="1"/>
    <n v="0"/>
    <n v="0"/>
    <n v="0"/>
    <n v="0"/>
    <n v="0"/>
    <n v="0"/>
    <n v="0"/>
    <n v="0"/>
    <n v="0"/>
    <n v="0"/>
    <n v="0"/>
    <m/>
    <s v="FEMENINO"/>
    <n v="0"/>
    <n v="1"/>
    <m/>
    <m/>
    <m/>
    <m/>
    <m/>
    <m/>
    <n v="116"/>
    <x v="14"/>
    <n v="139"/>
    <s v="Impericia en el manejo."/>
    <x v="2"/>
  </r>
  <r>
    <n v="1083"/>
    <x v="0"/>
    <n v="1"/>
    <n v="0"/>
    <x v="0"/>
    <s v="TRANSVERSAL 9 # CALLE 10"/>
    <n v="5.3367712860926897"/>
    <n v="-72.404163703322396"/>
    <s v="MOVILIDAD"/>
    <s v="URBANO"/>
    <x v="2"/>
    <s v="SEPTIEMBRE"/>
    <d v="2025-09-15T00:00:00"/>
    <x v="4"/>
    <d v="1899-12-30T16:43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21"/>
    <m/>
    <m/>
    <m/>
    <m/>
    <m/>
    <n v="128"/>
    <x v="31"/>
    <n v="139"/>
    <s v="Impericia en el manejo."/>
    <x v="1"/>
  </r>
  <r>
    <n v="683"/>
    <x v="0"/>
    <n v="1"/>
    <n v="0"/>
    <x v="0"/>
    <s v="TRANVERSAL 15  CALLE 36"/>
    <n v="5.3235861111111111"/>
    <n v="-72.393569444444452"/>
    <s v="MOVILIDAD"/>
    <s v="URBANO"/>
    <x v="3"/>
    <s v="MARZO"/>
    <d v="2024-03-26T00:00:00"/>
    <x v="6"/>
    <d v="1899-12-30T11:40:00"/>
    <s v="BUS"/>
    <s v="BICICLETA"/>
    <n v="0"/>
    <n v="0"/>
    <n v="0"/>
    <n v="0"/>
    <n v="0"/>
    <n v="0"/>
    <n v="1"/>
    <n v="0"/>
    <n v="0"/>
    <n v="0"/>
    <n v="0"/>
    <n v="1"/>
    <s v="MASCULINO"/>
    <m/>
    <n v="1"/>
    <n v="0"/>
    <n v="27"/>
    <n v="0"/>
    <m/>
    <m/>
    <m/>
    <m/>
    <n v="157"/>
    <x v="1"/>
    <m/>
    <s v=""/>
    <x v="2"/>
  </r>
  <r>
    <n v="1073"/>
    <x v="0"/>
    <n v="1"/>
    <n v="0"/>
    <x v="0"/>
    <s v="TRASNVERSAL 18 # CALLE 13"/>
    <n v="5.3431066725695597"/>
    <n v="-72.404034111265901"/>
    <s v="MOVILIDAD"/>
    <s v="URBANO"/>
    <x v="2"/>
    <s v="SEPTIEMBRE"/>
    <d v="2025-09-14T00:00:00"/>
    <x v="2"/>
    <d v="1899-12-30T17:50:00"/>
    <s v="MOTOCICLETA"/>
    <s v="MOTOCICLETA"/>
    <n v="2"/>
    <n v="0"/>
    <n v="0"/>
    <n v="0"/>
    <n v="0"/>
    <n v="0"/>
    <n v="0"/>
    <n v="0"/>
    <n v="0"/>
    <n v="0"/>
    <n v="0"/>
    <n v="0"/>
    <s v="MASCULINO"/>
    <s v="MASCULINO"/>
    <n v="2"/>
    <n v="0"/>
    <n v="30"/>
    <n v="42"/>
    <m/>
    <m/>
    <m/>
    <m/>
    <n v="105"/>
    <x v="44"/>
    <m/>
    <s v=""/>
    <x v="1"/>
  </r>
  <r>
    <n v="456"/>
    <x v="0"/>
    <n v="1"/>
    <n v="0"/>
    <x v="0"/>
    <s v="TRASVERSAL 15  CALLE 38 "/>
    <n v="5.3210455555555551"/>
    <n v="-72.39309194444445"/>
    <s v="MOVILIDAD"/>
    <s v="URBANO"/>
    <x v="1"/>
    <s v="ABRIL"/>
    <d v="2023-04-22T00:00:00"/>
    <x v="5"/>
    <d v="1899-12-30T06:15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31"/>
    <m/>
    <m/>
    <m/>
    <m/>
    <m/>
    <n v="116"/>
    <x v="14"/>
    <n v="145"/>
    <s v="Arrancar sin precaución."/>
    <x v="2"/>
  </r>
  <r>
    <n v="774"/>
    <x v="0"/>
    <n v="0"/>
    <n v="1"/>
    <x v="2"/>
    <s v="UNION  CHARTE MONTERREY-YOPAL"/>
    <n v="5.2568855555555558"/>
    <n v="-72.485616111111113"/>
    <s v="MOVILIDAD"/>
    <s v="RURAL"/>
    <x v="3"/>
    <s v="AGOSTO"/>
    <d v="2024-08-30T00:00:00"/>
    <x v="0"/>
    <d v="1899-12-30T23:00:00"/>
    <s v="MOTOCICLETA"/>
    <m/>
    <n v="1"/>
    <n v="0"/>
    <n v="0"/>
    <n v="0"/>
    <n v="0"/>
    <n v="0"/>
    <n v="0"/>
    <n v="0"/>
    <n v="0"/>
    <n v="0"/>
    <n v="0"/>
    <n v="0"/>
    <m/>
    <s v="FEMENINO"/>
    <n v="0"/>
    <n v="1"/>
    <m/>
    <m/>
    <m/>
    <m/>
    <m/>
    <m/>
    <n v="1"/>
    <x v="3"/>
    <m/>
    <s v=""/>
    <x v="0"/>
  </r>
  <r>
    <n v="592"/>
    <x v="0"/>
    <n v="0"/>
    <n v="1"/>
    <x v="2"/>
    <s v="UNIR CHARTE  100+970 MONTERREY YOPAL  "/>
    <n v="5.3165452000000002"/>
    <n v="-72.421678999999997"/>
    <s v="DITRA"/>
    <s v="RURAL"/>
    <x v="1"/>
    <s v="OCTUBRE"/>
    <d v="2023-10-24T00:00:00"/>
    <x v="6"/>
    <d v="1899-12-30T12:25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m/>
    <m/>
    <m/>
    <m/>
    <m/>
    <m/>
    <n v="1"/>
    <x v="3"/>
    <m/>
    <s v=""/>
    <x v="1"/>
  </r>
  <r>
    <n v="594"/>
    <x v="0"/>
    <n v="0"/>
    <n v="1"/>
    <x v="2"/>
    <s v="UNIR CHARTE  96+100 MONTERREY YOPAL "/>
    <n v="5.2911786000000003"/>
    <n v="-72.456360399999994"/>
    <s v="DITRA"/>
    <s v="RURAL"/>
    <x v="1"/>
    <s v="OCTUBRE"/>
    <d v="2023-10-28T00:00:00"/>
    <x v="5"/>
    <d v="1899-12-30T22:07:00"/>
    <s v="MOTOCICLETA"/>
    <m/>
    <n v="1"/>
    <n v="0"/>
    <n v="0"/>
    <n v="0"/>
    <n v="0"/>
    <n v="0"/>
    <n v="0"/>
    <n v="0"/>
    <n v="0"/>
    <n v="0"/>
    <n v="0"/>
    <n v="0"/>
    <m/>
    <s v="FEMENINO"/>
    <n v="0"/>
    <n v="1"/>
    <m/>
    <m/>
    <m/>
    <m/>
    <m/>
    <m/>
    <n v="1"/>
    <x v="3"/>
    <m/>
    <s v=""/>
    <x v="0"/>
  </r>
  <r>
    <n v="591"/>
    <x v="0"/>
    <n v="0"/>
    <n v="1"/>
    <x v="2"/>
    <s v="UNIR CHARTE 98+350 MONTERREY - YOPAL "/>
    <n v="5.3057287000000004"/>
    <n v="-72.443883999999997"/>
    <s v="DITRA"/>
    <s v="RURAL"/>
    <x v="1"/>
    <s v="OCTUBRE"/>
    <d v="2023-10-22T00:00:00"/>
    <x v="2"/>
    <d v="1899-12-30T08:13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m/>
    <m/>
    <m/>
    <m/>
    <m/>
    <m/>
    <n v="1"/>
    <x v="3"/>
    <m/>
    <s v=""/>
    <x v="2"/>
  </r>
  <r>
    <n v="593"/>
    <x v="0"/>
    <n v="0"/>
    <n v="1"/>
    <x v="2"/>
    <s v="UNIR EL CHARTE 100+740 MONTERREY -YOPAL"/>
    <n v="5.3155650000000003"/>
    <n v="-72.423482899999996"/>
    <s v="DITRA"/>
    <s v="RURAL"/>
    <x v="1"/>
    <s v="OCTUBRE"/>
    <d v="2023-10-27T00:00:00"/>
    <x v="0"/>
    <d v="1899-12-30T14:2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m/>
    <m/>
    <m/>
    <m/>
    <m/>
    <m/>
    <n v="1"/>
    <x v="3"/>
    <m/>
    <s v=""/>
    <x v="1"/>
  </r>
  <r>
    <n v="490"/>
    <x v="0"/>
    <n v="0"/>
    <n v="1"/>
    <x v="2"/>
    <s v="VEREDA CABAÑA VIA GUAYAQUITO SEPT EL MORRO "/>
    <n v="5.4405630555555557"/>
    <n v="-72.449220277777783"/>
    <s v="MOVILIDAD"/>
    <s v="URBANO"/>
    <x v="1"/>
    <s v="MAYO"/>
    <d v="2023-05-30T00:00:00"/>
    <x v="6"/>
    <d v="1899-12-30T01:20:00"/>
    <s v="CAMION"/>
    <m/>
    <n v="0"/>
    <n v="0"/>
    <n v="0"/>
    <n v="0"/>
    <n v="0"/>
    <n v="0"/>
    <n v="0"/>
    <n v="0"/>
    <n v="1"/>
    <n v="0"/>
    <n v="0"/>
    <n v="0"/>
    <m/>
    <s v="FEMENINO"/>
    <n v="0"/>
    <n v="1"/>
    <m/>
    <m/>
    <m/>
    <m/>
    <m/>
    <n v="24"/>
    <n v="159"/>
    <x v="3"/>
    <m/>
    <s v=""/>
    <x v="2"/>
  </r>
  <r>
    <n v="439"/>
    <x v="0"/>
    <n v="2"/>
    <n v="0"/>
    <x v="0"/>
    <s v="VEREDA PATIMENA "/>
    <n v="5.4337997222222221"/>
    <n v="-72.262676666666664"/>
    <s v="MOVILIDAD"/>
    <s v="URBANO"/>
    <x v="1"/>
    <s v="MARZO"/>
    <d v="2023-03-28T00:00:00"/>
    <x v="6"/>
    <d v="1899-12-30T11:0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64"/>
    <n v="28"/>
    <m/>
    <m/>
    <m/>
    <m/>
    <n v="132"/>
    <x v="13"/>
    <n v="139"/>
    <s v="Impericia en el manejo."/>
    <x v="2"/>
  </r>
  <r>
    <n v="394"/>
    <x v="0"/>
    <n v="1"/>
    <n v="0"/>
    <x v="0"/>
    <s v="VIA MARGINAL DE LA SELVA # CARRERA 9"/>
    <n v="5.3363044444444441"/>
    <n v="-72.40715194444445"/>
    <s v="MOVILIDAD"/>
    <s v="URBANO"/>
    <x v="1"/>
    <s v="ENERO"/>
    <d v="2023-01-27T00:00:00"/>
    <x v="0"/>
    <d v="1899-12-30T09:20:00"/>
    <s v="MOTOCICLETA"/>
    <s v="MOTOCICLETA"/>
    <n v="2"/>
    <n v="0"/>
    <n v="0"/>
    <n v="0"/>
    <n v="0"/>
    <n v="0"/>
    <n v="0"/>
    <n v="0"/>
    <n v="0"/>
    <n v="0"/>
    <n v="0"/>
    <n v="0"/>
    <s v="MASCULINO"/>
    <s v="FEMENINO"/>
    <n v="1"/>
    <n v="1"/>
    <n v="33"/>
    <n v="21"/>
    <m/>
    <m/>
    <m/>
    <m/>
    <n v="139"/>
    <x v="0"/>
    <n v="122"/>
    <s v="Girar bruscamente."/>
    <x v="2"/>
  </r>
  <r>
    <n v="736"/>
    <x v="1"/>
    <n v="0"/>
    <n v="0"/>
    <x v="1"/>
    <s v="VIA MARGINAL DE LA SELVA ENTRE CARRERA 3Y4"/>
    <n v="5.3247283333333328"/>
    <n v="-72.41268500000001"/>
    <s v="MOVILIDAD"/>
    <s v="URBANO"/>
    <x v="3"/>
    <s v="JUNIO"/>
    <d v="2024-06-28T00:00:00"/>
    <x v="0"/>
    <d v="1899-12-30T09:50:00"/>
    <s v="MOTOCICLETA"/>
    <s v="CAMION"/>
    <n v="1"/>
    <n v="0"/>
    <n v="0"/>
    <n v="0"/>
    <n v="0"/>
    <n v="0"/>
    <n v="0"/>
    <n v="0"/>
    <n v="1"/>
    <n v="0"/>
    <n v="0"/>
    <n v="0"/>
    <s v="MASCULINO"/>
    <m/>
    <n v="1"/>
    <n v="0"/>
    <n v="27"/>
    <n v="23"/>
    <m/>
    <m/>
    <m/>
    <m/>
    <n v="125"/>
    <x v="46"/>
    <n v="102"/>
    <s v="Adelantar por la derecha."/>
    <x v="2"/>
  </r>
  <r>
    <n v="311"/>
    <x v="0"/>
    <n v="1"/>
    <n v="0"/>
    <x v="0"/>
    <s v="VIA MATEPANTANO ENTRADA LOS LAGOS"/>
    <n v="5.3370691666666668"/>
    <n v="-72.339713611111108"/>
    <s v="MOVILIDAD"/>
    <s v="RURAL"/>
    <x v="0"/>
    <s v="SEPTIEMBRE"/>
    <d v="2022-09-17T00:00:00"/>
    <x v="5"/>
    <d v="1899-12-30T15:05:00"/>
    <s v="MOTOCICLETA"/>
    <s v="CAMIONETA"/>
    <n v="1"/>
    <n v="0"/>
    <n v="0"/>
    <n v="0"/>
    <n v="1"/>
    <n v="0"/>
    <n v="0"/>
    <n v="0"/>
    <n v="0"/>
    <n v="0"/>
    <n v="0"/>
    <n v="0"/>
    <m/>
    <s v="FEMENINO"/>
    <n v="0"/>
    <n v="1"/>
    <n v="32"/>
    <m/>
    <m/>
    <m/>
    <m/>
    <m/>
    <n v="122"/>
    <x v="2"/>
    <m/>
    <s v=""/>
    <x v="1"/>
  </r>
  <r>
    <n v="915"/>
    <x v="0"/>
    <n v="0"/>
    <n v="1"/>
    <x v="2"/>
    <s v="VIA MATEPANTANO FRENTE A LA UNIVERSIDAD DE LA SALLE "/>
    <n v="5.3272360000000001"/>
    <n v="-72.291867999999994"/>
    <s v="MOVILIDAD"/>
    <s v="URBANO"/>
    <x v="2"/>
    <s v="MARZO"/>
    <d v="2025-03-27T00:00:00"/>
    <x v="1"/>
    <d v="1899-12-30T05:50:00"/>
    <s v="BICICLETA"/>
    <s v="MASCULINO"/>
    <n v="0"/>
    <n v="0"/>
    <n v="0"/>
    <n v="0"/>
    <n v="0"/>
    <n v="0"/>
    <n v="0"/>
    <n v="0"/>
    <n v="0"/>
    <n v="0"/>
    <n v="0"/>
    <n v="1"/>
    <s v="MASCULINO"/>
    <m/>
    <n v="1"/>
    <n v="0"/>
    <n v="68"/>
    <m/>
    <m/>
    <m/>
    <m/>
    <m/>
    <n v="157"/>
    <x v="1"/>
    <m/>
    <s v=""/>
    <x v="2"/>
  </r>
  <r>
    <n v="1023"/>
    <x v="0"/>
    <n v="1"/>
    <n v="1"/>
    <x v="2"/>
    <s v="VIA PI#  BARRIO LA ESMERALDA"/>
    <n v="5.3091569999999999"/>
    <n v="-72.385914"/>
    <s v="MOVILIDAD"/>
    <s v="RURAL"/>
    <x v="2"/>
    <s v="JULIO"/>
    <d v="2025-07-27T00:00:00"/>
    <x v="2"/>
    <d v="1899-12-30T10:30:00"/>
    <s v="MOTOCICLETA"/>
    <m/>
    <n v="1"/>
    <n v="0"/>
    <n v="0"/>
    <n v="0"/>
    <n v="0"/>
    <n v="0"/>
    <n v="0"/>
    <n v="0"/>
    <n v="0"/>
    <n v="0"/>
    <n v="0"/>
    <n v="0"/>
    <s v="MASCULINO"/>
    <s v="MASCULINO"/>
    <n v="2"/>
    <n v="0"/>
    <n v="47"/>
    <n v="59"/>
    <m/>
    <m/>
    <m/>
    <m/>
    <n v="139"/>
    <x v="0"/>
    <n v="157"/>
    <s v="Otra"/>
    <x v="2"/>
  </r>
  <r>
    <n v="1045"/>
    <x v="0"/>
    <n v="0"/>
    <n v="1"/>
    <x v="2"/>
    <s v="VIA SUBASTA GANADERA - MATEPANTANO "/>
    <n v="5.342549"/>
    <n v="-72.350836000000001"/>
    <s v="MOVILIDAD"/>
    <s v="RURAL"/>
    <x v="2"/>
    <s v="AGOSTO"/>
    <d v="2025-08-18T00:00:00"/>
    <x v="4"/>
    <d v="1899-12-30T05:25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n v="40"/>
    <m/>
    <m/>
    <m/>
    <m/>
    <m/>
    <n v="139"/>
    <x v="0"/>
    <m/>
    <s v=""/>
    <x v="2"/>
  </r>
  <r>
    <n v="1042"/>
    <x v="1"/>
    <n v="0"/>
    <n v="0"/>
    <x v="1"/>
    <s v="VIA SUBASTA GANADERA KM 3 YOPAL-PUNTO NUEVO"/>
    <n v="5.3370550000000003"/>
    <n v="-72.337911000000005"/>
    <s v="MOVILIDAD"/>
    <s v="RURAL"/>
    <x v="2"/>
    <s v="AGOSTO"/>
    <d v="2025-08-11T00:00:00"/>
    <x v="4"/>
    <d v="1899-12-30T14:45:00"/>
    <s v="CAMIONETA"/>
    <s v="CAMIONETA"/>
    <n v="0"/>
    <n v="0"/>
    <n v="0"/>
    <n v="0"/>
    <n v="2"/>
    <n v="0"/>
    <n v="0"/>
    <n v="0"/>
    <n v="0"/>
    <n v="0"/>
    <n v="0"/>
    <n v="0"/>
    <s v="MASCULINO"/>
    <s v="MASCULINO"/>
    <n v="2"/>
    <n v="0"/>
    <n v="37"/>
    <n v="33"/>
    <m/>
    <m/>
    <m/>
    <m/>
    <n v="132"/>
    <x v="13"/>
    <n v="138"/>
    <s v="Falta de precaución por niebla, lluvia o humo."/>
    <x v="1"/>
  </r>
  <r>
    <n v="977"/>
    <x v="0"/>
    <n v="2"/>
    <n v="1"/>
    <x v="2"/>
    <s v="VIA YOPAL - MATEPANTANO KM 1 + 800"/>
    <n v="5.3369400000000002"/>
    <n v="-72.352029999999999"/>
    <s v="MOVILIDAD"/>
    <s v="RURAL"/>
    <x v="2"/>
    <s v="JUNIO"/>
    <d v="2025-06-01T00:00:00"/>
    <x v="2"/>
    <d v="1899-12-30T03:38:00"/>
    <s v="CAMIONETA"/>
    <m/>
    <n v="0"/>
    <n v="0"/>
    <n v="0"/>
    <n v="0"/>
    <n v="1"/>
    <n v="0"/>
    <n v="0"/>
    <n v="0"/>
    <n v="0"/>
    <n v="0"/>
    <n v="0"/>
    <n v="0"/>
    <s v="MASCULINO"/>
    <s v="MASCULINO"/>
    <n v="2"/>
    <n v="0"/>
    <n v="19"/>
    <n v="23"/>
    <m/>
    <m/>
    <m/>
    <m/>
    <n v="139"/>
    <x v="0"/>
    <n v="116"/>
    <s v="Exceso de velocidad"/>
    <x v="2"/>
  </r>
  <r>
    <n v="385"/>
    <x v="0"/>
    <n v="0"/>
    <n v="2"/>
    <x v="2"/>
    <s v="VIA YOPAL CHAPARRERA"/>
    <n v="5.4537000000000004"/>
    <n v="-72.255555999999999"/>
    <s v="DITRA"/>
    <s v="RURAL"/>
    <x v="0"/>
    <s v="ENERO"/>
    <d v="2022-01-05T00:00:00"/>
    <x v="3"/>
    <d v="1899-12-30T08:13:00"/>
    <s v="MOTOCICLETA"/>
    <s v="BICICLETA"/>
    <n v="1"/>
    <n v="0"/>
    <n v="0"/>
    <n v="0"/>
    <n v="0"/>
    <n v="0"/>
    <n v="0"/>
    <n v="0"/>
    <n v="0"/>
    <n v="0"/>
    <n v="0"/>
    <n v="1"/>
    <s v="MASCULINO"/>
    <s v="FEMENINO"/>
    <n v="1"/>
    <n v="1"/>
    <m/>
    <m/>
    <m/>
    <m/>
    <m/>
    <m/>
    <n v="1"/>
    <x v="3"/>
    <m/>
    <s v=""/>
    <x v="2"/>
  </r>
  <r>
    <n v="644"/>
    <x v="0"/>
    <n v="3"/>
    <n v="0"/>
    <x v="0"/>
    <s v="VIA YOPAL PUNTO NUEVO KM 34 VEREDA 1 MAYO "/>
    <n v="5.2304883333333336"/>
    <n v="-72.116615277777768"/>
    <s v="MOVILIDAD"/>
    <s v="RURAL"/>
    <x v="1"/>
    <s v="DICIEMBRE"/>
    <d v="2023-12-31T00:00:00"/>
    <x v="2"/>
    <d v="1899-12-30T15:20:00"/>
    <s v="MOTOCICLETA"/>
    <s v="AUTOMOVIL"/>
    <n v="1"/>
    <n v="0"/>
    <n v="1"/>
    <n v="0"/>
    <n v="0"/>
    <n v="0"/>
    <n v="0"/>
    <n v="0"/>
    <n v="0"/>
    <n v="0"/>
    <n v="0"/>
    <n v="0"/>
    <s v="MASCULINO"/>
    <m/>
    <n v="1"/>
    <n v="0"/>
    <n v="44"/>
    <n v="74"/>
    <m/>
    <m/>
    <n v="41"/>
    <m/>
    <n v="139"/>
    <x v="0"/>
    <n v="104"/>
    <s v="Adelantar invadiendo carril de sentido contrario."/>
    <x v="1"/>
  </r>
  <r>
    <n v="730"/>
    <x v="0"/>
    <n v="0"/>
    <n v="1"/>
    <x v="2"/>
    <s v="VIA YOPAL PUNTO NUEVO KM. 43"/>
    <n v="5.2247816666666669"/>
    <n v="-72.101722222222222"/>
    <s v="MOVILIDAD"/>
    <s v="URBANO"/>
    <x v="3"/>
    <s v="JUNIO"/>
    <d v="2024-06-16T00:00:00"/>
    <x v="2"/>
    <d v="1899-12-30T23:20:00"/>
    <s v="MOTOCICLETA"/>
    <m/>
    <n v="1"/>
    <n v="0"/>
    <n v="0"/>
    <n v="0"/>
    <n v="0"/>
    <n v="0"/>
    <n v="0"/>
    <n v="0"/>
    <n v="0"/>
    <n v="0"/>
    <n v="0"/>
    <n v="0"/>
    <s v="MASCULINO"/>
    <m/>
    <n v="1"/>
    <n v="0"/>
    <m/>
    <m/>
    <m/>
    <m/>
    <m/>
    <n v="50"/>
    <n v="157"/>
    <x v="1"/>
    <m/>
    <s v=""/>
    <x v="0"/>
  </r>
  <r>
    <n v="880"/>
    <x v="0"/>
    <n v="0"/>
    <n v="1"/>
    <x v="2"/>
    <s v="VIA YOPAL-MATEPANTANO PIQUES"/>
    <n v="5.3201159999999996"/>
    <n v="-72.276144000000002"/>
    <s v="DITRA"/>
    <s v="RURAL"/>
    <x v="2"/>
    <s v="FEBRERO"/>
    <d v="2025-02-21T00:00:00"/>
    <x v="0"/>
    <d v="1899-12-30T09:15:00"/>
    <s v="MOTOCICLETA"/>
    <m/>
    <n v="1"/>
    <n v="0"/>
    <n v="0"/>
    <n v="0"/>
    <n v="0"/>
    <n v="0"/>
    <n v="0"/>
    <n v="0"/>
    <n v="0"/>
    <n v="0"/>
    <n v="0"/>
    <n v="0"/>
    <m/>
    <m/>
    <n v="0"/>
    <n v="0"/>
    <m/>
    <m/>
    <m/>
    <m/>
    <m/>
    <m/>
    <n v="139"/>
    <x v="0"/>
    <m/>
    <s v=""/>
    <x v="2"/>
  </r>
  <r>
    <n v="889"/>
    <x v="0"/>
    <n v="0"/>
    <n v="1"/>
    <x v="2"/>
    <s v="VIA YOPAL-MATEPANTANO VEH. FANTASMA"/>
    <n v="5.3370309999999996"/>
    <n v="-72.347932999999998"/>
    <s v="DITRA"/>
    <s v="RURAL"/>
    <x v="2"/>
    <s v="MARZO"/>
    <d v="2025-03-01T00:00:00"/>
    <x v="5"/>
    <d v="1899-12-30T08:05:00"/>
    <s v="MOTOCICLETA"/>
    <m/>
    <n v="1"/>
    <n v="0"/>
    <n v="0"/>
    <n v="0"/>
    <n v="0"/>
    <n v="0"/>
    <n v="0"/>
    <n v="0"/>
    <n v="0"/>
    <n v="0"/>
    <n v="0"/>
    <n v="0"/>
    <m/>
    <m/>
    <n v="0"/>
    <n v="0"/>
    <m/>
    <m/>
    <m/>
    <m/>
    <m/>
    <m/>
    <n v="139"/>
    <x v="0"/>
    <m/>
    <s v=""/>
    <x v="2"/>
  </r>
  <r>
    <n v="888"/>
    <x v="0"/>
    <n v="0"/>
    <n v="1"/>
    <x v="2"/>
    <s v="VIA YOPAL-SIRIVANA FRENTE HOTEL LA BENDICION"/>
    <n v="5.351057"/>
    <n v="-72.375328999999994"/>
    <s v="DITRA"/>
    <s v="RURAL"/>
    <x v="2"/>
    <s v="MARZO"/>
    <d v="2025-03-01T00:00:00"/>
    <x v="5"/>
    <d v="1899-12-30T02:00:00"/>
    <s v="MOTOCICLETA"/>
    <m/>
    <n v="1"/>
    <n v="0"/>
    <n v="0"/>
    <n v="0"/>
    <n v="0"/>
    <n v="0"/>
    <n v="0"/>
    <n v="0"/>
    <n v="0"/>
    <n v="0"/>
    <n v="0"/>
    <n v="0"/>
    <m/>
    <m/>
    <n v="0"/>
    <n v="0"/>
    <m/>
    <m/>
    <m/>
    <m/>
    <m/>
    <m/>
    <n v="139"/>
    <x v="0"/>
    <m/>
    <s v=""/>
    <x v="2"/>
  </r>
  <r>
    <n v="821"/>
    <x v="0"/>
    <n v="1"/>
    <n v="0"/>
    <x v="0"/>
    <s v="YOPAL - LOS MANGOS KM. 45"/>
    <n v="5.0693405555555557"/>
    <n v="-72.17373666666667"/>
    <s v="MOVILIDAD"/>
    <s v="URBANO"/>
    <x v="3"/>
    <s v="NOVIEMBRE"/>
    <d v="2024-11-24T00:00:00"/>
    <x v="2"/>
    <d v="1899-12-30T18:45:00"/>
    <s v="MOTOCICLETA"/>
    <s v="AUTOMOVIL"/>
    <n v="1"/>
    <n v="0"/>
    <n v="1"/>
    <n v="0"/>
    <n v="0"/>
    <n v="0"/>
    <n v="0"/>
    <n v="0"/>
    <n v="0"/>
    <n v="0"/>
    <n v="0"/>
    <n v="0"/>
    <s v="MASCULINO"/>
    <s v="FEMENINO"/>
    <n v="1"/>
    <n v="1"/>
    <n v="49"/>
    <m/>
    <m/>
    <m/>
    <m/>
    <m/>
    <n v="114"/>
    <x v="5"/>
    <m/>
    <s v=""/>
    <x v="0"/>
  </r>
  <r>
    <n v="333"/>
    <x v="0"/>
    <n v="2"/>
    <n v="0"/>
    <x v="0"/>
    <s v="YOPAL AGUAZUL KM 2 + 500"/>
    <n v="5.3143008333333333"/>
    <n v="-72.426673333333341"/>
    <s v="MOVILIDAD"/>
    <s v="RURAL"/>
    <x v="0"/>
    <s v="OCTUBRE"/>
    <d v="2022-10-14T00:00:00"/>
    <x v="0"/>
    <d v="1899-12-30T12:30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n v="35"/>
    <n v="54"/>
    <m/>
    <m/>
    <m/>
    <m/>
    <n v="112"/>
    <x v="4"/>
    <m/>
    <s v=""/>
    <x v="1"/>
  </r>
  <r>
    <n v="1016"/>
    <x v="0"/>
    <n v="0"/>
    <n v="1"/>
    <x v="2"/>
    <s v="YOPAL PAZ DE ARIPORO KM 10+600 M VEREDA GUAYAQUE"/>
    <n v="5.3839579999999998"/>
    <n v="-72.355430999999996"/>
    <s v="DITRA"/>
    <s v="RURAL"/>
    <x v="2"/>
    <s v="JULIO"/>
    <d v="2025-07-21T00:00:00"/>
    <x v="4"/>
    <d v="1899-12-30T00:40:00"/>
    <s v="CAMIONETA (GRUA)"/>
    <m/>
    <n v="0"/>
    <n v="0"/>
    <n v="0"/>
    <n v="0"/>
    <n v="0"/>
    <n v="0"/>
    <n v="0"/>
    <n v="0"/>
    <n v="0"/>
    <n v="0"/>
    <n v="0"/>
    <n v="0"/>
    <s v="MASCULINO"/>
    <m/>
    <n v="1"/>
    <n v="0"/>
    <n v="34"/>
    <m/>
    <m/>
    <m/>
    <m/>
    <m/>
    <n v="1"/>
    <x v="3"/>
    <n v="139"/>
    <s v="Impericia en el manejo."/>
    <x v="2"/>
  </r>
  <r>
    <n v="845"/>
    <x v="0"/>
    <n v="0"/>
    <n v="1"/>
    <x v="2"/>
    <s v="YOPAL -PAZ DE ARIPORO KM02+150"/>
    <n v="5.3669530555555554"/>
    <n v="-72.411557222222228"/>
    <s v="DITRA"/>
    <s v="RURAL"/>
    <x v="3"/>
    <s v="DICIEMBRE"/>
    <d v="2024-12-25T00:00:00"/>
    <x v="3"/>
    <d v="1899-12-30T16:51:00"/>
    <s v="MOTOCICLETA"/>
    <s v="MOTOCICLETA"/>
    <n v="2"/>
    <n v="0"/>
    <n v="0"/>
    <n v="0"/>
    <n v="0"/>
    <n v="0"/>
    <n v="0"/>
    <n v="0"/>
    <n v="0"/>
    <n v="0"/>
    <n v="0"/>
    <n v="0"/>
    <s v="MASCULINO"/>
    <m/>
    <n v="1"/>
    <n v="0"/>
    <m/>
    <m/>
    <m/>
    <m/>
    <m/>
    <m/>
    <n v="1"/>
    <x v="3"/>
    <m/>
    <s v=""/>
    <x v="1"/>
  </r>
  <r>
    <n v="780"/>
    <x v="0"/>
    <n v="0"/>
    <n v="1"/>
    <x v="2"/>
    <s v="YOPAL-SIRIVANA KM1"/>
    <n v="5.3502027777777776"/>
    <n v="-72.383763888888893"/>
    <s v="MOVILIDAD"/>
    <s v="URBANO"/>
    <x v="3"/>
    <s v="SEPTIEMBRE"/>
    <d v="2024-09-14T00:00:00"/>
    <x v="5"/>
    <d v="1899-12-30T23:00:00"/>
    <s v="MOTOCICLETA"/>
    <s v="CAMIONETA"/>
    <n v="1"/>
    <n v="0"/>
    <n v="0"/>
    <n v="0"/>
    <n v="1"/>
    <n v="0"/>
    <n v="0"/>
    <n v="0"/>
    <n v="0"/>
    <n v="0"/>
    <n v="0"/>
    <n v="0"/>
    <s v="MASCULINO"/>
    <m/>
    <n v="1"/>
    <n v="0"/>
    <m/>
    <n v="58"/>
    <m/>
    <m/>
    <m/>
    <n v="59"/>
    <n v="115"/>
    <x v="12"/>
    <n v="104"/>
    <s v="Adelantar invadiendo carril de sentido contrario.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46A0DC-D919-4145-97FA-83B835310426}" name="Tabla dinámica9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A2:E7" firstHeaderRow="0" firstDataRow="1" firstDataCol="1"/>
  <pivotFields count="4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5"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72" outline="0" showAll="0"/>
    <pivotField compact="0" outline="0" showAll="0"/>
    <pivotField compact="0" numFmtId="171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AUTOMOVIL" fld="19" baseField="0" baseItem="0"/>
    <dataField name="Suma de CAMPERO" fld="20" baseField="0" baseItem="0"/>
    <dataField name="Suma de CAMIONETA" fld="21" baseField="0" baseItem="0"/>
    <dataField name="Suma de MOTO" fld="17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3ED781-3B33-4475-A1DB-82975B4DD684}" name="Tabla dinámica1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A2:C31" firstHeaderRow="0" firstDataRow="1" firstDataCol="1"/>
  <pivotFields count="5">
    <pivotField axis="axisRow" compact="0" outline="0" showAll="0" sortType="descending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dataField="1" compact="0" outline="0" showAll="0"/>
    <pivotField compact="0" outline="0" showAll="0"/>
    <pivotField compact="0" outline="0" showAll="0"/>
  </pivotFields>
  <rowFields count="1">
    <field x="0"/>
  </rowFields>
  <rowItems count="29">
    <i>
      <x v="16"/>
    </i>
    <i>
      <x v="21"/>
    </i>
    <i>
      <x v="8"/>
    </i>
    <i>
      <x v="20"/>
    </i>
    <i>
      <x v="10"/>
    </i>
    <i>
      <x v="18"/>
    </i>
    <i>
      <x v="11"/>
    </i>
    <i>
      <x v="15"/>
    </i>
    <i>
      <x v="27"/>
    </i>
    <i>
      <x v="24"/>
    </i>
    <i>
      <x v="19"/>
    </i>
    <i>
      <x v="1"/>
    </i>
    <i>
      <x v="12"/>
    </i>
    <i>
      <x v="4"/>
    </i>
    <i>
      <x v="23"/>
    </i>
    <i>
      <x v="22"/>
    </i>
    <i>
      <x v="26"/>
    </i>
    <i>
      <x v="3"/>
    </i>
    <i>
      <x v="5"/>
    </i>
    <i>
      <x v="2"/>
    </i>
    <i>
      <x/>
    </i>
    <i>
      <x v="14"/>
    </i>
    <i>
      <x v="6"/>
    </i>
    <i>
      <x v="25"/>
    </i>
    <i>
      <x v="17"/>
    </i>
    <i>
      <x v="9"/>
    </i>
    <i>
      <x v="7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LESIONADO" fld="2" baseField="0" baseItem="0"/>
    <dataField name="Suma de FALLECIDO" fld="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F979AC-28D0-451A-9B42-38D846538103}" name="Tabla dinámica1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A2:B50" firstHeaderRow="1" firstDataRow="1" firstDataCol="1"/>
  <pivotFields count="4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72" outline="0" showAll="0"/>
    <pivotField compact="0" outline="0" showAll="0"/>
    <pivotField compact="0" numFmtId="17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axis="axisRow" compact="0" outline="0" showAll="0" sortType="descending">
      <items count="48">
        <item x="8"/>
        <item x="44"/>
        <item x="9"/>
        <item x="25"/>
        <item x="29"/>
        <item x="10"/>
        <item x="26"/>
        <item x="22"/>
        <item x="19"/>
        <item x="23"/>
        <item x="17"/>
        <item x="4"/>
        <item x="15"/>
        <item x="5"/>
        <item x="12"/>
        <item x="46"/>
        <item x="14"/>
        <item x="38"/>
        <item x="42"/>
        <item x="6"/>
        <item x="45"/>
        <item x="33"/>
        <item x="39"/>
        <item x="2"/>
        <item x="30"/>
        <item x="0"/>
        <item x="20"/>
        <item x="7"/>
        <item x="21"/>
        <item x="13"/>
        <item x="1"/>
        <item x="40"/>
        <item x="37"/>
        <item x="32"/>
        <item x="36"/>
        <item x="31"/>
        <item x="24"/>
        <item x="16"/>
        <item x="3"/>
        <item x="41"/>
        <item x="35"/>
        <item x="11"/>
        <item x="18"/>
        <item x="27"/>
        <item x="34"/>
        <item x="43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  <pivotField compact="0" outline="0" showAll="0"/>
  </pivotFields>
  <rowFields count="1">
    <field x="40"/>
  </rowFields>
  <rowItems count="48">
    <i>
      <x v="25"/>
    </i>
    <i>
      <x v="11"/>
    </i>
    <i>
      <x v="13"/>
    </i>
    <i>
      <x v="14"/>
    </i>
    <i>
      <x v="30"/>
    </i>
    <i>
      <x v="16"/>
    </i>
    <i>
      <x v="28"/>
    </i>
    <i>
      <x v="27"/>
    </i>
    <i>
      <x v="23"/>
    </i>
    <i>
      <x v="29"/>
    </i>
    <i>
      <x v="37"/>
    </i>
    <i>
      <x v="38"/>
    </i>
    <i>
      <x v="46"/>
    </i>
    <i>
      <x v="4"/>
    </i>
    <i>
      <x v="42"/>
    </i>
    <i>
      <x v="2"/>
    </i>
    <i>
      <x v="41"/>
    </i>
    <i>
      <x v="43"/>
    </i>
    <i>
      <x/>
    </i>
    <i>
      <x v="8"/>
    </i>
    <i>
      <x v="22"/>
    </i>
    <i>
      <x v="35"/>
    </i>
    <i>
      <x v="45"/>
    </i>
    <i>
      <x v="21"/>
    </i>
    <i>
      <x v="26"/>
    </i>
    <i>
      <x v="15"/>
    </i>
    <i>
      <x v="44"/>
    </i>
    <i>
      <x v="9"/>
    </i>
    <i>
      <x v="36"/>
    </i>
    <i>
      <x v="5"/>
    </i>
    <i>
      <x v="6"/>
    </i>
    <i>
      <x v="20"/>
    </i>
    <i>
      <x v="17"/>
    </i>
    <i>
      <x v="40"/>
    </i>
    <i>
      <x v="32"/>
    </i>
    <i>
      <x v="7"/>
    </i>
    <i>
      <x v="33"/>
    </i>
    <i>
      <x v="39"/>
    </i>
    <i>
      <x v="34"/>
    </i>
    <i>
      <x v="12"/>
    </i>
    <i>
      <x v="10"/>
    </i>
    <i>
      <x v="18"/>
    </i>
    <i>
      <x v="3"/>
    </i>
    <i>
      <x v="19"/>
    </i>
    <i>
      <x v="1"/>
    </i>
    <i>
      <x v="31"/>
    </i>
    <i>
      <x v="24"/>
    </i>
    <i t="grand">
      <x/>
    </i>
  </rowItems>
  <colItems count="1">
    <i/>
  </colItems>
  <dataFields count="1">
    <dataField name="Cuenta de HIPOTESIS_2" fld="41" subtotal="count" baseField="40" baseItem="46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0" count="1" selected="0">
            <x v="2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4BE94A-CE8D-4912-8C75-DE53477406C1}" name="Tabla dinámica1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6">
  <location ref="A3:C11" firstHeaderRow="0" firstDataRow="1" firstDataCol="1" rowPageCount="1" colPageCount="1"/>
  <pivotFields count="44"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5">
        <item h="1" x="0"/>
        <item h="1" x="1"/>
        <item h="1" x="3"/>
        <item x="2"/>
        <item t="default"/>
      </items>
    </pivotField>
    <pivotField compact="0" outline="0" showAll="0"/>
    <pivotField compact="0" numFmtId="14" outline="0" showAll="0"/>
    <pivotField axis="axisRow" compact="0" outline="0" showAll="0">
      <items count="8">
        <item x="2"/>
        <item x="4"/>
        <item x="6"/>
        <item x="3"/>
        <item x="1"/>
        <item x="0"/>
        <item x="5"/>
        <item t="default"/>
      </items>
    </pivotField>
    <pivotField compact="0" numFmtId="17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1">
    <pageField fld="10" hier="-1"/>
  </pageFields>
  <dataFields count="2">
    <dataField name="Suma de MUERTOS" fld="3" baseField="0" baseItem="0"/>
    <dataField name="Suma de LESIONADOS" fld="2" baseField="0" baseItem="0"/>
  </dataFields>
  <chartFormats count="2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554273-DD0E-4B7C-9AD8-8604772ADB65}" name="Tabla dinámica1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A3:B32" firstHeaderRow="1" firstDataRow="1" firstDataCol="1" rowPageCount="1" colPageCount="1"/>
  <pivotFields count="4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5">
        <item h="1" x="0"/>
        <item h="1" x="1"/>
        <item h="1" x="3"/>
        <item x="2"/>
        <item t="default"/>
      </items>
    </pivotField>
    <pivotField compact="0" outline="0" showAll="0"/>
    <pivotField compact="0" numFmtId="14" outline="0" showAll="0"/>
    <pivotField compact="0" outline="0" showAll="0"/>
    <pivotField compact="0" numFmtId="171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axis="axisRow" compact="0" outline="0" showAll="0" sortType="descending">
      <items count="48">
        <item x="8"/>
        <item x="44"/>
        <item x="9"/>
        <item x="25"/>
        <item x="29"/>
        <item x="10"/>
        <item x="26"/>
        <item x="22"/>
        <item x="19"/>
        <item x="23"/>
        <item x="17"/>
        <item x="4"/>
        <item x="15"/>
        <item x="5"/>
        <item x="12"/>
        <item x="46"/>
        <item x="14"/>
        <item x="38"/>
        <item x="42"/>
        <item x="6"/>
        <item x="45"/>
        <item x="33"/>
        <item x="39"/>
        <item x="2"/>
        <item x="30"/>
        <item x="0"/>
        <item x="20"/>
        <item x="7"/>
        <item x="21"/>
        <item x="13"/>
        <item x="1"/>
        <item x="40"/>
        <item x="37"/>
        <item x="32"/>
        <item x="36"/>
        <item x="31"/>
        <item x="24"/>
        <item x="16"/>
        <item x="3"/>
        <item x="41"/>
        <item x="35"/>
        <item x="11"/>
        <item x="18"/>
        <item x="27"/>
        <item x="34"/>
        <item x="43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</pivotFields>
  <rowFields count="1">
    <field x="40"/>
  </rowFields>
  <rowItems count="29">
    <i>
      <x v="25"/>
    </i>
    <i>
      <x v="30"/>
    </i>
    <i>
      <x v="11"/>
    </i>
    <i>
      <x v="13"/>
    </i>
    <i>
      <x v="14"/>
    </i>
    <i>
      <x v="29"/>
    </i>
    <i>
      <x v="27"/>
    </i>
    <i>
      <x v="23"/>
    </i>
    <i>
      <x v="42"/>
    </i>
    <i>
      <x v="37"/>
    </i>
    <i>
      <x v="16"/>
    </i>
    <i>
      <x v="2"/>
    </i>
    <i>
      <x v="1"/>
    </i>
    <i>
      <x v="41"/>
    </i>
    <i>
      <x v="35"/>
    </i>
    <i>
      <x v="28"/>
    </i>
    <i>
      <x v="38"/>
    </i>
    <i>
      <x v="34"/>
    </i>
    <i>
      <x v="19"/>
    </i>
    <i>
      <x v="4"/>
    </i>
    <i>
      <x v="6"/>
    </i>
    <i>
      <x v="5"/>
    </i>
    <i>
      <x v="10"/>
    </i>
    <i>
      <x v="8"/>
    </i>
    <i>
      <x v="26"/>
    </i>
    <i>
      <x/>
    </i>
    <i>
      <x v="12"/>
    </i>
    <i>
      <x v="17"/>
    </i>
    <i t="grand">
      <x/>
    </i>
  </rowItems>
  <colItems count="1">
    <i/>
  </colItems>
  <pageFields count="1">
    <pageField fld="10" hier="-1"/>
  </pageFields>
  <dataFields count="1">
    <dataField name="Suma de MOTO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0" count="1" selected="0">
            <x v="2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BD2924-7724-469F-BC7C-7CC3691618DC}" name="Tabla 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4">
  <location ref="A4:C8" firstHeaderRow="0" firstDataRow="1" firstDataCol="1" rowPageCount="2" colPageCount="1"/>
  <pivotFields count="44"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5">
        <item h="1" x="0"/>
        <item h="1" x="1"/>
        <item h="1" x="3"/>
        <item x="2"/>
        <item t="default"/>
      </items>
    </pivotField>
    <pivotField compact="0" outline="0" showAll="0"/>
    <pivotField compact="0" numFmtId="14" outline="0" showAll="0"/>
    <pivotField compact="0" outline="0" showAll="0"/>
    <pivotField compact="0" numFmtId="17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axis="axisPage" compact="0" outline="0" showAll="0">
      <items count="4">
        <item x="2"/>
        <item x="0"/>
        <item x="1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2">
    <pageField fld="10" hier="-1"/>
    <pageField fld="43" hier="-1"/>
  </pageFields>
  <dataFields count="2">
    <dataField name="Cuenta de GENERO_MASCULINO" fld="29" subtotal="count" baseField="0" baseItem="0"/>
    <dataField name="Cuenta de GENERO_FEMENINO" fld="30" subtotal="count" baseField="0" baseItem="0"/>
  </dataFields>
  <chartFormats count="8"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3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3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3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1"/>
          </reference>
          <reference field="43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1"/>
          </reference>
          <reference field="43" count="1" selected="0">
            <x v="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1"/>
          </reference>
          <reference field="43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40A845-19B4-411C-A1DC-D9FEDE2D5E8B}" name="Tabla1" displayName="Tabla1" ref="A1:AR1118" headerRowDxfId="92" dataDxfId="91" totalsRowDxfId="89" tableBorderDxfId="90">
  <autoFilter ref="A1:AR1118" xr:uid="{9537A3DF-7A97-4255-AE62-B706BC78A01C}"/>
  <sortState xmlns:xlrd2="http://schemas.microsoft.com/office/spreadsheetml/2017/richdata2" ref="A2:AR1118">
    <sortCondition descending="1" ref="AQ1:AQ1118"/>
  </sortState>
  <tableColumns count="44">
    <tableColumn id="1" xr3:uid="{0AD3B5CC-647B-4BDA-B09D-6AB52116C940}" name="ID" totalsRowLabel="Total" dataDxfId="88" totalsRowDxfId="87"/>
    <tableColumn id="2" xr3:uid="{5AE2A014-9565-4EDF-BDCB-3814F181F5F7}" name="SOLO_DAÑOS" totalsRowFunction="sum" dataDxfId="86" totalsRowDxfId="85"/>
    <tableColumn id="3" xr3:uid="{2A50190D-7FC0-4625-B87B-D1277CAC14C3}" name="LESIONADOS" totalsRowFunction="sum" dataDxfId="84" totalsRowDxfId="83"/>
    <tableColumn id="4" xr3:uid="{2A4BA0A2-1B8F-4763-B47A-35D1E6A5E5D2}" name="MUERTOS" totalsRowFunction="sum" dataDxfId="82" totalsRowDxfId="81"/>
    <tableColumn id="5" xr3:uid="{B80A207B-167D-481B-BC40-396B555EE728}" name="GRAVEDAD" dataDxfId="80" totalsRowDxfId="79">
      <calculatedColumnFormula>IF(D2&gt;=1,"FALLECIDO",IF(C2&gt;=1,"LESIONADO",IF(B2&gt;=1,"SOLO DAÑO","")))</calculatedColumnFormula>
    </tableColumn>
    <tableColumn id="6" xr3:uid="{DAF511B1-86C9-46FA-A466-0263246B42F5}" name="DIRECCION_" dataDxfId="78" totalsRowDxfId="77"/>
    <tableColumn id="7" xr3:uid="{82989307-1423-4266-A5EB-ACDCA7517FF5}" name="LATITUD" dataDxfId="76" totalsRowDxfId="75"/>
    <tableColumn id="8" xr3:uid="{325BA82B-69D9-43A5-A9B9-9108FE2EF0F5}" name="LONGITUD" dataDxfId="74" totalsRowDxfId="73"/>
    <tableColumn id="9" xr3:uid="{94E924FE-864C-48E1-AB4D-51D655613387}" name="COMUNA" dataDxfId="72" totalsRowDxfId="71"/>
    <tableColumn id="10" xr3:uid="{68D86C3C-797E-4FD1-94A2-55082E481E66}" name="AREA" dataDxfId="70" totalsRowDxfId="69"/>
    <tableColumn id="11" xr3:uid="{97A92B6F-BA4F-41B5-BBB3-0267D0CD61C5}" name="AÑO" dataDxfId="68" totalsRowDxfId="67">
      <calculatedColumnFormula>UPPER(TEXT(M2,"YYYY"))</calculatedColumnFormula>
    </tableColumn>
    <tableColumn id="12" xr3:uid="{6306BFB1-9D85-472C-8689-CC2395CA60DB}" name="MES" dataDxfId="66" totalsRowDxfId="65">
      <calculatedColumnFormula>UPPER(TEXT(M2,"MMMM"))</calculatedColumnFormula>
    </tableColumn>
    <tableColumn id="13" xr3:uid="{B1B09DA0-85A5-4918-A096-27DB38455C8F}" name="FECHA" dataDxfId="64" totalsRowDxfId="63"/>
    <tableColumn id="14" xr3:uid="{2FD33BCA-6455-4FD5-92B5-D2F753F9C16F}" name="DIA_DE_LA_SEMANA_" dataDxfId="62" totalsRowDxfId="61">
      <calculatedColumnFormula>UPPER(TEXT(M2,"DDDD"))</calculatedColumnFormula>
    </tableColumn>
    <tableColumn id="15" xr3:uid="{71FBEB62-5CC8-497A-B825-F84F6190E7CC}" name="HORA_ACCIDENTE" dataDxfId="60" totalsRowDxfId="59"/>
    <tableColumn id="16" xr3:uid="{1F8F2799-FBFF-4B4A-8055-E52DF88E6AAB}" name="VEHICULOS_ACCIDENTADOS" dataDxfId="58" totalsRowDxfId="57"/>
    <tableColumn id="43" xr3:uid="{8D3C862C-5AD3-4BFB-A5BC-29360ECBE5F2}" name="VEHICULOS_ACCIDENTADOS2" dataDxfId="56" totalsRowDxfId="55"/>
    <tableColumn id="17" xr3:uid="{DFA13940-942B-412D-B060-691EC49CD297}" name="MOTO" totalsRowFunction="sum" dataDxfId="54" totalsRowDxfId="53"/>
    <tableColumn id="18" xr3:uid="{9228A765-8D6C-455C-8F0F-84D22045F72D}" name="MOTO_CARRO" totalsRowFunction="sum" dataDxfId="52" totalsRowDxfId="51"/>
    <tableColumn id="19" xr3:uid="{74937DE4-E2F7-4627-8EC6-7402DC8A803C}" name="AUTOMOVIL" dataDxfId="50" totalsRowDxfId="49">
      <calculatedColumnFormula>COUNTIF(Tabla1[[#This Row],[VEHICULOS_ACCIDENTADOS]:[VEHICULOS_ACCIDENTADOS2]],"AUTOMOVIL")</calculatedColumnFormula>
    </tableColumn>
    <tableColumn id="20" xr3:uid="{0C15A67A-D709-4AAF-9BE3-BB622FF8B866}" name="CAMPERO" totalsRowFunction="sum" dataDxfId="48" totalsRowDxfId="47">
      <calculatedColumnFormula>COUNTIF(Tabla1[[#This Row],[VEHICULOS_ACCIDENTADOS]:[VEHICULOS_ACCIDENTADOS2]],"CAMPERO")</calculatedColumnFormula>
    </tableColumn>
    <tableColumn id="21" xr3:uid="{BDD17876-5421-4151-AC18-FDC873070398}" name="CAMIONETA" dataDxfId="46" totalsRowDxfId="45">
      <calculatedColumnFormula>COUNTIF(Tabla1[[#This Row],[VEHICULOS_ACCIDENTADOS]:[VEHICULOS_ACCIDENTADOS2]],"CAMIONETA")</calculatedColumnFormula>
    </tableColumn>
    <tableColumn id="22" xr3:uid="{D56CBAC3-4F74-4C46-9683-E5856A9E4DA4}" name="MICROBUS" dataDxfId="44" totalsRowDxfId="43">
      <calculatedColumnFormula>COUNTIF(Tabla1[[#This Row],[VEHICULOS_ACCIDENTADOS]:[VEHICULOS_ACCIDENTADOS2]],"MICROBUS")</calculatedColumnFormula>
    </tableColumn>
    <tableColumn id="23" xr3:uid="{802CF734-92F3-4DF1-BA06-53FC4878E30D}" name="BUS" dataDxfId="42" totalsRowDxfId="41">
      <calculatedColumnFormula>COUNTIF(Tabla1[[#This Row],[VEHICULOS_ACCIDENTADOS]:[VEHICULOS_ACCIDENTADOS2]],"BUS")</calculatedColumnFormula>
    </tableColumn>
    <tableColumn id="24" xr3:uid="{CC69AB50-09F2-4807-988D-67C1A41970BB}" name="BUSETA" dataDxfId="40" totalsRowDxfId="39">
      <calculatedColumnFormula>COUNTIF(Tabla1[[#This Row],[VEHICULOS_ACCIDENTADOS]:[VEHICULOS_ACCIDENTADOS2]],"BUSETA")</calculatedColumnFormula>
    </tableColumn>
    <tableColumn id="25" xr3:uid="{664C8187-A621-48C8-890A-C529279BDCCD}" name="CAMION" dataDxfId="38" totalsRowDxfId="37">
      <calculatedColumnFormula>COUNTIF(Tabla1[[#This Row],[VEHICULOS_ACCIDENTADOS]:[VEHICULOS_ACCIDENTADOS2]],"CAMION")</calculatedColumnFormula>
    </tableColumn>
    <tableColumn id="26" xr3:uid="{CA861D55-5C6D-4DED-BAAD-9E10408B1CD4}" name="TRACTOCAMION" dataDxfId="36" totalsRowDxfId="35">
      <calculatedColumnFormula>COUNTIF(Tabla1[[#This Row],[VEHICULOS_ACCIDENTADOS]:[VEHICULOS_ACCIDENTADOS2]],"TRACTOCAMION")</calculatedColumnFormula>
    </tableColumn>
    <tableColumn id="27" xr3:uid="{74F93313-E797-4447-AC90-C4B74389E6E4}" name="VOLQUETA" dataDxfId="34" totalsRowDxfId="33">
      <calculatedColumnFormula>COUNTIF(Tabla1[[#This Row],[VEHICULOS_ACCIDENTADOS]:[VEHICULOS_ACCIDENTADOS2]],"VOLQUETA")</calculatedColumnFormula>
    </tableColumn>
    <tableColumn id="28" xr3:uid="{F7613CE0-A709-419C-96F5-688E33D5A2AB}" name="BICICLETA" dataDxfId="32" totalsRowDxfId="31">
      <calculatedColumnFormula>COUNTIF(Tabla1[[#This Row],[VEHICULOS_ACCIDENTADOS]:[VEHICULOS_ACCIDENTADOS2]],"BICICLETA")</calculatedColumnFormula>
    </tableColumn>
    <tableColumn id="29" xr3:uid="{4E5C0D42-ED39-4AAC-A8B7-F8B2FF5A33CD}" name="GENERO_MASCULINO" dataDxfId="30" totalsRowDxfId="29"/>
    <tableColumn id="30" xr3:uid="{7A1FB157-9F73-4A83-B26B-29A20D541DFE}" name="GENERO_FEMENINO" dataDxfId="28" totalsRowDxfId="27"/>
    <tableColumn id="44" xr3:uid="{72814569-D4E6-4AF4-B4B5-0A3E5E389C38}" name="MASCULINO" totalsRowFunction="sum" dataDxfId="26" totalsRowDxfId="25">
      <calculatedColumnFormula>COUNTIF(Tabla1[[#This Row],[GENERO_MASCULINO]:[GENERO_FEMENINO]],"MASCULINO")</calculatedColumnFormula>
    </tableColumn>
    <tableColumn id="31" xr3:uid="{28CA487E-92DE-4053-B9CD-C2730D2273D2}" name="FEMENINO" totalsRowFunction="sum" dataDxfId="24" totalsRowDxfId="23"/>
    <tableColumn id="32" xr3:uid="{F54AF277-93E6-4CE1-8A7E-73ED8203067D}" name="EDAD_LESIONADOS_CONDUCTOR_1" dataDxfId="22" totalsRowDxfId="21"/>
    <tableColumn id="33" xr3:uid="{040CCFA3-C11C-4C4E-BD0B-E9F134EA840D}" name="EDAD_LESIONADOS_CONDUCTOR_2" dataDxfId="20" totalsRowDxfId="19"/>
    <tableColumn id="34" xr3:uid="{50DF95D3-3F61-43A5-AD12-E55C15D89A2F}" name="EDAD_LESIONADOS_PASAJERO" dataDxfId="18" totalsRowDxfId="17"/>
    <tableColumn id="35" xr3:uid="{9C8728B4-55E4-4ACD-A1D5-379823E2476F}" name="EDAD_LESIONADOS_PEATON" dataDxfId="16" totalsRowDxfId="15"/>
    <tableColumn id="36" xr3:uid="{7117B3C7-1AD4-4FA8-A2F3-47083298D4BD}" name="EDAD_LESIONADO_ACOMÁÑANTE" dataDxfId="14" totalsRowDxfId="13"/>
    <tableColumn id="37" xr3:uid="{15737925-1D46-4445-9A40-63316FA4422A}" name="EDAD_MUERTO" dataDxfId="12" totalsRowDxfId="11"/>
    <tableColumn id="38" xr3:uid="{6A06A82A-9FF0-47E7-880F-13D5E2B417F0}" name="HIPOTESIS_1" dataDxfId="10" totalsRowDxfId="9"/>
    <tableColumn id="39" xr3:uid="{82E4C946-E94B-4B9B-9FC6-A32DB0F9DE20}" name="Descripcion_Hipotesis" dataDxfId="8" totalsRowDxfId="7">
      <calculatedColumnFormula>IFERROR(((VLOOKUP(Tabla1[[#This Row],[HIPOTESIS_1]],listas!$D$1:$E$105,2,FALSE))),"SIN INFORMACIÓN")</calculatedColumnFormula>
    </tableColumn>
    <tableColumn id="40" xr3:uid="{D2E5E82F-3F34-4F74-9E16-F84EEA93FA25}" name="HIPOTESIS_2" dataDxfId="6" totalsRowDxfId="5"/>
    <tableColumn id="41" xr3:uid="{E67901AC-B2F6-45EE-A05B-7DB4EFB6FC1A}" name="Descripcion_Hipotesis2" totalsRowFunction="count" dataDxfId="4" totalsRowDxfId="3">
      <calculatedColumnFormula>IFERROR(((VLOOKUP(Tabla1[[#This Row],[HIPOTESIS_2]],listas!$D$1:$E$105,2,FALSE))),"")</calculatedColumnFormula>
    </tableColumn>
    <tableColumn id="42" xr3:uid="{22F0EAEF-E2C3-4A5F-980D-8855A2223A7D}" name="Franja_Horaria" dataDxfId="2" totalsRowDxfId="1">
      <calculatedColumnFormula>IF(HOUR(Tabla1[[#This Row],[HORA_ACCIDENTE]])&lt;6,"MADRUGADA",
 IF(HOUR(Tabla1[[#This Row],[HORA_ACCIDENTE]])&lt;12,"MAÑANA",
 IF(HOUR(Tabla1[[#This Row],[HORA_ACCIDENTE]])&lt;18,"TARDE","NOCHE")))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CAC05-003C-4530-A7AB-D9DA7EFFE9AF}">
  <dimension ref="A1:BD1125"/>
  <sheetViews>
    <sheetView tabSelected="1" zoomScale="70" zoomScaleNormal="70" workbookViewId="0">
      <pane ySplit="1" topLeftCell="A1079" activePane="bottomLeft" state="frozen"/>
      <selection activeCell="O1" sqref="O1"/>
      <selection pane="bottomLeft" sqref="A1:A1118"/>
    </sheetView>
  </sheetViews>
  <sheetFormatPr baseColWidth="10" defaultColWidth="9.109375" defaultRowHeight="13.8" x14ac:dyDescent="0.25"/>
  <cols>
    <col min="1" max="1" width="14.44140625" style="1" bestFit="1" customWidth="1"/>
    <col min="2" max="2" width="18.88671875" style="2" bestFit="1" customWidth="1"/>
    <col min="3" max="3" width="18.6640625" style="2" bestFit="1" customWidth="1"/>
    <col min="4" max="4" width="15.44140625" style="2" bestFit="1" customWidth="1"/>
    <col min="5" max="5" width="16.33203125" style="5" customWidth="1"/>
    <col min="6" max="6" width="54.44140625" style="2" customWidth="1"/>
    <col min="7" max="9" width="22.5546875" style="2" customWidth="1"/>
    <col min="10" max="10" width="25.6640625" style="2" customWidth="1"/>
    <col min="11" max="11" width="13.33203125" style="2" customWidth="1"/>
    <col min="12" max="12" width="13.88671875" style="2" bestFit="1" customWidth="1"/>
    <col min="13" max="13" width="35.6640625" style="238" bestFit="1" customWidth="1"/>
    <col min="14" max="14" width="26.109375" style="1" customWidth="1"/>
    <col min="15" max="15" width="23.5546875" style="112" bestFit="1" customWidth="1"/>
    <col min="16" max="16" width="31.77734375" style="3" customWidth="1"/>
    <col min="17" max="17" width="31.88671875" style="3" customWidth="1"/>
    <col min="18" max="18" width="13.6640625" style="3" bestFit="1" customWidth="1"/>
    <col min="19" max="19" width="17.109375" style="4" customWidth="1"/>
    <col min="20" max="20" width="15.44140625" style="3" customWidth="1"/>
    <col min="21" max="21" width="13.33203125" style="3" customWidth="1"/>
    <col min="22" max="22" width="15.21875" style="3" customWidth="1"/>
    <col min="23" max="23" width="14.109375" style="3" customWidth="1"/>
    <col min="24" max="24" width="8.44140625" style="4" customWidth="1"/>
    <col min="25" max="26" width="11.21875" style="4" customWidth="1"/>
    <col min="27" max="27" width="19.6640625" style="4" customWidth="1"/>
    <col min="28" max="28" width="14.33203125" style="4" customWidth="1"/>
    <col min="29" max="29" width="13.77734375" style="3" customWidth="1"/>
    <col min="30" max="30" width="24.33203125" style="3" customWidth="1"/>
    <col min="31" max="32" width="22.88671875" style="3" customWidth="1"/>
    <col min="33" max="33" width="16.6640625" style="2" bestFit="1" customWidth="1"/>
    <col min="34" max="35" width="38.109375" style="92" customWidth="1"/>
    <col min="36" max="36" width="34.44140625" style="92" customWidth="1"/>
    <col min="37" max="37" width="31.77734375" style="82" customWidth="1"/>
    <col min="38" max="38" width="36.33203125" style="82" customWidth="1"/>
    <col min="39" max="39" width="17.88671875" style="1" customWidth="1"/>
    <col min="40" max="40" width="17.109375" style="83" customWidth="1"/>
    <col min="41" max="41" width="40.33203125" style="1" bestFit="1" customWidth="1"/>
    <col min="42" max="42" width="15.88671875" style="2" customWidth="1"/>
    <col min="43" max="43" width="51.33203125" style="1" bestFit="1" customWidth="1"/>
    <col min="44" max="44" width="16.44140625" style="1" customWidth="1"/>
    <col min="45" max="46" width="9.109375" style="1"/>
    <col min="47" max="47" width="17.33203125" style="1" customWidth="1"/>
    <col min="48" max="16384" width="9.109375" style="1"/>
  </cols>
  <sheetData>
    <row r="1" spans="1:46" x14ac:dyDescent="0.25">
      <c r="A1" s="116" t="s">
        <v>459</v>
      </c>
      <c r="B1" s="117" t="s">
        <v>794</v>
      </c>
      <c r="C1" s="118" t="s">
        <v>457</v>
      </c>
      <c r="D1" s="118" t="s">
        <v>456</v>
      </c>
      <c r="E1" s="118" t="s">
        <v>455</v>
      </c>
      <c r="F1" s="119" t="s">
        <v>795</v>
      </c>
      <c r="G1" s="120" t="s">
        <v>454</v>
      </c>
      <c r="H1" s="120" t="s">
        <v>453</v>
      </c>
      <c r="I1" s="121" t="s">
        <v>698</v>
      </c>
      <c r="J1" s="118" t="s">
        <v>452</v>
      </c>
      <c r="K1" s="118" t="s">
        <v>451</v>
      </c>
      <c r="L1" s="118" t="s">
        <v>450</v>
      </c>
      <c r="M1" s="223" t="s">
        <v>449</v>
      </c>
      <c r="N1" s="122" t="s">
        <v>796</v>
      </c>
      <c r="O1" s="123" t="s">
        <v>797</v>
      </c>
      <c r="P1" s="124" t="s">
        <v>798</v>
      </c>
      <c r="Q1" s="124" t="s">
        <v>799</v>
      </c>
      <c r="R1" s="125" t="s">
        <v>448</v>
      </c>
      <c r="S1" s="125" t="s">
        <v>800</v>
      </c>
      <c r="T1" s="126" t="s">
        <v>447</v>
      </c>
      <c r="U1" s="126" t="s">
        <v>446</v>
      </c>
      <c r="V1" s="126" t="s">
        <v>445</v>
      </c>
      <c r="W1" s="126" t="s">
        <v>444</v>
      </c>
      <c r="X1" s="126" t="s">
        <v>443</v>
      </c>
      <c r="Y1" s="127" t="s">
        <v>442</v>
      </c>
      <c r="Z1" s="126" t="s">
        <v>441</v>
      </c>
      <c r="AA1" s="126" t="s">
        <v>440</v>
      </c>
      <c r="AB1" s="126" t="s">
        <v>439</v>
      </c>
      <c r="AC1" s="126" t="s">
        <v>438</v>
      </c>
      <c r="AD1" s="128" t="s">
        <v>801</v>
      </c>
      <c r="AE1" s="128" t="s">
        <v>802</v>
      </c>
      <c r="AF1" s="128" t="s">
        <v>471</v>
      </c>
      <c r="AG1" s="122" t="s">
        <v>472</v>
      </c>
      <c r="AH1" s="129" t="s">
        <v>803</v>
      </c>
      <c r="AI1" s="129" t="s">
        <v>804</v>
      </c>
      <c r="AJ1" s="130" t="s">
        <v>805</v>
      </c>
      <c r="AK1" s="131" t="s">
        <v>806</v>
      </c>
      <c r="AL1" s="131" t="s">
        <v>807</v>
      </c>
      <c r="AM1" s="117" t="s">
        <v>808</v>
      </c>
      <c r="AN1" s="203" t="s">
        <v>809</v>
      </c>
      <c r="AO1" s="132" t="s">
        <v>810</v>
      </c>
      <c r="AP1" s="133" t="s">
        <v>811</v>
      </c>
      <c r="AQ1" s="132" t="s">
        <v>812</v>
      </c>
      <c r="AR1" s="134" t="s">
        <v>813</v>
      </c>
    </row>
    <row r="2" spans="1:46" x14ac:dyDescent="0.25">
      <c r="A2" s="12">
        <v>182</v>
      </c>
      <c r="B2" s="36">
        <v>0</v>
      </c>
      <c r="C2" s="36">
        <v>0</v>
      </c>
      <c r="D2" s="36">
        <v>1</v>
      </c>
      <c r="E2" s="18" t="str">
        <f t="shared" ref="E2:E65" si="0">IF(D2&gt;=1,"FALLECIDO",IF(C2&gt;=1,"LESIONADO",IF(B2&gt;=1,"SOLO DAÑO","")))</f>
        <v>FALLECIDO</v>
      </c>
      <c r="F2" s="29" t="s">
        <v>1057</v>
      </c>
      <c r="G2" s="17">
        <v>5.3189805555555552</v>
      </c>
      <c r="H2" s="17">
        <v>-72.394608333333338</v>
      </c>
      <c r="I2" s="93" t="s">
        <v>697</v>
      </c>
      <c r="J2" s="36" t="s">
        <v>717</v>
      </c>
      <c r="K2" s="24" t="str">
        <f t="shared" ref="K2:K65" si="1">UPPER(TEXT(M2,"YYYY"))</f>
        <v>2022</v>
      </c>
      <c r="L2" s="24" t="str">
        <f t="shared" ref="L2:L65" si="2">UPPER(TEXT(M2,"MMMM"))</f>
        <v>MAYO</v>
      </c>
      <c r="M2" s="225">
        <v>44695</v>
      </c>
      <c r="N2" s="24" t="str">
        <f t="shared" ref="N2:N65" si="3">UPPER(TEXT(M2,"DDDD"))</f>
        <v>SÁBADO</v>
      </c>
      <c r="O2" s="102">
        <v>0.82638888888888895</v>
      </c>
      <c r="P2" s="63" t="s">
        <v>469</v>
      </c>
      <c r="Q2" s="63" t="s">
        <v>447</v>
      </c>
      <c r="R2" s="36">
        <f>COUNTIF(Tabla1[[#This Row],[VEHICULOS_ACCIDENTADOS]:[VEHICULOS_ACCIDENTADOS2]],"MOTOCICLETA")</f>
        <v>1</v>
      </c>
      <c r="S2" s="36">
        <f>COUNTIF(Tabla1[[#This Row],[VEHICULOS_ACCIDENTADOS]:[VEHICULOS_ACCIDENTADOS2]],"MOTOCARRO")</f>
        <v>0</v>
      </c>
      <c r="T2" s="36">
        <f>COUNTIF(Tabla1[[#This Row],[VEHICULOS_ACCIDENTADOS]:[VEHICULOS_ACCIDENTADOS2]],"AUTOMOVIL")</f>
        <v>1</v>
      </c>
      <c r="U2" s="36">
        <f>COUNTIF(Tabla1[[#This Row],[VEHICULOS_ACCIDENTADOS]:[VEHICULOS_ACCIDENTADOS2]],"CAMPERO")</f>
        <v>0</v>
      </c>
      <c r="V2" s="36">
        <f>COUNTIF(Tabla1[[#This Row],[VEHICULOS_ACCIDENTADOS]:[VEHICULOS_ACCIDENTADOS2]],"CAMIONETA")</f>
        <v>0</v>
      </c>
      <c r="W2" s="36">
        <f>COUNTIF(Tabla1[[#This Row],[VEHICULOS_ACCIDENTADOS]:[VEHICULOS_ACCIDENTADOS2]],"MICROBUS")</f>
        <v>0</v>
      </c>
      <c r="X2" s="36">
        <f>COUNTIF(Tabla1[[#This Row],[VEHICULOS_ACCIDENTADOS]:[VEHICULOS_ACCIDENTADOS2]],"BUS")</f>
        <v>0</v>
      </c>
      <c r="Y2" s="36">
        <f>COUNTIF(Tabla1[[#This Row],[VEHICULOS_ACCIDENTADOS]:[VEHICULOS_ACCIDENTADOS2]],"BUSETA")</f>
        <v>0</v>
      </c>
      <c r="Z2" s="36">
        <f>COUNTIF(Tabla1[[#This Row],[VEHICULOS_ACCIDENTADOS]:[VEHICULOS_ACCIDENTADOS2]],"CAMION")</f>
        <v>0</v>
      </c>
      <c r="AA2" s="36">
        <f>COUNTIF(Tabla1[[#This Row],[VEHICULOS_ACCIDENTADOS]:[VEHICULOS_ACCIDENTADOS2]],"TRACTOCAMION")</f>
        <v>0</v>
      </c>
      <c r="AB2" s="36">
        <f>COUNTIF(Tabla1[[#This Row],[VEHICULOS_ACCIDENTADOS]:[VEHICULOS_ACCIDENTADOS2]],"VOLQUETA")</f>
        <v>0</v>
      </c>
      <c r="AC2" s="36">
        <f>COUNTIF(Tabla1[[#This Row],[VEHICULOS_ACCIDENTADOS]:[VEHICULOS_ACCIDENTADOS2]],"BICICLETA")</f>
        <v>0</v>
      </c>
      <c r="AD2" s="36"/>
      <c r="AE2" s="36" t="s">
        <v>472</v>
      </c>
      <c r="AF2" s="36">
        <f>COUNTIF(Tabla1[[#This Row],[GENERO_MASCULINO]:[GENERO_FEMENINO]],"MASCULINO")</f>
        <v>0</v>
      </c>
      <c r="AG2" s="36">
        <f>COUNTIF(Tabla1[[#This Row],[GENERO_MASCULINO]:[GENERO_FEMENINO]],"FEMENINO")</f>
        <v>1</v>
      </c>
      <c r="AH2" s="61"/>
      <c r="AI2" s="61"/>
      <c r="AJ2" s="77"/>
      <c r="AK2" s="77"/>
      <c r="AL2" s="77"/>
      <c r="AM2" s="36">
        <v>45</v>
      </c>
      <c r="AN2" s="61">
        <v>114</v>
      </c>
      <c r="AO2" s="36" t="str">
        <f>IFERROR(((VLOOKUP(Tabla1[[#This Row],[HIPOTESIS_1]],listas!$D$1:$E$105,2,FALSE))),"SIN INFORMACIÓN")</f>
        <v>Embriaguez aparente.</v>
      </c>
      <c r="AP2" s="36">
        <v>141</v>
      </c>
      <c r="AQ2" s="36" t="str">
        <f>IFERROR(((VLOOKUP(Tabla1[[#This Row],[HIPOTESIS_2]],listas!$D$1:$E$105,2,FALSE))),"")</f>
        <v>Vehículo mal estacionado.</v>
      </c>
      <c r="AR2" s="1" t="str">
        <f>IF(HOUR(Tabla1[[#This Row],[HORA_ACCIDENTE]])&lt;6,"MAÑANA",
 IF(HOUR(Tabla1[[#This Row],[HORA_ACCIDENTE]])&lt;12,"MAÑANA",
 IF(HOUR(Tabla1[[#This Row],[HORA_ACCIDENTE]])&lt;18,"TARDE","NOCHE")))</f>
        <v>NOCHE</v>
      </c>
      <c r="AT2" s="113"/>
    </row>
    <row r="3" spans="1:46" x14ac:dyDescent="0.25">
      <c r="A3" s="12">
        <v>789</v>
      </c>
      <c r="B3" s="135">
        <v>0</v>
      </c>
      <c r="C3" s="136">
        <v>1</v>
      </c>
      <c r="D3" s="141">
        <v>0</v>
      </c>
      <c r="E3" s="18" t="str">
        <f t="shared" si="0"/>
        <v>LESIONADO</v>
      </c>
      <c r="F3" s="29" t="s">
        <v>108</v>
      </c>
      <c r="G3" s="21">
        <v>5.315063888888889</v>
      </c>
      <c r="H3" s="21">
        <v>-72.393892777777779</v>
      </c>
      <c r="I3" s="93" t="s">
        <v>697</v>
      </c>
      <c r="J3" s="36" t="s">
        <v>717</v>
      </c>
      <c r="K3" s="24" t="str">
        <f t="shared" si="1"/>
        <v>2024</v>
      </c>
      <c r="L3" s="24" t="str">
        <f t="shared" si="2"/>
        <v>OCTUBRE</v>
      </c>
      <c r="M3" s="224">
        <v>45576</v>
      </c>
      <c r="N3" s="24" t="str">
        <f t="shared" si="3"/>
        <v>VIERNES</v>
      </c>
      <c r="O3" s="171">
        <v>0.32291666666666669</v>
      </c>
      <c r="P3" s="178" t="s">
        <v>469</v>
      </c>
      <c r="Q3" s="178" t="s">
        <v>447</v>
      </c>
      <c r="R3" s="36">
        <f>COUNTIF(Tabla1[[#This Row],[VEHICULOS_ACCIDENTADOS]:[VEHICULOS_ACCIDENTADOS2]],"MOTOCICLETA")</f>
        <v>1</v>
      </c>
      <c r="S3" s="36">
        <f>COUNTIF(Tabla1[[#This Row],[VEHICULOS_ACCIDENTADOS]:[VEHICULOS_ACCIDENTADOS2]],"MOTOCARRO")</f>
        <v>0</v>
      </c>
      <c r="T3" s="36">
        <f>COUNTIF(Tabla1[[#This Row],[VEHICULOS_ACCIDENTADOS]:[VEHICULOS_ACCIDENTADOS2]],"AUTOMOVIL")</f>
        <v>1</v>
      </c>
      <c r="U3" s="36">
        <f>COUNTIF(Tabla1[[#This Row],[VEHICULOS_ACCIDENTADOS]:[VEHICULOS_ACCIDENTADOS2]],"CAMPERO")</f>
        <v>0</v>
      </c>
      <c r="V3" s="36">
        <f>COUNTIF(Tabla1[[#This Row],[VEHICULOS_ACCIDENTADOS]:[VEHICULOS_ACCIDENTADOS2]],"CAMIONETA")</f>
        <v>0</v>
      </c>
      <c r="W3" s="36">
        <f>COUNTIF(Tabla1[[#This Row],[VEHICULOS_ACCIDENTADOS]:[VEHICULOS_ACCIDENTADOS2]],"MICROBUS")</f>
        <v>0</v>
      </c>
      <c r="X3" s="36">
        <f>COUNTIF(Tabla1[[#This Row],[VEHICULOS_ACCIDENTADOS]:[VEHICULOS_ACCIDENTADOS2]],"BUS")</f>
        <v>0</v>
      </c>
      <c r="Y3" s="36">
        <f>COUNTIF(Tabla1[[#This Row],[VEHICULOS_ACCIDENTADOS]:[VEHICULOS_ACCIDENTADOS2]],"BUSETA")</f>
        <v>0</v>
      </c>
      <c r="Z3" s="36">
        <f>COUNTIF(Tabla1[[#This Row],[VEHICULOS_ACCIDENTADOS]:[VEHICULOS_ACCIDENTADOS2]],"CAMION")</f>
        <v>0</v>
      </c>
      <c r="AA3" s="36">
        <f>COUNTIF(Tabla1[[#This Row],[VEHICULOS_ACCIDENTADOS]:[VEHICULOS_ACCIDENTADOS2]],"TRACTOCAMION")</f>
        <v>0</v>
      </c>
      <c r="AB3" s="36">
        <f>COUNTIF(Tabla1[[#This Row],[VEHICULOS_ACCIDENTADOS]:[VEHICULOS_ACCIDENTADOS2]],"VOLQUETA")</f>
        <v>0</v>
      </c>
      <c r="AC3" s="36">
        <f>COUNTIF(Tabla1[[#This Row],[VEHICULOS_ACCIDENTADOS]:[VEHICULOS_ACCIDENTADOS2]],"BICICLETA")</f>
        <v>0</v>
      </c>
      <c r="AD3" s="136" t="s">
        <v>471</v>
      </c>
      <c r="AE3" s="136"/>
      <c r="AF3" s="136">
        <f>COUNTIF(Tabla1[[#This Row],[GENERO_MASCULINO]:[GENERO_FEMENINO]],"MASCULINO")</f>
        <v>1</v>
      </c>
      <c r="AG3" s="36">
        <f>COUNTIF(Tabla1[[#This Row],[GENERO_MASCULINO]:[GENERO_FEMENINO]],"FEMENINO")</f>
        <v>0</v>
      </c>
      <c r="AH3" s="85">
        <v>27</v>
      </c>
      <c r="AI3" s="85">
        <v>50</v>
      </c>
      <c r="AJ3" s="85"/>
      <c r="AK3" s="85"/>
      <c r="AL3" s="85"/>
      <c r="AM3" s="136"/>
      <c r="AN3" s="85">
        <v>121</v>
      </c>
      <c r="AO3" s="36" t="str">
        <f>IFERROR(((VLOOKUP(Tabla1[[#This Row],[HIPOTESIS_1]],listas!$D$1:$E$105,2,FALSE))),"SIN INFORMACIÓN")</f>
        <v>No mantener distancia de seguridad.</v>
      </c>
      <c r="AP3" s="136">
        <v>141</v>
      </c>
      <c r="AQ3" s="36" t="str">
        <f>IFERROR(((VLOOKUP(Tabla1[[#This Row],[HIPOTESIS_2]],listas!$D$1:$E$105,2,FALSE))),"")</f>
        <v>Vehículo mal estacionado.</v>
      </c>
      <c r="AR3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4" spans="1:46" x14ac:dyDescent="0.25">
      <c r="A4" s="12">
        <v>923</v>
      </c>
      <c r="B4" s="135">
        <v>0</v>
      </c>
      <c r="C4" s="36">
        <v>0</v>
      </c>
      <c r="D4" s="136">
        <v>1</v>
      </c>
      <c r="E4" s="18" t="str">
        <f t="shared" si="0"/>
        <v>FALLECIDO</v>
      </c>
      <c r="F4" s="29" t="s">
        <v>50</v>
      </c>
      <c r="G4" s="17">
        <v>5.3088559999999996</v>
      </c>
      <c r="H4" s="17">
        <v>-72.405288999999996</v>
      </c>
      <c r="I4" s="93" t="s">
        <v>697</v>
      </c>
      <c r="J4" s="36" t="s">
        <v>717</v>
      </c>
      <c r="K4" s="24" t="str">
        <f t="shared" si="1"/>
        <v>2025</v>
      </c>
      <c r="L4" s="24" t="str">
        <f t="shared" si="2"/>
        <v>ABRIL</v>
      </c>
      <c r="M4" s="225">
        <v>45751</v>
      </c>
      <c r="N4" s="24" t="str">
        <f t="shared" si="3"/>
        <v>VIERNES</v>
      </c>
      <c r="O4" s="101">
        <v>0.84375</v>
      </c>
      <c r="P4" s="36" t="s">
        <v>469</v>
      </c>
      <c r="Q4" s="36" t="s">
        <v>667</v>
      </c>
      <c r="R4" s="36">
        <f>COUNTIF(Tabla1[[#This Row],[VEHICULOS_ACCIDENTADOS]:[VEHICULOS_ACCIDENTADOS2]],"MOTOCICLETA")</f>
        <v>1</v>
      </c>
      <c r="S4" s="36">
        <f>COUNTIF(Tabla1[[#This Row],[VEHICULOS_ACCIDENTADOS]:[VEHICULOS_ACCIDENTADOS2]],"MOTOCARRO")</f>
        <v>0</v>
      </c>
      <c r="T4" s="36">
        <f>COUNTIF(Tabla1[[#This Row],[VEHICULOS_ACCIDENTADOS]:[VEHICULOS_ACCIDENTADOS2]],"AUTOMOVIL")</f>
        <v>0</v>
      </c>
      <c r="U4" s="36">
        <f>COUNTIF(Tabla1[[#This Row],[VEHICULOS_ACCIDENTADOS]:[VEHICULOS_ACCIDENTADOS2]],"CAMPERO")</f>
        <v>0</v>
      </c>
      <c r="V4" s="36">
        <f>COUNTIF(Tabla1[[#This Row],[VEHICULOS_ACCIDENTADOS]:[VEHICULOS_ACCIDENTADOS2]],"CAMIONETA")</f>
        <v>0</v>
      </c>
      <c r="W4" s="36">
        <f>COUNTIF(Tabla1[[#This Row],[VEHICULOS_ACCIDENTADOS]:[VEHICULOS_ACCIDENTADOS2]],"MICROBUS")</f>
        <v>0</v>
      </c>
      <c r="X4" s="36">
        <f>COUNTIF(Tabla1[[#This Row],[VEHICULOS_ACCIDENTADOS]:[VEHICULOS_ACCIDENTADOS2]],"BUS")</f>
        <v>0</v>
      </c>
      <c r="Y4" s="36">
        <f>COUNTIF(Tabla1[[#This Row],[VEHICULOS_ACCIDENTADOS]:[VEHICULOS_ACCIDENTADOS2]],"BUSETA")</f>
        <v>0</v>
      </c>
      <c r="Z4" s="36">
        <f>COUNTIF(Tabla1[[#This Row],[VEHICULOS_ACCIDENTADOS]:[VEHICULOS_ACCIDENTADOS2]],"CAMION")</f>
        <v>0</v>
      </c>
      <c r="AA4" s="36">
        <f>COUNTIF(Tabla1[[#This Row],[VEHICULOS_ACCIDENTADOS]:[VEHICULOS_ACCIDENTADOS2]],"TRACTOCAMION")</f>
        <v>0</v>
      </c>
      <c r="AB4" s="36">
        <f>COUNTIF(Tabla1[[#This Row],[VEHICULOS_ACCIDENTADOS]:[VEHICULOS_ACCIDENTADOS2]],"VOLQUETA")</f>
        <v>0</v>
      </c>
      <c r="AC4" s="36">
        <f>COUNTIF(Tabla1[[#This Row],[VEHICULOS_ACCIDENTADOS]:[VEHICULOS_ACCIDENTADOS2]],"BICICLETA")</f>
        <v>0</v>
      </c>
      <c r="AD4" s="36" t="s">
        <v>471</v>
      </c>
      <c r="AE4" s="36" t="s">
        <v>668</v>
      </c>
      <c r="AF4" s="36">
        <f>COUNTIF(Tabla1[[#This Row],[GENERO_MASCULINO]:[GENERO_FEMENINO]],"MASCULINO")</f>
        <v>1</v>
      </c>
      <c r="AG4" s="36">
        <f>COUNTIF(Tabla1[[#This Row],[GENERO_MASCULINO]:[GENERO_FEMENINO]],"FEMENINO")</f>
        <v>0</v>
      </c>
      <c r="AH4" s="85">
        <v>44</v>
      </c>
      <c r="AI4" s="85"/>
      <c r="AJ4" s="84"/>
      <c r="AK4" s="80"/>
      <c r="AL4" s="80"/>
      <c r="AM4" s="54"/>
      <c r="AN4" s="61">
        <v>114</v>
      </c>
      <c r="AO4" s="36" t="str">
        <f>IFERROR(((VLOOKUP(Tabla1[[#This Row],[HIPOTESIS_1]],listas!$D$1:$E$105,2,FALSE))),"SIN INFORMACIÓN")</f>
        <v>Embriaguez aparente.</v>
      </c>
      <c r="AP4" s="55">
        <v>141</v>
      </c>
      <c r="AQ4" s="36" t="str">
        <f>IFERROR(((VLOOKUP(Tabla1[[#This Row],[HIPOTESIS_2]],listas!$D$1:$E$105,2,FALSE))),"")</f>
        <v>Vehículo mal estacionado.</v>
      </c>
      <c r="AR4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5" spans="1:46" x14ac:dyDescent="0.25">
      <c r="A5" s="12">
        <v>346</v>
      </c>
      <c r="B5" s="36">
        <v>0</v>
      </c>
      <c r="C5" s="36">
        <v>3</v>
      </c>
      <c r="D5" s="36">
        <v>0</v>
      </c>
      <c r="E5" s="18" t="str">
        <f t="shared" si="0"/>
        <v>LESIONADO</v>
      </c>
      <c r="F5" s="29" t="s">
        <v>123</v>
      </c>
      <c r="G5" s="17">
        <v>5.3245444444444443</v>
      </c>
      <c r="H5" s="17">
        <v>-72.393758333333338</v>
      </c>
      <c r="I5" s="93" t="s">
        <v>697</v>
      </c>
      <c r="J5" s="36" t="s">
        <v>717</v>
      </c>
      <c r="K5" s="24" t="str">
        <f t="shared" si="1"/>
        <v>2022</v>
      </c>
      <c r="L5" s="24" t="str">
        <f t="shared" si="2"/>
        <v>OCTUBRE</v>
      </c>
      <c r="M5" s="225">
        <v>44864</v>
      </c>
      <c r="N5" s="24" t="str">
        <f t="shared" si="3"/>
        <v>DOMINGO</v>
      </c>
      <c r="O5" s="102">
        <v>0.15625</v>
      </c>
      <c r="P5" s="53" t="s">
        <v>469</v>
      </c>
      <c r="Q5" s="53" t="s">
        <v>447</v>
      </c>
      <c r="R5" s="36">
        <f>COUNTIF(Tabla1[[#This Row],[VEHICULOS_ACCIDENTADOS]:[VEHICULOS_ACCIDENTADOS2]],"MOTOCICLETA")</f>
        <v>1</v>
      </c>
      <c r="S5" s="36">
        <f>COUNTIF(Tabla1[[#This Row],[VEHICULOS_ACCIDENTADOS]:[VEHICULOS_ACCIDENTADOS2]],"MOTOCARRO")</f>
        <v>0</v>
      </c>
      <c r="T5" s="36">
        <f>COUNTIF(Tabla1[[#This Row],[VEHICULOS_ACCIDENTADOS]:[VEHICULOS_ACCIDENTADOS2]],"AUTOMOVIL")</f>
        <v>1</v>
      </c>
      <c r="U5" s="36">
        <f>COUNTIF(Tabla1[[#This Row],[VEHICULOS_ACCIDENTADOS]:[VEHICULOS_ACCIDENTADOS2]],"CAMPERO")</f>
        <v>0</v>
      </c>
      <c r="V5" s="36">
        <f>COUNTIF(Tabla1[[#This Row],[VEHICULOS_ACCIDENTADOS]:[VEHICULOS_ACCIDENTADOS2]],"CAMIONETA")</f>
        <v>0</v>
      </c>
      <c r="W5" s="36">
        <f>COUNTIF(Tabla1[[#This Row],[VEHICULOS_ACCIDENTADOS]:[VEHICULOS_ACCIDENTADOS2]],"MICROBUS")</f>
        <v>0</v>
      </c>
      <c r="X5" s="36">
        <f>COUNTIF(Tabla1[[#This Row],[VEHICULOS_ACCIDENTADOS]:[VEHICULOS_ACCIDENTADOS2]],"BUS")</f>
        <v>0</v>
      </c>
      <c r="Y5" s="36">
        <f>COUNTIF(Tabla1[[#This Row],[VEHICULOS_ACCIDENTADOS]:[VEHICULOS_ACCIDENTADOS2]],"BUSETA")</f>
        <v>0</v>
      </c>
      <c r="Z5" s="36">
        <f>COUNTIF(Tabla1[[#This Row],[VEHICULOS_ACCIDENTADOS]:[VEHICULOS_ACCIDENTADOS2]],"CAMION")</f>
        <v>0</v>
      </c>
      <c r="AA5" s="36">
        <f>COUNTIF(Tabla1[[#This Row],[VEHICULOS_ACCIDENTADOS]:[VEHICULOS_ACCIDENTADOS2]],"TRACTOCAMION")</f>
        <v>0</v>
      </c>
      <c r="AB5" s="36">
        <f>COUNTIF(Tabla1[[#This Row],[VEHICULOS_ACCIDENTADOS]:[VEHICULOS_ACCIDENTADOS2]],"VOLQUETA")</f>
        <v>0</v>
      </c>
      <c r="AC5" s="36">
        <f>COUNTIF(Tabla1[[#This Row],[VEHICULOS_ACCIDENTADOS]:[VEHICULOS_ACCIDENTADOS2]],"BICICLETA")</f>
        <v>0</v>
      </c>
      <c r="AD5" s="36" t="s">
        <v>471</v>
      </c>
      <c r="AE5" s="36"/>
      <c r="AF5" s="36">
        <f>COUNTIF(Tabla1[[#This Row],[GENERO_MASCULINO]:[GENERO_FEMENINO]],"MASCULINO")</f>
        <v>1</v>
      </c>
      <c r="AG5" s="36">
        <f>COUNTIF(Tabla1[[#This Row],[GENERO_MASCULINO]:[GENERO_FEMENINO]],"FEMENINO")</f>
        <v>0</v>
      </c>
      <c r="AH5" s="61">
        <v>30</v>
      </c>
      <c r="AI5" s="61"/>
      <c r="AJ5" s="61"/>
      <c r="AK5" s="61">
        <v>19</v>
      </c>
      <c r="AL5" s="61"/>
      <c r="AM5" s="36"/>
      <c r="AN5" s="61">
        <v>114</v>
      </c>
      <c r="AO5" s="36" t="str">
        <f>IFERROR(((VLOOKUP(Tabla1[[#This Row],[HIPOTESIS_1]],listas!$D$1:$E$105,2,FALSE))),"SIN INFORMACIÓN")</f>
        <v>Embriaguez aparente.</v>
      </c>
      <c r="AP5" s="36">
        <v>141</v>
      </c>
      <c r="AQ5" s="36" t="str">
        <f>IFERROR(((VLOOKUP(Tabla1[[#This Row],[HIPOTESIS_2]],listas!$D$1:$E$105,2,FALSE))),"")</f>
        <v>Vehículo mal estacionado.</v>
      </c>
      <c r="AR5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6" spans="1:46" ht="13.8" customHeight="1" x14ac:dyDescent="0.3">
      <c r="A6" s="12">
        <v>1065</v>
      </c>
      <c r="B6" s="137">
        <v>0</v>
      </c>
      <c r="C6" s="137">
        <v>3</v>
      </c>
      <c r="D6" s="137">
        <v>0</v>
      </c>
      <c r="E6" s="24" t="str">
        <f t="shared" si="0"/>
        <v>LESIONADO</v>
      </c>
      <c r="F6" s="158" t="s">
        <v>899</v>
      </c>
      <c r="G6" s="30" t="s">
        <v>701</v>
      </c>
      <c r="H6" s="30" t="s">
        <v>700</v>
      </c>
      <c r="I6" s="165" t="s">
        <v>697</v>
      </c>
      <c r="J6" s="36" t="s">
        <v>717</v>
      </c>
      <c r="K6" s="24" t="str">
        <f t="shared" si="1"/>
        <v>2025</v>
      </c>
      <c r="L6" s="24" t="str">
        <f t="shared" si="2"/>
        <v>SEPTIEMBRE</v>
      </c>
      <c r="M6" s="225">
        <v>45912</v>
      </c>
      <c r="N6" s="24" t="str">
        <f t="shared" si="3"/>
        <v>VIERNES</v>
      </c>
      <c r="O6" s="101">
        <v>0.62847222222222221</v>
      </c>
      <c r="P6" s="63" t="s">
        <v>469</v>
      </c>
      <c r="Q6" s="63" t="s">
        <v>438</v>
      </c>
      <c r="R6" s="36">
        <f>COUNTIF(Tabla1[[#This Row],[VEHICULOS_ACCIDENTADOS]:[VEHICULOS_ACCIDENTADOS2]],"MOTOCICLETA")</f>
        <v>1</v>
      </c>
      <c r="S6" s="36">
        <f>COUNTIF(Tabla1[[#This Row],[VEHICULOS_ACCIDENTADOS]:[VEHICULOS_ACCIDENTADOS2]],"MOTOCARRO")</f>
        <v>0</v>
      </c>
      <c r="T6" s="36">
        <f>COUNTIF(Tabla1[[#This Row],[VEHICULOS_ACCIDENTADOS]:[VEHICULOS_ACCIDENTADOS2]],"AUTOMOVIL")</f>
        <v>0</v>
      </c>
      <c r="U6" s="36">
        <f>COUNTIF(Tabla1[[#This Row],[VEHICULOS_ACCIDENTADOS]:[VEHICULOS_ACCIDENTADOS2]],"CAMPERO")</f>
        <v>0</v>
      </c>
      <c r="V6" s="36">
        <f>COUNTIF(Tabla1[[#This Row],[VEHICULOS_ACCIDENTADOS]:[VEHICULOS_ACCIDENTADOS2]],"CAMIONETA")</f>
        <v>0</v>
      </c>
      <c r="W6" s="36">
        <f>COUNTIF(Tabla1[[#This Row],[VEHICULOS_ACCIDENTADOS]:[VEHICULOS_ACCIDENTADOS2]],"MICROBUS")</f>
        <v>0</v>
      </c>
      <c r="X6" s="36">
        <f>COUNTIF(Tabla1[[#This Row],[VEHICULOS_ACCIDENTADOS]:[VEHICULOS_ACCIDENTADOS2]],"BUS")</f>
        <v>0</v>
      </c>
      <c r="Y6" s="36">
        <f>COUNTIF(Tabla1[[#This Row],[VEHICULOS_ACCIDENTADOS]:[VEHICULOS_ACCIDENTADOS2]],"BUSETA")</f>
        <v>0</v>
      </c>
      <c r="Z6" s="36">
        <f>COUNTIF(Tabla1[[#This Row],[VEHICULOS_ACCIDENTADOS]:[VEHICULOS_ACCIDENTADOS2]],"CAMION")</f>
        <v>0</v>
      </c>
      <c r="AA6" s="36">
        <f>COUNTIF(Tabla1[[#This Row],[VEHICULOS_ACCIDENTADOS]:[VEHICULOS_ACCIDENTADOS2]],"TRACTOCAMION")</f>
        <v>0</v>
      </c>
      <c r="AB6" s="36">
        <f>COUNTIF(Tabla1[[#This Row],[VEHICULOS_ACCIDENTADOS]:[VEHICULOS_ACCIDENTADOS2]],"VOLQUETA")</f>
        <v>0</v>
      </c>
      <c r="AC6" s="36">
        <f>COUNTIF(Tabla1[[#This Row],[VEHICULOS_ACCIDENTADOS]:[VEHICULOS_ACCIDENTADOS2]],"BICICLETA")</f>
        <v>1</v>
      </c>
      <c r="AD6" s="196" t="s">
        <v>472</v>
      </c>
      <c r="AE6" s="196" t="s">
        <v>471</v>
      </c>
      <c r="AF6" s="36">
        <f>COUNTIF(Tabla1[[#This Row],[GENERO_MASCULINO]:[GENERO_FEMENINO]],"MASCULINO")</f>
        <v>1</v>
      </c>
      <c r="AG6" s="36">
        <f>COUNTIF(Tabla1[[#This Row],[GENERO_MASCULINO]:[GENERO_FEMENINO]],"FEMENINO")</f>
        <v>1</v>
      </c>
      <c r="AH6" s="196">
        <v>40</v>
      </c>
      <c r="AI6" s="196">
        <v>14</v>
      </c>
      <c r="AJ6" s="196">
        <v>7</v>
      </c>
      <c r="AK6" s="78"/>
      <c r="AL6" s="78"/>
      <c r="AM6" s="59"/>
      <c r="AN6" s="61">
        <v>121</v>
      </c>
      <c r="AO6" s="59" t="str">
        <f>IFERROR(((VLOOKUP(Tabla1[[#This Row],[HIPOTESIS_1]],listas!$D$1:$E$105,2,FALSE))),"SIN INFORMACIÓN")</f>
        <v>No mantener distancia de seguridad.</v>
      </c>
      <c r="AP6" s="36">
        <v>90</v>
      </c>
      <c r="AQ6" s="36" t="str">
        <f>IFERROR(((VLOOKUP(Tabla1[[#This Row],[HIPOTESIS_2]],listas!$D$1:$E$105,2,FALSE))),"")</f>
        <v>Transportar otra persona o cosas.</v>
      </c>
      <c r="AR6" s="2" t="str">
        <f>IF(HOUR(Tabla1[[#This Row],[HORA_ACCIDENTE]])&lt;6,"MAÑANA",
 IF(HOUR(Tabla1[[#This Row],[HORA_ACCIDENTE]])&lt;12,"MAÑANA",
 IF(HOUR(Tabla1[[#This Row],[HORA_ACCIDENTE]])&lt;18,"TARDE","NOCHE")))</f>
        <v>TARDE</v>
      </c>
    </row>
    <row r="7" spans="1:46" x14ac:dyDescent="0.25">
      <c r="A7" s="12">
        <v>300</v>
      </c>
      <c r="B7" s="36">
        <v>0</v>
      </c>
      <c r="C7" s="36">
        <v>3</v>
      </c>
      <c r="D7" s="36">
        <v>0</v>
      </c>
      <c r="E7" s="18" t="str">
        <f t="shared" si="0"/>
        <v>LESIONADO</v>
      </c>
      <c r="F7" s="29" t="s">
        <v>1087</v>
      </c>
      <c r="G7" s="17">
        <v>5.3275138888888884</v>
      </c>
      <c r="H7" s="17">
        <v>-72.375592499999996</v>
      </c>
      <c r="I7" s="93" t="s">
        <v>697</v>
      </c>
      <c r="J7" s="36" t="s">
        <v>717</v>
      </c>
      <c r="K7" s="24" t="str">
        <f t="shared" si="1"/>
        <v>2022</v>
      </c>
      <c r="L7" s="24" t="str">
        <f t="shared" si="2"/>
        <v>SEPTIEMBRE</v>
      </c>
      <c r="M7" s="225">
        <v>44810</v>
      </c>
      <c r="N7" s="24" t="str">
        <f t="shared" si="3"/>
        <v>MARTES</v>
      </c>
      <c r="O7" s="102">
        <v>0.9375</v>
      </c>
      <c r="P7" s="53" t="s">
        <v>469</v>
      </c>
      <c r="Q7" s="53"/>
      <c r="R7" s="36">
        <f>COUNTIF(Tabla1[[#This Row],[VEHICULOS_ACCIDENTADOS]:[VEHICULOS_ACCIDENTADOS2]],"MOTOCICLETA")</f>
        <v>1</v>
      </c>
      <c r="S7" s="36">
        <f>COUNTIF(Tabla1[[#This Row],[VEHICULOS_ACCIDENTADOS]:[VEHICULOS_ACCIDENTADOS2]],"MOTOCARRO")</f>
        <v>0</v>
      </c>
      <c r="T7" s="36">
        <f>COUNTIF(Tabla1[[#This Row],[VEHICULOS_ACCIDENTADOS]:[VEHICULOS_ACCIDENTADOS2]],"AUTOMOVIL")</f>
        <v>0</v>
      </c>
      <c r="U7" s="36">
        <f>COUNTIF(Tabla1[[#This Row],[VEHICULOS_ACCIDENTADOS]:[VEHICULOS_ACCIDENTADOS2]],"CAMPERO")</f>
        <v>0</v>
      </c>
      <c r="V7" s="36">
        <f>COUNTIF(Tabla1[[#This Row],[VEHICULOS_ACCIDENTADOS]:[VEHICULOS_ACCIDENTADOS2]],"CAMIONETA")</f>
        <v>0</v>
      </c>
      <c r="W7" s="36">
        <f>COUNTIF(Tabla1[[#This Row],[VEHICULOS_ACCIDENTADOS]:[VEHICULOS_ACCIDENTADOS2]],"MICROBUS")</f>
        <v>0</v>
      </c>
      <c r="X7" s="36">
        <f>COUNTIF(Tabla1[[#This Row],[VEHICULOS_ACCIDENTADOS]:[VEHICULOS_ACCIDENTADOS2]],"BUS")</f>
        <v>0</v>
      </c>
      <c r="Y7" s="36">
        <f>COUNTIF(Tabla1[[#This Row],[VEHICULOS_ACCIDENTADOS]:[VEHICULOS_ACCIDENTADOS2]],"BUSETA")</f>
        <v>0</v>
      </c>
      <c r="Z7" s="36">
        <f>COUNTIF(Tabla1[[#This Row],[VEHICULOS_ACCIDENTADOS]:[VEHICULOS_ACCIDENTADOS2]],"CAMION")</f>
        <v>0</v>
      </c>
      <c r="AA7" s="36">
        <f>COUNTIF(Tabla1[[#This Row],[VEHICULOS_ACCIDENTADOS]:[VEHICULOS_ACCIDENTADOS2]],"TRACTOCAMION")</f>
        <v>0</v>
      </c>
      <c r="AB7" s="36">
        <f>COUNTIF(Tabla1[[#This Row],[VEHICULOS_ACCIDENTADOS]:[VEHICULOS_ACCIDENTADOS2]],"VOLQUETA")</f>
        <v>0</v>
      </c>
      <c r="AC7" s="36">
        <f>COUNTIF(Tabla1[[#This Row],[VEHICULOS_ACCIDENTADOS]:[VEHICULOS_ACCIDENTADOS2]],"BICICLETA")</f>
        <v>0</v>
      </c>
      <c r="AD7" s="36" t="s">
        <v>471</v>
      </c>
      <c r="AE7" s="36" t="s">
        <v>472</v>
      </c>
      <c r="AF7" s="36">
        <f>COUNTIF(Tabla1[[#This Row],[GENERO_MASCULINO]:[GENERO_FEMENINO]],"MASCULINO")</f>
        <v>1</v>
      </c>
      <c r="AG7" s="36">
        <f>COUNTIF(Tabla1[[#This Row],[GENERO_MASCULINO]:[GENERO_FEMENINO]],"FEMENINO")</f>
        <v>1</v>
      </c>
      <c r="AH7" s="61">
        <v>24</v>
      </c>
      <c r="AI7" s="61">
        <v>24</v>
      </c>
      <c r="AJ7" s="78"/>
      <c r="AK7" s="61"/>
      <c r="AL7" s="61">
        <v>30</v>
      </c>
      <c r="AM7" s="36"/>
      <c r="AN7" s="61">
        <v>139</v>
      </c>
      <c r="AO7" s="36" t="str">
        <f>IFERROR(((VLOOKUP(Tabla1[[#This Row],[HIPOTESIS_1]],listas!$D$1:$E$105,2,FALSE))),"SIN INFORMACIÓN")</f>
        <v>Impericia en el manejo.</v>
      </c>
      <c r="AP7" s="36">
        <v>90</v>
      </c>
      <c r="AQ7" s="36" t="str">
        <f>IFERROR(((VLOOKUP(Tabla1[[#This Row],[HIPOTESIS_2]],listas!$D$1:$E$105,2,FALSE))),"")</f>
        <v>Transportar otra persona o cosas.</v>
      </c>
      <c r="AR7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8" spans="1:46" x14ac:dyDescent="0.25">
      <c r="A8" s="12">
        <v>750</v>
      </c>
      <c r="B8" s="135">
        <v>0</v>
      </c>
      <c r="C8" s="36">
        <v>1</v>
      </c>
      <c r="D8" s="36">
        <v>0</v>
      </c>
      <c r="E8" s="18" t="str">
        <f t="shared" si="0"/>
        <v>LESIONADO</v>
      </c>
      <c r="F8" s="29" t="s">
        <v>126</v>
      </c>
      <c r="G8" s="21">
        <v>5.3193555555555552</v>
      </c>
      <c r="H8" s="21">
        <v>-72.404716666666673</v>
      </c>
      <c r="I8" s="93" t="s">
        <v>697</v>
      </c>
      <c r="J8" s="136" t="s">
        <v>717</v>
      </c>
      <c r="K8" s="24" t="str">
        <f t="shared" si="1"/>
        <v>2024</v>
      </c>
      <c r="L8" s="24" t="str">
        <f t="shared" si="2"/>
        <v>JULIO</v>
      </c>
      <c r="M8" s="225">
        <v>45498</v>
      </c>
      <c r="N8" s="24" t="str">
        <f t="shared" si="3"/>
        <v>JUEVES</v>
      </c>
      <c r="O8" s="101">
        <v>0.96180555555555547</v>
      </c>
      <c r="P8" s="57" t="s">
        <v>469</v>
      </c>
      <c r="Q8" s="57"/>
      <c r="R8" s="36">
        <f>COUNTIF(Tabla1[[#This Row],[VEHICULOS_ACCIDENTADOS]:[VEHICULOS_ACCIDENTADOS2]],"MOTOCICLETA")</f>
        <v>1</v>
      </c>
      <c r="S8" s="36">
        <f>COUNTIF(Tabla1[[#This Row],[VEHICULOS_ACCIDENTADOS]:[VEHICULOS_ACCIDENTADOS2]],"MOTOCARRO")</f>
        <v>0</v>
      </c>
      <c r="T8" s="36">
        <f>COUNTIF(Tabla1[[#This Row],[VEHICULOS_ACCIDENTADOS]:[VEHICULOS_ACCIDENTADOS2]],"AUTOMOVIL")</f>
        <v>0</v>
      </c>
      <c r="U8" s="36">
        <f>COUNTIF(Tabla1[[#This Row],[VEHICULOS_ACCIDENTADOS]:[VEHICULOS_ACCIDENTADOS2]],"CAMPERO")</f>
        <v>0</v>
      </c>
      <c r="V8" s="36">
        <f>COUNTIF(Tabla1[[#This Row],[VEHICULOS_ACCIDENTADOS]:[VEHICULOS_ACCIDENTADOS2]],"CAMIONETA")</f>
        <v>0</v>
      </c>
      <c r="W8" s="36">
        <f>COUNTIF(Tabla1[[#This Row],[VEHICULOS_ACCIDENTADOS]:[VEHICULOS_ACCIDENTADOS2]],"MICROBUS")</f>
        <v>0</v>
      </c>
      <c r="X8" s="36">
        <f>COUNTIF(Tabla1[[#This Row],[VEHICULOS_ACCIDENTADOS]:[VEHICULOS_ACCIDENTADOS2]],"BUS")</f>
        <v>0</v>
      </c>
      <c r="Y8" s="36">
        <f>COUNTIF(Tabla1[[#This Row],[VEHICULOS_ACCIDENTADOS]:[VEHICULOS_ACCIDENTADOS2]],"BUSETA")</f>
        <v>0</v>
      </c>
      <c r="Z8" s="36">
        <f>COUNTIF(Tabla1[[#This Row],[VEHICULOS_ACCIDENTADOS]:[VEHICULOS_ACCIDENTADOS2]],"CAMION")</f>
        <v>0</v>
      </c>
      <c r="AA8" s="36">
        <f>COUNTIF(Tabla1[[#This Row],[VEHICULOS_ACCIDENTADOS]:[VEHICULOS_ACCIDENTADOS2]],"TRACTOCAMION")</f>
        <v>0</v>
      </c>
      <c r="AB8" s="36">
        <f>COUNTIF(Tabla1[[#This Row],[VEHICULOS_ACCIDENTADOS]:[VEHICULOS_ACCIDENTADOS2]],"VOLQUETA")</f>
        <v>0</v>
      </c>
      <c r="AC8" s="36">
        <f>COUNTIF(Tabla1[[#This Row],[VEHICULOS_ACCIDENTADOS]:[VEHICULOS_ACCIDENTADOS2]],"BICICLETA")</f>
        <v>0</v>
      </c>
      <c r="AD8" s="36" t="s">
        <v>471</v>
      </c>
      <c r="AE8" s="36" t="s">
        <v>472</v>
      </c>
      <c r="AF8" s="36">
        <f>COUNTIF(Tabla1[[#This Row],[GENERO_MASCULINO]:[GENERO_FEMENINO]],"MASCULINO")</f>
        <v>1</v>
      </c>
      <c r="AG8" s="36">
        <f>COUNTIF(Tabla1[[#This Row],[GENERO_MASCULINO]:[GENERO_FEMENINO]],"FEMENINO")</f>
        <v>1</v>
      </c>
      <c r="AH8" s="61">
        <v>26</v>
      </c>
      <c r="AI8" s="61">
        <v>65</v>
      </c>
      <c r="AJ8" s="61"/>
      <c r="AK8" s="61"/>
      <c r="AL8" s="61"/>
      <c r="AM8" s="36"/>
      <c r="AN8" s="61">
        <v>115</v>
      </c>
      <c r="AO8" s="36" t="str">
        <f>IFERROR(((VLOOKUP(Tabla1[[#This Row],[HIPOTESIS_1]],listas!$D$1:$E$105,2,FALSE))),"SIN INFORMACIÓN")</f>
        <v>Embriaguez o Sustancias alucinogenas</v>
      </c>
      <c r="AP8" s="36">
        <v>404</v>
      </c>
      <c r="AQ8" s="36" t="str">
        <f>IFERROR(((VLOOKUP(Tabla1[[#This Row],[HIPOTESIS_2]],listas!$D$1:$E$105,2,FALSE))),"")</f>
        <v>Transitar por la calzada.</v>
      </c>
      <c r="AR8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9" spans="1:46" x14ac:dyDescent="0.25">
      <c r="A9" s="12">
        <v>185</v>
      </c>
      <c r="B9" s="36">
        <v>0</v>
      </c>
      <c r="C9" s="36">
        <v>2</v>
      </c>
      <c r="D9" s="36">
        <v>0</v>
      </c>
      <c r="E9" s="18" t="str">
        <f t="shared" si="0"/>
        <v>LESIONADO</v>
      </c>
      <c r="F9" s="154" t="s">
        <v>365</v>
      </c>
      <c r="G9" s="17">
        <v>5.3553227777777774</v>
      </c>
      <c r="H9" s="17">
        <v>-72.406182222222228</v>
      </c>
      <c r="I9" s="93" t="s">
        <v>697</v>
      </c>
      <c r="J9" s="36" t="s">
        <v>1</v>
      </c>
      <c r="K9" s="24" t="str">
        <f t="shared" si="1"/>
        <v>2022</v>
      </c>
      <c r="L9" s="24" t="str">
        <f t="shared" si="2"/>
        <v>MAYO</v>
      </c>
      <c r="M9" s="225">
        <v>44696</v>
      </c>
      <c r="N9" s="24" t="str">
        <f t="shared" si="3"/>
        <v>DOMINGO</v>
      </c>
      <c r="O9" s="102">
        <v>0.90625</v>
      </c>
      <c r="P9" s="53" t="s">
        <v>469</v>
      </c>
      <c r="Q9" s="53"/>
      <c r="R9" s="36">
        <f>COUNTIF(Tabla1[[#This Row],[VEHICULOS_ACCIDENTADOS]:[VEHICULOS_ACCIDENTADOS2]],"MOTOCICLETA")</f>
        <v>1</v>
      </c>
      <c r="S9" s="36">
        <f>COUNTIF(Tabla1[[#This Row],[VEHICULOS_ACCIDENTADOS]:[VEHICULOS_ACCIDENTADOS2]],"MOTOCARRO")</f>
        <v>0</v>
      </c>
      <c r="T9" s="36">
        <f>COUNTIF(Tabla1[[#This Row],[VEHICULOS_ACCIDENTADOS]:[VEHICULOS_ACCIDENTADOS2]],"AUTOMOVIL")</f>
        <v>0</v>
      </c>
      <c r="U9" s="36">
        <f>COUNTIF(Tabla1[[#This Row],[VEHICULOS_ACCIDENTADOS]:[VEHICULOS_ACCIDENTADOS2]],"CAMPERO")</f>
        <v>0</v>
      </c>
      <c r="V9" s="36">
        <f>COUNTIF(Tabla1[[#This Row],[VEHICULOS_ACCIDENTADOS]:[VEHICULOS_ACCIDENTADOS2]],"CAMIONETA")</f>
        <v>0</v>
      </c>
      <c r="W9" s="36">
        <f>COUNTIF(Tabla1[[#This Row],[VEHICULOS_ACCIDENTADOS]:[VEHICULOS_ACCIDENTADOS2]],"MICROBUS")</f>
        <v>0</v>
      </c>
      <c r="X9" s="36">
        <f>COUNTIF(Tabla1[[#This Row],[VEHICULOS_ACCIDENTADOS]:[VEHICULOS_ACCIDENTADOS2]],"BUS")</f>
        <v>0</v>
      </c>
      <c r="Y9" s="36">
        <f>COUNTIF(Tabla1[[#This Row],[VEHICULOS_ACCIDENTADOS]:[VEHICULOS_ACCIDENTADOS2]],"BUSETA")</f>
        <v>0</v>
      </c>
      <c r="Z9" s="36">
        <f>COUNTIF(Tabla1[[#This Row],[VEHICULOS_ACCIDENTADOS]:[VEHICULOS_ACCIDENTADOS2]],"CAMION")</f>
        <v>0</v>
      </c>
      <c r="AA9" s="36">
        <f>COUNTIF(Tabla1[[#This Row],[VEHICULOS_ACCIDENTADOS]:[VEHICULOS_ACCIDENTADOS2]],"TRACTOCAMION")</f>
        <v>0</v>
      </c>
      <c r="AB9" s="36">
        <f>COUNTIF(Tabla1[[#This Row],[VEHICULOS_ACCIDENTADOS]:[VEHICULOS_ACCIDENTADOS2]],"VOLQUETA")</f>
        <v>0</v>
      </c>
      <c r="AC9" s="36">
        <f>COUNTIF(Tabla1[[#This Row],[VEHICULOS_ACCIDENTADOS]:[VEHICULOS_ACCIDENTADOS2]],"BICICLETA")</f>
        <v>0</v>
      </c>
      <c r="AD9" s="36" t="s">
        <v>471</v>
      </c>
      <c r="AE9" s="36"/>
      <c r="AF9" s="36">
        <f>COUNTIF(Tabla1[[#This Row],[GENERO_MASCULINO]:[GENERO_FEMENINO]],"MASCULINO")</f>
        <v>1</v>
      </c>
      <c r="AG9" s="36">
        <f>COUNTIF(Tabla1[[#This Row],[GENERO_MASCULINO]:[GENERO_FEMENINO]],"FEMENINO")</f>
        <v>0</v>
      </c>
      <c r="AH9" s="61">
        <v>28</v>
      </c>
      <c r="AI9" s="61"/>
      <c r="AJ9" s="61"/>
      <c r="AK9" s="61">
        <v>75</v>
      </c>
      <c r="AL9" s="61"/>
      <c r="AM9" s="36"/>
      <c r="AN9" s="61">
        <v>157</v>
      </c>
      <c r="AO9" s="36" t="str">
        <f>IFERROR(((VLOOKUP(Tabla1[[#This Row],[HIPOTESIS_1]],listas!$D$1:$E$105,2,FALSE))),"SIN INFORMACIÓN")</f>
        <v>Otra</v>
      </c>
      <c r="AP9" s="36">
        <v>404</v>
      </c>
      <c r="AQ9" s="36" t="str">
        <f>IFERROR(((VLOOKUP(Tabla1[[#This Row],[HIPOTESIS_2]],listas!$D$1:$E$105,2,FALSE))),"")</f>
        <v>Transitar por la calzada.</v>
      </c>
      <c r="AR9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0" spans="1:46" x14ac:dyDescent="0.25">
      <c r="A10" s="12">
        <v>1116</v>
      </c>
      <c r="B10" s="137">
        <v>0</v>
      </c>
      <c r="C10" s="137">
        <v>3</v>
      </c>
      <c r="D10" s="137">
        <v>0</v>
      </c>
      <c r="E10" s="24" t="str">
        <f t="shared" si="0"/>
        <v>LESIONADO</v>
      </c>
      <c r="F10" s="152" t="s">
        <v>895</v>
      </c>
      <c r="G10" s="30">
        <v>5.3295167488977304</v>
      </c>
      <c r="H10" s="30">
        <v>-72.4005060084164</v>
      </c>
      <c r="I10" s="165" t="s">
        <v>697</v>
      </c>
      <c r="J10" s="36" t="s">
        <v>717</v>
      </c>
      <c r="K10" s="24" t="str">
        <f t="shared" si="1"/>
        <v>2025</v>
      </c>
      <c r="L10" s="24" t="str">
        <f t="shared" si="2"/>
        <v>OCTUBRE</v>
      </c>
      <c r="M10" s="225">
        <v>45935</v>
      </c>
      <c r="N10" s="24" t="str">
        <f t="shared" si="3"/>
        <v>DOMINGO</v>
      </c>
      <c r="O10" s="101">
        <v>0.80486111111111114</v>
      </c>
      <c r="P10" s="63" t="s">
        <v>469</v>
      </c>
      <c r="Q10" s="63" t="s">
        <v>469</v>
      </c>
      <c r="R10" s="36">
        <f>COUNTIF(Tabla1[[#This Row],[VEHICULOS_ACCIDENTADOS]:[VEHICULOS_ACCIDENTADOS2]],"MOTOCICLETA")</f>
        <v>2</v>
      </c>
      <c r="S10" s="36">
        <f>COUNTIF(Tabla1[[#This Row],[VEHICULOS_ACCIDENTADOS]:[VEHICULOS_ACCIDENTADOS2]],"MOTOCARRO")</f>
        <v>0</v>
      </c>
      <c r="T10" s="36">
        <f>COUNTIF(Tabla1[[#This Row],[VEHICULOS_ACCIDENTADOS]:[VEHICULOS_ACCIDENTADOS2]],"AUTOMOVIL")</f>
        <v>0</v>
      </c>
      <c r="U10" s="36">
        <f>COUNTIF(Tabla1[[#This Row],[VEHICULOS_ACCIDENTADOS]:[VEHICULOS_ACCIDENTADOS2]],"CAMPERO")</f>
        <v>0</v>
      </c>
      <c r="V10" s="36">
        <f>COUNTIF(Tabla1[[#This Row],[VEHICULOS_ACCIDENTADOS]:[VEHICULOS_ACCIDENTADOS2]],"CAMIONETA")</f>
        <v>0</v>
      </c>
      <c r="W10" s="36">
        <f>COUNTIF(Tabla1[[#This Row],[VEHICULOS_ACCIDENTADOS]:[VEHICULOS_ACCIDENTADOS2]],"MICROBUS")</f>
        <v>0</v>
      </c>
      <c r="X10" s="36">
        <f>COUNTIF(Tabla1[[#This Row],[VEHICULOS_ACCIDENTADOS]:[VEHICULOS_ACCIDENTADOS2]],"BUS")</f>
        <v>0</v>
      </c>
      <c r="Y10" s="36">
        <f>COUNTIF(Tabla1[[#This Row],[VEHICULOS_ACCIDENTADOS]:[VEHICULOS_ACCIDENTADOS2]],"BUSETA")</f>
        <v>0</v>
      </c>
      <c r="Z10" s="36">
        <f>COUNTIF(Tabla1[[#This Row],[VEHICULOS_ACCIDENTADOS]:[VEHICULOS_ACCIDENTADOS2]],"CAMION")</f>
        <v>0</v>
      </c>
      <c r="AA10" s="36">
        <f>COUNTIF(Tabla1[[#This Row],[VEHICULOS_ACCIDENTADOS]:[VEHICULOS_ACCIDENTADOS2]],"TRACTOCAMION")</f>
        <v>0</v>
      </c>
      <c r="AB10" s="36">
        <f>COUNTIF(Tabla1[[#This Row],[VEHICULOS_ACCIDENTADOS]:[VEHICULOS_ACCIDENTADOS2]],"VOLQUETA")</f>
        <v>0</v>
      </c>
      <c r="AC10" s="36">
        <f>COUNTIF(Tabla1[[#This Row],[VEHICULOS_ACCIDENTADOS]:[VEHICULOS_ACCIDENTADOS2]],"BICICLETA")</f>
        <v>0</v>
      </c>
      <c r="AD10" s="61" t="s">
        <v>471</v>
      </c>
      <c r="AE10" s="61" t="s">
        <v>472</v>
      </c>
      <c r="AF10" s="36">
        <f>COUNTIF(Tabla1[[#This Row],[GENERO_MASCULINO]:[GENERO_FEMENINO]],"MASCULINO")</f>
        <v>1</v>
      </c>
      <c r="AG10" s="36">
        <f>COUNTIF(Tabla1[[#This Row],[GENERO_MASCULINO]:[GENERO_FEMENINO]],"FEMENINO")</f>
        <v>1</v>
      </c>
      <c r="AH10" s="85">
        <v>35</v>
      </c>
      <c r="AI10" s="85">
        <v>36</v>
      </c>
      <c r="AJ10" s="85"/>
      <c r="AK10" s="78"/>
      <c r="AL10" s="78"/>
      <c r="AM10" s="59"/>
      <c r="AN10" s="61">
        <v>115</v>
      </c>
      <c r="AO10" s="59" t="str">
        <f>IFERROR(((VLOOKUP(Tabla1[[#This Row],[HIPOTESIS_1]],listas!$D$1:$E$105,2,FALSE))),"SIN INFORMACIÓN")</f>
        <v>Embriaguez o Sustancias alucinogenas</v>
      </c>
      <c r="AP10" s="36">
        <v>127</v>
      </c>
      <c r="AQ10" s="36" t="str">
        <f>IFERROR(((VLOOKUP(Tabla1[[#This Row],[HIPOTESIS_2]],listas!$D$1:$E$105,2,FALSE))),"")</f>
        <v>Transitar en contravía.</v>
      </c>
      <c r="AR10" s="2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1" spans="1:46" x14ac:dyDescent="0.25">
      <c r="A11" s="12">
        <v>682</v>
      </c>
      <c r="B11" s="135">
        <v>0</v>
      </c>
      <c r="C11" s="136">
        <v>2</v>
      </c>
      <c r="D11" s="136">
        <v>0</v>
      </c>
      <c r="E11" s="18" t="str">
        <f t="shared" si="0"/>
        <v>LESIONADO</v>
      </c>
      <c r="F11" s="26" t="s">
        <v>155</v>
      </c>
      <c r="G11" s="21">
        <v>5.3130555555555556</v>
      </c>
      <c r="H11" s="21">
        <v>-72.395925000000005</v>
      </c>
      <c r="I11" s="93" t="s">
        <v>697</v>
      </c>
      <c r="J11" s="136" t="s">
        <v>717</v>
      </c>
      <c r="K11" s="24" t="str">
        <f t="shared" si="1"/>
        <v>2024</v>
      </c>
      <c r="L11" s="24" t="str">
        <f t="shared" si="2"/>
        <v>MARZO</v>
      </c>
      <c r="M11" s="224">
        <v>45373</v>
      </c>
      <c r="N11" s="24" t="str">
        <f t="shared" si="3"/>
        <v>VIERNES</v>
      </c>
      <c r="O11" s="171">
        <v>0.75</v>
      </c>
      <c r="P11" s="178" t="s">
        <v>469</v>
      </c>
      <c r="Q11" s="178" t="s">
        <v>469</v>
      </c>
      <c r="R11" s="36">
        <f>COUNTIF(Tabla1[[#This Row],[VEHICULOS_ACCIDENTADOS]:[VEHICULOS_ACCIDENTADOS2]],"MOTOCICLETA")</f>
        <v>2</v>
      </c>
      <c r="S11" s="36">
        <f>COUNTIF(Tabla1[[#This Row],[VEHICULOS_ACCIDENTADOS]:[VEHICULOS_ACCIDENTADOS2]],"MOTOCARRO")</f>
        <v>0</v>
      </c>
      <c r="T11" s="36">
        <f>COUNTIF(Tabla1[[#This Row],[VEHICULOS_ACCIDENTADOS]:[VEHICULOS_ACCIDENTADOS2]],"AUTOMOVIL")</f>
        <v>0</v>
      </c>
      <c r="U11" s="36">
        <f>COUNTIF(Tabla1[[#This Row],[VEHICULOS_ACCIDENTADOS]:[VEHICULOS_ACCIDENTADOS2]],"CAMPERO")</f>
        <v>0</v>
      </c>
      <c r="V11" s="36">
        <f>COUNTIF(Tabla1[[#This Row],[VEHICULOS_ACCIDENTADOS]:[VEHICULOS_ACCIDENTADOS2]],"CAMIONETA")</f>
        <v>0</v>
      </c>
      <c r="W11" s="36">
        <f>COUNTIF(Tabla1[[#This Row],[VEHICULOS_ACCIDENTADOS]:[VEHICULOS_ACCIDENTADOS2]],"MICROBUS")</f>
        <v>0</v>
      </c>
      <c r="X11" s="36">
        <f>COUNTIF(Tabla1[[#This Row],[VEHICULOS_ACCIDENTADOS]:[VEHICULOS_ACCIDENTADOS2]],"BUS")</f>
        <v>0</v>
      </c>
      <c r="Y11" s="36">
        <f>COUNTIF(Tabla1[[#This Row],[VEHICULOS_ACCIDENTADOS]:[VEHICULOS_ACCIDENTADOS2]],"BUSETA")</f>
        <v>0</v>
      </c>
      <c r="Z11" s="36">
        <f>COUNTIF(Tabla1[[#This Row],[VEHICULOS_ACCIDENTADOS]:[VEHICULOS_ACCIDENTADOS2]],"CAMION")</f>
        <v>0</v>
      </c>
      <c r="AA11" s="36">
        <f>COUNTIF(Tabla1[[#This Row],[VEHICULOS_ACCIDENTADOS]:[VEHICULOS_ACCIDENTADOS2]],"TRACTOCAMION")</f>
        <v>0</v>
      </c>
      <c r="AB11" s="36">
        <f>COUNTIF(Tabla1[[#This Row],[VEHICULOS_ACCIDENTADOS]:[VEHICULOS_ACCIDENTADOS2]],"VOLQUETA")</f>
        <v>0</v>
      </c>
      <c r="AC11" s="36">
        <f>COUNTIF(Tabla1[[#This Row],[VEHICULOS_ACCIDENTADOS]:[VEHICULOS_ACCIDENTADOS2]],"BICICLETA")</f>
        <v>0</v>
      </c>
      <c r="AD11" s="136" t="s">
        <v>471</v>
      </c>
      <c r="AE11" s="136" t="s">
        <v>472</v>
      </c>
      <c r="AF11" s="136">
        <f>COUNTIF(Tabla1[[#This Row],[GENERO_MASCULINO]:[GENERO_FEMENINO]],"MASCULINO")</f>
        <v>1</v>
      </c>
      <c r="AG11" s="36">
        <f>COUNTIF(Tabla1[[#This Row],[GENERO_MASCULINO]:[GENERO_FEMENINO]],"FEMENINO")</f>
        <v>1</v>
      </c>
      <c r="AH11" s="85">
        <v>46</v>
      </c>
      <c r="AI11" s="85">
        <v>0</v>
      </c>
      <c r="AJ11" s="85"/>
      <c r="AK11" s="85">
        <v>0</v>
      </c>
      <c r="AL11" s="85"/>
      <c r="AM11" s="136"/>
      <c r="AN11" s="85">
        <v>115</v>
      </c>
      <c r="AO11" s="36" t="str">
        <f>IFERROR(((VLOOKUP(Tabla1[[#This Row],[HIPOTESIS_1]],listas!$D$1:$E$105,2,FALSE))),"SIN INFORMACIÓN")</f>
        <v>Embriaguez o Sustancias alucinogenas</v>
      </c>
      <c r="AP11" s="136">
        <v>127</v>
      </c>
      <c r="AQ11" s="36" t="str">
        <f>IFERROR(((VLOOKUP(Tabla1[[#This Row],[HIPOTESIS_2]],listas!$D$1:$E$105,2,FALSE))),"")</f>
        <v>Transitar en contravía.</v>
      </c>
      <c r="AR11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2" spans="1:46" x14ac:dyDescent="0.25">
      <c r="A12" s="12">
        <v>1072</v>
      </c>
      <c r="B12" s="137">
        <v>0</v>
      </c>
      <c r="C12" s="137">
        <v>0</v>
      </c>
      <c r="D12" s="137">
        <v>1</v>
      </c>
      <c r="E12" s="24" t="str">
        <f t="shared" si="0"/>
        <v>FALLECIDO</v>
      </c>
      <c r="F12" s="158" t="s">
        <v>901</v>
      </c>
      <c r="G12" s="30">
        <v>5.31911166666666</v>
      </c>
      <c r="H12" s="30">
        <v>-72.393685000000005</v>
      </c>
      <c r="I12" s="165" t="s">
        <v>697</v>
      </c>
      <c r="J12" s="36" t="s">
        <v>717</v>
      </c>
      <c r="K12" s="24" t="str">
        <f t="shared" si="1"/>
        <v>2025</v>
      </c>
      <c r="L12" s="24" t="str">
        <f t="shared" si="2"/>
        <v>SEPTIEMBRE</v>
      </c>
      <c r="M12" s="225">
        <v>45914</v>
      </c>
      <c r="N12" s="24" t="str">
        <f t="shared" si="3"/>
        <v>DOMINGO</v>
      </c>
      <c r="O12" s="101">
        <v>0.2013888888888889</v>
      </c>
      <c r="P12" s="63" t="s">
        <v>469</v>
      </c>
      <c r="Q12" s="63"/>
      <c r="R12" s="36">
        <f>COUNTIF(Tabla1[[#This Row],[VEHICULOS_ACCIDENTADOS]:[VEHICULOS_ACCIDENTADOS2]],"MOTOCICLETA")</f>
        <v>1</v>
      </c>
      <c r="S12" s="36">
        <f>COUNTIF(Tabla1[[#This Row],[VEHICULOS_ACCIDENTADOS]:[VEHICULOS_ACCIDENTADOS2]],"MOTOCARRO")</f>
        <v>0</v>
      </c>
      <c r="T12" s="36">
        <f>COUNTIF(Tabla1[[#This Row],[VEHICULOS_ACCIDENTADOS]:[VEHICULOS_ACCIDENTADOS2]],"AUTOMOVIL")</f>
        <v>0</v>
      </c>
      <c r="U12" s="36">
        <f>COUNTIF(Tabla1[[#This Row],[VEHICULOS_ACCIDENTADOS]:[VEHICULOS_ACCIDENTADOS2]],"CAMPERO")</f>
        <v>0</v>
      </c>
      <c r="V12" s="36">
        <f>COUNTIF(Tabla1[[#This Row],[VEHICULOS_ACCIDENTADOS]:[VEHICULOS_ACCIDENTADOS2]],"CAMIONETA")</f>
        <v>0</v>
      </c>
      <c r="W12" s="36">
        <f>COUNTIF(Tabla1[[#This Row],[VEHICULOS_ACCIDENTADOS]:[VEHICULOS_ACCIDENTADOS2]],"MICROBUS")</f>
        <v>0</v>
      </c>
      <c r="X12" s="36">
        <f>COUNTIF(Tabla1[[#This Row],[VEHICULOS_ACCIDENTADOS]:[VEHICULOS_ACCIDENTADOS2]],"BUS")</f>
        <v>0</v>
      </c>
      <c r="Y12" s="36">
        <f>COUNTIF(Tabla1[[#This Row],[VEHICULOS_ACCIDENTADOS]:[VEHICULOS_ACCIDENTADOS2]],"BUSETA")</f>
        <v>0</v>
      </c>
      <c r="Z12" s="36">
        <f>COUNTIF(Tabla1[[#This Row],[VEHICULOS_ACCIDENTADOS]:[VEHICULOS_ACCIDENTADOS2]],"CAMION")</f>
        <v>0</v>
      </c>
      <c r="AA12" s="36">
        <f>COUNTIF(Tabla1[[#This Row],[VEHICULOS_ACCIDENTADOS]:[VEHICULOS_ACCIDENTADOS2]],"TRACTOCAMION")</f>
        <v>0</v>
      </c>
      <c r="AB12" s="36">
        <f>COUNTIF(Tabla1[[#This Row],[VEHICULOS_ACCIDENTADOS]:[VEHICULOS_ACCIDENTADOS2]],"VOLQUETA")</f>
        <v>0</v>
      </c>
      <c r="AC12" s="36">
        <f>COUNTIF(Tabla1[[#This Row],[VEHICULOS_ACCIDENTADOS]:[VEHICULOS_ACCIDENTADOS2]],"BICICLETA")</f>
        <v>0</v>
      </c>
      <c r="AD12" s="61" t="s">
        <v>471</v>
      </c>
      <c r="AE12" s="61"/>
      <c r="AF12" s="36">
        <f>COUNTIF(Tabla1[[#This Row],[GENERO_MASCULINO]:[GENERO_FEMENINO]],"MASCULINO")</f>
        <v>1</v>
      </c>
      <c r="AG12" s="36">
        <f>COUNTIF(Tabla1[[#This Row],[GENERO_MASCULINO]:[GENERO_FEMENINO]],"FEMENINO")</f>
        <v>0</v>
      </c>
      <c r="AH12" s="85">
        <v>30</v>
      </c>
      <c r="AI12" s="85"/>
      <c r="AJ12" s="85"/>
      <c r="AK12" s="78"/>
      <c r="AL12" s="78"/>
      <c r="AM12" s="59"/>
      <c r="AN12" s="61">
        <v>114</v>
      </c>
      <c r="AO12" s="59" t="str">
        <f>IFERROR(((VLOOKUP(Tabla1[[#This Row],[HIPOTESIS_1]],listas!$D$1:$E$105,2,FALSE))),"SIN INFORMACIÓN")</f>
        <v>Embriaguez aparente.</v>
      </c>
      <c r="AP12" s="36">
        <v>127</v>
      </c>
      <c r="AQ12" s="36" t="str">
        <f>IFERROR(((VLOOKUP(Tabla1[[#This Row],[HIPOTESIS_2]],listas!$D$1:$E$105,2,FALSE))),"")</f>
        <v>Transitar en contravía.</v>
      </c>
      <c r="AR12" s="2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3" spans="1:46" x14ac:dyDescent="0.25">
      <c r="A13" s="12">
        <v>897</v>
      </c>
      <c r="B13" s="136">
        <v>1</v>
      </c>
      <c r="C13" s="136">
        <v>0</v>
      </c>
      <c r="D13" s="136">
        <v>0</v>
      </c>
      <c r="E13" s="18" t="str">
        <f t="shared" si="0"/>
        <v>SOLO DAÑO</v>
      </c>
      <c r="F13" s="26" t="s">
        <v>907</v>
      </c>
      <c r="G13" s="21">
        <v>5.3394300000000001</v>
      </c>
      <c r="H13" s="21">
        <v>-72.397135000000006</v>
      </c>
      <c r="I13" s="93" t="s">
        <v>697</v>
      </c>
      <c r="J13" s="167" t="s">
        <v>717</v>
      </c>
      <c r="K13" s="24" t="str">
        <f t="shared" si="1"/>
        <v>2025</v>
      </c>
      <c r="L13" s="24" t="str">
        <f t="shared" si="2"/>
        <v>MARZO</v>
      </c>
      <c r="M13" s="224">
        <v>45724</v>
      </c>
      <c r="N13" s="24" t="str">
        <f t="shared" si="3"/>
        <v>SÁBADO</v>
      </c>
      <c r="O13" s="171">
        <v>0.97916666666666663</v>
      </c>
      <c r="P13" s="178" t="s">
        <v>469</v>
      </c>
      <c r="Q13" s="178"/>
      <c r="R13" s="36">
        <f>COUNTIF(Tabla1[[#This Row],[VEHICULOS_ACCIDENTADOS]:[VEHICULOS_ACCIDENTADOS2]],"MOTOCICLETA")</f>
        <v>1</v>
      </c>
      <c r="S13" s="36">
        <f>COUNTIF(Tabla1[[#This Row],[VEHICULOS_ACCIDENTADOS]:[VEHICULOS_ACCIDENTADOS2]],"MOTOCARRO")</f>
        <v>0</v>
      </c>
      <c r="T13" s="36">
        <f>COUNTIF(Tabla1[[#This Row],[VEHICULOS_ACCIDENTADOS]:[VEHICULOS_ACCIDENTADOS2]],"AUTOMOVIL")</f>
        <v>0</v>
      </c>
      <c r="U13" s="36">
        <f>COUNTIF(Tabla1[[#This Row],[VEHICULOS_ACCIDENTADOS]:[VEHICULOS_ACCIDENTADOS2]],"CAMPERO")</f>
        <v>0</v>
      </c>
      <c r="V13" s="36">
        <f>COUNTIF(Tabla1[[#This Row],[VEHICULOS_ACCIDENTADOS]:[VEHICULOS_ACCIDENTADOS2]],"CAMIONETA")</f>
        <v>0</v>
      </c>
      <c r="W13" s="36">
        <f>COUNTIF(Tabla1[[#This Row],[VEHICULOS_ACCIDENTADOS]:[VEHICULOS_ACCIDENTADOS2]],"MICROBUS")</f>
        <v>0</v>
      </c>
      <c r="X13" s="36">
        <f>COUNTIF(Tabla1[[#This Row],[VEHICULOS_ACCIDENTADOS]:[VEHICULOS_ACCIDENTADOS2]],"BUS")</f>
        <v>0</v>
      </c>
      <c r="Y13" s="36">
        <f>COUNTIF(Tabla1[[#This Row],[VEHICULOS_ACCIDENTADOS]:[VEHICULOS_ACCIDENTADOS2]],"BUSETA")</f>
        <v>0</v>
      </c>
      <c r="Z13" s="36">
        <f>COUNTIF(Tabla1[[#This Row],[VEHICULOS_ACCIDENTADOS]:[VEHICULOS_ACCIDENTADOS2]],"CAMION")</f>
        <v>0</v>
      </c>
      <c r="AA13" s="36">
        <f>COUNTIF(Tabla1[[#This Row],[VEHICULOS_ACCIDENTADOS]:[VEHICULOS_ACCIDENTADOS2]],"TRACTOCAMION")</f>
        <v>0</v>
      </c>
      <c r="AB13" s="36">
        <f>COUNTIF(Tabla1[[#This Row],[VEHICULOS_ACCIDENTADOS]:[VEHICULOS_ACCIDENTADOS2]],"VOLQUETA")</f>
        <v>0</v>
      </c>
      <c r="AC13" s="36">
        <f>COUNTIF(Tabla1[[#This Row],[VEHICULOS_ACCIDENTADOS]:[VEHICULOS_ACCIDENTADOS2]],"BICICLETA")</f>
        <v>0</v>
      </c>
      <c r="AD13" s="136" t="s">
        <v>471</v>
      </c>
      <c r="AE13" s="136" t="s">
        <v>471</v>
      </c>
      <c r="AF13" s="136">
        <f>COUNTIF(Tabla1[[#This Row],[GENERO_MASCULINO]:[GENERO_FEMENINO]],"MASCULINO")</f>
        <v>2</v>
      </c>
      <c r="AG13" s="36">
        <f>COUNTIF(Tabla1[[#This Row],[GENERO_MASCULINO]:[GENERO_FEMENINO]],"FEMENINO")</f>
        <v>0</v>
      </c>
      <c r="AH13" s="85">
        <v>35</v>
      </c>
      <c r="AI13" s="85">
        <v>35</v>
      </c>
      <c r="AJ13" s="85"/>
      <c r="AK13" s="85"/>
      <c r="AL13" s="85"/>
      <c r="AM13" s="136"/>
      <c r="AN13" s="85">
        <v>115</v>
      </c>
      <c r="AO13" s="36" t="str">
        <f>IFERROR(((VLOOKUP(Tabla1[[#This Row],[HIPOTESIS_1]],listas!$D$1:$E$105,2,FALSE))),"SIN INFORMACIÓN")</f>
        <v>Embriaguez o Sustancias alucinogenas</v>
      </c>
      <c r="AP13" s="136">
        <v>127</v>
      </c>
      <c r="AQ13" s="36" t="str">
        <f>IFERROR(((VLOOKUP(Tabla1[[#This Row],[HIPOTESIS_2]],listas!$D$1:$E$105,2,FALSE))),"")</f>
        <v>Transitar en contravía.</v>
      </c>
      <c r="AR13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4" spans="1:46" x14ac:dyDescent="0.25">
      <c r="A14" s="12">
        <v>328</v>
      </c>
      <c r="B14" s="36">
        <v>0</v>
      </c>
      <c r="C14" s="36">
        <v>0</v>
      </c>
      <c r="D14" s="36">
        <v>1</v>
      </c>
      <c r="E14" s="18" t="str">
        <f t="shared" si="0"/>
        <v>FALLECIDO</v>
      </c>
      <c r="F14" s="29" t="s">
        <v>932</v>
      </c>
      <c r="G14" s="17">
        <v>5.3495777777777773</v>
      </c>
      <c r="H14" s="17">
        <v>-72.400400000000005</v>
      </c>
      <c r="I14" s="93" t="s">
        <v>697</v>
      </c>
      <c r="J14" s="36" t="s">
        <v>717</v>
      </c>
      <c r="K14" s="24" t="str">
        <f t="shared" si="1"/>
        <v>2022</v>
      </c>
      <c r="L14" s="24" t="str">
        <f t="shared" si="2"/>
        <v>OCTUBRE</v>
      </c>
      <c r="M14" s="225">
        <v>44843</v>
      </c>
      <c r="N14" s="24" t="str">
        <f t="shared" si="3"/>
        <v>DOMINGO</v>
      </c>
      <c r="O14" s="102">
        <v>0.20486111111111099</v>
      </c>
      <c r="P14" s="53" t="s">
        <v>469</v>
      </c>
      <c r="Q14" s="53"/>
      <c r="R14" s="36">
        <f>COUNTIF(Tabla1[[#This Row],[VEHICULOS_ACCIDENTADOS]:[VEHICULOS_ACCIDENTADOS2]],"MOTOCICLETA")</f>
        <v>1</v>
      </c>
      <c r="S14" s="36">
        <f>COUNTIF(Tabla1[[#This Row],[VEHICULOS_ACCIDENTADOS]:[VEHICULOS_ACCIDENTADOS2]],"MOTOCARRO")</f>
        <v>0</v>
      </c>
      <c r="T14" s="36">
        <f>COUNTIF(Tabla1[[#This Row],[VEHICULOS_ACCIDENTADOS]:[VEHICULOS_ACCIDENTADOS2]],"AUTOMOVIL")</f>
        <v>0</v>
      </c>
      <c r="U14" s="36">
        <f>COUNTIF(Tabla1[[#This Row],[VEHICULOS_ACCIDENTADOS]:[VEHICULOS_ACCIDENTADOS2]],"CAMPERO")</f>
        <v>0</v>
      </c>
      <c r="V14" s="36">
        <f>COUNTIF(Tabla1[[#This Row],[VEHICULOS_ACCIDENTADOS]:[VEHICULOS_ACCIDENTADOS2]],"CAMIONETA")</f>
        <v>0</v>
      </c>
      <c r="W14" s="36">
        <f>COUNTIF(Tabla1[[#This Row],[VEHICULOS_ACCIDENTADOS]:[VEHICULOS_ACCIDENTADOS2]],"MICROBUS")</f>
        <v>0</v>
      </c>
      <c r="X14" s="36">
        <f>COUNTIF(Tabla1[[#This Row],[VEHICULOS_ACCIDENTADOS]:[VEHICULOS_ACCIDENTADOS2]],"BUS")</f>
        <v>0</v>
      </c>
      <c r="Y14" s="36">
        <f>COUNTIF(Tabla1[[#This Row],[VEHICULOS_ACCIDENTADOS]:[VEHICULOS_ACCIDENTADOS2]],"BUSETA")</f>
        <v>0</v>
      </c>
      <c r="Z14" s="36">
        <f>COUNTIF(Tabla1[[#This Row],[VEHICULOS_ACCIDENTADOS]:[VEHICULOS_ACCIDENTADOS2]],"CAMION")</f>
        <v>0</v>
      </c>
      <c r="AA14" s="36">
        <f>COUNTIF(Tabla1[[#This Row],[VEHICULOS_ACCIDENTADOS]:[VEHICULOS_ACCIDENTADOS2]],"TRACTOCAMION")</f>
        <v>0</v>
      </c>
      <c r="AB14" s="36">
        <f>COUNTIF(Tabla1[[#This Row],[VEHICULOS_ACCIDENTADOS]:[VEHICULOS_ACCIDENTADOS2]],"VOLQUETA")</f>
        <v>0</v>
      </c>
      <c r="AC14" s="36">
        <f>COUNTIF(Tabla1[[#This Row],[VEHICULOS_ACCIDENTADOS]:[VEHICULOS_ACCIDENTADOS2]],"BICICLETA")</f>
        <v>0</v>
      </c>
      <c r="AD14" s="36"/>
      <c r="AE14" s="36" t="s">
        <v>472</v>
      </c>
      <c r="AF14" s="36">
        <f>COUNTIF(Tabla1[[#This Row],[GENERO_MASCULINO]:[GENERO_FEMENINO]],"MASCULINO")</f>
        <v>0</v>
      </c>
      <c r="AG14" s="36">
        <f>COUNTIF(Tabla1[[#This Row],[GENERO_MASCULINO]:[GENERO_FEMENINO]],"FEMENINO")</f>
        <v>1</v>
      </c>
      <c r="AH14" s="61"/>
      <c r="AI14" s="61"/>
      <c r="AJ14" s="61"/>
      <c r="AK14" s="61"/>
      <c r="AL14" s="61"/>
      <c r="AM14" s="36">
        <v>20</v>
      </c>
      <c r="AN14" s="61">
        <v>114</v>
      </c>
      <c r="AO14" s="36" t="str">
        <f>IFERROR(((VLOOKUP(Tabla1[[#This Row],[HIPOTESIS_1]],listas!$D$1:$E$105,2,FALSE))),"SIN INFORMACIÓN")</f>
        <v>Embriaguez aparente.</v>
      </c>
      <c r="AP14" s="36">
        <v>127</v>
      </c>
      <c r="AQ14" s="36" t="str">
        <f>IFERROR(((VLOOKUP(Tabla1[[#This Row],[HIPOTESIS_2]],listas!$D$1:$E$105,2,FALSE))),"")</f>
        <v>Transitar en contravía.</v>
      </c>
      <c r="AR14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5" spans="1:46" x14ac:dyDescent="0.25">
      <c r="A15" s="12">
        <v>853</v>
      </c>
      <c r="B15" s="136">
        <v>1</v>
      </c>
      <c r="C15" s="136">
        <v>0</v>
      </c>
      <c r="D15" s="136">
        <v>0</v>
      </c>
      <c r="E15" s="18" t="str">
        <f t="shared" si="0"/>
        <v>SOLO DAÑO</v>
      </c>
      <c r="F15" s="26" t="s">
        <v>1135</v>
      </c>
      <c r="G15" s="17">
        <v>5.3439277777777772</v>
      </c>
      <c r="H15" s="17">
        <v>-72.395763888888894</v>
      </c>
      <c r="I15" s="93" t="s">
        <v>697</v>
      </c>
      <c r="J15" s="167" t="s">
        <v>717</v>
      </c>
      <c r="K15" s="24" t="str">
        <f t="shared" si="1"/>
        <v>2025</v>
      </c>
      <c r="L15" s="24" t="str">
        <f t="shared" si="2"/>
        <v>ENERO</v>
      </c>
      <c r="M15" s="230">
        <v>45660</v>
      </c>
      <c r="N15" s="24" t="str">
        <f t="shared" si="3"/>
        <v>VIERNES</v>
      </c>
      <c r="O15" s="177">
        <v>0.73958333333333337</v>
      </c>
      <c r="P15" s="183" t="s">
        <v>469</v>
      </c>
      <c r="Q15" s="183" t="s">
        <v>469</v>
      </c>
      <c r="R15" s="36">
        <f>COUNTIF(Tabla1[[#This Row],[VEHICULOS_ACCIDENTADOS]:[VEHICULOS_ACCIDENTADOS2]],"MOTOCICLETA")</f>
        <v>2</v>
      </c>
      <c r="S15" s="36">
        <f>COUNTIF(Tabla1[[#This Row],[VEHICULOS_ACCIDENTADOS]:[VEHICULOS_ACCIDENTADOS2]],"MOTOCARRO")</f>
        <v>0</v>
      </c>
      <c r="T15" s="36">
        <f>COUNTIF(Tabla1[[#This Row],[VEHICULOS_ACCIDENTADOS]:[VEHICULOS_ACCIDENTADOS2]],"AUTOMOVIL")</f>
        <v>0</v>
      </c>
      <c r="U15" s="36">
        <f>COUNTIF(Tabla1[[#This Row],[VEHICULOS_ACCIDENTADOS]:[VEHICULOS_ACCIDENTADOS2]],"CAMPERO")</f>
        <v>0</v>
      </c>
      <c r="V15" s="36">
        <f>COUNTIF(Tabla1[[#This Row],[VEHICULOS_ACCIDENTADOS]:[VEHICULOS_ACCIDENTADOS2]],"CAMIONETA")</f>
        <v>0</v>
      </c>
      <c r="W15" s="36">
        <f>COUNTIF(Tabla1[[#This Row],[VEHICULOS_ACCIDENTADOS]:[VEHICULOS_ACCIDENTADOS2]],"MICROBUS")</f>
        <v>0</v>
      </c>
      <c r="X15" s="36">
        <f>COUNTIF(Tabla1[[#This Row],[VEHICULOS_ACCIDENTADOS]:[VEHICULOS_ACCIDENTADOS2]],"BUS")</f>
        <v>0</v>
      </c>
      <c r="Y15" s="36">
        <f>COUNTIF(Tabla1[[#This Row],[VEHICULOS_ACCIDENTADOS]:[VEHICULOS_ACCIDENTADOS2]],"BUSETA")</f>
        <v>0</v>
      </c>
      <c r="Z15" s="36">
        <f>COUNTIF(Tabla1[[#This Row],[VEHICULOS_ACCIDENTADOS]:[VEHICULOS_ACCIDENTADOS2]],"CAMION")</f>
        <v>0</v>
      </c>
      <c r="AA15" s="36">
        <f>COUNTIF(Tabla1[[#This Row],[VEHICULOS_ACCIDENTADOS]:[VEHICULOS_ACCIDENTADOS2]],"TRACTOCAMION")</f>
        <v>0</v>
      </c>
      <c r="AB15" s="36">
        <f>COUNTIF(Tabla1[[#This Row],[VEHICULOS_ACCIDENTADOS]:[VEHICULOS_ACCIDENTADOS2]],"VOLQUETA")</f>
        <v>0</v>
      </c>
      <c r="AC15" s="36">
        <f>COUNTIF(Tabla1[[#This Row],[VEHICULOS_ACCIDENTADOS]:[VEHICULOS_ACCIDENTADOS2]],"BICICLETA")</f>
        <v>0</v>
      </c>
      <c r="AD15" s="136" t="s">
        <v>471</v>
      </c>
      <c r="AE15" s="136" t="s">
        <v>471</v>
      </c>
      <c r="AF15" s="136">
        <f>COUNTIF(Tabla1[[#This Row],[GENERO_MASCULINO]:[GENERO_FEMENINO]],"MASCULINO")</f>
        <v>2</v>
      </c>
      <c r="AG15" s="36">
        <f>COUNTIF(Tabla1[[#This Row],[GENERO_MASCULINO]:[GENERO_FEMENINO]],"FEMENINO")</f>
        <v>0</v>
      </c>
      <c r="AH15" s="85">
        <v>19</v>
      </c>
      <c r="AI15" s="85">
        <v>64</v>
      </c>
      <c r="AJ15" s="85"/>
      <c r="AK15" s="85"/>
      <c r="AL15" s="85"/>
      <c r="AM15" s="136"/>
      <c r="AN15" s="85">
        <v>115</v>
      </c>
      <c r="AO15" s="36" t="str">
        <f>IFERROR(((VLOOKUP(Tabla1[[#This Row],[HIPOTESIS_1]],listas!$D$1:$E$105,2,FALSE))),"SIN INFORMACIÓN")</f>
        <v>Embriaguez o Sustancias alucinogenas</v>
      </c>
      <c r="AP15" s="136">
        <v>127</v>
      </c>
      <c r="AQ15" s="36" t="str">
        <f>IFERROR(((VLOOKUP(Tabla1[[#This Row],[HIPOTESIS_2]],listas!$D$1:$E$105,2,FALSE))),"")</f>
        <v>Transitar en contravía.</v>
      </c>
      <c r="AR15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6" spans="1:46" x14ac:dyDescent="0.25">
      <c r="A16" s="12">
        <v>369</v>
      </c>
      <c r="B16" s="36">
        <v>0</v>
      </c>
      <c r="C16" s="36">
        <v>2</v>
      </c>
      <c r="D16" s="36">
        <v>0</v>
      </c>
      <c r="E16" s="18" t="str">
        <f t="shared" si="0"/>
        <v>LESIONADO</v>
      </c>
      <c r="F16" s="29" t="s">
        <v>1141</v>
      </c>
      <c r="G16" s="17">
        <v>5.3427833333333332</v>
      </c>
      <c r="H16" s="17">
        <v>-72.394019444444453</v>
      </c>
      <c r="I16" s="93" t="s">
        <v>697</v>
      </c>
      <c r="J16" s="36" t="s">
        <v>717</v>
      </c>
      <c r="K16" s="24" t="str">
        <f t="shared" si="1"/>
        <v>2022</v>
      </c>
      <c r="L16" s="24" t="str">
        <f t="shared" si="2"/>
        <v>DICIEMBRE</v>
      </c>
      <c r="M16" s="225">
        <v>44902</v>
      </c>
      <c r="N16" s="24" t="str">
        <f t="shared" si="3"/>
        <v>MIÉRCOLES</v>
      </c>
      <c r="O16" s="102">
        <v>0.72916666666666696</v>
      </c>
      <c r="P16" s="53" t="s">
        <v>469</v>
      </c>
      <c r="Q16" s="53" t="s">
        <v>445</v>
      </c>
      <c r="R16" s="36">
        <f>COUNTIF(Tabla1[[#This Row],[VEHICULOS_ACCIDENTADOS]:[VEHICULOS_ACCIDENTADOS2]],"MOTOCICLETA")</f>
        <v>1</v>
      </c>
      <c r="S16" s="36">
        <f>COUNTIF(Tabla1[[#This Row],[VEHICULOS_ACCIDENTADOS]:[VEHICULOS_ACCIDENTADOS2]],"MOTOCARRO")</f>
        <v>0</v>
      </c>
      <c r="T16" s="36">
        <f>COUNTIF(Tabla1[[#This Row],[VEHICULOS_ACCIDENTADOS]:[VEHICULOS_ACCIDENTADOS2]],"AUTOMOVIL")</f>
        <v>0</v>
      </c>
      <c r="U16" s="36">
        <f>COUNTIF(Tabla1[[#This Row],[VEHICULOS_ACCIDENTADOS]:[VEHICULOS_ACCIDENTADOS2]],"CAMPERO")</f>
        <v>0</v>
      </c>
      <c r="V16" s="36">
        <f>COUNTIF(Tabla1[[#This Row],[VEHICULOS_ACCIDENTADOS]:[VEHICULOS_ACCIDENTADOS2]],"CAMIONETA")</f>
        <v>1</v>
      </c>
      <c r="W16" s="36">
        <f>COUNTIF(Tabla1[[#This Row],[VEHICULOS_ACCIDENTADOS]:[VEHICULOS_ACCIDENTADOS2]],"MICROBUS")</f>
        <v>0</v>
      </c>
      <c r="X16" s="36">
        <f>COUNTIF(Tabla1[[#This Row],[VEHICULOS_ACCIDENTADOS]:[VEHICULOS_ACCIDENTADOS2]],"BUS")</f>
        <v>0</v>
      </c>
      <c r="Y16" s="36">
        <f>COUNTIF(Tabla1[[#This Row],[VEHICULOS_ACCIDENTADOS]:[VEHICULOS_ACCIDENTADOS2]],"BUSETA")</f>
        <v>0</v>
      </c>
      <c r="Z16" s="36">
        <f>COUNTIF(Tabla1[[#This Row],[VEHICULOS_ACCIDENTADOS]:[VEHICULOS_ACCIDENTADOS2]],"CAMION")</f>
        <v>0</v>
      </c>
      <c r="AA16" s="36">
        <f>COUNTIF(Tabla1[[#This Row],[VEHICULOS_ACCIDENTADOS]:[VEHICULOS_ACCIDENTADOS2]],"TRACTOCAMION")</f>
        <v>0</v>
      </c>
      <c r="AB16" s="36">
        <f>COUNTIF(Tabla1[[#This Row],[VEHICULOS_ACCIDENTADOS]:[VEHICULOS_ACCIDENTADOS2]],"VOLQUETA")</f>
        <v>0</v>
      </c>
      <c r="AC16" s="36">
        <f>COUNTIF(Tabla1[[#This Row],[VEHICULOS_ACCIDENTADOS]:[VEHICULOS_ACCIDENTADOS2]],"BICICLETA")</f>
        <v>0</v>
      </c>
      <c r="AD16" s="36"/>
      <c r="AE16" s="36" t="s">
        <v>472</v>
      </c>
      <c r="AF16" s="36">
        <f>COUNTIF(Tabla1[[#This Row],[GENERO_MASCULINO]:[GENERO_FEMENINO]],"MASCULINO")</f>
        <v>0</v>
      </c>
      <c r="AG16" s="36">
        <f>COUNTIF(Tabla1[[#This Row],[GENERO_MASCULINO]:[GENERO_FEMENINO]],"FEMENINO")</f>
        <v>1</v>
      </c>
      <c r="AH16" s="61">
        <v>32</v>
      </c>
      <c r="AI16" s="61"/>
      <c r="AJ16" s="78"/>
      <c r="AK16" s="61"/>
      <c r="AL16" s="61">
        <v>12</v>
      </c>
      <c r="AM16" s="36"/>
      <c r="AN16" s="61">
        <v>112</v>
      </c>
      <c r="AO16" s="36" t="str">
        <f>IFERROR(((VLOOKUP(Tabla1[[#This Row],[HIPOTESIS_1]],listas!$D$1:$E$105,2,FALSE))),"SIN INFORMACIÓN")</f>
        <v>Desobedecer señales o normas de tránsito.</v>
      </c>
      <c r="AP16" s="36">
        <v>127</v>
      </c>
      <c r="AQ16" s="36" t="str">
        <f>IFERROR(((VLOOKUP(Tabla1[[#This Row],[HIPOTESIS_2]],listas!$D$1:$E$105,2,FALSE))),"")</f>
        <v>Transitar en contravía.</v>
      </c>
      <c r="AR16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7" spans="1:44" ht="13.8" customHeight="1" x14ac:dyDescent="0.25">
      <c r="A17" s="12">
        <v>834</v>
      </c>
      <c r="B17" s="136">
        <v>1</v>
      </c>
      <c r="C17" s="136">
        <v>0</v>
      </c>
      <c r="D17" s="141">
        <v>0</v>
      </c>
      <c r="E17" s="18" t="str">
        <f t="shared" si="0"/>
        <v>SOLO DAÑO</v>
      </c>
      <c r="F17" s="26" t="s">
        <v>94</v>
      </c>
      <c r="G17" s="21">
        <v>5.325154722222222</v>
      </c>
      <c r="H17" s="21">
        <v>-72.384341666666671</v>
      </c>
      <c r="I17" s="93" t="s">
        <v>697</v>
      </c>
      <c r="J17" s="36" t="s">
        <v>717</v>
      </c>
      <c r="K17" s="24" t="str">
        <f t="shared" si="1"/>
        <v>2024</v>
      </c>
      <c r="L17" s="24" t="str">
        <f t="shared" si="2"/>
        <v>DICIEMBRE</v>
      </c>
      <c r="M17" s="224">
        <v>45640</v>
      </c>
      <c r="N17" s="24" t="str">
        <f t="shared" si="3"/>
        <v>SÁBADO</v>
      </c>
      <c r="O17" s="171">
        <v>0.79166666666666663</v>
      </c>
      <c r="P17" s="178" t="s">
        <v>469</v>
      </c>
      <c r="Q17" s="178" t="s">
        <v>438</v>
      </c>
      <c r="R17" s="36">
        <f>COUNTIF(Tabla1[[#This Row],[VEHICULOS_ACCIDENTADOS]:[VEHICULOS_ACCIDENTADOS2]],"MOTOCICLETA")</f>
        <v>1</v>
      </c>
      <c r="S17" s="36">
        <f>COUNTIF(Tabla1[[#This Row],[VEHICULOS_ACCIDENTADOS]:[VEHICULOS_ACCIDENTADOS2]],"MOTOCARRO")</f>
        <v>0</v>
      </c>
      <c r="T17" s="36">
        <f>COUNTIF(Tabla1[[#This Row],[VEHICULOS_ACCIDENTADOS]:[VEHICULOS_ACCIDENTADOS2]],"AUTOMOVIL")</f>
        <v>0</v>
      </c>
      <c r="U17" s="36">
        <f>COUNTIF(Tabla1[[#This Row],[VEHICULOS_ACCIDENTADOS]:[VEHICULOS_ACCIDENTADOS2]],"CAMPERO")</f>
        <v>0</v>
      </c>
      <c r="V17" s="36">
        <f>COUNTIF(Tabla1[[#This Row],[VEHICULOS_ACCIDENTADOS]:[VEHICULOS_ACCIDENTADOS2]],"CAMIONETA")</f>
        <v>0</v>
      </c>
      <c r="W17" s="36">
        <f>COUNTIF(Tabla1[[#This Row],[VEHICULOS_ACCIDENTADOS]:[VEHICULOS_ACCIDENTADOS2]],"MICROBUS")</f>
        <v>0</v>
      </c>
      <c r="X17" s="36">
        <f>COUNTIF(Tabla1[[#This Row],[VEHICULOS_ACCIDENTADOS]:[VEHICULOS_ACCIDENTADOS2]],"BUS")</f>
        <v>0</v>
      </c>
      <c r="Y17" s="36">
        <f>COUNTIF(Tabla1[[#This Row],[VEHICULOS_ACCIDENTADOS]:[VEHICULOS_ACCIDENTADOS2]],"BUSETA")</f>
        <v>0</v>
      </c>
      <c r="Z17" s="36">
        <f>COUNTIF(Tabla1[[#This Row],[VEHICULOS_ACCIDENTADOS]:[VEHICULOS_ACCIDENTADOS2]],"CAMION")</f>
        <v>0</v>
      </c>
      <c r="AA17" s="36">
        <f>COUNTIF(Tabla1[[#This Row],[VEHICULOS_ACCIDENTADOS]:[VEHICULOS_ACCIDENTADOS2]],"TRACTOCAMION")</f>
        <v>0</v>
      </c>
      <c r="AB17" s="36">
        <f>COUNTIF(Tabla1[[#This Row],[VEHICULOS_ACCIDENTADOS]:[VEHICULOS_ACCIDENTADOS2]],"VOLQUETA")</f>
        <v>0</v>
      </c>
      <c r="AC17" s="36">
        <f>COUNTIF(Tabla1[[#This Row],[VEHICULOS_ACCIDENTADOS]:[VEHICULOS_ACCIDENTADOS2]],"BICICLETA")</f>
        <v>1</v>
      </c>
      <c r="AD17" s="136" t="s">
        <v>471</v>
      </c>
      <c r="AE17" s="136"/>
      <c r="AF17" s="136">
        <f>COUNTIF(Tabla1[[#This Row],[GENERO_MASCULINO]:[GENERO_FEMENINO]],"MASCULINO")</f>
        <v>1</v>
      </c>
      <c r="AG17" s="36">
        <f>COUNTIF(Tabla1[[#This Row],[GENERO_MASCULINO]:[GENERO_FEMENINO]],"FEMENINO")</f>
        <v>0</v>
      </c>
      <c r="AH17" s="85">
        <v>25</v>
      </c>
      <c r="AI17" s="85">
        <v>19</v>
      </c>
      <c r="AJ17" s="85"/>
      <c r="AK17" s="85"/>
      <c r="AL17" s="85"/>
      <c r="AM17" s="136"/>
      <c r="AN17" s="85">
        <v>114</v>
      </c>
      <c r="AO17" s="36" t="str">
        <f>IFERROR(((VLOOKUP(Tabla1[[#This Row],[HIPOTESIS_1]],listas!$D$1:$E$105,2,FALSE))),"SIN INFORMACIÓN")</f>
        <v>Embriaguez aparente.</v>
      </c>
      <c r="AP17" s="136">
        <v>127</v>
      </c>
      <c r="AQ17" s="36" t="str">
        <f>IFERROR(((VLOOKUP(Tabla1[[#This Row],[HIPOTESIS_2]],listas!$D$1:$E$105,2,FALSE))),"")</f>
        <v>Transitar en contravía.</v>
      </c>
      <c r="AR17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8" spans="1:44" x14ac:dyDescent="0.25">
      <c r="A18" s="12">
        <v>782</v>
      </c>
      <c r="B18" s="135">
        <v>0</v>
      </c>
      <c r="C18" s="36">
        <v>2</v>
      </c>
      <c r="D18" s="144">
        <v>0</v>
      </c>
      <c r="E18" s="18" t="str">
        <f t="shared" si="0"/>
        <v>LESIONADO</v>
      </c>
      <c r="F18" s="29" t="s">
        <v>112</v>
      </c>
      <c r="G18" s="17">
        <v>5.3401291666666664</v>
      </c>
      <c r="H18" s="17">
        <v>-72.391458333333347</v>
      </c>
      <c r="I18" s="93" t="s">
        <v>697</v>
      </c>
      <c r="J18" s="36" t="s">
        <v>717</v>
      </c>
      <c r="K18" s="24" t="str">
        <f t="shared" si="1"/>
        <v>2024</v>
      </c>
      <c r="L18" s="24" t="str">
        <f t="shared" si="2"/>
        <v>SEPTIEMBRE</v>
      </c>
      <c r="M18" s="225">
        <v>45554</v>
      </c>
      <c r="N18" s="24" t="str">
        <f t="shared" si="3"/>
        <v>JUEVES</v>
      </c>
      <c r="O18" s="101">
        <v>0.63194444444444442</v>
      </c>
      <c r="P18" s="57" t="s">
        <v>446</v>
      </c>
      <c r="Q18" s="57" t="s">
        <v>438</v>
      </c>
      <c r="R18" s="36">
        <f>COUNTIF(Tabla1[[#This Row],[VEHICULOS_ACCIDENTADOS]:[VEHICULOS_ACCIDENTADOS2]],"MOTOCICLETA")</f>
        <v>0</v>
      </c>
      <c r="S18" s="36">
        <f>COUNTIF(Tabla1[[#This Row],[VEHICULOS_ACCIDENTADOS]:[VEHICULOS_ACCIDENTADOS2]],"MOTOCARRO")</f>
        <v>0</v>
      </c>
      <c r="T18" s="36">
        <f>COUNTIF(Tabla1[[#This Row],[VEHICULOS_ACCIDENTADOS]:[VEHICULOS_ACCIDENTADOS2]],"AUTOMOVIL")</f>
        <v>0</v>
      </c>
      <c r="U18" s="36">
        <f>COUNTIF(Tabla1[[#This Row],[VEHICULOS_ACCIDENTADOS]:[VEHICULOS_ACCIDENTADOS2]],"CAMPERO")</f>
        <v>1</v>
      </c>
      <c r="V18" s="36">
        <f>COUNTIF(Tabla1[[#This Row],[VEHICULOS_ACCIDENTADOS]:[VEHICULOS_ACCIDENTADOS2]],"CAMIONETA")</f>
        <v>0</v>
      </c>
      <c r="W18" s="36">
        <f>COUNTIF(Tabla1[[#This Row],[VEHICULOS_ACCIDENTADOS]:[VEHICULOS_ACCIDENTADOS2]],"MICROBUS")</f>
        <v>0</v>
      </c>
      <c r="X18" s="36">
        <f>COUNTIF(Tabla1[[#This Row],[VEHICULOS_ACCIDENTADOS]:[VEHICULOS_ACCIDENTADOS2]],"BUS")</f>
        <v>0</v>
      </c>
      <c r="Y18" s="36">
        <f>COUNTIF(Tabla1[[#This Row],[VEHICULOS_ACCIDENTADOS]:[VEHICULOS_ACCIDENTADOS2]],"BUSETA")</f>
        <v>0</v>
      </c>
      <c r="Z18" s="36">
        <f>COUNTIF(Tabla1[[#This Row],[VEHICULOS_ACCIDENTADOS]:[VEHICULOS_ACCIDENTADOS2]],"CAMION")</f>
        <v>0</v>
      </c>
      <c r="AA18" s="36">
        <f>COUNTIF(Tabla1[[#This Row],[VEHICULOS_ACCIDENTADOS]:[VEHICULOS_ACCIDENTADOS2]],"TRACTOCAMION")</f>
        <v>0</v>
      </c>
      <c r="AB18" s="36">
        <f>COUNTIF(Tabla1[[#This Row],[VEHICULOS_ACCIDENTADOS]:[VEHICULOS_ACCIDENTADOS2]],"VOLQUETA")</f>
        <v>0</v>
      </c>
      <c r="AC18" s="36">
        <f>COUNTIF(Tabla1[[#This Row],[VEHICULOS_ACCIDENTADOS]:[VEHICULOS_ACCIDENTADOS2]],"BICICLETA")</f>
        <v>1</v>
      </c>
      <c r="AD18" s="36" t="s">
        <v>471</v>
      </c>
      <c r="AE18" s="36" t="s">
        <v>472</v>
      </c>
      <c r="AF18" s="36">
        <f>COUNTIF(Tabla1[[#This Row],[GENERO_MASCULINO]:[GENERO_FEMENINO]],"MASCULINO")</f>
        <v>1</v>
      </c>
      <c r="AG18" s="36">
        <f>COUNTIF(Tabla1[[#This Row],[GENERO_MASCULINO]:[GENERO_FEMENINO]],"FEMENINO")</f>
        <v>1</v>
      </c>
      <c r="AH18" s="61">
        <v>53</v>
      </c>
      <c r="AI18" s="61">
        <v>14</v>
      </c>
      <c r="AJ18" s="61">
        <v>3</v>
      </c>
      <c r="AK18" s="61"/>
      <c r="AL18" s="61"/>
      <c r="AM18" s="36"/>
      <c r="AN18" s="61">
        <v>90</v>
      </c>
      <c r="AO18" s="36" t="str">
        <f>IFERROR(((VLOOKUP(Tabla1[[#This Row],[HIPOTESIS_1]],listas!$D$1:$E$105,2,FALSE))),"SIN INFORMACIÓN")</f>
        <v>Transportar otra persona o cosas.</v>
      </c>
      <c r="AP18" s="36">
        <v>127</v>
      </c>
      <c r="AQ18" s="36" t="str">
        <f>IFERROR(((VLOOKUP(Tabla1[[#This Row],[HIPOTESIS_2]],listas!$D$1:$E$105,2,FALSE))),"")</f>
        <v>Transitar en contravía.</v>
      </c>
      <c r="AR18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9" spans="1:44" x14ac:dyDescent="0.25">
      <c r="A19" s="12">
        <v>65</v>
      </c>
      <c r="B19" s="36">
        <v>1</v>
      </c>
      <c r="C19" s="36">
        <v>0</v>
      </c>
      <c r="D19" s="36">
        <v>0</v>
      </c>
      <c r="E19" s="18" t="str">
        <f t="shared" si="0"/>
        <v>SOLO DAÑO</v>
      </c>
      <c r="F19" s="29" t="s">
        <v>1074</v>
      </c>
      <c r="G19" s="17">
        <v>5.341844444444444</v>
      </c>
      <c r="H19" s="17">
        <v>-72.388286111111114</v>
      </c>
      <c r="I19" s="93" t="s">
        <v>697</v>
      </c>
      <c r="J19" s="36" t="s">
        <v>717</v>
      </c>
      <c r="K19" s="24" t="str">
        <f t="shared" si="1"/>
        <v>2022</v>
      </c>
      <c r="L19" s="24" t="str">
        <f t="shared" si="2"/>
        <v>FEBRERO</v>
      </c>
      <c r="M19" s="225">
        <v>44615</v>
      </c>
      <c r="N19" s="24" t="str">
        <f t="shared" si="3"/>
        <v>MIÉRCOLES</v>
      </c>
      <c r="O19" s="101">
        <v>0.77083333333333304</v>
      </c>
      <c r="P19" s="63" t="s">
        <v>447</v>
      </c>
      <c r="Q19" s="63" t="s">
        <v>447</v>
      </c>
      <c r="R19" s="36">
        <f>COUNTIF(Tabla1[[#This Row],[VEHICULOS_ACCIDENTADOS]:[VEHICULOS_ACCIDENTADOS2]],"MOTOCICLETA")</f>
        <v>0</v>
      </c>
      <c r="S19" s="36">
        <f>COUNTIF(Tabla1[[#This Row],[VEHICULOS_ACCIDENTADOS]:[VEHICULOS_ACCIDENTADOS2]],"MOTOCARRO")</f>
        <v>0</v>
      </c>
      <c r="T19" s="36">
        <f>COUNTIF(Tabla1[[#This Row],[VEHICULOS_ACCIDENTADOS]:[VEHICULOS_ACCIDENTADOS2]],"AUTOMOVIL")</f>
        <v>2</v>
      </c>
      <c r="U19" s="36">
        <f>COUNTIF(Tabla1[[#This Row],[VEHICULOS_ACCIDENTADOS]:[VEHICULOS_ACCIDENTADOS2]],"CAMPERO")</f>
        <v>0</v>
      </c>
      <c r="V19" s="36">
        <f>COUNTIF(Tabla1[[#This Row],[VEHICULOS_ACCIDENTADOS]:[VEHICULOS_ACCIDENTADOS2]],"CAMIONETA")</f>
        <v>0</v>
      </c>
      <c r="W19" s="36">
        <f>COUNTIF(Tabla1[[#This Row],[VEHICULOS_ACCIDENTADOS]:[VEHICULOS_ACCIDENTADOS2]],"MICROBUS")</f>
        <v>0</v>
      </c>
      <c r="X19" s="36">
        <f>COUNTIF(Tabla1[[#This Row],[VEHICULOS_ACCIDENTADOS]:[VEHICULOS_ACCIDENTADOS2]],"BUS")</f>
        <v>0</v>
      </c>
      <c r="Y19" s="36">
        <f>COUNTIF(Tabla1[[#This Row],[VEHICULOS_ACCIDENTADOS]:[VEHICULOS_ACCIDENTADOS2]],"BUSETA")</f>
        <v>0</v>
      </c>
      <c r="Z19" s="36">
        <f>COUNTIF(Tabla1[[#This Row],[VEHICULOS_ACCIDENTADOS]:[VEHICULOS_ACCIDENTADOS2]],"CAMION")</f>
        <v>0</v>
      </c>
      <c r="AA19" s="36">
        <f>COUNTIF(Tabla1[[#This Row],[VEHICULOS_ACCIDENTADOS]:[VEHICULOS_ACCIDENTADOS2]],"TRACTOCAMION")</f>
        <v>0</v>
      </c>
      <c r="AB19" s="36">
        <f>COUNTIF(Tabla1[[#This Row],[VEHICULOS_ACCIDENTADOS]:[VEHICULOS_ACCIDENTADOS2]],"VOLQUETA")</f>
        <v>0</v>
      </c>
      <c r="AC19" s="36">
        <f>COUNTIF(Tabla1[[#This Row],[VEHICULOS_ACCIDENTADOS]:[VEHICULOS_ACCIDENTADOS2]],"BICICLETA")</f>
        <v>0</v>
      </c>
      <c r="AD19" s="36" t="s">
        <v>471</v>
      </c>
      <c r="AE19" s="36"/>
      <c r="AF19" s="36">
        <f>COUNTIF(Tabla1[[#This Row],[GENERO_MASCULINO]:[GENERO_FEMENINO]],"MASCULINO")</f>
        <v>1</v>
      </c>
      <c r="AG19" s="36">
        <f>COUNTIF(Tabla1[[#This Row],[GENERO_MASCULINO]:[GENERO_FEMENINO]],"FEMENINO")</f>
        <v>0</v>
      </c>
      <c r="AH19" s="61"/>
      <c r="AI19" s="61"/>
      <c r="AJ19" s="61"/>
      <c r="AK19" s="61"/>
      <c r="AL19" s="61"/>
      <c r="AM19" s="36"/>
      <c r="AN19" s="61">
        <v>139</v>
      </c>
      <c r="AO19" s="36" t="str">
        <f>IFERROR(((VLOOKUP(Tabla1[[#This Row],[HIPOTESIS_1]],listas!$D$1:$E$105,2,FALSE))),"SIN INFORMACIÓN")</f>
        <v>Impericia en el manejo.</v>
      </c>
      <c r="AP19" s="36">
        <v>127</v>
      </c>
      <c r="AQ19" s="36" t="str">
        <f>IFERROR(((VLOOKUP(Tabla1[[#This Row],[HIPOTESIS_2]],listas!$D$1:$E$105,2,FALSE))),"")</f>
        <v>Transitar en contravía.</v>
      </c>
      <c r="AR19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20" spans="1:44" x14ac:dyDescent="0.25">
      <c r="A20" s="12">
        <v>569</v>
      </c>
      <c r="B20" s="36">
        <v>1</v>
      </c>
      <c r="C20" s="36">
        <v>0</v>
      </c>
      <c r="D20" s="36">
        <v>0</v>
      </c>
      <c r="E20" s="18" t="str">
        <f t="shared" si="0"/>
        <v>SOLO DAÑO</v>
      </c>
      <c r="F20" s="29" t="s">
        <v>199</v>
      </c>
      <c r="G20" s="21">
        <v>5.3416399999999999</v>
      </c>
      <c r="H20" s="21">
        <v>-72.372989166666656</v>
      </c>
      <c r="I20" s="93" t="s">
        <v>697</v>
      </c>
      <c r="J20" s="36" t="s">
        <v>717</v>
      </c>
      <c r="K20" s="24" t="str">
        <f t="shared" si="1"/>
        <v>2023</v>
      </c>
      <c r="L20" s="24" t="str">
        <f t="shared" si="2"/>
        <v>OCTUBRE</v>
      </c>
      <c r="M20" s="225">
        <v>45206</v>
      </c>
      <c r="N20" s="24" t="str">
        <f t="shared" si="3"/>
        <v>SÁBADO</v>
      </c>
      <c r="O20" s="101">
        <v>0.91666666666666663</v>
      </c>
      <c r="P20" s="57" t="s">
        <v>469</v>
      </c>
      <c r="Q20" s="57" t="s">
        <v>469</v>
      </c>
      <c r="R20" s="36">
        <f>COUNTIF(Tabla1[[#This Row],[VEHICULOS_ACCIDENTADOS]:[VEHICULOS_ACCIDENTADOS2]],"MOTOCICLETA")</f>
        <v>2</v>
      </c>
      <c r="S20" s="36">
        <f>COUNTIF(Tabla1[[#This Row],[VEHICULOS_ACCIDENTADOS]:[VEHICULOS_ACCIDENTADOS2]],"MOTOCARRO")</f>
        <v>0</v>
      </c>
      <c r="T20" s="36">
        <f>COUNTIF(Tabla1[[#This Row],[VEHICULOS_ACCIDENTADOS]:[VEHICULOS_ACCIDENTADOS2]],"AUTOMOVIL")</f>
        <v>0</v>
      </c>
      <c r="U20" s="36">
        <f>COUNTIF(Tabla1[[#This Row],[VEHICULOS_ACCIDENTADOS]:[VEHICULOS_ACCIDENTADOS2]],"CAMPERO")</f>
        <v>0</v>
      </c>
      <c r="V20" s="36">
        <f>COUNTIF(Tabla1[[#This Row],[VEHICULOS_ACCIDENTADOS]:[VEHICULOS_ACCIDENTADOS2]],"CAMIONETA")</f>
        <v>0</v>
      </c>
      <c r="W20" s="36">
        <f>COUNTIF(Tabla1[[#This Row],[VEHICULOS_ACCIDENTADOS]:[VEHICULOS_ACCIDENTADOS2]],"MICROBUS")</f>
        <v>0</v>
      </c>
      <c r="X20" s="36">
        <f>COUNTIF(Tabla1[[#This Row],[VEHICULOS_ACCIDENTADOS]:[VEHICULOS_ACCIDENTADOS2]],"BUS")</f>
        <v>0</v>
      </c>
      <c r="Y20" s="36">
        <f>COUNTIF(Tabla1[[#This Row],[VEHICULOS_ACCIDENTADOS]:[VEHICULOS_ACCIDENTADOS2]],"BUSETA")</f>
        <v>0</v>
      </c>
      <c r="Z20" s="36">
        <f>COUNTIF(Tabla1[[#This Row],[VEHICULOS_ACCIDENTADOS]:[VEHICULOS_ACCIDENTADOS2]],"CAMION")</f>
        <v>0</v>
      </c>
      <c r="AA20" s="36">
        <f>COUNTIF(Tabla1[[#This Row],[VEHICULOS_ACCIDENTADOS]:[VEHICULOS_ACCIDENTADOS2]],"TRACTOCAMION")</f>
        <v>0</v>
      </c>
      <c r="AB20" s="36">
        <f>COUNTIF(Tabla1[[#This Row],[VEHICULOS_ACCIDENTADOS]:[VEHICULOS_ACCIDENTADOS2]],"VOLQUETA")</f>
        <v>0</v>
      </c>
      <c r="AC20" s="36">
        <f>COUNTIF(Tabla1[[#This Row],[VEHICULOS_ACCIDENTADOS]:[VEHICULOS_ACCIDENTADOS2]],"BICICLETA")</f>
        <v>0</v>
      </c>
      <c r="AD20" s="36" t="s">
        <v>471</v>
      </c>
      <c r="AE20" s="36"/>
      <c r="AF20" s="36">
        <f>COUNTIF(Tabla1[[#This Row],[GENERO_MASCULINO]:[GENERO_FEMENINO]],"MASCULINO")</f>
        <v>1</v>
      </c>
      <c r="AG20" s="36">
        <f>COUNTIF(Tabla1[[#This Row],[GENERO_MASCULINO]:[GENERO_FEMENINO]],"FEMENINO")</f>
        <v>0</v>
      </c>
      <c r="AH20" s="61"/>
      <c r="AI20" s="61"/>
      <c r="AJ20" s="61"/>
      <c r="AK20" s="61"/>
      <c r="AL20" s="61"/>
      <c r="AM20" s="36"/>
      <c r="AN20" s="61">
        <v>115</v>
      </c>
      <c r="AO20" s="36" t="str">
        <f>IFERROR(((VLOOKUP(Tabla1[[#This Row],[HIPOTESIS_1]],listas!$D$1:$E$105,2,FALSE))),"SIN INFORMACIÓN")</f>
        <v>Embriaguez o Sustancias alucinogenas</v>
      </c>
      <c r="AP20" s="36">
        <v>127</v>
      </c>
      <c r="AQ20" s="36" t="str">
        <f>IFERROR(((VLOOKUP(Tabla1[[#This Row],[HIPOTESIS_2]],listas!$D$1:$E$105,2,FALSE))),"")</f>
        <v>Transitar en contravía.</v>
      </c>
      <c r="AR20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21" spans="1:44" x14ac:dyDescent="0.25">
      <c r="A21" s="12">
        <v>856</v>
      </c>
      <c r="B21" s="136">
        <v>0</v>
      </c>
      <c r="C21" s="136">
        <v>1</v>
      </c>
      <c r="D21" s="141">
        <v>1</v>
      </c>
      <c r="E21" s="18" t="str">
        <f t="shared" si="0"/>
        <v>FALLECIDO</v>
      </c>
      <c r="F21" s="26" t="s">
        <v>83</v>
      </c>
      <c r="G21" s="21">
        <v>5.2263390000000003</v>
      </c>
      <c r="H21" s="21">
        <v>-72.389250000000004</v>
      </c>
      <c r="I21" s="93" t="s">
        <v>697</v>
      </c>
      <c r="J21" s="167" t="s">
        <v>1</v>
      </c>
      <c r="K21" s="24" t="str">
        <f t="shared" si="1"/>
        <v>2025</v>
      </c>
      <c r="L21" s="24" t="str">
        <f t="shared" si="2"/>
        <v>ENERO</v>
      </c>
      <c r="M21" s="224">
        <v>45673</v>
      </c>
      <c r="N21" s="24" t="str">
        <f t="shared" si="3"/>
        <v>JUEVES</v>
      </c>
      <c r="O21" s="171">
        <v>0.4236111111111111</v>
      </c>
      <c r="P21" s="178" t="s">
        <v>441</v>
      </c>
      <c r="Q21" s="178" t="s">
        <v>469</v>
      </c>
      <c r="R21" s="36">
        <f>COUNTIF(Tabla1[[#This Row],[VEHICULOS_ACCIDENTADOS]:[VEHICULOS_ACCIDENTADOS2]],"MOTOCICLETA")</f>
        <v>1</v>
      </c>
      <c r="S21" s="36">
        <f>COUNTIF(Tabla1[[#This Row],[VEHICULOS_ACCIDENTADOS]:[VEHICULOS_ACCIDENTADOS2]],"MOTOCARRO")</f>
        <v>0</v>
      </c>
      <c r="T21" s="36">
        <f>COUNTIF(Tabla1[[#This Row],[VEHICULOS_ACCIDENTADOS]:[VEHICULOS_ACCIDENTADOS2]],"AUTOMOVIL")</f>
        <v>0</v>
      </c>
      <c r="U21" s="36">
        <f>COUNTIF(Tabla1[[#This Row],[VEHICULOS_ACCIDENTADOS]:[VEHICULOS_ACCIDENTADOS2]],"CAMPERO")</f>
        <v>0</v>
      </c>
      <c r="V21" s="36">
        <f>COUNTIF(Tabla1[[#This Row],[VEHICULOS_ACCIDENTADOS]:[VEHICULOS_ACCIDENTADOS2]],"CAMIONETA")</f>
        <v>0</v>
      </c>
      <c r="W21" s="36">
        <f>COUNTIF(Tabla1[[#This Row],[VEHICULOS_ACCIDENTADOS]:[VEHICULOS_ACCIDENTADOS2]],"MICROBUS")</f>
        <v>0</v>
      </c>
      <c r="X21" s="36">
        <f>COUNTIF(Tabla1[[#This Row],[VEHICULOS_ACCIDENTADOS]:[VEHICULOS_ACCIDENTADOS2]],"BUS")</f>
        <v>0</v>
      </c>
      <c r="Y21" s="36">
        <f>COUNTIF(Tabla1[[#This Row],[VEHICULOS_ACCIDENTADOS]:[VEHICULOS_ACCIDENTADOS2]],"BUSETA")</f>
        <v>0</v>
      </c>
      <c r="Z21" s="36">
        <f>COUNTIF(Tabla1[[#This Row],[VEHICULOS_ACCIDENTADOS]:[VEHICULOS_ACCIDENTADOS2]],"CAMION")</f>
        <v>1</v>
      </c>
      <c r="AA21" s="36">
        <f>COUNTIF(Tabla1[[#This Row],[VEHICULOS_ACCIDENTADOS]:[VEHICULOS_ACCIDENTADOS2]],"TRACTOCAMION")</f>
        <v>0</v>
      </c>
      <c r="AB21" s="36">
        <f>COUNTIF(Tabla1[[#This Row],[VEHICULOS_ACCIDENTADOS]:[VEHICULOS_ACCIDENTADOS2]],"VOLQUETA")</f>
        <v>0</v>
      </c>
      <c r="AC21" s="36">
        <f>COUNTIF(Tabla1[[#This Row],[VEHICULOS_ACCIDENTADOS]:[VEHICULOS_ACCIDENTADOS2]],"BICICLETA")</f>
        <v>0</v>
      </c>
      <c r="AD21" s="136" t="s">
        <v>471</v>
      </c>
      <c r="AE21" s="136" t="s">
        <v>471</v>
      </c>
      <c r="AF21" s="136">
        <f>COUNTIF(Tabla1[[#This Row],[GENERO_MASCULINO]:[GENERO_FEMENINO]],"MASCULINO")</f>
        <v>2</v>
      </c>
      <c r="AG21" s="36">
        <f>COUNTIF(Tabla1[[#This Row],[GENERO_MASCULINO]:[GENERO_FEMENINO]],"FEMENINO")</f>
        <v>0</v>
      </c>
      <c r="AH21" s="85">
        <v>28</v>
      </c>
      <c r="AI21" s="85">
        <v>57</v>
      </c>
      <c r="AJ21" s="85">
        <v>51</v>
      </c>
      <c r="AK21" s="85"/>
      <c r="AL21" s="85"/>
      <c r="AM21" s="136">
        <v>28</v>
      </c>
      <c r="AN21" s="85">
        <v>114</v>
      </c>
      <c r="AO21" s="36" t="str">
        <f>IFERROR(((VLOOKUP(Tabla1[[#This Row],[HIPOTESIS_1]],listas!$D$1:$E$105,2,FALSE))),"SIN INFORMACIÓN")</f>
        <v>Embriaguez aparente.</v>
      </c>
      <c r="AP21" s="136">
        <v>127</v>
      </c>
      <c r="AQ21" s="36" t="str">
        <f>IFERROR(((VLOOKUP(Tabla1[[#This Row],[HIPOTESIS_2]],listas!$D$1:$E$105,2,FALSE))),"")</f>
        <v>Transitar en contravía.</v>
      </c>
      <c r="AR21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22" spans="1:44" x14ac:dyDescent="0.25">
      <c r="A22" s="12">
        <v>521</v>
      </c>
      <c r="B22" s="36">
        <v>0</v>
      </c>
      <c r="C22" s="36">
        <v>2</v>
      </c>
      <c r="D22" s="36">
        <v>0</v>
      </c>
      <c r="E22" s="18" t="str">
        <f t="shared" si="0"/>
        <v>LESIONADO</v>
      </c>
      <c r="F22" s="29" t="s">
        <v>221</v>
      </c>
      <c r="G22" s="21">
        <v>5.3005472222222219</v>
      </c>
      <c r="H22" s="21">
        <v>-72.419972222222228</v>
      </c>
      <c r="I22" s="93" t="s">
        <v>697</v>
      </c>
      <c r="J22" s="36" t="s">
        <v>717</v>
      </c>
      <c r="K22" s="24" t="str">
        <f t="shared" si="1"/>
        <v>2023</v>
      </c>
      <c r="L22" s="24" t="str">
        <f t="shared" si="2"/>
        <v>JULIO</v>
      </c>
      <c r="M22" s="225">
        <v>45120</v>
      </c>
      <c r="N22" s="24" t="str">
        <f t="shared" si="3"/>
        <v>JUEVES</v>
      </c>
      <c r="O22" s="101">
        <v>0.77083333333333337</v>
      </c>
      <c r="P22" s="57" t="s">
        <v>469</v>
      </c>
      <c r="Q22" s="57"/>
      <c r="R22" s="36">
        <f>COUNTIF(Tabla1[[#This Row],[VEHICULOS_ACCIDENTADOS]:[VEHICULOS_ACCIDENTADOS2]],"MOTOCICLETA")</f>
        <v>1</v>
      </c>
      <c r="S22" s="36">
        <f>COUNTIF(Tabla1[[#This Row],[VEHICULOS_ACCIDENTADOS]:[VEHICULOS_ACCIDENTADOS2]],"MOTOCARRO")</f>
        <v>0</v>
      </c>
      <c r="T22" s="36">
        <f>COUNTIF(Tabla1[[#This Row],[VEHICULOS_ACCIDENTADOS]:[VEHICULOS_ACCIDENTADOS2]],"AUTOMOVIL")</f>
        <v>0</v>
      </c>
      <c r="U22" s="36">
        <f>COUNTIF(Tabla1[[#This Row],[VEHICULOS_ACCIDENTADOS]:[VEHICULOS_ACCIDENTADOS2]],"CAMPERO")</f>
        <v>0</v>
      </c>
      <c r="V22" s="36">
        <f>COUNTIF(Tabla1[[#This Row],[VEHICULOS_ACCIDENTADOS]:[VEHICULOS_ACCIDENTADOS2]],"CAMIONETA")</f>
        <v>0</v>
      </c>
      <c r="W22" s="36">
        <f>COUNTIF(Tabla1[[#This Row],[VEHICULOS_ACCIDENTADOS]:[VEHICULOS_ACCIDENTADOS2]],"MICROBUS")</f>
        <v>0</v>
      </c>
      <c r="X22" s="36">
        <f>COUNTIF(Tabla1[[#This Row],[VEHICULOS_ACCIDENTADOS]:[VEHICULOS_ACCIDENTADOS2]],"BUS")</f>
        <v>0</v>
      </c>
      <c r="Y22" s="36">
        <f>COUNTIF(Tabla1[[#This Row],[VEHICULOS_ACCIDENTADOS]:[VEHICULOS_ACCIDENTADOS2]],"BUSETA")</f>
        <v>0</v>
      </c>
      <c r="Z22" s="36">
        <f>COUNTIF(Tabla1[[#This Row],[VEHICULOS_ACCIDENTADOS]:[VEHICULOS_ACCIDENTADOS2]],"CAMION")</f>
        <v>0</v>
      </c>
      <c r="AA22" s="36">
        <f>COUNTIF(Tabla1[[#This Row],[VEHICULOS_ACCIDENTADOS]:[VEHICULOS_ACCIDENTADOS2]],"TRACTOCAMION")</f>
        <v>0</v>
      </c>
      <c r="AB22" s="36">
        <f>COUNTIF(Tabla1[[#This Row],[VEHICULOS_ACCIDENTADOS]:[VEHICULOS_ACCIDENTADOS2]],"VOLQUETA")</f>
        <v>0</v>
      </c>
      <c r="AC22" s="36">
        <f>COUNTIF(Tabla1[[#This Row],[VEHICULOS_ACCIDENTADOS]:[VEHICULOS_ACCIDENTADOS2]],"BICICLETA")</f>
        <v>0</v>
      </c>
      <c r="AD22" s="36"/>
      <c r="AE22" s="36" t="s">
        <v>472</v>
      </c>
      <c r="AF22" s="36">
        <f>COUNTIF(Tabla1[[#This Row],[GENERO_MASCULINO]:[GENERO_FEMENINO]],"MASCULINO")</f>
        <v>0</v>
      </c>
      <c r="AG22" s="36">
        <f>COUNTIF(Tabla1[[#This Row],[GENERO_MASCULINO]:[GENERO_FEMENINO]],"FEMENINO")</f>
        <v>1</v>
      </c>
      <c r="AH22" s="61">
        <v>24</v>
      </c>
      <c r="AI22" s="61"/>
      <c r="AJ22" s="61"/>
      <c r="AK22" s="61">
        <v>77</v>
      </c>
      <c r="AL22" s="61"/>
      <c r="AM22" s="36"/>
      <c r="AN22" s="61">
        <v>139</v>
      </c>
      <c r="AO22" s="36" t="str">
        <f>IFERROR(((VLOOKUP(Tabla1[[#This Row],[HIPOTESIS_1]],listas!$D$1:$E$105,2,FALSE))),"SIN INFORMACIÓN")</f>
        <v>Impericia en el manejo.</v>
      </c>
      <c r="AP22" s="36">
        <v>127</v>
      </c>
      <c r="AQ22" s="36" t="str">
        <f>IFERROR(((VLOOKUP(Tabla1[[#This Row],[HIPOTESIS_2]],listas!$D$1:$E$105,2,FALSE))),"")</f>
        <v>Transitar en contravía.</v>
      </c>
      <c r="AR22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23" spans="1:44" x14ac:dyDescent="0.25">
      <c r="A23" s="12">
        <v>541</v>
      </c>
      <c r="B23" s="36">
        <v>0</v>
      </c>
      <c r="C23" s="36">
        <v>0</v>
      </c>
      <c r="D23" s="36">
        <v>1</v>
      </c>
      <c r="E23" s="18" t="str">
        <f t="shared" si="0"/>
        <v>FALLECIDO</v>
      </c>
      <c r="F23" s="36" t="s">
        <v>767</v>
      </c>
      <c r="G23" s="21">
        <v>5.320071111111111</v>
      </c>
      <c r="H23" s="21">
        <v>-72.417412500000012</v>
      </c>
      <c r="I23" s="94" t="s">
        <v>662</v>
      </c>
      <c r="J23" s="36" t="s">
        <v>1</v>
      </c>
      <c r="K23" s="24" t="str">
        <f t="shared" si="1"/>
        <v>2023</v>
      </c>
      <c r="L23" s="24" t="str">
        <f t="shared" si="2"/>
        <v>AGOSTO</v>
      </c>
      <c r="M23" s="225">
        <v>45164</v>
      </c>
      <c r="N23" s="24" t="str">
        <f t="shared" si="3"/>
        <v>SÁBADO</v>
      </c>
      <c r="O23" s="101">
        <v>0.94444444444444453</v>
      </c>
      <c r="P23" s="57" t="s">
        <v>469</v>
      </c>
      <c r="Q23" s="57" t="s">
        <v>447</v>
      </c>
      <c r="R23" s="36">
        <f>COUNTIF(Tabla1[[#This Row],[VEHICULOS_ACCIDENTADOS]:[VEHICULOS_ACCIDENTADOS2]],"MOTOCICLETA")</f>
        <v>1</v>
      </c>
      <c r="S23" s="36">
        <f>COUNTIF(Tabla1[[#This Row],[VEHICULOS_ACCIDENTADOS]:[VEHICULOS_ACCIDENTADOS2]],"MOTOCARRO")</f>
        <v>0</v>
      </c>
      <c r="T23" s="36">
        <f>COUNTIF(Tabla1[[#This Row],[VEHICULOS_ACCIDENTADOS]:[VEHICULOS_ACCIDENTADOS2]],"AUTOMOVIL")</f>
        <v>1</v>
      </c>
      <c r="U23" s="36">
        <f>COUNTIF(Tabla1[[#This Row],[VEHICULOS_ACCIDENTADOS]:[VEHICULOS_ACCIDENTADOS2]],"CAMPERO")</f>
        <v>0</v>
      </c>
      <c r="V23" s="36">
        <f>COUNTIF(Tabla1[[#This Row],[VEHICULOS_ACCIDENTADOS]:[VEHICULOS_ACCIDENTADOS2]],"CAMIONETA")</f>
        <v>0</v>
      </c>
      <c r="W23" s="36">
        <f>COUNTIF(Tabla1[[#This Row],[VEHICULOS_ACCIDENTADOS]:[VEHICULOS_ACCIDENTADOS2]],"MICROBUS")</f>
        <v>0</v>
      </c>
      <c r="X23" s="36">
        <f>COUNTIF(Tabla1[[#This Row],[VEHICULOS_ACCIDENTADOS]:[VEHICULOS_ACCIDENTADOS2]],"BUS")</f>
        <v>0</v>
      </c>
      <c r="Y23" s="36">
        <f>COUNTIF(Tabla1[[#This Row],[VEHICULOS_ACCIDENTADOS]:[VEHICULOS_ACCIDENTADOS2]],"BUSETA")</f>
        <v>0</v>
      </c>
      <c r="Z23" s="36">
        <f>COUNTIF(Tabla1[[#This Row],[VEHICULOS_ACCIDENTADOS]:[VEHICULOS_ACCIDENTADOS2]],"CAMION")</f>
        <v>0</v>
      </c>
      <c r="AA23" s="36">
        <f>COUNTIF(Tabla1[[#This Row],[VEHICULOS_ACCIDENTADOS]:[VEHICULOS_ACCIDENTADOS2]],"TRACTOCAMION")</f>
        <v>0</v>
      </c>
      <c r="AB23" s="36">
        <f>COUNTIF(Tabla1[[#This Row],[VEHICULOS_ACCIDENTADOS]:[VEHICULOS_ACCIDENTADOS2]],"VOLQUETA")</f>
        <v>0</v>
      </c>
      <c r="AC23" s="36">
        <f>COUNTIF(Tabla1[[#This Row],[VEHICULOS_ACCIDENTADOS]:[VEHICULOS_ACCIDENTADOS2]],"BICICLETA")</f>
        <v>0</v>
      </c>
      <c r="AD23" s="36"/>
      <c r="AE23" s="36" t="s">
        <v>472</v>
      </c>
      <c r="AF23" s="36">
        <f>COUNTIF(Tabla1[[#This Row],[GENERO_MASCULINO]:[GENERO_FEMENINO]],"MASCULINO")</f>
        <v>0</v>
      </c>
      <c r="AG23" s="36">
        <f>COUNTIF(Tabla1[[#This Row],[GENERO_MASCULINO]:[GENERO_FEMENINO]],"FEMENINO")</f>
        <v>1</v>
      </c>
      <c r="AH23" s="61"/>
      <c r="AI23" s="61"/>
      <c r="AJ23" s="61"/>
      <c r="AK23" s="61"/>
      <c r="AL23" s="61"/>
      <c r="AM23" s="36">
        <v>36</v>
      </c>
      <c r="AN23" s="61">
        <v>139</v>
      </c>
      <c r="AO23" s="36" t="str">
        <f>IFERROR(((VLOOKUP(Tabla1[[#This Row],[HIPOTESIS_1]],listas!$D$1:$E$105,2,FALSE))),"SIN INFORMACIÓN")</f>
        <v>Impericia en el manejo.</v>
      </c>
      <c r="AP23" s="36">
        <v>127</v>
      </c>
      <c r="AQ23" s="36" t="str">
        <f>IFERROR(((VLOOKUP(Tabla1[[#This Row],[HIPOTESIS_2]],listas!$D$1:$E$105,2,FALSE))),"")</f>
        <v>Transitar en contravía.</v>
      </c>
      <c r="AR23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24" spans="1:44" x14ac:dyDescent="0.25">
      <c r="A24" s="12">
        <v>196</v>
      </c>
      <c r="B24" s="36">
        <v>0</v>
      </c>
      <c r="C24" s="36">
        <v>1</v>
      </c>
      <c r="D24" s="36">
        <v>0</v>
      </c>
      <c r="E24" s="18" t="str">
        <f t="shared" si="0"/>
        <v>LESIONADO</v>
      </c>
      <c r="F24" s="29" t="s">
        <v>361</v>
      </c>
      <c r="G24" s="17">
        <v>5.3144972222222222</v>
      </c>
      <c r="H24" s="17">
        <v>-72.394402777777785</v>
      </c>
      <c r="I24" s="93" t="s">
        <v>697</v>
      </c>
      <c r="J24" s="36" t="s">
        <v>717</v>
      </c>
      <c r="K24" s="24" t="str">
        <f t="shared" si="1"/>
        <v>2022</v>
      </c>
      <c r="L24" s="24" t="str">
        <f t="shared" si="2"/>
        <v>MAYO</v>
      </c>
      <c r="M24" s="225">
        <v>44708</v>
      </c>
      <c r="N24" s="24" t="str">
        <f t="shared" si="3"/>
        <v>VIERNES</v>
      </c>
      <c r="O24" s="101">
        <v>0.77083333333333337</v>
      </c>
      <c r="P24" s="63" t="s">
        <v>469</v>
      </c>
      <c r="Q24" s="63" t="s">
        <v>447</v>
      </c>
      <c r="R24" s="36">
        <f>COUNTIF(Tabla1[[#This Row],[VEHICULOS_ACCIDENTADOS]:[VEHICULOS_ACCIDENTADOS2]],"MOTOCICLETA")</f>
        <v>1</v>
      </c>
      <c r="S24" s="36">
        <f>COUNTIF(Tabla1[[#This Row],[VEHICULOS_ACCIDENTADOS]:[VEHICULOS_ACCIDENTADOS2]],"MOTOCARRO")</f>
        <v>0</v>
      </c>
      <c r="T24" s="36">
        <f>COUNTIF(Tabla1[[#This Row],[VEHICULOS_ACCIDENTADOS]:[VEHICULOS_ACCIDENTADOS2]],"AUTOMOVIL")</f>
        <v>1</v>
      </c>
      <c r="U24" s="36">
        <f>COUNTIF(Tabla1[[#This Row],[VEHICULOS_ACCIDENTADOS]:[VEHICULOS_ACCIDENTADOS2]],"CAMPERO")</f>
        <v>0</v>
      </c>
      <c r="V24" s="36">
        <f>COUNTIF(Tabla1[[#This Row],[VEHICULOS_ACCIDENTADOS]:[VEHICULOS_ACCIDENTADOS2]],"CAMIONETA")</f>
        <v>0</v>
      </c>
      <c r="W24" s="36">
        <f>COUNTIF(Tabla1[[#This Row],[VEHICULOS_ACCIDENTADOS]:[VEHICULOS_ACCIDENTADOS2]],"MICROBUS")</f>
        <v>0</v>
      </c>
      <c r="X24" s="36">
        <f>COUNTIF(Tabla1[[#This Row],[VEHICULOS_ACCIDENTADOS]:[VEHICULOS_ACCIDENTADOS2]],"BUS")</f>
        <v>0</v>
      </c>
      <c r="Y24" s="36">
        <f>COUNTIF(Tabla1[[#This Row],[VEHICULOS_ACCIDENTADOS]:[VEHICULOS_ACCIDENTADOS2]],"BUSETA")</f>
        <v>0</v>
      </c>
      <c r="Z24" s="36">
        <f>COUNTIF(Tabla1[[#This Row],[VEHICULOS_ACCIDENTADOS]:[VEHICULOS_ACCIDENTADOS2]],"CAMION")</f>
        <v>0</v>
      </c>
      <c r="AA24" s="36">
        <f>COUNTIF(Tabla1[[#This Row],[VEHICULOS_ACCIDENTADOS]:[VEHICULOS_ACCIDENTADOS2]],"TRACTOCAMION")</f>
        <v>0</v>
      </c>
      <c r="AB24" s="36">
        <f>COUNTIF(Tabla1[[#This Row],[VEHICULOS_ACCIDENTADOS]:[VEHICULOS_ACCIDENTADOS2]],"VOLQUETA")</f>
        <v>0</v>
      </c>
      <c r="AC24" s="36">
        <f>COUNTIF(Tabla1[[#This Row],[VEHICULOS_ACCIDENTADOS]:[VEHICULOS_ACCIDENTADOS2]],"BICICLETA")</f>
        <v>0</v>
      </c>
      <c r="AD24" s="36" t="s">
        <v>471</v>
      </c>
      <c r="AE24" s="36"/>
      <c r="AF24" s="36">
        <f>COUNTIF(Tabla1[[#This Row],[GENERO_MASCULINO]:[GENERO_FEMENINO]],"MASCULINO")</f>
        <v>1</v>
      </c>
      <c r="AG24" s="36">
        <f>COUNTIF(Tabla1[[#This Row],[GENERO_MASCULINO]:[GENERO_FEMENINO]],"FEMENINO")</f>
        <v>0</v>
      </c>
      <c r="AH24" s="61">
        <v>16</v>
      </c>
      <c r="AI24" s="61"/>
      <c r="AJ24" s="61"/>
      <c r="AK24" s="61"/>
      <c r="AL24" s="61"/>
      <c r="AM24" s="36"/>
      <c r="AN24" s="61">
        <v>139</v>
      </c>
      <c r="AO24" s="36" t="str">
        <f>IFERROR(((VLOOKUP(Tabla1[[#This Row],[HIPOTESIS_1]],listas!$D$1:$E$105,2,FALSE))),"SIN INFORMACIÓN")</f>
        <v>Impericia en el manejo.</v>
      </c>
      <c r="AP24" s="36">
        <v>93</v>
      </c>
      <c r="AQ24" s="36" t="str">
        <f>IFERROR(((VLOOKUP(Tabla1[[#This Row],[HIPOTESIS_2]],listas!$D$1:$E$105,2,FALSE))),"")</f>
        <v>Transitar distante de la acera u orilla de la calzada.</v>
      </c>
      <c r="AR24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25" spans="1:44" x14ac:dyDescent="0.25">
      <c r="A25" s="12">
        <v>146</v>
      </c>
      <c r="B25" s="36">
        <v>0</v>
      </c>
      <c r="C25" s="36">
        <v>1</v>
      </c>
      <c r="D25" s="36">
        <v>0</v>
      </c>
      <c r="E25" s="18" t="str">
        <f t="shared" si="0"/>
        <v>LESIONADO</v>
      </c>
      <c r="F25" s="29" t="s">
        <v>383</v>
      </c>
      <c r="G25" s="17">
        <v>5.3341333333333329</v>
      </c>
      <c r="H25" s="17">
        <v>-72.391961111111115</v>
      </c>
      <c r="I25" s="93" t="s">
        <v>697</v>
      </c>
      <c r="J25" s="36" t="s">
        <v>717</v>
      </c>
      <c r="K25" s="24" t="str">
        <f t="shared" si="1"/>
        <v>2022</v>
      </c>
      <c r="L25" s="24" t="str">
        <f t="shared" si="2"/>
        <v>ABRIL</v>
      </c>
      <c r="M25" s="225">
        <v>44675</v>
      </c>
      <c r="N25" s="24" t="str">
        <f t="shared" si="3"/>
        <v>DOMINGO</v>
      </c>
      <c r="O25" s="101">
        <v>0.8125</v>
      </c>
      <c r="P25" s="63" t="s">
        <v>469</v>
      </c>
      <c r="Q25" s="63" t="s">
        <v>469</v>
      </c>
      <c r="R25" s="36">
        <f>COUNTIF(Tabla1[[#This Row],[VEHICULOS_ACCIDENTADOS]:[VEHICULOS_ACCIDENTADOS2]],"MOTOCICLETA")</f>
        <v>2</v>
      </c>
      <c r="S25" s="36">
        <f>COUNTIF(Tabla1[[#This Row],[VEHICULOS_ACCIDENTADOS]:[VEHICULOS_ACCIDENTADOS2]],"MOTOCARRO")</f>
        <v>0</v>
      </c>
      <c r="T25" s="36">
        <f>COUNTIF(Tabla1[[#This Row],[VEHICULOS_ACCIDENTADOS]:[VEHICULOS_ACCIDENTADOS2]],"AUTOMOVIL")</f>
        <v>0</v>
      </c>
      <c r="U25" s="36">
        <f>COUNTIF(Tabla1[[#This Row],[VEHICULOS_ACCIDENTADOS]:[VEHICULOS_ACCIDENTADOS2]],"CAMPERO")</f>
        <v>0</v>
      </c>
      <c r="V25" s="36">
        <f>COUNTIF(Tabla1[[#This Row],[VEHICULOS_ACCIDENTADOS]:[VEHICULOS_ACCIDENTADOS2]],"CAMIONETA")</f>
        <v>0</v>
      </c>
      <c r="W25" s="36">
        <f>COUNTIF(Tabla1[[#This Row],[VEHICULOS_ACCIDENTADOS]:[VEHICULOS_ACCIDENTADOS2]],"MICROBUS")</f>
        <v>0</v>
      </c>
      <c r="X25" s="36">
        <f>COUNTIF(Tabla1[[#This Row],[VEHICULOS_ACCIDENTADOS]:[VEHICULOS_ACCIDENTADOS2]],"BUS")</f>
        <v>0</v>
      </c>
      <c r="Y25" s="36">
        <f>COUNTIF(Tabla1[[#This Row],[VEHICULOS_ACCIDENTADOS]:[VEHICULOS_ACCIDENTADOS2]],"BUSETA")</f>
        <v>0</v>
      </c>
      <c r="Z25" s="36">
        <f>COUNTIF(Tabla1[[#This Row],[VEHICULOS_ACCIDENTADOS]:[VEHICULOS_ACCIDENTADOS2]],"CAMION")</f>
        <v>0</v>
      </c>
      <c r="AA25" s="36">
        <f>COUNTIF(Tabla1[[#This Row],[VEHICULOS_ACCIDENTADOS]:[VEHICULOS_ACCIDENTADOS2]],"TRACTOCAMION")</f>
        <v>0</v>
      </c>
      <c r="AB25" s="36">
        <f>COUNTIF(Tabla1[[#This Row],[VEHICULOS_ACCIDENTADOS]:[VEHICULOS_ACCIDENTADOS2]],"VOLQUETA")</f>
        <v>0</v>
      </c>
      <c r="AC25" s="36">
        <f>COUNTIF(Tabla1[[#This Row],[VEHICULOS_ACCIDENTADOS]:[VEHICULOS_ACCIDENTADOS2]],"BICICLETA")</f>
        <v>0</v>
      </c>
      <c r="AD25" s="36"/>
      <c r="AE25" s="36" t="s">
        <v>472</v>
      </c>
      <c r="AF25" s="36">
        <f>COUNTIF(Tabla1[[#This Row],[GENERO_MASCULINO]:[GENERO_FEMENINO]],"MASCULINO")</f>
        <v>0</v>
      </c>
      <c r="AG25" s="36">
        <f>COUNTIF(Tabla1[[#This Row],[GENERO_MASCULINO]:[GENERO_FEMENINO]],"FEMENINO")</f>
        <v>1</v>
      </c>
      <c r="AH25" s="61">
        <v>23</v>
      </c>
      <c r="AI25" s="61"/>
      <c r="AJ25" s="61"/>
      <c r="AK25" s="61"/>
      <c r="AL25" s="61"/>
      <c r="AM25" s="36"/>
      <c r="AN25" s="61">
        <v>121</v>
      </c>
      <c r="AO25" s="36" t="str">
        <f>IFERROR(((VLOOKUP(Tabla1[[#This Row],[HIPOTESIS_1]],listas!$D$1:$E$105,2,FALSE))),"SIN INFORMACIÓN")</f>
        <v>No mantener distancia de seguridad.</v>
      </c>
      <c r="AP25" s="36">
        <v>93</v>
      </c>
      <c r="AQ25" s="36" t="str">
        <f>IFERROR(((VLOOKUP(Tabla1[[#This Row],[HIPOTESIS_2]],listas!$D$1:$E$105,2,FALSE))),"")</f>
        <v>Transitar distante de la acera u orilla de la calzada.</v>
      </c>
      <c r="AR25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26" spans="1:44" x14ac:dyDescent="0.25">
      <c r="A26" s="12">
        <v>220</v>
      </c>
      <c r="B26" s="36">
        <v>0</v>
      </c>
      <c r="C26" s="36">
        <v>1</v>
      </c>
      <c r="D26" s="36">
        <v>0</v>
      </c>
      <c r="E26" s="18" t="str">
        <f t="shared" si="0"/>
        <v>LESIONADO</v>
      </c>
      <c r="F26" s="29" t="s">
        <v>354</v>
      </c>
      <c r="G26" s="17">
        <v>5.3333944444444441</v>
      </c>
      <c r="H26" s="17">
        <v>-72.374738888888885</v>
      </c>
      <c r="I26" s="93" t="s">
        <v>697</v>
      </c>
      <c r="J26" s="36" t="s">
        <v>717</v>
      </c>
      <c r="K26" s="24" t="str">
        <f t="shared" si="1"/>
        <v>2022</v>
      </c>
      <c r="L26" s="24" t="str">
        <f t="shared" si="2"/>
        <v>JUNIO</v>
      </c>
      <c r="M26" s="225">
        <v>44728</v>
      </c>
      <c r="N26" s="24" t="str">
        <f t="shared" si="3"/>
        <v>JUEVES</v>
      </c>
      <c r="O26" s="102">
        <v>0.79861111111111116</v>
      </c>
      <c r="P26" s="53" t="s">
        <v>447</v>
      </c>
      <c r="Q26" s="53" t="s">
        <v>438</v>
      </c>
      <c r="R26" s="36">
        <f>COUNTIF(Tabla1[[#This Row],[VEHICULOS_ACCIDENTADOS]:[VEHICULOS_ACCIDENTADOS2]],"MOTOCICLETA")</f>
        <v>0</v>
      </c>
      <c r="S26" s="36">
        <f>COUNTIF(Tabla1[[#This Row],[VEHICULOS_ACCIDENTADOS]:[VEHICULOS_ACCIDENTADOS2]],"MOTOCARRO")</f>
        <v>0</v>
      </c>
      <c r="T26" s="36">
        <f>COUNTIF(Tabla1[[#This Row],[VEHICULOS_ACCIDENTADOS]:[VEHICULOS_ACCIDENTADOS2]],"AUTOMOVIL")</f>
        <v>1</v>
      </c>
      <c r="U26" s="36">
        <f>COUNTIF(Tabla1[[#This Row],[VEHICULOS_ACCIDENTADOS]:[VEHICULOS_ACCIDENTADOS2]],"CAMPERO")</f>
        <v>0</v>
      </c>
      <c r="V26" s="36">
        <f>COUNTIF(Tabla1[[#This Row],[VEHICULOS_ACCIDENTADOS]:[VEHICULOS_ACCIDENTADOS2]],"CAMIONETA")</f>
        <v>0</v>
      </c>
      <c r="W26" s="36">
        <f>COUNTIF(Tabla1[[#This Row],[VEHICULOS_ACCIDENTADOS]:[VEHICULOS_ACCIDENTADOS2]],"MICROBUS")</f>
        <v>0</v>
      </c>
      <c r="X26" s="36">
        <f>COUNTIF(Tabla1[[#This Row],[VEHICULOS_ACCIDENTADOS]:[VEHICULOS_ACCIDENTADOS2]],"BUS")</f>
        <v>0</v>
      </c>
      <c r="Y26" s="36">
        <f>COUNTIF(Tabla1[[#This Row],[VEHICULOS_ACCIDENTADOS]:[VEHICULOS_ACCIDENTADOS2]],"BUSETA")</f>
        <v>0</v>
      </c>
      <c r="Z26" s="36">
        <f>COUNTIF(Tabla1[[#This Row],[VEHICULOS_ACCIDENTADOS]:[VEHICULOS_ACCIDENTADOS2]],"CAMION")</f>
        <v>0</v>
      </c>
      <c r="AA26" s="36">
        <f>COUNTIF(Tabla1[[#This Row],[VEHICULOS_ACCIDENTADOS]:[VEHICULOS_ACCIDENTADOS2]],"TRACTOCAMION")</f>
        <v>0</v>
      </c>
      <c r="AB26" s="36">
        <f>COUNTIF(Tabla1[[#This Row],[VEHICULOS_ACCIDENTADOS]:[VEHICULOS_ACCIDENTADOS2]],"VOLQUETA")</f>
        <v>0</v>
      </c>
      <c r="AC26" s="36">
        <f>COUNTIF(Tabla1[[#This Row],[VEHICULOS_ACCIDENTADOS]:[VEHICULOS_ACCIDENTADOS2]],"BICICLETA")</f>
        <v>1</v>
      </c>
      <c r="AD26" s="36" t="s">
        <v>471</v>
      </c>
      <c r="AE26" s="36"/>
      <c r="AF26" s="36">
        <f>COUNTIF(Tabla1[[#This Row],[GENERO_MASCULINO]:[GENERO_FEMENINO]],"MASCULINO")</f>
        <v>1</v>
      </c>
      <c r="AG26" s="36">
        <f>COUNTIF(Tabla1[[#This Row],[GENERO_MASCULINO]:[GENERO_FEMENINO]],"FEMENINO")</f>
        <v>0</v>
      </c>
      <c r="AH26" s="61">
        <v>29</v>
      </c>
      <c r="AI26" s="61"/>
      <c r="AJ26" s="61"/>
      <c r="AK26" s="61"/>
      <c r="AL26" s="61"/>
      <c r="AM26" s="36"/>
      <c r="AN26" s="61">
        <v>115</v>
      </c>
      <c r="AO26" s="36" t="str">
        <f>IFERROR(((VLOOKUP(Tabla1[[#This Row],[HIPOTESIS_1]],listas!$D$1:$E$105,2,FALSE))),"SIN INFORMACIÓN")</f>
        <v>Embriaguez o Sustancias alucinogenas</v>
      </c>
      <c r="AP26" s="36">
        <v>93</v>
      </c>
      <c r="AQ26" s="36" t="str">
        <f>IFERROR(((VLOOKUP(Tabla1[[#This Row],[HIPOTESIS_2]],listas!$D$1:$E$105,2,FALSE))),"")</f>
        <v>Transitar distante de la acera u orilla de la calzada.</v>
      </c>
      <c r="AR26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27" spans="1:44" x14ac:dyDescent="0.25">
      <c r="A27" s="12">
        <v>276</v>
      </c>
      <c r="B27" s="36">
        <v>0</v>
      </c>
      <c r="C27" s="36">
        <v>1</v>
      </c>
      <c r="D27" s="36">
        <v>0</v>
      </c>
      <c r="E27" s="18" t="str">
        <f t="shared" si="0"/>
        <v>LESIONADO</v>
      </c>
      <c r="F27" s="29" t="s">
        <v>330</v>
      </c>
      <c r="G27" s="17">
        <v>5.3185111111111105</v>
      </c>
      <c r="H27" s="17">
        <v>-72.402433333333335</v>
      </c>
      <c r="I27" s="93" t="s">
        <v>697</v>
      </c>
      <c r="J27" s="36" t="s">
        <v>717</v>
      </c>
      <c r="K27" s="24" t="str">
        <f t="shared" si="1"/>
        <v>2022</v>
      </c>
      <c r="L27" s="24" t="str">
        <f t="shared" si="2"/>
        <v>JULIO</v>
      </c>
      <c r="M27" s="225">
        <v>44756</v>
      </c>
      <c r="N27" s="24" t="str">
        <f t="shared" si="3"/>
        <v>JUEVES</v>
      </c>
      <c r="O27" s="102">
        <v>0.79861111111111105</v>
      </c>
      <c r="P27" s="53" t="s">
        <v>469</v>
      </c>
      <c r="Q27" s="53" t="s">
        <v>441</v>
      </c>
      <c r="R27" s="36">
        <f>COUNTIF(Tabla1[[#This Row],[VEHICULOS_ACCIDENTADOS]:[VEHICULOS_ACCIDENTADOS2]],"MOTOCICLETA")</f>
        <v>1</v>
      </c>
      <c r="S27" s="36">
        <f>COUNTIF(Tabla1[[#This Row],[VEHICULOS_ACCIDENTADOS]:[VEHICULOS_ACCIDENTADOS2]],"MOTOCARRO")</f>
        <v>0</v>
      </c>
      <c r="T27" s="36">
        <f>COUNTIF(Tabla1[[#This Row],[VEHICULOS_ACCIDENTADOS]:[VEHICULOS_ACCIDENTADOS2]],"AUTOMOVIL")</f>
        <v>0</v>
      </c>
      <c r="U27" s="36">
        <f>COUNTIF(Tabla1[[#This Row],[VEHICULOS_ACCIDENTADOS]:[VEHICULOS_ACCIDENTADOS2]],"CAMPERO")</f>
        <v>0</v>
      </c>
      <c r="V27" s="36">
        <f>COUNTIF(Tabla1[[#This Row],[VEHICULOS_ACCIDENTADOS]:[VEHICULOS_ACCIDENTADOS2]],"CAMIONETA")</f>
        <v>0</v>
      </c>
      <c r="W27" s="36">
        <f>COUNTIF(Tabla1[[#This Row],[VEHICULOS_ACCIDENTADOS]:[VEHICULOS_ACCIDENTADOS2]],"MICROBUS")</f>
        <v>0</v>
      </c>
      <c r="X27" s="36">
        <f>COUNTIF(Tabla1[[#This Row],[VEHICULOS_ACCIDENTADOS]:[VEHICULOS_ACCIDENTADOS2]],"BUS")</f>
        <v>0</v>
      </c>
      <c r="Y27" s="36">
        <f>COUNTIF(Tabla1[[#This Row],[VEHICULOS_ACCIDENTADOS]:[VEHICULOS_ACCIDENTADOS2]],"BUSETA")</f>
        <v>0</v>
      </c>
      <c r="Z27" s="36">
        <f>COUNTIF(Tabla1[[#This Row],[VEHICULOS_ACCIDENTADOS]:[VEHICULOS_ACCIDENTADOS2]],"CAMION")</f>
        <v>1</v>
      </c>
      <c r="AA27" s="36">
        <f>COUNTIF(Tabla1[[#This Row],[VEHICULOS_ACCIDENTADOS]:[VEHICULOS_ACCIDENTADOS2]],"TRACTOCAMION")</f>
        <v>0</v>
      </c>
      <c r="AB27" s="36">
        <f>COUNTIF(Tabla1[[#This Row],[VEHICULOS_ACCIDENTADOS]:[VEHICULOS_ACCIDENTADOS2]],"VOLQUETA")</f>
        <v>0</v>
      </c>
      <c r="AC27" s="36">
        <f>COUNTIF(Tabla1[[#This Row],[VEHICULOS_ACCIDENTADOS]:[VEHICULOS_ACCIDENTADOS2]],"BICICLETA")</f>
        <v>0</v>
      </c>
      <c r="AD27" s="36" t="s">
        <v>471</v>
      </c>
      <c r="AE27" s="36"/>
      <c r="AF27" s="36">
        <f>COUNTIF(Tabla1[[#This Row],[GENERO_MASCULINO]:[GENERO_FEMENINO]],"MASCULINO")</f>
        <v>1</v>
      </c>
      <c r="AG27" s="36">
        <f>COUNTIF(Tabla1[[#This Row],[GENERO_MASCULINO]:[GENERO_FEMENINO]],"FEMENINO")</f>
        <v>0</v>
      </c>
      <c r="AH27" s="61">
        <v>27</v>
      </c>
      <c r="AI27" s="61"/>
      <c r="AJ27" s="61"/>
      <c r="AK27" s="61"/>
      <c r="AL27" s="61"/>
      <c r="AM27" s="36"/>
      <c r="AN27" s="61">
        <v>122</v>
      </c>
      <c r="AO27" s="36" t="str">
        <f>IFERROR(((VLOOKUP(Tabla1[[#This Row],[HIPOTESIS_1]],listas!$D$1:$E$105,2,FALSE))),"SIN INFORMACIÓN")</f>
        <v>Girar bruscamente.</v>
      </c>
      <c r="AP27" s="36">
        <v>93</v>
      </c>
      <c r="AQ27" s="36" t="str">
        <f>IFERROR(((VLOOKUP(Tabla1[[#This Row],[HIPOTESIS_2]],listas!$D$1:$E$105,2,FALSE))),"")</f>
        <v>Transitar distante de la acera u orilla de la calzada.</v>
      </c>
      <c r="AR27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28" spans="1:44" x14ac:dyDescent="0.25">
      <c r="A28" s="12">
        <v>342</v>
      </c>
      <c r="B28" s="36">
        <v>0</v>
      </c>
      <c r="C28" s="36">
        <v>1</v>
      </c>
      <c r="D28" s="36">
        <v>0</v>
      </c>
      <c r="E28" s="18" t="str">
        <f t="shared" si="0"/>
        <v>LESIONADO</v>
      </c>
      <c r="F28" s="36" t="s">
        <v>886</v>
      </c>
      <c r="G28" s="17">
        <v>5.3135983333333332</v>
      </c>
      <c r="H28" s="17">
        <v>-72.2675725</v>
      </c>
      <c r="I28" s="93" t="s">
        <v>697</v>
      </c>
      <c r="J28" s="36" t="s">
        <v>717</v>
      </c>
      <c r="K28" s="24" t="str">
        <f t="shared" si="1"/>
        <v>2022</v>
      </c>
      <c r="L28" s="24" t="str">
        <f t="shared" si="2"/>
        <v>OCTUBRE</v>
      </c>
      <c r="M28" s="225">
        <v>44862</v>
      </c>
      <c r="N28" s="24" t="str">
        <f t="shared" si="3"/>
        <v>VIERNES</v>
      </c>
      <c r="O28" s="102">
        <v>0.57291666666666696</v>
      </c>
      <c r="P28" s="53" t="s">
        <v>469</v>
      </c>
      <c r="Q28" s="53" t="s">
        <v>447</v>
      </c>
      <c r="R28" s="36">
        <f>COUNTIF(Tabla1[[#This Row],[VEHICULOS_ACCIDENTADOS]:[VEHICULOS_ACCIDENTADOS2]],"MOTOCICLETA")</f>
        <v>1</v>
      </c>
      <c r="S28" s="36">
        <f>COUNTIF(Tabla1[[#This Row],[VEHICULOS_ACCIDENTADOS]:[VEHICULOS_ACCIDENTADOS2]],"MOTOCARRO")</f>
        <v>0</v>
      </c>
      <c r="T28" s="36">
        <f>COUNTIF(Tabla1[[#This Row],[VEHICULOS_ACCIDENTADOS]:[VEHICULOS_ACCIDENTADOS2]],"AUTOMOVIL")</f>
        <v>1</v>
      </c>
      <c r="U28" s="36">
        <f>COUNTIF(Tabla1[[#This Row],[VEHICULOS_ACCIDENTADOS]:[VEHICULOS_ACCIDENTADOS2]],"CAMPERO")</f>
        <v>0</v>
      </c>
      <c r="V28" s="36">
        <f>COUNTIF(Tabla1[[#This Row],[VEHICULOS_ACCIDENTADOS]:[VEHICULOS_ACCIDENTADOS2]],"CAMIONETA")</f>
        <v>0</v>
      </c>
      <c r="W28" s="36">
        <f>COUNTIF(Tabla1[[#This Row],[VEHICULOS_ACCIDENTADOS]:[VEHICULOS_ACCIDENTADOS2]],"MICROBUS")</f>
        <v>0</v>
      </c>
      <c r="X28" s="36">
        <f>COUNTIF(Tabla1[[#This Row],[VEHICULOS_ACCIDENTADOS]:[VEHICULOS_ACCIDENTADOS2]],"BUS")</f>
        <v>0</v>
      </c>
      <c r="Y28" s="36">
        <f>COUNTIF(Tabla1[[#This Row],[VEHICULOS_ACCIDENTADOS]:[VEHICULOS_ACCIDENTADOS2]],"BUSETA")</f>
        <v>0</v>
      </c>
      <c r="Z28" s="36">
        <f>COUNTIF(Tabla1[[#This Row],[VEHICULOS_ACCIDENTADOS]:[VEHICULOS_ACCIDENTADOS2]],"CAMION")</f>
        <v>0</v>
      </c>
      <c r="AA28" s="36">
        <f>COUNTIF(Tabla1[[#This Row],[VEHICULOS_ACCIDENTADOS]:[VEHICULOS_ACCIDENTADOS2]],"TRACTOCAMION")</f>
        <v>0</v>
      </c>
      <c r="AB28" s="36">
        <f>COUNTIF(Tabla1[[#This Row],[VEHICULOS_ACCIDENTADOS]:[VEHICULOS_ACCIDENTADOS2]],"VOLQUETA")</f>
        <v>0</v>
      </c>
      <c r="AC28" s="36">
        <f>COUNTIF(Tabla1[[#This Row],[VEHICULOS_ACCIDENTADOS]:[VEHICULOS_ACCIDENTADOS2]],"BICICLETA")</f>
        <v>0</v>
      </c>
      <c r="AD28" s="36"/>
      <c r="AE28" s="36" t="s">
        <v>472</v>
      </c>
      <c r="AF28" s="36">
        <f>COUNTIF(Tabla1[[#This Row],[GENERO_MASCULINO]:[GENERO_FEMENINO]],"MASCULINO")</f>
        <v>0</v>
      </c>
      <c r="AG28" s="36">
        <f>COUNTIF(Tabla1[[#This Row],[GENERO_MASCULINO]:[GENERO_FEMENINO]],"FEMENINO")</f>
        <v>1</v>
      </c>
      <c r="AH28" s="61">
        <v>26</v>
      </c>
      <c r="AI28" s="61"/>
      <c r="AJ28" s="61"/>
      <c r="AK28" s="61"/>
      <c r="AL28" s="61"/>
      <c r="AM28" s="36"/>
      <c r="AN28" s="61">
        <v>123</v>
      </c>
      <c r="AO28" s="36" t="str">
        <f>IFERROR(((VLOOKUP(Tabla1[[#This Row],[HIPOTESIS_1]],listas!$D$1:$E$105,2,FALSE))),"SIN INFORMACIÓN")</f>
        <v>No respetar prelación de intersecciones o giros.</v>
      </c>
      <c r="AP28" s="36">
        <v>304</v>
      </c>
      <c r="AQ28" s="36" t="str">
        <f>IFERROR(((VLOOKUP(Tabla1[[#This Row],[HIPOTESIS_2]],listas!$D$1:$E$105,2,FALSE))),"")</f>
        <v>Superficie húmeda.</v>
      </c>
      <c r="AR28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29" spans="1:44" x14ac:dyDescent="0.25">
      <c r="A29" s="12">
        <v>278</v>
      </c>
      <c r="B29" s="36">
        <v>0</v>
      </c>
      <c r="C29" s="36">
        <v>1</v>
      </c>
      <c r="D29" s="36">
        <v>0</v>
      </c>
      <c r="E29" s="18" t="str">
        <f t="shared" si="0"/>
        <v>LESIONADO</v>
      </c>
      <c r="F29" s="29" t="s">
        <v>1121</v>
      </c>
      <c r="G29" s="17">
        <v>5.3308972222222222</v>
      </c>
      <c r="H29" s="17">
        <v>-72.391325000000009</v>
      </c>
      <c r="I29" s="93" t="s">
        <v>697</v>
      </c>
      <c r="J29" s="36" t="s">
        <v>717</v>
      </c>
      <c r="K29" s="24" t="str">
        <f t="shared" si="1"/>
        <v>2022</v>
      </c>
      <c r="L29" s="24" t="str">
        <f t="shared" si="2"/>
        <v>AGOSTO</v>
      </c>
      <c r="M29" s="225">
        <v>44786</v>
      </c>
      <c r="N29" s="24" t="str">
        <f t="shared" si="3"/>
        <v>SÁBADO</v>
      </c>
      <c r="O29" s="102">
        <v>0.180555555555556</v>
      </c>
      <c r="P29" s="53" t="s">
        <v>469</v>
      </c>
      <c r="Q29" s="53" t="s">
        <v>446</v>
      </c>
      <c r="R29" s="36">
        <f>COUNTIF(Tabla1[[#This Row],[VEHICULOS_ACCIDENTADOS]:[VEHICULOS_ACCIDENTADOS2]],"MOTOCICLETA")</f>
        <v>1</v>
      </c>
      <c r="S29" s="36">
        <f>COUNTIF(Tabla1[[#This Row],[VEHICULOS_ACCIDENTADOS]:[VEHICULOS_ACCIDENTADOS2]],"MOTOCARRO")</f>
        <v>0</v>
      </c>
      <c r="T29" s="36">
        <f>COUNTIF(Tabla1[[#This Row],[VEHICULOS_ACCIDENTADOS]:[VEHICULOS_ACCIDENTADOS2]],"AUTOMOVIL")</f>
        <v>0</v>
      </c>
      <c r="U29" s="36">
        <f>COUNTIF(Tabla1[[#This Row],[VEHICULOS_ACCIDENTADOS]:[VEHICULOS_ACCIDENTADOS2]],"CAMPERO")</f>
        <v>1</v>
      </c>
      <c r="V29" s="36">
        <f>COUNTIF(Tabla1[[#This Row],[VEHICULOS_ACCIDENTADOS]:[VEHICULOS_ACCIDENTADOS2]],"CAMIONETA")</f>
        <v>0</v>
      </c>
      <c r="W29" s="36">
        <f>COUNTIF(Tabla1[[#This Row],[VEHICULOS_ACCIDENTADOS]:[VEHICULOS_ACCIDENTADOS2]],"MICROBUS")</f>
        <v>0</v>
      </c>
      <c r="X29" s="36">
        <f>COUNTIF(Tabla1[[#This Row],[VEHICULOS_ACCIDENTADOS]:[VEHICULOS_ACCIDENTADOS2]],"BUS")</f>
        <v>0</v>
      </c>
      <c r="Y29" s="36">
        <f>COUNTIF(Tabla1[[#This Row],[VEHICULOS_ACCIDENTADOS]:[VEHICULOS_ACCIDENTADOS2]],"BUSETA")</f>
        <v>0</v>
      </c>
      <c r="Z29" s="36">
        <f>COUNTIF(Tabla1[[#This Row],[VEHICULOS_ACCIDENTADOS]:[VEHICULOS_ACCIDENTADOS2]],"CAMION")</f>
        <v>0</v>
      </c>
      <c r="AA29" s="36">
        <f>COUNTIF(Tabla1[[#This Row],[VEHICULOS_ACCIDENTADOS]:[VEHICULOS_ACCIDENTADOS2]],"TRACTOCAMION")</f>
        <v>0</v>
      </c>
      <c r="AB29" s="36">
        <f>COUNTIF(Tabla1[[#This Row],[VEHICULOS_ACCIDENTADOS]:[VEHICULOS_ACCIDENTADOS2]],"VOLQUETA")</f>
        <v>0</v>
      </c>
      <c r="AC29" s="36">
        <f>COUNTIF(Tabla1[[#This Row],[VEHICULOS_ACCIDENTADOS]:[VEHICULOS_ACCIDENTADOS2]],"BICICLETA")</f>
        <v>0</v>
      </c>
      <c r="AD29" s="36" t="s">
        <v>471</v>
      </c>
      <c r="AE29" s="36"/>
      <c r="AF29" s="36">
        <f>COUNTIF(Tabla1[[#This Row],[GENERO_MASCULINO]:[GENERO_FEMENINO]],"MASCULINO")</f>
        <v>1</v>
      </c>
      <c r="AG29" s="36">
        <f>COUNTIF(Tabla1[[#This Row],[GENERO_MASCULINO]:[GENERO_FEMENINO]],"FEMENINO")</f>
        <v>0</v>
      </c>
      <c r="AH29" s="61">
        <v>35</v>
      </c>
      <c r="AI29" s="61"/>
      <c r="AJ29" s="61"/>
      <c r="AK29" s="61"/>
      <c r="AL29" s="61"/>
      <c r="AM29" s="36"/>
      <c r="AN29" s="61">
        <v>139</v>
      </c>
      <c r="AO29" s="36" t="str">
        <f>IFERROR(((VLOOKUP(Tabla1[[#This Row],[HIPOTESIS_1]],listas!$D$1:$E$105,2,FALSE))),"SIN INFORMACIÓN")</f>
        <v>Impericia en el manejo.</v>
      </c>
      <c r="AP29" s="36">
        <v>142</v>
      </c>
      <c r="AQ29" s="36" t="str">
        <f>IFERROR(((VLOOKUP(Tabla1[[#This Row],[HIPOTESIS_2]],listas!$D$1:$E$105,2,FALSE))),"")</f>
        <v>Semáforo en rojo.</v>
      </c>
      <c r="AR29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30" spans="1:44" x14ac:dyDescent="0.25">
      <c r="A30" s="12">
        <v>273</v>
      </c>
      <c r="B30" s="36">
        <v>0</v>
      </c>
      <c r="C30" s="36">
        <v>2</v>
      </c>
      <c r="D30" s="36">
        <v>0</v>
      </c>
      <c r="E30" s="18" t="str">
        <f t="shared" si="0"/>
        <v>LESIONADO</v>
      </c>
      <c r="F30" s="29" t="s">
        <v>1121</v>
      </c>
      <c r="G30" s="17">
        <v>5.3308972222222222</v>
      </c>
      <c r="H30" s="17">
        <v>-72.391325000000009</v>
      </c>
      <c r="I30" s="93" t="s">
        <v>697</v>
      </c>
      <c r="J30" s="36" t="s">
        <v>717</v>
      </c>
      <c r="K30" s="24" t="str">
        <f t="shared" si="1"/>
        <v>2022</v>
      </c>
      <c r="L30" s="24" t="str">
        <f t="shared" si="2"/>
        <v>AGOSTO</v>
      </c>
      <c r="M30" s="225">
        <v>44780</v>
      </c>
      <c r="N30" s="24" t="str">
        <f t="shared" si="3"/>
        <v>DOMINGO</v>
      </c>
      <c r="O30" s="102">
        <v>0.6875</v>
      </c>
      <c r="P30" s="53" t="s">
        <v>469</v>
      </c>
      <c r="Q30" s="53" t="s">
        <v>469</v>
      </c>
      <c r="R30" s="36">
        <f>COUNTIF(Tabla1[[#This Row],[VEHICULOS_ACCIDENTADOS]:[VEHICULOS_ACCIDENTADOS2]],"MOTOCICLETA")</f>
        <v>2</v>
      </c>
      <c r="S30" s="36">
        <f>COUNTIF(Tabla1[[#This Row],[VEHICULOS_ACCIDENTADOS]:[VEHICULOS_ACCIDENTADOS2]],"MOTOCARRO")</f>
        <v>0</v>
      </c>
      <c r="T30" s="36">
        <f>COUNTIF(Tabla1[[#This Row],[VEHICULOS_ACCIDENTADOS]:[VEHICULOS_ACCIDENTADOS2]],"AUTOMOVIL")</f>
        <v>0</v>
      </c>
      <c r="U30" s="36">
        <f>COUNTIF(Tabla1[[#This Row],[VEHICULOS_ACCIDENTADOS]:[VEHICULOS_ACCIDENTADOS2]],"CAMPERO")</f>
        <v>0</v>
      </c>
      <c r="V30" s="36">
        <f>COUNTIF(Tabla1[[#This Row],[VEHICULOS_ACCIDENTADOS]:[VEHICULOS_ACCIDENTADOS2]],"CAMIONETA")</f>
        <v>0</v>
      </c>
      <c r="W30" s="36">
        <f>COUNTIF(Tabla1[[#This Row],[VEHICULOS_ACCIDENTADOS]:[VEHICULOS_ACCIDENTADOS2]],"MICROBUS")</f>
        <v>0</v>
      </c>
      <c r="X30" s="36">
        <f>COUNTIF(Tabla1[[#This Row],[VEHICULOS_ACCIDENTADOS]:[VEHICULOS_ACCIDENTADOS2]],"BUS")</f>
        <v>0</v>
      </c>
      <c r="Y30" s="36">
        <f>COUNTIF(Tabla1[[#This Row],[VEHICULOS_ACCIDENTADOS]:[VEHICULOS_ACCIDENTADOS2]],"BUSETA")</f>
        <v>0</v>
      </c>
      <c r="Z30" s="36">
        <f>COUNTIF(Tabla1[[#This Row],[VEHICULOS_ACCIDENTADOS]:[VEHICULOS_ACCIDENTADOS2]],"CAMION")</f>
        <v>0</v>
      </c>
      <c r="AA30" s="36">
        <f>COUNTIF(Tabla1[[#This Row],[VEHICULOS_ACCIDENTADOS]:[VEHICULOS_ACCIDENTADOS2]],"TRACTOCAMION")</f>
        <v>0</v>
      </c>
      <c r="AB30" s="36">
        <f>COUNTIF(Tabla1[[#This Row],[VEHICULOS_ACCIDENTADOS]:[VEHICULOS_ACCIDENTADOS2]],"VOLQUETA")</f>
        <v>0</v>
      </c>
      <c r="AC30" s="36">
        <f>COUNTIF(Tabla1[[#This Row],[VEHICULOS_ACCIDENTADOS]:[VEHICULOS_ACCIDENTADOS2]],"BICICLETA")</f>
        <v>0</v>
      </c>
      <c r="AD30" s="36" t="s">
        <v>471</v>
      </c>
      <c r="AE30" s="36" t="s">
        <v>472</v>
      </c>
      <c r="AF30" s="36">
        <f>COUNTIF(Tabla1[[#This Row],[GENERO_MASCULINO]:[GENERO_FEMENINO]],"MASCULINO")</f>
        <v>1</v>
      </c>
      <c r="AG30" s="36">
        <f>COUNTIF(Tabla1[[#This Row],[GENERO_MASCULINO]:[GENERO_FEMENINO]],"FEMENINO")</f>
        <v>1</v>
      </c>
      <c r="AH30" s="61">
        <v>26</v>
      </c>
      <c r="AI30" s="61">
        <v>50</v>
      </c>
      <c r="AJ30" s="61"/>
      <c r="AK30" s="61"/>
      <c r="AL30" s="61"/>
      <c r="AM30" s="36"/>
      <c r="AN30" s="61">
        <v>115</v>
      </c>
      <c r="AO30" s="36" t="str">
        <f>IFERROR(((VLOOKUP(Tabla1[[#This Row],[HIPOTESIS_1]],listas!$D$1:$E$105,2,FALSE))),"SIN INFORMACIÓN")</f>
        <v>Embriaguez o Sustancias alucinogenas</v>
      </c>
      <c r="AP30" s="36">
        <v>142</v>
      </c>
      <c r="AQ30" s="36" t="str">
        <f>IFERROR(((VLOOKUP(Tabla1[[#This Row],[HIPOTESIS_2]],listas!$D$1:$E$105,2,FALSE))),"")</f>
        <v>Semáforo en rojo.</v>
      </c>
      <c r="AR30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31" spans="1:44" x14ac:dyDescent="0.25">
      <c r="A31" s="12">
        <v>542</v>
      </c>
      <c r="B31" s="36">
        <v>0</v>
      </c>
      <c r="C31" s="36">
        <v>3</v>
      </c>
      <c r="D31" s="36">
        <v>0</v>
      </c>
      <c r="E31" s="18" t="str">
        <f t="shared" si="0"/>
        <v>LESIONADO</v>
      </c>
      <c r="F31" s="29" t="s">
        <v>213</v>
      </c>
      <c r="G31" s="21">
        <v>5.3448574999999998</v>
      </c>
      <c r="H31" s="21">
        <v>-72.397820277777782</v>
      </c>
      <c r="I31" s="93" t="s">
        <v>697</v>
      </c>
      <c r="J31" s="36" t="s">
        <v>717</v>
      </c>
      <c r="K31" s="24" t="str">
        <f t="shared" si="1"/>
        <v>2023</v>
      </c>
      <c r="L31" s="24" t="str">
        <f t="shared" si="2"/>
        <v>AGOSTO</v>
      </c>
      <c r="M31" s="225">
        <v>45165</v>
      </c>
      <c r="N31" s="24" t="str">
        <f t="shared" si="3"/>
        <v>DOMINGO</v>
      </c>
      <c r="O31" s="101">
        <v>0.25</v>
      </c>
      <c r="P31" s="57" t="s">
        <v>469</v>
      </c>
      <c r="Q31" s="57" t="s">
        <v>469</v>
      </c>
      <c r="R31" s="36">
        <f>COUNTIF(Tabla1[[#This Row],[VEHICULOS_ACCIDENTADOS]:[VEHICULOS_ACCIDENTADOS2]],"MOTOCICLETA")</f>
        <v>2</v>
      </c>
      <c r="S31" s="36">
        <f>COUNTIF(Tabla1[[#This Row],[VEHICULOS_ACCIDENTADOS]:[VEHICULOS_ACCIDENTADOS2]],"MOTOCARRO")</f>
        <v>0</v>
      </c>
      <c r="T31" s="36">
        <f>COUNTIF(Tabla1[[#This Row],[VEHICULOS_ACCIDENTADOS]:[VEHICULOS_ACCIDENTADOS2]],"AUTOMOVIL")</f>
        <v>0</v>
      </c>
      <c r="U31" s="36">
        <f>COUNTIF(Tabla1[[#This Row],[VEHICULOS_ACCIDENTADOS]:[VEHICULOS_ACCIDENTADOS2]],"CAMPERO")</f>
        <v>0</v>
      </c>
      <c r="V31" s="36">
        <f>COUNTIF(Tabla1[[#This Row],[VEHICULOS_ACCIDENTADOS]:[VEHICULOS_ACCIDENTADOS2]],"CAMIONETA")</f>
        <v>0</v>
      </c>
      <c r="W31" s="36">
        <f>COUNTIF(Tabla1[[#This Row],[VEHICULOS_ACCIDENTADOS]:[VEHICULOS_ACCIDENTADOS2]],"MICROBUS")</f>
        <v>0</v>
      </c>
      <c r="X31" s="36">
        <f>COUNTIF(Tabla1[[#This Row],[VEHICULOS_ACCIDENTADOS]:[VEHICULOS_ACCIDENTADOS2]],"BUS")</f>
        <v>0</v>
      </c>
      <c r="Y31" s="36">
        <f>COUNTIF(Tabla1[[#This Row],[VEHICULOS_ACCIDENTADOS]:[VEHICULOS_ACCIDENTADOS2]],"BUSETA")</f>
        <v>0</v>
      </c>
      <c r="Z31" s="36">
        <f>COUNTIF(Tabla1[[#This Row],[VEHICULOS_ACCIDENTADOS]:[VEHICULOS_ACCIDENTADOS2]],"CAMION")</f>
        <v>0</v>
      </c>
      <c r="AA31" s="36">
        <f>COUNTIF(Tabla1[[#This Row],[VEHICULOS_ACCIDENTADOS]:[VEHICULOS_ACCIDENTADOS2]],"TRACTOCAMION")</f>
        <v>0</v>
      </c>
      <c r="AB31" s="36">
        <f>COUNTIF(Tabla1[[#This Row],[VEHICULOS_ACCIDENTADOS]:[VEHICULOS_ACCIDENTADOS2]],"VOLQUETA")</f>
        <v>0</v>
      </c>
      <c r="AC31" s="36">
        <f>COUNTIF(Tabla1[[#This Row],[VEHICULOS_ACCIDENTADOS]:[VEHICULOS_ACCIDENTADOS2]],"BICICLETA")</f>
        <v>0</v>
      </c>
      <c r="AD31" s="36" t="s">
        <v>471</v>
      </c>
      <c r="AE31" s="36"/>
      <c r="AF31" s="36">
        <f>COUNTIF(Tabla1[[#This Row],[GENERO_MASCULINO]:[GENERO_FEMENINO]],"MASCULINO")</f>
        <v>1</v>
      </c>
      <c r="AG31" s="36">
        <f>COUNTIF(Tabla1[[#This Row],[GENERO_MASCULINO]:[GENERO_FEMENINO]],"FEMENINO")</f>
        <v>0</v>
      </c>
      <c r="AH31" s="61">
        <v>22</v>
      </c>
      <c r="AI31" s="61">
        <v>21</v>
      </c>
      <c r="AJ31" s="61"/>
      <c r="AK31" s="61"/>
      <c r="AL31" s="61">
        <v>18</v>
      </c>
      <c r="AM31" s="36"/>
      <c r="AN31" s="61">
        <v>115</v>
      </c>
      <c r="AO31" s="36" t="str">
        <f>IFERROR(((VLOOKUP(Tabla1[[#This Row],[HIPOTESIS_1]],listas!$D$1:$E$105,2,FALSE))),"SIN INFORMACIÓN")</f>
        <v>Embriaguez o Sustancias alucinogenas</v>
      </c>
      <c r="AP31" s="36">
        <v>142</v>
      </c>
      <c r="AQ31" s="36" t="str">
        <f>IFERROR(((VLOOKUP(Tabla1[[#This Row],[HIPOTESIS_2]],listas!$D$1:$E$105,2,FALSE))),"")</f>
        <v>Semáforo en rojo.</v>
      </c>
      <c r="AR31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32" spans="1:44" x14ac:dyDescent="0.25">
      <c r="A32" s="12">
        <v>211</v>
      </c>
      <c r="B32" s="36">
        <v>0</v>
      </c>
      <c r="C32" s="36">
        <v>2</v>
      </c>
      <c r="D32" s="36">
        <v>0</v>
      </c>
      <c r="E32" s="18" t="str">
        <f t="shared" si="0"/>
        <v>LESIONADO</v>
      </c>
      <c r="F32" s="29" t="s">
        <v>1149</v>
      </c>
      <c r="G32" s="17">
        <v>5.3325027777777771</v>
      </c>
      <c r="H32" s="17">
        <v>-72.38847777777778</v>
      </c>
      <c r="I32" s="93" t="s">
        <v>697</v>
      </c>
      <c r="J32" s="36" t="s">
        <v>717</v>
      </c>
      <c r="K32" s="24" t="str">
        <f t="shared" si="1"/>
        <v>2022</v>
      </c>
      <c r="L32" s="24" t="str">
        <f t="shared" si="2"/>
        <v>JUNIO</v>
      </c>
      <c r="M32" s="225">
        <v>44721</v>
      </c>
      <c r="N32" s="24" t="str">
        <f t="shared" si="3"/>
        <v>JUEVES</v>
      </c>
      <c r="O32" s="102">
        <v>0.93402777777777801</v>
      </c>
      <c r="P32" s="53" t="s">
        <v>469</v>
      </c>
      <c r="Q32" s="53" t="s">
        <v>445</v>
      </c>
      <c r="R32" s="36">
        <f>COUNTIF(Tabla1[[#This Row],[VEHICULOS_ACCIDENTADOS]:[VEHICULOS_ACCIDENTADOS2]],"MOTOCICLETA")</f>
        <v>1</v>
      </c>
      <c r="S32" s="36">
        <f>COUNTIF(Tabla1[[#This Row],[VEHICULOS_ACCIDENTADOS]:[VEHICULOS_ACCIDENTADOS2]],"MOTOCARRO")</f>
        <v>0</v>
      </c>
      <c r="T32" s="36">
        <f>COUNTIF(Tabla1[[#This Row],[VEHICULOS_ACCIDENTADOS]:[VEHICULOS_ACCIDENTADOS2]],"AUTOMOVIL")</f>
        <v>0</v>
      </c>
      <c r="U32" s="36">
        <f>COUNTIF(Tabla1[[#This Row],[VEHICULOS_ACCIDENTADOS]:[VEHICULOS_ACCIDENTADOS2]],"CAMPERO")</f>
        <v>0</v>
      </c>
      <c r="V32" s="36">
        <f>COUNTIF(Tabla1[[#This Row],[VEHICULOS_ACCIDENTADOS]:[VEHICULOS_ACCIDENTADOS2]],"CAMIONETA")</f>
        <v>1</v>
      </c>
      <c r="W32" s="36">
        <f>COUNTIF(Tabla1[[#This Row],[VEHICULOS_ACCIDENTADOS]:[VEHICULOS_ACCIDENTADOS2]],"MICROBUS")</f>
        <v>0</v>
      </c>
      <c r="X32" s="36">
        <f>COUNTIF(Tabla1[[#This Row],[VEHICULOS_ACCIDENTADOS]:[VEHICULOS_ACCIDENTADOS2]],"BUS")</f>
        <v>0</v>
      </c>
      <c r="Y32" s="36">
        <f>COUNTIF(Tabla1[[#This Row],[VEHICULOS_ACCIDENTADOS]:[VEHICULOS_ACCIDENTADOS2]],"BUSETA")</f>
        <v>0</v>
      </c>
      <c r="Z32" s="36">
        <f>COUNTIF(Tabla1[[#This Row],[VEHICULOS_ACCIDENTADOS]:[VEHICULOS_ACCIDENTADOS2]],"CAMION")</f>
        <v>0</v>
      </c>
      <c r="AA32" s="36">
        <f>COUNTIF(Tabla1[[#This Row],[VEHICULOS_ACCIDENTADOS]:[VEHICULOS_ACCIDENTADOS2]],"TRACTOCAMION")</f>
        <v>0</v>
      </c>
      <c r="AB32" s="36">
        <f>COUNTIF(Tabla1[[#This Row],[VEHICULOS_ACCIDENTADOS]:[VEHICULOS_ACCIDENTADOS2]],"VOLQUETA")</f>
        <v>0</v>
      </c>
      <c r="AC32" s="36">
        <f>COUNTIF(Tabla1[[#This Row],[VEHICULOS_ACCIDENTADOS]:[VEHICULOS_ACCIDENTADOS2]],"BICICLETA")</f>
        <v>0</v>
      </c>
      <c r="AD32" s="36" t="s">
        <v>471</v>
      </c>
      <c r="AE32" s="36" t="s">
        <v>472</v>
      </c>
      <c r="AF32" s="36">
        <f>COUNTIF(Tabla1[[#This Row],[GENERO_MASCULINO]:[GENERO_FEMENINO]],"MASCULINO")</f>
        <v>1</v>
      </c>
      <c r="AG32" s="36">
        <f>COUNTIF(Tabla1[[#This Row],[GENERO_MASCULINO]:[GENERO_FEMENINO]],"FEMENINO")</f>
        <v>1</v>
      </c>
      <c r="AH32" s="61">
        <v>21</v>
      </c>
      <c r="AI32" s="61"/>
      <c r="AJ32" s="61"/>
      <c r="AK32" s="61"/>
      <c r="AL32" s="61">
        <v>1</v>
      </c>
      <c r="AM32" s="36"/>
      <c r="AN32" s="61">
        <v>139</v>
      </c>
      <c r="AO32" s="36" t="str">
        <f>IFERROR(((VLOOKUP(Tabla1[[#This Row],[HIPOTESIS_1]],listas!$D$1:$E$105,2,FALSE))),"SIN INFORMACIÓN")</f>
        <v>Impericia en el manejo.</v>
      </c>
      <c r="AP32" s="36">
        <v>142</v>
      </c>
      <c r="AQ32" s="36" t="str">
        <f>IFERROR(((VLOOKUP(Tabla1[[#This Row],[HIPOTESIS_2]],listas!$D$1:$E$105,2,FALSE))),"")</f>
        <v>Semáforo en rojo.</v>
      </c>
      <c r="AR32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33" spans="1:44" x14ac:dyDescent="0.25">
      <c r="A33" s="12">
        <v>756</v>
      </c>
      <c r="B33" s="136">
        <v>1</v>
      </c>
      <c r="C33" s="136">
        <v>0</v>
      </c>
      <c r="D33" s="136">
        <v>0</v>
      </c>
      <c r="E33" s="18" t="str">
        <f t="shared" si="0"/>
        <v>SOLO DAÑO</v>
      </c>
      <c r="F33" s="26" t="s">
        <v>123</v>
      </c>
      <c r="G33" s="21">
        <v>5.3245027777777771</v>
      </c>
      <c r="H33" s="21">
        <v>-72.39381111111112</v>
      </c>
      <c r="I33" s="93" t="s">
        <v>697</v>
      </c>
      <c r="J33" s="136" t="s">
        <v>717</v>
      </c>
      <c r="K33" s="24" t="str">
        <f t="shared" si="1"/>
        <v>2024</v>
      </c>
      <c r="L33" s="24" t="str">
        <f t="shared" si="2"/>
        <v>JULIO</v>
      </c>
      <c r="M33" s="224">
        <v>45504</v>
      </c>
      <c r="N33" s="24" t="str">
        <f t="shared" si="3"/>
        <v>MIÉRCOLES</v>
      </c>
      <c r="O33" s="171">
        <v>0.86805555555555547</v>
      </c>
      <c r="P33" s="178" t="s">
        <v>469</v>
      </c>
      <c r="Q33" s="178" t="s">
        <v>469</v>
      </c>
      <c r="R33" s="36">
        <f>COUNTIF(Tabla1[[#This Row],[VEHICULOS_ACCIDENTADOS]:[VEHICULOS_ACCIDENTADOS2]],"MOTOCICLETA")</f>
        <v>2</v>
      </c>
      <c r="S33" s="36">
        <f>COUNTIF(Tabla1[[#This Row],[VEHICULOS_ACCIDENTADOS]:[VEHICULOS_ACCIDENTADOS2]],"MOTOCARRO")</f>
        <v>0</v>
      </c>
      <c r="T33" s="36">
        <f>COUNTIF(Tabla1[[#This Row],[VEHICULOS_ACCIDENTADOS]:[VEHICULOS_ACCIDENTADOS2]],"AUTOMOVIL")</f>
        <v>0</v>
      </c>
      <c r="U33" s="36">
        <f>COUNTIF(Tabla1[[#This Row],[VEHICULOS_ACCIDENTADOS]:[VEHICULOS_ACCIDENTADOS2]],"CAMPERO")</f>
        <v>0</v>
      </c>
      <c r="V33" s="36">
        <f>COUNTIF(Tabla1[[#This Row],[VEHICULOS_ACCIDENTADOS]:[VEHICULOS_ACCIDENTADOS2]],"CAMIONETA")</f>
        <v>0</v>
      </c>
      <c r="W33" s="36">
        <f>COUNTIF(Tabla1[[#This Row],[VEHICULOS_ACCIDENTADOS]:[VEHICULOS_ACCIDENTADOS2]],"MICROBUS")</f>
        <v>0</v>
      </c>
      <c r="X33" s="36">
        <f>COUNTIF(Tabla1[[#This Row],[VEHICULOS_ACCIDENTADOS]:[VEHICULOS_ACCIDENTADOS2]],"BUS")</f>
        <v>0</v>
      </c>
      <c r="Y33" s="36">
        <f>COUNTIF(Tabla1[[#This Row],[VEHICULOS_ACCIDENTADOS]:[VEHICULOS_ACCIDENTADOS2]],"BUSETA")</f>
        <v>0</v>
      </c>
      <c r="Z33" s="36">
        <f>COUNTIF(Tabla1[[#This Row],[VEHICULOS_ACCIDENTADOS]:[VEHICULOS_ACCIDENTADOS2]],"CAMION")</f>
        <v>0</v>
      </c>
      <c r="AA33" s="36">
        <f>COUNTIF(Tabla1[[#This Row],[VEHICULOS_ACCIDENTADOS]:[VEHICULOS_ACCIDENTADOS2]],"TRACTOCAMION")</f>
        <v>0</v>
      </c>
      <c r="AB33" s="36">
        <f>COUNTIF(Tabla1[[#This Row],[VEHICULOS_ACCIDENTADOS]:[VEHICULOS_ACCIDENTADOS2]],"VOLQUETA")</f>
        <v>0</v>
      </c>
      <c r="AC33" s="36">
        <f>COUNTIF(Tabla1[[#This Row],[VEHICULOS_ACCIDENTADOS]:[VEHICULOS_ACCIDENTADOS2]],"BICICLETA")</f>
        <v>0</v>
      </c>
      <c r="AD33" s="136" t="s">
        <v>471</v>
      </c>
      <c r="AE33" s="136"/>
      <c r="AF33" s="136">
        <f>COUNTIF(Tabla1[[#This Row],[GENERO_MASCULINO]:[GENERO_FEMENINO]],"MASCULINO")</f>
        <v>1</v>
      </c>
      <c r="AG33" s="36">
        <f>COUNTIF(Tabla1[[#This Row],[GENERO_MASCULINO]:[GENERO_FEMENINO]],"FEMENINO")</f>
        <v>0</v>
      </c>
      <c r="AH33" s="85">
        <v>25</v>
      </c>
      <c r="AI33" s="85"/>
      <c r="AJ33" s="85"/>
      <c r="AK33" s="85"/>
      <c r="AL33" s="85"/>
      <c r="AM33" s="136"/>
      <c r="AN33" s="85">
        <v>139</v>
      </c>
      <c r="AO33" s="36" t="str">
        <f>IFERROR(((VLOOKUP(Tabla1[[#This Row],[HIPOTESIS_1]],listas!$D$1:$E$105,2,FALSE))),"SIN INFORMACIÓN")</f>
        <v>Impericia en el manejo.</v>
      </c>
      <c r="AP33" s="136">
        <v>142</v>
      </c>
      <c r="AQ33" s="36" t="str">
        <f>IFERROR(((VLOOKUP(Tabla1[[#This Row],[HIPOTESIS_2]],listas!$D$1:$E$105,2,FALSE))),"")</f>
        <v>Semáforo en rojo.</v>
      </c>
      <c r="AR33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34" spans="1:44" x14ac:dyDescent="0.25">
      <c r="A34" s="12">
        <v>51</v>
      </c>
      <c r="B34" s="36">
        <v>0</v>
      </c>
      <c r="C34" s="36">
        <v>3</v>
      </c>
      <c r="D34" s="36">
        <v>0</v>
      </c>
      <c r="E34" s="18" t="str">
        <f t="shared" si="0"/>
        <v>LESIONADO</v>
      </c>
      <c r="F34" s="29" t="s">
        <v>422</v>
      </c>
      <c r="G34" s="17">
        <v>5.3228305555555551</v>
      </c>
      <c r="H34" s="17">
        <v>-72.401933333333332</v>
      </c>
      <c r="I34" s="93" t="s">
        <v>697</v>
      </c>
      <c r="J34" s="36" t="s">
        <v>717</v>
      </c>
      <c r="K34" s="24" t="str">
        <f t="shared" si="1"/>
        <v>2022</v>
      </c>
      <c r="L34" s="24" t="str">
        <f t="shared" si="2"/>
        <v>FEBRERO</v>
      </c>
      <c r="M34" s="225">
        <v>44605</v>
      </c>
      <c r="N34" s="24" t="str">
        <f t="shared" si="3"/>
        <v>DOMINGO</v>
      </c>
      <c r="O34" s="101">
        <v>0.65972222222222199</v>
      </c>
      <c r="P34" s="63" t="s">
        <v>469</v>
      </c>
      <c r="Q34" s="63" t="s">
        <v>469</v>
      </c>
      <c r="R34" s="36">
        <f>COUNTIF(Tabla1[[#This Row],[VEHICULOS_ACCIDENTADOS]:[VEHICULOS_ACCIDENTADOS2]],"MOTOCICLETA")</f>
        <v>2</v>
      </c>
      <c r="S34" s="36">
        <f>COUNTIF(Tabla1[[#This Row],[VEHICULOS_ACCIDENTADOS]:[VEHICULOS_ACCIDENTADOS2]],"MOTOCARRO")</f>
        <v>0</v>
      </c>
      <c r="T34" s="36">
        <f>COUNTIF(Tabla1[[#This Row],[VEHICULOS_ACCIDENTADOS]:[VEHICULOS_ACCIDENTADOS2]],"AUTOMOVIL")</f>
        <v>0</v>
      </c>
      <c r="U34" s="36">
        <f>COUNTIF(Tabla1[[#This Row],[VEHICULOS_ACCIDENTADOS]:[VEHICULOS_ACCIDENTADOS2]],"CAMPERO")</f>
        <v>0</v>
      </c>
      <c r="V34" s="36">
        <f>COUNTIF(Tabla1[[#This Row],[VEHICULOS_ACCIDENTADOS]:[VEHICULOS_ACCIDENTADOS2]],"CAMIONETA")</f>
        <v>0</v>
      </c>
      <c r="W34" s="36">
        <f>COUNTIF(Tabla1[[#This Row],[VEHICULOS_ACCIDENTADOS]:[VEHICULOS_ACCIDENTADOS2]],"MICROBUS")</f>
        <v>0</v>
      </c>
      <c r="X34" s="36">
        <f>COUNTIF(Tabla1[[#This Row],[VEHICULOS_ACCIDENTADOS]:[VEHICULOS_ACCIDENTADOS2]],"BUS")</f>
        <v>0</v>
      </c>
      <c r="Y34" s="36">
        <f>COUNTIF(Tabla1[[#This Row],[VEHICULOS_ACCIDENTADOS]:[VEHICULOS_ACCIDENTADOS2]],"BUSETA")</f>
        <v>0</v>
      </c>
      <c r="Z34" s="36">
        <f>COUNTIF(Tabla1[[#This Row],[VEHICULOS_ACCIDENTADOS]:[VEHICULOS_ACCIDENTADOS2]],"CAMION")</f>
        <v>0</v>
      </c>
      <c r="AA34" s="36">
        <f>COUNTIF(Tabla1[[#This Row],[VEHICULOS_ACCIDENTADOS]:[VEHICULOS_ACCIDENTADOS2]],"TRACTOCAMION")</f>
        <v>0</v>
      </c>
      <c r="AB34" s="36">
        <f>COUNTIF(Tabla1[[#This Row],[VEHICULOS_ACCIDENTADOS]:[VEHICULOS_ACCIDENTADOS2]],"VOLQUETA")</f>
        <v>0</v>
      </c>
      <c r="AC34" s="36">
        <f>COUNTIF(Tabla1[[#This Row],[VEHICULOS_ACCIDENTADOS]:[VEHICULOS_ACCIDENTADOS2]],"BICICLETA")</f>
        <v>0</v>
      </c>
      <c r="AD34" s="36" t="s">
        <v>471</v>
      </c>
      <c r="AE34" s="36"/>
      <c r="AF34" s="36">
        <f>COUNTIF(Tabla1[[#This Row],[GENERO_MASCULINO]:[GENERO_FEMENINO]],"MASCULINO")</f>
        <v>1</v>
      </c>
      <c r="AG34" s="36">
        <f>COUNTIF(Tabla1[[#This Row],[GENERO_MASCULINO]:[GENERO_FEMENINO]],"FEMENINO")</f>
        <v>0</v>
      </c>
      <c r="AH34" s="61">
        <v>60</v>
      </c>
      <c r="AI34" s="61">
        <v>21</v>
      </c>
      <c r="AJ34" s="78"/>
      <c r="AK34" s="61"/>
      <c r="AL34" s="61">
        <v>5</v>
      </c>
      <c r="AM34" s="36"/>
      <c r="AN34" s="61">
        <v>112</v>
      </c>
      <c r="AO34" s="36" t="str">
        <f>IFERROR(((VLOOKUP(Tabla1[[#This Row],[HIPOTESIS_1]],listas!$D$1:$E$105,2,FALSE))),"SIN INFORMACIÓN")</f>
        <v>Desobedecer señales o normas de tránsito.</v>
      </c>
      <c r="AP34" s="36">
        <v>131</v>
      </c>
      <c r="AQ34" s="36" t="str">
        <f>IFERROR(((VLOOKUP(Tabla1[[#This Row],[HIPOTESIS_2]],listas!$D$1:$E$105,2,FALSE))),"")</f>
        <v>Salirse de la calzada.</v>
      </c>
      <c r="AR34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35" spans="1:44" x14ac:dyDescent="0.25">
      <c r="A35" s="12">
        <v>908</v>
      </c>
      <c r="B35" s="135">
        <v>0</v>
      </c>
      <c r="C35" s="36">
        <v>1</v>
      </c>
      <c r="D35" s="136">
        <v>1</v>
      </c>
      <c r="E35" s="18" t="str">
        <f t="shared" si="0"/>
        <v>FALLECIDO</v>
      </c>
      <c r="F35" s="29" t="s">
        <v>57</v>
      </c>
      <c r="G35" s="21">
        <v>5.3216169999999998</v>
      </c>
      <c r="H35" s="21">
        <v>-72.415498999999997</v>
      </c>
      <c r="I35" s="94" t="s">
        <v>662</v>
      </c>
      <c r="J35" s="167" t="s">
        <v>1</v>
      </c>
      <c r="K35" s="24" t="str">
        <f t="shared" si="1"/>
        <v>2025</v>
      </c>
      <c r="L35" s="24" t="str">
        <f t="shared" si="2"/>
        <v>MARZO</v>
      </c>
      <c r="M35" s="225">
        <v>45734</v>
      </c>
      <c r="N35" s="24" t="str">
        <f t="shared" si="3"/>
        <v>MARTES</v>
      </c>
      <c r="O35" s="101">
        <v>0.5229166666666667</v>
      </c>
      <c r="P35" s="57" t="s">
        <v>469</v>
      </c>
      <c r="Q35" s="57"/>
      <c r="R35" s="36">
        <f>COUNTIF(Tabla1[[#This Row],[VEHICULOS_ACCIDENTADOS]:[VEHICULOS_ACCIDENTADOS2]],"MOTOCICLETA")</f>
        <v>1</v>
      </c>
      <c r="S35" s="36">
        <f>COUNTIF(Tabla1[[#This Row],[VEHICULOS_ACCIDENTADOS]:[VEHICULOS_ACCIDENTADOS2]],"MOTOCARRO")</f>
        <v>0</v>
      </c>
      <c r="T35" s="36">
        <f>COUNTIF(Tabla1[[#This Row],[VEHICULOS_ACCIDENTADOS]:[VEHICULOS_ACCIDENTADOS2]],"AUTOMOVIL")</f>
        <v>0</v>
      </c>
      <c r="U35" s="36">
        <f>COUNTIF(Tabla1[[#This Row],[VEHICULOS_ACCIDENTADOS]:[VEHICULOS_ACCIDENTADOS2]],"CAMPERO")</f>
        <v>0</v>
      </c>
      <c r="V35" s="36">
        <f>COUNTIF(Tabla1[[#This Row],[VEHICULOS_ACCIDENTADOS]:[VEHICULOS_ACCIDENTADOS2]],"CAMIONETA")</f>
        <v>0</v>
      </c>
      <c r="W35" s="36">
        <f>COUNTIF(Tabla1[[#This Row],[VEHICULOS_ACCIDENTADOS]:[VEHICULOS_ACCIDENTADOS2]],"MICROBUS")</f>
        <v>0</v>
      </c>
      <c r="X35" s="36">
        <f>COUNTIF(Tabla1[[#This Row],[VEHICULOS_ACCIDENTADOS]:[VEHICULOS_ACCIDENTADOS2]],"BUS")</f>
        <v>0</v>
      </c>
      <c r="Y35" s="36">
        <f>COUNTIF(Tabla1[[#This Row],[VEHICULOS_ACCIDENTADOS]:[VEHICULOS_ACCIDENTADOS2]],"BUSETA")</f>
        <v>0</v>
      </c>
      <c r="Z35" s="36">
        <f>COUNTIF(Tabla1[[#This Row],[VEHICULOS_ACCIDENTADOS]:[VEHICULOS_ACCIDENTADOS2]],"CAMION")</f>
        <v>0</v>
      </c>
      <c r="AA35" s="36">
        <f>COUNTIF(Tabla1[[#This Row],[VEHICULOS_ACCIDENTADOS]:[VEHICULOS_ACCIDENTADOS2]],"TRACTOCAMION")</f>
        <v>0</v>
      </c>
      <c r="AB35" s="36">
        <f>COUNTIF(Tabla1[[#This Row],[VEHICULOS_ACCIDENTADOS]:[VEHICULOS_ACCIDENTADOS2]],"VOLQUETA")</f>
        <v>0</v>
      </c>
      <c r="AC35" s="36">
        <f>COUNTIF(Tabla1[[#This Row],[VEHICULOS_ACCIDENTADOS]:[VEHICULOS_ACCIDENTADOS2]],"BICICLETA")</f>
        <v>0</v>
      </c>
      <c r="AD35" s="36" t="s">
        <v>471</v>
      </c>
      <c r="AE35" s="36" t="s">
        <v>472</v>
      </c>
      <c r="AF35" s="36">
        <f>COUNTIF(Tabla1[[#This Row],[GENERO_MASCULINO]:[GENERO_FEMENINO]],"MASCULINO")</f>
        <v>1</v>
      </c>
      <c r="AG35" s="36">
        <f>COUNTIF(Tabla1[[#This Row],[GENERO_MASCULINO]:[GENERO_FEMENINO]],"FEMENINO")</f>
        <v>1</v>
      </c>
      <c r="AH35" s="85">
        <v>25</v>
      </c>
      <c r="AI35" s="85">
        <v>45</v>
      </c>
      <c r="AJ35" s="85"/>
      <c r="AK35" s="61"/>
      <c r="AL35" s="61"/>
      <c r="AM35" s="36"/>
      <c r="AN35" s="61">
        <v>139</v>
      </c>
      <c r="AO35" s="36" t="str">
        <f>IFERROR(((VLOOKUP(Tabla1[[#This Row],[HIPOTESIS_1]],listas!$D$1:$E$105,2,FALSE))),"SIN INFORMACIÓN")</f>
        <v>Impericia en el manejo.</v>
      </c>
      <c r="AP35" s="36">
        <v>134</v>
      </c>
      <c r="AQ35" s="36" t="str">
        <f>IFERROR(((VLOOKUP(Tabla1[[#This Row],[HIPOTESIS_2]],listas!$D$1:$E$105,2,FALSE))),"")</f>
        <v>Reverso imprudente.</v>
      </c>
      <c r="AR35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36" spans="1:44" x14ac:dyDescent="0.25">
      <c r="A36" s="12">
        <v>1037</v>
      </c>
      <c r="B36" s="137">
        <v>0</v>
      </c>
      <c r="C36" s="137">
        <v>2</v>
      </c>
      <c r="D36" s="137">
        <v>0</v>
      </c>
      <c r="E36" s="18" t="str">
        <f t="shared" si="0"/>
        <v>LESIONADO</v>
      </c>
      <c r="F36" s="152" t="s">
        <v>673</v>
      </c>
      <c r="G36" s="30">
        <v>5.337199</v>
      </c>
      <c r="H36" s="30">
        <v>-72.396885999999995</v>
      </c>
      <c r="I36" s="93" t="s">
        <v>697</v>
      </c>
      <c r="J36" s="36" t="s">
        <v>717</v>
      </c>
      <c r="K36" s="24" t="str">
        <f t="shared" si="1"/>
        <v>2025</v>
      </c>
      <c r="L36" s="24" t="str">
        <f t="shared" si="2"/>
        <v>AGOSTO</v>
      </c>
      <c r="M36" s="225">
        <v>45874</v>
      </c>
      <c r="N36" s="24" t="str">
        <f t="shared" si="3"/>
        <v>MARTES</v>
      </c>
      <c r="O36" s="101">
        <v>0.82638888888888884</v>
      </c>
      <c r="P36" s="63" t="s">
        <v>446</v>
      </c>
      <c r="Q36" s="63" t="s">
        <v>469</v>
      </c>
      <c r="R36" s="36">
        <f>COUNTIF(Tabla1[[#This Row],[VEHICULOS_ACCIDENTADOS]:[VEHICULOS_ACCIDENTADOS2]],"MOTOCICLETA")</f>
        <v>1</v>
      </c>
      <c r="S36" s="36">
        <f>COUNTIF(Tabla1[[#This Row],[VEHICULOS_ACCIDENTADOS]:[VEHICULOS_ACCIDENTADOS2]],"MOTOCARRO")</f>
        <v>0</v>
      </c>
      <c r="T36" s="36">
        <f>COUNTIF(Tabla1[[#This Row],[VEHICULOS_ACCIDENTADOS]:[VEHICULOS_ACCIDENTADOS2]],"AUTOMOVIL")</f>
        <v>0</v>
      </c>
      <c r="U36" s="36">
        <f>COUNTIF(Tabla1[[#This Row],[VEHICULOS_ACCIDENTADOS]:[VEHICULOS_ACCIDENTADOS2]],"CAMPERO")</f>
        <v>1</v>
      </c>
      <c r="V36" s="36">
        <f>COUNTIF(Tabla1[[#This Row],[VEHICULOS_ACCIDENTADOS]:[VEHICULOS_ACCIDENTADOS2]],"CAMIONETA")</f>
        <v>0</v>
      </c>
      <c r="W36" s="36">
        <f>COUNTIF(Tabla1[[#This Row],[VEHICULOS_ACCIDENTADOS]:[VEHICULOS_ACCIDENTADOS2]],"MICROBUS")</f>
        <v>0</v>
      </c>
      <c r="X36" s="36">
        <f>COUNTIF(Tabla1[[#This Row],[VEHICULOS_ACCIDENTADOS]:[VEHICULOS_ACCIDENTADOS2]],"BUS")</f>
        <v>0</v>
      </c>
      <c r="Y36" s="36">
        <f>COUNTIF(Tabla1[[#This Row],[VEHICULOS_ACCIDENTADOS]:[VEHICULOS_ACCIDENTADOS2]],"BUSETA")</f>
        <v>0</v>
      </c>
      <c r="Z36" s="36">
        <f>COUNTIF(Tabla1[[#This Row],[VEHICULOS_ACCIDENTADOS]:[VEHICULOS_ACCIDENTADOS2]],"CAMION")</f>
        <v>0</v>
      </c>
      <c r="AA36" s="36">
        <f>COUNTIF(Tabla1[[#This Row],[VEHICULOS_ACCIDENTADOS]:[VEHICULOS_ACCIDENTADOS2]],"TRACTOCAMION")</f>
        <v>0</v>
      </c>
      <c r="AB36" s="36">
        <f>COUNTIF(Tabla1[[#This Row],[VEHICULOS_ACCIDENTADOS]:[VEHICULOS_ACCIDENTADOS2]],"VOLQUETA")</f>
        <v>0</v>
      </c>
      <c r="AC36" s="36">
        <f>COUNTIF(Tabla1[[#This Row],[VEHICULOS_ACCIDENTADOS]:[VEHICULOS_ACCIDENTADOS2]],"BICICLETA")</f>
        <v>0</v>
      </c>
      <c r="AD36" s="61" t="s">
        <v>471</v>
      </c>
      <c r="AE36" s="61" t="s">
        <v>471</v>
      </c>
      <c r="AF36" s="36">
        <f>COUNTIF(Tabla1[[#This Row],[GENERO_MASCULINO]:[GENERO_FEMENINO]],"MASCULINO")</f>
        <v>2</v>
      </c>
      <c r="AG36" s="36">
        <f>COUNTIF(Tabla1[[#This Row],[GENERO_MASCULINO]:[GENERO_FEMENINO]],"FEMENINO")</f>
        <v>0</v>
      </c>
      <c r="AH36" s="85">
        <v>35</v>
      </c>
      <c r="AI36" s="85">
        <v>25</v>
      </c>
      <c r="AJ36" s="85">
        <v>21</v>
      </c>
      <c r="AK36" s="78"/>
      <c r="AL36" s="78"/>
      <c r="AM36" s="59"/>
      <c r="AN36" s="61">
        <v>112</v>
      </c>
      <c r="AO36" s="59" t="str">
        <f>IFERROR(((VLOOKUP(Tabla1[[#This Row],[HIPOTESIS_1]],listas!$D$1:$E$105,2,FALSE))),"SIN INFORMACIÓN")</f>
        <v>Desobedecer señales o normas de tránsito.</v>
      </c>
      <c r="AP36" s="36">
        <v>146</v>
      </c>
      <c r="AQ36" s="36" t="str">
        <f>IFERROR(((VLOOKUP(Tabla1[[#This Row],[HIPOTESIS_2]],listas!$D$1:$E$105,2,FALSE))),"")</f>
        <v>Realizar giro en “U”.</v>
      </c>
      <c r="AR36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37" spans="1:44" x14ac:dyDescent="0.25">
      <c r="A37" s="12">
        <v>1049</v>
      </c>
      <c r="B37" s="137">
        <v>0</v>
      </c>
      <c r="C37" s="137">
        <v>1</v>
      </c>
      <c r="D37" s="137">
        <v>0</v>
      </c>
      <c r="E37" s="18" t="str">
        <f t="shared" si="0"/>
        <v>LESIONADO</v>
      </c>
      <c r="F37" s="152" t="s">
        <v>980</v>
      </c>
      <c r="G37" s="37">
        <v>5.3386906999999999</v>
      </c>
      <c r="H37" s="37">
        <v>-72.384720999999999</v>
      </c>
      <c r="I37" s="93" t="s">
        <v>697</v>
      </c>
      <c r="J37" s="36" t="s">
        <v>717</v>
      </c>
      <c r="K37" s="24" t="str">
        <f t="shared" si="1"/>
        <v>2025</v>
      </c>
      <c r="L37" s="24" t="str">
        <f t="shared" si="2"/>
        <v>AGOSTO</v>
      </c>
      <c r="M37" s="225">
        <v>45878</v>
      </c>
      <c r="N37" s="24" t="str">
        <f t="shared" si="3"/>
        <v>SÁBADO</v>
      </c>
      <c r="O37" s="101">
        <v>0.8125</v>
      </c>
      <c r="P37" s="63" t="s">
        <v>469</v>
      </c>
      <c r="Q37" s="63" t="s">
        <v>447</v>
      </c>
      <c r="R37" s="36">
        <f>COUNTIF(Tabla1[[#This Row],[VEHICULOS_ACCIDENTADOS]:[VEHICULOS_ACCIDENTADOS2]],"MOTOCICLETA")</f>
        <v>1</v>
      </c>
      <c r="S37" s="36">
        <f>COUNTIF(Tabla1[[#This Row],[VEHICULOS_ACCIDENTADOS]:[VEHICULOS_ACCIDENTADOS2]],"MOTOCARRO")</f>
        <v>0</v>
      </c>
      <c r="T37" s="36">
        <f>COUNTIF(Tabla1[[#This Row],[VEHICULOS_ACCIDENTADOS]:[VEHICULOS_ACCIDENTADOS2]],"AUTOMOVIL")</f>
        <v>1</v>
      </c>
      <c r="U37" s="36">
        <f>COUNTIF(Tabla1[[#This Row],[VEHICULOS_ACCIDENTADOS]:[VEHICULOS_ACCIDENTADOS2]],"CAMPERO")</f>
        <v>0</v>
      </c>
      <c r="V37" s="36">
        <f>COUNTIF(Tabla1[[#This Row],[VEHICULOS_ACCIDENTADOS]:[VEHICULOS_ACCIDENTADOS2]],"CAMIONETA")</f>
        <v>0</v>
      </c>
      <c r="W37" s="36">
        <f>COUNTIF(Tabla1[[#This Row],[VEHICULOS_ACCIDENTADOS]:[VEHICULOS_ACCIDENTADOS2]],"MICROBUS")</f>
        <v>0</v>
      </c>
      <c r="X37" s="36">
        <f>COUNTIF(Tabla1[[#This Row],[VEHICULOS_ACCIDENTADOS]:[VEHICULOS_ACCIDENTADOS2]],"BUS")</f>
        <v>0</v>
      </c>
      <c r="Y37" s="36">
        <f>COUNTIF(Tabla1[[#This Row],[VEHICULOS_ACCIDENTADOS]:[VEHICULOS_ACCIDENTADOS2]],"BUSETA")</f>
        <v>0</v>
      </c>
      <c r="Z37" s="36">
        <f>COUNTIF(Tabla1[[#This Row],[VEHICULOS_ACCIDENTADOS]:[VEHICULOS_ACCIDENTADOS2]],"CAMION")</f>
        <v>0</v>
      </c>
      <c r="AA37" s="36">
        <f>COUNTIF(Tabla1[[#This Row],[VEHICULOS_ACCIDENTADOS]:[VEHICULOS_ACCIDENTADOS2]],"TRACTOCAMION")</f>
        <v>0</v>
      </c>
      <c r="AB37" s="36">
        <f>COUNTIF(Tabla1[[#This Row],[VEHICULOS_ACCIDENTADOS]:[VEHICULOS_ACCIDENTADOS2]],"VOLQUETA")</f>
        <v>0</v>
      </c>
      <c r="AC37" s="36">
        <f>COUNTIF(Tabla1[[#This Row],[VEHICULOS_ACCIDENTADOS]:[VEHICULOS_ACCIDENTADOS2]],"BICICLETA")</f>
        <v>0</v>
      </c>
      <c r="AD37" s="61" t="s">
        <v>471</v>
      </c>
      <c r="AE37" s="61" t="s">
        <v>471</v>
      </c>
      <c r="AF37" s="36">
        <f>COUNTIF(Tabla1[[#This Row],[GENERO_MASCULINO]:[GENERO_FEMENINO]],"MASCULINO")</f>
        <v>2</v>
      </c>
      <c r="AG37" s="36">
        <f>COUNTIF(Tabla1[[#This Row],[GENERO_MASCULINO]:[GENERO_FEMENINO]],"FEMENINO")</f>
        <v>0</v>
      </c>
      <c r="AH37" s="85">
        <v>21</v>
      </c>
      <c r="AI37" s="85">
        <v>56</v>
      </c>
      <c r="AJ37" s="85"/>
      <c r="AK37" s="78"/>
      <c r="AL37" s="78"/>
      <c r="AM37" s="59"/>
      <c r="AN37" s="61">
        <v>112</v>
      </c>
      <c r="AO37" s="59" t="str">
        <f>IFERROR(((VLOOKUP(Tabla1[[#This Row],[HIPOTESIS_1]],listas!$D$1:$E$105,2,FALSE))),"SIN INFORMACIÓN")</f>
        <v>Desobedecer señales o normas de tránsito.</v>
      </c>
      <c r="AP37" s="36">
        <v>146</v>
      </c>
      <c r="AQ37" s="36" t="str">
        <f>IFERROR(((VLOOKUP(Tabla1[[#This Row],[HIPOTESIS_2]],listas!$D$1:$E$105,2,FALSE))),"")</f>
        <v>Realizar giro en “U”.</v>
      </c>
      <c r="AR37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38" spans="1:44" x14ac:dyDescent="0.25">
      <c r="A38" s="12">
        <v>799</v>
      </c>
      <c r="B38" s="135">
        <v>0</v>
      </c>
      <c r="C38" s="136">
        <v>1</v>
      </c>
      <c r="D38" s="141">
        <v>0</v>
      </c>
      <c r="E38" s="18" t="str">
        <f t="shared" si="0"/>
        <v>LESIONADO</v>
      </c>
      <c r="F38" s="26" t="s">
        <v>864</v>
      </c>
      <c r="G38" s="21">
        <v>5.3189447222222217</v>
      </c>
      <c r="H38" s="21">
        <v>-72.395434722222234</v>
      </c>
      <c r="I38" s="93" t="s">
        <v>697</v>
      </c>
      <c r="J38" s="36" t="s">
        <v>717</v>
      </c>
      <c r="K38" s="24" t="str">
        <f t="shared" si="1"/>
        <v>2024</v>
      </c>
      <c r="L38" s="24" t="str">
        <f t="shared" si="2"/>
        <v>OCTUBRE</v>
      </c>
      <c r="M38" s="224">
        <v>45590</v>
      </c>
      <c r="N38" s="24" t="str">
        <f t="shared" si="3"/>
        <v>VIERNES</v>
      </c>
      <c r="O38" s="171">
        <v>0.77083333333333337</v>
      </c>
      <c r="P38" s="178" t="s">
        <v>469</v>
      </c>
      <c r="Q38" s="178"/>
      <c r="R38" s="36">
        <f>COUNTIF(Tabla1[[#This Row],[VEHICULOS_ACCIDENTADOS]:[VEHICULOS_ACCIDENTADOS2]],"MOTOCICLETA")</f>
        <v>1</v>
      </c>
      <c r="S38" s="36">
        <f>COUNTIF(Tabla1[[#This Row],[VEHICULOS_ACCIDENTADOS]:[VEHICULOS_ACCIDENTADOS2]],"MOTOCARRO")</f>
        <v>0</v>
      </c>
      <c r="T38" s="36">
        <f>COUNTIF(Tabla1[[#This Row],[VEHICULOS_ACCIDENTADOS]:[VEHICULOS_ACCIDENTADOS2]],"AUTOMOVIL")</f>
        <v>0</v>
      </c>
      <c r="U38" s="36">
        <f>COUNTIF(Tabla1[[#This Row],[VEHICULOS_ACCIDENTADOS]:[VEHICULOS_ACCIDENTADOS2]],"CAMPERO")</f>
        <v>0</v>
      </c>
      <c r="V38" s="36">
        <f>COUNTIF(Tabla1[[#This Row],[VEHICULOS_ACCIDENTADOS]:[VEHICULOS_ACCIDENTADOS2]],"CAMIONETA")</f>
        <v>0</v>
      </c>
      <c r="W38" s="36">
        <f>COUNTIF(Tabla1[[#This Row],[VEHICULOS_ACCIDENTADOS]:[VEHICULOS_ACCIDENTADOS2]],"MICROBUS")</f>
        <v>0</v>
      </c>
      <c r="X38" s="36">
        <f>COUNTIF(Tabla1[[#This Row],[VEHICULOS_ACCIDENTADOS]:[VEHICULOS_ACCIDENTADOS2]],"BUS")</f>
        <v>0</v>
      </c>
      <c r="Y38" s="36">
        <f>COUNTIF(Tabla1[[#This Row],[VEHICULOS_ACCIDENTADOS]:[VEHICULOS_ACCIDENTADOS2]],"BUSETA")</f>
        <v>0</v>
      </c>
      <c r="Z38" s="36">
        <f>COUNTIF(Tabla1[[#This Row],[VEHICULOS_ACCIDENTADOS]:[VEHICULOS_ACCIDENTADOS2]],"CAMION")</f>
        <v>0</v>
      </c>
      <c r="AA38" s="36">
        <f>COUNTIF(Tabla1[[#This Row],[VEHICULOS_ACCIDENTADOS]:[VEHICULOS_ACCIDENTADOS2]],"TRACTOCAMION")</f>
        <v>0</v>
      </c>
      <c r="AB38" s="36">
        <f>COUNTIF(Tabla1[[#This Row],[VEHICULOS_ACCIDENTADOS]:[VEHICULOS_ACCIDENTADOS2]],"VOLQUETA")</f>
        <v>0</v>
      </c>
      <c r="AC38" s="36">
        <f>COUNTIF(Tabla1[[#This Row],[VEHICULOS_ACCIDENTADOS]:[VEHICULOS_ACCIDENTADOS2]],"BICICLETA")</f>
        <v>0</v>
      </c>
      <c r="AD38" s="136" t="s">
        <v>471</v>
      </c>
      <c r="AE38" s="136"/>
      <c r="AF38" s="136">
        <f>COUNTIF(Tabla1[[#This Row],[GENERO_MASCULINO]:[GENERO_FEMENINO]],"MASCULINO")</f>
        <v>1</v>
      </c>
      <c r="AG38" s="36">
        <f>COUNTIF(Tabla1[[#This Row],[GENERO_MASCULINO]:[GENERO_FEMENINO]],"FEMENINO")</f>
        <v>0</v>
      </c>
      <c r="AH38" s="85">
        <v>27</v>
      </c>
      <c r="AI38" s="85"/>
      <c r="AJ38" s="85"/>
      <c r="AK38" s="85"/>
      <c r="AL38" s="85"/>
      <c r="AM38" s="136"/>
      <c r="AN38" s="85">
        <v>139</v>
      </c>
      <c r="AO38" s="36" t="str">
        <f>IFERROR(((VLOOKUP(Tabla1[[#This Row],[HIPOTESIS_1]],listas!$D$1:$E$105,2,FALSE))),"SIN INFORMACIÓN")</f>
        <v>Impericia en el manejo.</v>
      </c>
      <c r="AP38" s="136">
        <v>143</v>
      </c>
      <c r="AQ38" s="36" t="str">
        <f>IFERROR(((VLOOKUP(Tabla1[[#This Row],[HIPOTESIS_2]],listas!$D$1:$E$105,2,FALSE))),"")</f>
        <v>Poner en marcha un vehículo sin precauciones.</v>
      </c>
      <c r="AR38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39" spans="1:44" x14ac:dyDescent="0.25">
      <c r="A39" s="12">
        <v>430</v>
      </c>
      <c r="B39" s="36">
        <v>1</v>
      </c>
      <c r="C39" s="36">
        <v>0</v>
      </c>
      <c r="D39" s="36">
        <v>0</v>
      </c>
      <c r="E39" s="18" t="str">
        <f t="shared" si="0"/>
        <v>SOLO DAÑO</v>
      </c>
      <c r="F39" s="29" t="s">
        <v>1103</v>
      </c>
      <c r="G39" s="21">
        <v>5.3192944444444441</v>
      </c>
      <c r="H39" s="21">
        <v>-72.389711111111112</v>
      </c>
      <c r="I39" s="93" t="s">
        <v>697</v>
      </c>
      <c r="J39" s="36" t="s">
        <v>717</v>
      </c>
      <c r="K39" s="24" t="str">
        <f t="shared" si="1"/>
        <v>2023</v>
      </c>
      <c r="L39" s="24" t="str">
        <f t="shared" si="2"/>
        <v>MARZO</v>
      </c>
      <c r="M39" s="225">
        <v>45001</v>
      </c>
      <c r="N39" s="24" t="str">
        <f t="shared" si="3"/>
        <v>JUEVES</v>
      </c>
      <c r="O39" s="101">
        <v>0.79166666666666663</v>
      </c>
      <c r="P39" s="57" t="s">
        <v>447</v>
      </c>
      <c r="Q39" s="57" t="s">
        <v>441</v>
      </c>
      <c r="R39" s="36">
        <f>COUNTIF(Tabla1[[#This Row],[VEHICULOS_ACCIDENTADOS]:[VEHICULOS_ACCIDENTADOS2]],"MOTOCICLETA")</f>
        <v>0</v>
      </c>
      <c r="S39" s="36">
        <f>COUNTIF(Tabla1[[#This Row],[VEHICULOS_ACCIDENTADOS]:[VEHICULOS_ACCIDENTADOS2]],"MOTOCARRO")</f>
        <v>0</v>
      </c>
      <c r="T39" s="36">
        <f>COUNTIF(Tabla1[[#This Row],[VEHICULOS_ACCIDENTADOS]:[VEHICULOS_ACCIDENTADOS2]],"AUTOMOVIL")</f>
        <v>1</v>
      </c>
      <c r="U39" s="36">
        <f>COUNTIF(Tabla1[[#This Row],[VEHICULOS_ACCIDENTADOS]:[VEHICULOS_ACCIDENTADOS2]],"CAMPERO")</f>
        <v>0</v>
      </c>
      <c r="V39" s="36">
        <f>COUNTIF(Tabla1[[#This Row],[VEHICULOS_ACCIDENTADOS]:[VEHICULOS_ACCIDENTADOS2]],"CAMIONETA")</f>
        <v>0</v>
      </c>
      <c r="W39" s="36">
        <f>COUNTIF(Tabla1[[#This Row],[VEHICULOS_ACCIDENTADOS]:[VEHICULOS_ACCIDENTADOS2]],"MICROBUS")</f>
        <v>0</v>
      </c>
      <c r="X39" s="36">
        <f>COUNTIF(Tabla1[[#This Row],[VEHICULOS_ACCIDENTADOS]:[VEHICULOS_ACCIDENTADOS2]],"BUS")</f>
        <v>0</v>
      </c>
      <c r="Y39" s="36">
        <f>COUNTIF(Tabla1[[#This Row],[VEHICULOS_ACCIDENTADOS]:[VEHICULOS_ACCIDENTADOS2]],"BUSETA")</f>
        <v>0</v>
      </c>
      <c r="Z39" s="36">
        <f>COUNTIF(Tabla1[[#This Row],[VEHICULOS_ACCIDENTADOS]:[VEHICULOS_ACCIDENTADOS2]],"CAMION")</f>
        <v>1</v>
      </c>
      <c r="AA39" s="36">
        <f>COUNTIF(Tabla1[[#This Row],[VEHICULOS_ACCIDENTADOS]:[VEHICULOS_ACCIDENTADOS2]],"TRACTOCAMION")</f>
        <v>0</v>
      </c>
      <c r="AB39" s="36">
        <f>COUNTIF(Tabla1[[#This Row],[VEHICULOS_ACCIDENTADOS]:[VEHICULOS_ACCIDENTADOS2]],"VOLQUETA")</f>
        <v>0</v>
      </c>
      <c r="AC39" s="36">
        <f>COUNTIF(Tabla1[[#This Row],[VEHICULOS_ACCIDENTADOS]:[VEHICULOS_ACCIDENTADOS2]],"BICICLETA")</f>
        <v>0</v>
      </c>
      <c r="AD39" s="36"/>
      <c r="AE39" s="36" t="s">
        <v>472</v>
      </c>
      <c r="AF39" s="36">
        <f>COUNTIF(Tabla1[[#This Row],[GENERO_MASCULINO]:[GENERO_FEMENINO]],"MASCULINO")</f>
        <v>0</v>
      </c>
      <c r="AG39" s="36">
        <f>COUNTIF(Tabla1[[#This Row],[GENERO_MASCULINO]:[GENERO_FEMENINO]],"FEMENINO")</f>
        <v>1</v>
      </c>
      <c r="AH39" s="61"/>
      <c r="AI39" s="61"/>
      <c r="AJ39" s="61"/>
      <c r="AK39" s="61"/>
      <c r="AL39" s="61"/>
      <c r="AM39" s="36"/>
      <c r="AN39" s="61">
        <v>115</v>
      </c>
      <c r="AO39" s="36" t="str">
        <f>IFERROR(((VLOOKUP(Tabla1[[#This Row],[HIPOTESIS_1]],listas!$D$1:$E$105,2,FALSE))),"SIN INFORMACIÓN")</f>
        <v>Embriaguez o Sustancias alucinogenas</v>
      </c>
      <c r="AP39" s="36">
        <v>143</v>
      </c>
      <c r="AQ39" s="36" t="str">
        <f>IFERROR(((VLOOKUP(Tabla1[[#This Row],[HIPOTESIS_2]],listas!$D$1:$E$105,2,FALSE))),"")</f>
        <v>Poner en marcha un vehículo sin precauciones.</v>
      </c>
      <c r="AR39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40" spans="1:44" x14ac:dyDescent="0.25">
      <c r="A40" s="12">
        <v>8</v>
      </c>
      <c r="B40" s="36">
        <v>1</v>
      </c>
      <c r="C40" s="36">
        <v>0</v>
      </c>
      <c r="D40" s="36">
        <v>0</v>
      </c>
      <c r="E40" s="18" t="str">
        <f t="shared" si="0"/>
        <v>SOLO DAÑO</v>
      </c>
      <c r="F40" s="29" t="s">
        <v>817</v>
      </c>
      <c r="G40" s="17">
        <v>5.349530555555555</v>
      </c>
      <c r="H40" s="17">
        <v>-72.395211111111124</v>
      </c>
      <c r="I40" s="93" t="s">
        <v>697</v>
      </c>
      <c r="J40" s="36" t="s">
        <v>717</v>
      </c>
      <c r="K40" s="24" t="str">
        <f t="shared" si="1"/>
        <v>2022</v>
      </c>
      <c r="L40" s="24" t="str">
        <f t="shared" si="2"/>
        <v>ENERO</v>
      </c>
      <c r="M40" s="225">
        <v>44574</v>
      </c>
      <c r="N40" s="24" t="str">
        <f t="shared" si="3"/>
        <v>JUEVES</v>
      </c>
      <c r="O40" s="101">
        <v>0.64583333333333304</v>
      </c>
      <c r="P40" s="63" t="s">
        <v>447</v>
      </c>
      <c r="Q40" s="63" t="s">
        <v>441</v>
      </c>
      <c r="R40" s="36">
        <f>COUNTIF(Tabla1[[#This Row],[VEHICULOS_ACCIDENTADOS]:[VEHICULOS_ACCIDENTADOS2]],"MOTOCICLETA")</f>
        <v>0</v>
      </c>
      <c r="S40" s="36">
        <f>COUNTIF(Tabla1[[#This Row],[VEHICULOS_ACCIDENTADOS]:[VEHICULOS_ACCIDENTADOS2]],"MOTOCARRO")</f>
        <v>0</v>
      </c>
      <c r="T40" s="36">
        <f>COUNTIF(Tabla1[[#This Row],[VEHICULOS_ACCIDENTADOS]:[VEHICULOS_ACCIDENTADOS2]],"AUTOMOVIL")</f>
        <v>1</v>
      </c>
      <c r="U40" s="36">
        <f>COUNTIF(Tabla1[[#This Row],[VEHICULOS_ACCIDENTADOS]:[VEHICULOS_ACCIDENTADOS2]],"CAMPERO")</f>
        <v>0</v>
      </c>
      <c r="V40" s="36">
        <f>COUNTIF(Tabla1[[#This Row],[VEHICULOS_ACCIDENTADOS]:[VEHICULOS_ACCIDENTADOS2]],"CAMIONETA")</f>
        <v>0</v>
      </c>
      <c r="W40" s="36">
        <f>COUNTIF(Tabla1[[#This Row],[VEHICULOS_ACCIDENTADOS]:[VEHICULOS_ACCIDENTADOS2]],"MICROBUS")</f>
        <v>0</v>
      </c>
      <c r="X40" s="36">
        <f>COUNTIF(Tabla1[[#This Row],[VEHICULOS_ACCIDENTADOS]:[VEHICULOS_ACCIDENTADOS2]],"BUS")</f>
        <v>0</v>
      </c>
      <c r="Y40" s="36">
        <f>COUNTIF(Tabla1[[#This Row],[VEHICULOS_ACCIDENTADOS]:[VEHICULOS_ACCIDENTADOS2]],"BUSETA")</f>
        <v>0</v>
      </c>
      <c r="Z40" s="36">
        <f>COUNTIF(Tabla1[[#This Row],[VEHICULOS_ACCIDENTADOS]:[VEHICULOS_ACCIDENTADOS2]],"CAMION")</f>
        <v>1</v>
      </c>
      <c r="AA40" s="36">
        <f>COUNTIF(Tabla1[[#This Row],[VEHICULOS_ACCIDENTADOS]:[VEHICULOS_ACCIDENTADOS2]],"TRACTOCAMION")</f>
        <v>0</v>
      </c>
      <c r="AB40" s="36">
        <f>COUNTIF(Tabla1[[#This Row],[VEHICULOS_ACCIDENTADOS]:[VEHICULOS_ACCIDENTADOS2]],"VOLQUETA")</f>
        <v>0</v>
      </c>
      <c r="AC40" s="36">
        <f>COUNTIF(Tabla1[[#This Row],[VEHICULOS_ACCIDENTADOS]:[VEHICULOS_ACCIDENTADOS2]],"BICICLETA")</f>
        <v>0</v>
      </c>
      <c r="AD40" s="36"/>
      <c r="AE40" s="36" t="s">
        <v>472</v>
      </c>
      <c r="AF40" s="36">
        <f>COUNTIF(Tabla1[[#This Row],[GENERO_MASCULINO]:[GENERO_FEMENINO]],"MASCULINO")</f>
        <v>0</v>
      </c>
      <c r="AG40" s="36">
        <f>COUNTIF(Tabla1[[#This Row],[GENERO_MASCULINO]:[GENERO_FEMENINO]],"FEMENINO")</f>
        <v>1</v>
      </c>
      <c r="AH40" s="61"/>
      <c r="AI40" s="61"/>
      <c r="AJ40" s="61"/>
      <c r="AK40" s="61"/>
      <c r="AL40" s="61"/>
      <c r="AM40" s="36"/>
      <c r="AN40" s="61">
        <v>145</v>
      </c>
      <c r="AO40" s="36" t="str">
        <f>IFERROR(((VLOOKUP(Tabla1[[#This Row],[HIPOTESIS_1]],listas!$D$1:$E$105,2,FALSE))),"SIN INFORMACIÓN")</f>
        <v>Arrancar sin precaución.</v>
      </c>
      <c r="AP40" s="36">
        <v>157</v>
      </c>
      <c r="AQ40" s="36" t="str">
        <f>IFERROR(((VLOOKUP(Tabla1[[#This Row],[HIPOTESIS_2]],listas!$D$1:$E$105,2,FALSE))),"")</f>
        <v>Otra</v>
      </c>
      <c r="AR40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41" spans="1:44" x14ac:dyDescent="0.25">
      <c r="A41" s="12">
        <v>704</v>
      </c>
      <c r="B41" s="36">
        <v>0</v>
      </c>
      <c r="C41" s="36">
        <v>0</v>
      </c>
      <c r="D41" s="144">
        <v>1</v>
      </c>
      <c r="E41" s="18" t="str">
        <f t="shared" si="0"/>
        <v>FALLECIDO</v>
      </c>
      <c r="F41" s="29" t="s">
        <v>821</v>
      </c>
      <c r="G41" s="21">
        <v>5.3430438888888885</v>
      </c>
      <c r="H41" s="21">
        <v>-72.408842500000006</v>
      </c>
      <c r="I41" s="93" t="s">
        <v>697</v>
      </c>
      <c r="J41" s="136" t="s">
        <v>717</v>
      </c>
      <c r="K41" s="24" t="str">
        <f t="shared" si="1"/>
        <v>2024</v>
      </c>
      <c r="L41" s="24" t="str">
        <f t="shared" si="2"/>
        <v>MAYO</v>
      </c>
      <c r="M41" s="225">
        <v>45417</v>
      </c>
      <c r="N41" s="24" t="str">
        <f t="shared" si="3"/>
        <v>DOMINGO</v>
      </c>
      <c r="O41" s="101">
        <v>0.27777777777777779</v>
      </c>
      <c r="P41" s="57" t="s">
        <v>469</v>
      </c>
      <c r="Q41" s="57" t="s">
        <v>447</v>
      </c>
      <c r="R41" s="36">
        <f>COUNTIF(Tabla1[[#This Row],[VEHICULOS_ACCIDENTADOS]:[VEHICULOS_ACCIDENTADOS2]],"MOTOCICLETA")</f>
        <v>1</v>
      </c>
      <c r="S41" s="36">
        <f>COUNTIF(Tabla1[[#This Row],[VEHICULOS_ACCIDENTADOS]:[VEHICULOS_ACCIDENTADOS2]],"MOTOCARRO")</f>
        <v>0</v>
      </c>
      <c r="T41" s="36">
        <f>COUNTIF(Tabla1[[#This Row],[VEHICULOS_ACCIDENTADOS]:[VEHICULOS_ACCIDENTADOS2]],"AUTOMOVIL")</f>
        <v>1</v>
      </c>
      <c r="U41" s="36">
        <f>COUNTIF(Tabla1[[#This Row],[VEHICULOS_ACCIDENTADOS]:[VEHICULOS_ACCIDENTADOS2]],"CAMPERO")</f>
        <v>0</v>
      </c>
      <c r="V41" s="36">
        <f>COUNTIF(Tabla1[[#This Row],[VEHICULOS_ACCIDENTADOS]:[VEHICULOS_ACCIDENTADOS2]],"CAMIONETA")</f>
        <v>0</v>
      </c>
      <c r="W41" s="36">
        <f>COUNTIF(Tabla1[[#This Row],[VEHICULOS_ACCIDENTADOS]:[VEHICULOS_ACCIDENTADOS2]],"MICROBUS")</f>
        <v>0</v>
      </c>
      <c r="X41" s="36">
        <f>COUNTIF(Tabla1[[#This Row],[VEHICULOS_ACCIDENTADOS]:[VEHICULOS_ACCIDENTADOS2]],"BUS")</f>
        <v>0</v>
      </c>
      <c r="Y41" s="36">
        <f>COUNTIF(Tabla1[[#This Row],[VEHICULOS_ACCIDENTADOS]:[VEHICULOS_ACCIDENTADOS2]],"BUSETA")</f>
        <v>0</v>
      </c>
      <c r="Z41" s="36">
        <f>COUNTIF(Tabla1[[#This Row],[VEHICULOS_ACCIDENTADOS]:[VEHICULOS_ACCIDENTADOS2]],"CAMION")</f>
        <v>0</v>
      </c>
      <c r="AA41" s="36">
        <f>COUNTIF(Tabla1[[#This Row],[VEHICULOS_ACCIDENTADOS]:[VEHICULOS_ACCIDENTADOS2]],"TRACTOCAMION")</f>
        <v>0</v>
      </c>
      <c r="AB41" s="36">
        <f>COUNTIF(Tabla1[[#This Row],[VEHICULOS_ACCIDENTADOS]:[VEHICULOS_ACCIDENTADOS2]],"VOLQUETA")</f>
        <v>0</v>
      </c>
      <c r="AC41" s="36">
        <f>COUNTIF(Tabla1[[#This Row],[VEHICULOS_ACCIDENTADOS]:[VEHICULOS_ACCIDENTADOS2]],"BICICLETA")</f>
        <v>0</v>
      </c>
      <c r="AD41" s="36" t="s">
        <v>471</v>
      </c>
      <c r="AE41" s="36" t="s">
        <v>472</v>
      </c>
      <c r="AF41" s="36">
        <f>COUNTIF(Tabla1[[#This Row],[GENERO_MASCULINO]:[GENERO_FEMENINO]],"MASCULINO")</f>
        <v>1</v>
      </c>
      <c r="AG41" s="36">
        <f>COUNTIF(Tabla1[[#This Row],[GENERO_MASCULINO]:[GENERO_FEMENINO]],"FEMENINO")</f>
        <v>1</v>
      </c>
      <c r="AH41" s="61"/>
      <c r="AI41" s="61">
        <v>23</v>
      </c>
      <c r="AJ41" s="61">
        <v>20</v>
      </c>
      <c r="AK41" s="61"/>
      <c r="AL41" s="61"/>
      <c r="AM41" s="36">
        <v>52</v>
      </c>
      <c r="AN41" s="61">
        <v>122</v>
      </c>
      <c r="AO41" s="36" t="str">
        <f>IFERROR(((VLOOKUP(Tabla1[[#This Row],[HIPOTESIS_1]],listas!$D$1:$E$105,2,FALSE))),"SIN INFORMACIÓN")</f>
        <v>Girar bruscamente.</v>
      </c>
      <c r="AP41" s="36">
        <v>157</v>
      </c>
      <c r="AQ41" s="36" t="str">
        <f>IFERROR(((VLOOKUP(Tabla1[[#This Row],[HIPOTESIS_2]],listas!$D$1:$E$105,2,FALSE))),"")</f>
        <v>Otra</v>
      </c>
      <c r="AR41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42" spans="1:44" x14ac:dyDescent="0.25">
      <c r="A42" s="12">
        <v>1038</v>
      </c>
      <c r="B42" s="137">
        <v>0</v>
      </c>
      <c r="C42" s="137">
        <v>1</v>
      </c>
      <c r="D42" s="137">
        <v>0</v>
      </c>
      <c r="E42" s="18" t="str">
        <f t="shared" si="0"/>
        <v>LESIONADO</v>
      </c>
      <c r="F42" s="152" t="s">
        <v>838</v>
      </c>
      <c r="G42" s="30">
        <v>5.3341539999999998</v>
      </c>
      <c r="H42" s="30">
        <v>-72.398246</v>
      </c>
      <c r="I42" s="93" t="s">
        <v>697</v>
      </c>
      <c r="J42" s="36" t="s">
        <v>717</v>
      </c>
      <c r="K42" s="24" t="str">
        <f t="shared" si="1"/>
        <v>2025</v>
      </c>
      <c r="L42" s="24" t="str">
        <f t="shared" si="2"/>
        <v>AGOSTO</v>
      </c>
      <c r="M42" s="225">
        <v>45876</v>
      </c>
      <c r="N42" s="24" t="str">
        <f t="shared" si="3"/>
        <v>JUEVES</v>
      </c>
      <c r="O42" s="101">
        <v>6.8749999999999992E-2</v>
      </c>
      <c r="P42" s="63" t="s">
        <v>469</v>
      </c>
      <c r="Q42" s="63" t="s">
        <v>447</v>
      </c>
      <c r="R42" s="36">
        <f>COUNTIF(Tabla1[[#This Row],[VEHICULOS_ACCIDENTADOS]:[VEHICULOS_ACCIDENTADOS2]],"MOTOCICLETA")</f>
        <v>1</v>
      </c>
      <c r="S42" s="36">
        <f>COUNTIF(Tabla1[[#This Row],[VEHICULOS_ACCIDENTADOS]:[VEHICULOS_ACCIDENTADOS2]],"MOTOCARRO")</f>
        <v>0</v>
      </c>
      <c r="T42" s="36">
        <f>COUNTIF(Tabla1[[#This Row],[VEHICULOS_ACCIDENTADOS]:[VEHICULOS_ACCIDENTADOS2]],"AUTOMOVIL")</f>
        <v>1</v>
      </c>
      <c r="U42" s="36">
        <f>COUNTIF(Tabla1[[#This Row],[VEHICULOS_ACCIDENTADOS]:[VEHICULOS_ACCIDENTADOS2]],"CAMPERO")</f>
        <v>0</v>
      </c>
      <c r="V42" s="36">
        <f>COUNTIF(Tabla1[[#This Row],[VEHICULOS_ACCIDENTADOS]:[VEHICULOS_ACCIDENTADOS2]],"CAMIONETA")</f>
        <v>0</v>
      </c>
      <c r="W42" s="36">
        <f>COUNTIF(Tabla1[[#This Row],[VEHICULOS_ACCIDENTADOS]:[VEHICULOS_ACCIDENTADOS2]],"MICROBUS")</f>
        <v>0</v>
      </c>
      <c r="X42" s="36">
        <f>COUNTIF(Tabla1[[#This Row],[VEHICULOS_ACCIDENTADOS]:[VEHICULOS_ACCIDENTADOS2]],"BUS")</f>
        <v>0</v>
      </c>
      <c r="Y42" s="36">
        <f>COUNTIF(Tabla1[[#This Row],[VEHICULOS_ACCIDENTADOS]:[VEHICULOS_ACCIDENTADOS2]],"BUSETA")</f>
        <v>0</v>
      </c>
      <c r="Z42" s="36">
        <f>COUNTIF(Tabla1[[#This Row],[VEHICULOS_ACCIDENTADOS]:[VEHICULOS_ACCIDENTADOS2]],"CAMION")</f>
        <v>0</v>
      </c>
      <c r="AA42" s="36">
        <f>COUNTIF(Tabla1[[#This Row],[VEHICULOS_ACCIDENTADOS]:[VEHICULOS_ACCIDENTADOS2]],"TRACTOCAMION")</f>
        <v>0</v>
      </c>
      <c r="AB42" s="36">
        <f>COUNTIF(Tabla1[[#This Row],[VEHICULOS_ACCIDENTADOS]:[VEHICULOS_ACCIDENTADOS2]],"VOLQUETA")</f>
        <v>0</v>
      </c>
      <c r="AC42" s="36">
        <f>COUNTIF(Tabla1[[#This Row],[VEHICULOS_ACCIDENTADOS]:[VEHICULOS_ACCIDENTADOS2]],"BICICLETA")</f>
        <v>0</v>
      </c>
      <c r="AD42" s="61" t="s">
        <v>472</v>
      </c>
      <c r="AE42" s="61" t="s">
        <v>471</v>
      </c>
      <c r="AF42" s="36">
        <f>COUNTIF(Tabla1[[#This Row],[GENERO_MASCULINO]:[GENERO_FEMENINO]],"MASCULINO")</f>
        <v>1</v>
      </c>
      <c r="AG42" s="36">
        <f>COUNTIF(Tabla1[[#This Row],[GENERO_MASCULINO]:[GENERO_FEMENINO]],"FEMENINO")</f>
        <v>1</v>
      </c>
      <c r="AH42" s="85">
        <v>39</v>
      </c>
      <c r="AI42" s="85">
        <v>21</v>
      </c>
      <c r="AJ42" s="85"/>
      <c r="AK42" s="78"/>
      <c r="AL42" s="78"/>
      <c r="AM42" s="59"/>
      <c r="AN42" s="61">
        <v>114</v>
      </c>
      <c r="AO42" s="59" t="str">
        <f>IFERROR(((VLOOKUP(Tabla1[[#This Row],[HIPOTESIS_1]],listas!$D$1:$E$105,2,FALSE))),"SIN INFORMACIÓN")</f>
        <v>Embriaguez aparente.</v>
      </c>
      <c r="AP42" s="36">
        <v>157</v>
      </c>
      <c r="AQ42" s="36" t="str">
        <f>IFERROR(((VLOOKUP(Tabla1[[#This Row],[HIPOTESIS_2]],listas!$D$1:$E$105,2,FALSE))),"")</f>
        <v>Otra</v>
      </c>
      <c r="AR42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43" spans="1:44" x14ac:dyDescent="0.25">
      <c r="A43" s="12">
        <v>1022</v>
      </c>
      <c r="B43" s="137">
        <v>0</v>
      </c>
      <c r="C43" s="137">
        <v>2</v>
      </c>
      <c r="D43" s="137">
        <v>0</v>
      </c>
      <c r="E43" s="18" t="str">
        <f t="shared" si="0"/>
        <v>LESIONADO</v>
      </c>
      <c r="F43" s="152" t="s">
        <v>840</v>
      </c>
      <c r="G43" s="30">
        <v>5.3362280000000002</v>
      </c>
      <c r="H43" s="30">
        <v>-72.393067000000002</v>
      </c>
      <c r="I43" s="93" t="s">
        <v>697</v>
      </c>
      <c r="J43" s="36" t="s">
        <v>717</v>
      </c>
      <c r="K43" s="24" t="str">
        <f t="shared" si="1"/>
        <v>2025</v>
      </c>
      <c r="L43" s="24" t="str">
        <f t="shared" si="2"/>
        <v>JULIO</v>
      </c>
      <c r="M43" s="225">
        <v>45865</v>
      </c>
      <c r="N43" s="24" t="str">
        <f t="shared" si="3"/>
        <v>DOMINGO</v>
      </c>
      <c r="O43" s="101">
        <v>0.1388888888888889</v>
      </c>
      <c r="P43" s="63" t="s">
        <v>469</v>
      </c>
      <c r="Q43" s="63" t="s">
        <v>447</v>
      </c>
      <c r="R43" s="36">
        <f>COUNTIF(Tabla1[[#This Row],[VEHICULOS_ACCIDENTADOS]:[VEHICULOS_ACCIDENTADOS2]],"MOTOCICLETA")</f>
        <v>1</v>
      </c>
      <c r="S43" s="36">
        <f>COUNTIF(Tabla1[[#This Row],[VEHICULOS_ACCIDENTADOS]:[VEHICULOS_ACCIDENTADOS2]],"MOTOCARRO")</f>
        <v>0</v>
      </c>
      <c r="T43" s="36">
        <f>COUNTIF(Tabla1[[#This Row],[VEHICULOS_ACCIDENTADOS]:[VEHICULOS_ACCIDENTADOS2]],"AUTOMOVIL")</f>
        <v>1</v>
      </c>
      <c r="U43" s="36">
        <f>COUNTIF(Tabla1[[#This Row],[VEHICULOS_ACCIDENTADOS]:[VEHICULOS_ACCIDENTADOS2]],"CAMPERO")</f>
        <v>0</v>
      </c>
      <c r="V43" s="36">
        <f>COUNTIF(Tabla1[[#This Row],[VEHICULOS_ACCIDENTADOS]:[VEHICULOS_ACCIDENTADOS2]],"CAMIONETA")</f>
        <v>0</v>
      </c>
      <c r="W43" s="36">
        <f>COUNTIF(Tabla1[[#This Row],[VEHICULOS_ACCIDENTADOS]:[VEHICULOS_ACCIDENTADOS2]],"MICROBUS")</f>
        <v>0</v>
      </c>
      <c r="X43" s="36">
        <f>COUNTIF(Tabla1[[#This Row],[VEHICULOS_ACCIDENTADOS]:[VEHICULOS_ACCIDENTADOS2]],"BUS")</f>
        <v>0</v>
      </c>
      <c r="Y43" s="36">
        <f>COUNTIF(Tabla1[[#This Row],[VEHICULOS_ACCIDENTADOS]:[VEHICULOS_ACCIDENTADOS2]],"BUSETA")</f>
        <v>0</v>
      </c>
      <c r="Z43" s="36">
        <f>COUNTIF(Tabla1[[#This Row],[VEHICULOS_ACCIDENTADOS]:[VEHICULOS_ACCIDENTADOS2]],"CAMION")</f>
        <v>0</v>
      </c>
      <c r="AA43" s="36">
        <f>COUNTIF(Tabla1[[#This Row],[VEHICULOS_ACCIDENTADOS]:[VEHICULOS_ACCIDENTADOS2]],"TRACTOCAMION")</f>
        <v>0</v>
      </c>
      <c r="AB43" s="36">
        <f>COUNTIF(Tabla1[[#This Row],[VEHICULOS_ACCIDENTADOS]:[VEHICULOS_ACCIDENTADOS2]],"VOLQUETA")</f>
        <v>0</v>
      </c>
      <c r="AC43" s="36">
        <f>COUNTIF(Tabla1[[#This Row],[VEHICULOS_ACCIDENTADOS]:[VEHICULOS_ACCIDENTADOS2]],"BICICLETA")</f>
        <v>0</v>
      </c>
      <c r="AD43" s="36" t="s">
        <v>471</v>
      </c>
      <c r="AE43" s="36" t="s">
        <v>472</v>
      </c>
      <c r="AF43" s="36">
        <f>COUNTIF(Tabla1[[#This Row],[GENERO_MASCULINO]:[GENERO_FEMENINO]],"MASCULINO")</f>
        <v>1</v>
      </c>
      <c r="AG43" s="36">
        <f>COUNTIF(Tabla1[[#This Row],[GENERO_MASCULINO]:[GENERO_FEMENINO]],"FEMENINO")</f>
        <v>1</v>
      </c>
      <c r="AH43" s="85">
        <v>19</v>
      </c>
      <c r="AI43" s="85">
        <v>27</v>
      </c>
      <c r="AJ43" s="85">
        <v>20</v>
      </c>
      <c r="AK43" s="78"/>
      <c r="AL43" s="78"/>
      <c r="AM43" s="59"/>
      <c r="AN43" s="61">
        <v>139</v>
      </c>
      <c r="AO43" s="36" t="str">
        <f>IFERROR(((VLOOKUP(Tabla1[[#This Row],[HIPOTESIS_1]],listas!$D$1:$E$105,2,FALSE))),"SIN INFORMACIÓN")</f>
        <v>Impericia en el manejo.</v>
      </c>
      <c r="AP43" s="36">
        <v>157</v>
      </c>
      <c r="AQ43" s="36" t="str">
        <f>IFERROR(((VLOOKUP(Tabla1[[#This Row],[HIPOTESIS_2]],listas!$D$1:$E$105,2,FALSE))),"")</f>
        <v>Otra</v>
      </c>
      <c r="AR43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44" spans="1:44" x14ac:dyDescent="0.25">
      <c r="A44" s="12">
        <v>447</v>
      </c>
      <c r="B44" s="36">
        <v>0</v>
      </c>
      <c r="C44" s="36">
        <v>0</v>
      </c>
      <c r="D44" s="36">
        <v>2</v>
      </c>
      <c r="E44" s="18" t="str">
        <f t="shared" si="0"/>
        <v>FALLECIDO</v>
      </c>
      <c r="F44" s="36" t="s">
        <v>261</v>
      </c>
      <c r="G44" s="21">
        <v>5.3301866666666662</v>
      </c>
      <c r="H44" s="21">
        <v>-72.39266527777778</v>
      </c>
      <c r="I44" s="93" t="s">
        <v>697</v>
      </c>
      <c r="J44" s="36" t="s">
        <v>717</v>
      </c>
      <c r="K44" s="24" t="str">
        <f t="shared" si="1"/>
        <v>2023</v>
      </c>
      <c r="L44" s="24" t="str">
        <f t="shared" si="2"/>
        <v>ABRIL</v>
      </c>
      <c r="M44" s="225">
        <v>45019</v>
      </c>
      <c r="N44" s="24" t="str">
        <f t="shared" si="3"/>
        <v>LUNES</v>
      </c>
      <c r="O44" s="101">
        <v>0.72916666666666663</v>
      </c>
      <c r="P44" s="57" t="s">
        <v>469</v>
      </c>
      <c r="Q44" s="57" t="s">
        <v>439</v>
      </c>
      <c r="R44" s="36">
        <f>COUNTIF(Tabla1[[#This Row],[VEHICULOS_ACCIDENTADOS]:[VEHICULOS_ACCIDENTADOS2]],"MOTOCICLETA")</f>
        <v>1</v>
      </c>
      <c r="S44" s="36">
        <f>COUNTIF(Tabla1[[#This Row],[VEHICULOS_ACCIDENTADOS]:[VEHICULOS_ACCIDENTADOS2]],"MOTOCARRO")</f>
        <v>0</v>
      </c>
      <c r="T44" s="36">
        <f>COUNTIF(Tabla1[[#This Row],[VEHICULOS_ACCIDENTADOS]:[VEHICULOS_ACCIDENTADOS2]],"AUTOMOVIL")</f>
        <v>0</v>
      </c>
      <c r="U44" s="36">
        <f>COUNTIF(Tabla1[[#This Row],[VEHICULOS_ACCIDENTADOS]:[VEHICULOS_ACCIDENTADOS2]],"CAMPERO")</f>
        <v>0</v>
      </c>
      <c r="V44" s="36">
        <f>COUNTIF(Tabla1[[#This Row],[VEHICULOS_ACCIDENTADOS]:[VEHICULOS_ACCIDENTADOS2]],"CAMIONETA")</f>
        <v>0</v>
      </c>
      <c r="W44" s="36">
        <f>COUNTIF(Tabla1[[#This Row],[VEHICULOS_ACCIDENTADOS]:[VEHICULOS_ACCIDENTADOS2]],"MICROBUS")</f>
        <v>0</v>
      </c>
      <c r="X44" s="36">
        <f>COUNTIF(Tabla1[[#This Row],[VEHICULOS_ACCIDENTADOS]:[VEHICULOS_ACCIDENTADOS2]],"BUS")</f>
        <v>0</v>
      </c>
      <c r="Y44" s="36">
        <f>COUNTIF(Tabla1[[#This Row],[VEHICULOS_ACCIDENTADOS]:[VEHICULOS_ACCIDENTADOS2]],"BUSETA")</f>
        <v>0</v>
      </c>
      <c r="Z44" s="36">
        <f>COUNTIF(Tabla1[[#This Row],[VEHICULOS_ACCIDENTADOS]:[VEHICULOS_ACCIDENTADOS2]],"CAMION")</f>
        <v>0</v>
      </c>
      <c r="AA44" s="36">
        <f>COUNTIF(Tabla1[[#This Row],[VEHICULOS_ACCIDENTADOS]:[VEHICULOS_ACCIDENTADOS2]],"TRACTOCAMION")</f>
        <v>0</v>
      </c>
      <c r="AB44" s="36">
        <f>COUNTIF(Tabla1[[#This Row],[VEHICULOS_ACCIDENTADOS]:[VEHICULOS_ACCIDENTADOS2]],"VOLQUETA")</f>
        <v>1</v>
      </c>
      <c r="AC44" s="36">
        <f>COUNTIF(Tabla1[[#This Row],[VEHICULOS_ACCIDENTADOS]:[VEHICULOS_ACCIDENTADOS2]],"BICICLETA")</f>
        <v>0</v>
      </c>
      <c r="AD44" s="36" t="s">
        <v>471</v>
      </c>
      <c r="AE44" s="36" t="s">
        <v>472</v>
      </c>
      <c r="AF44" s="36">
        <f>COUNTIF(Tabla1[[#This Row],[GENERO_MASCULINO]:[GENERO_FEMENINO]],"MASCULINO")</f>
        <v>1</v>
      </c>
      <c r="AG44" s="36">
        <f>COUNTIF(Tabla1[[#This Row],[GENERO_MASCULINO]:[GENERO_FEMENINO]],"FEMENINO")</f>
        <v>1</v>
      </c>
      <c r="AH44" s="61">
        <v>71</v>
      </c>
      <c r="AI44" s="61"/>
      <c r="AJ44" s="61"/>
      <c r="AK44" s="61"/>
      <c r="AL44" s="61"/>
      <c r="AM44" s="36">
        <v>71</v>
      </c>
      <c r="AN44" s="61">
        <v>139</v>
      </c>
      <c r="AO44" s="36" t="str">
        <f>IFERROR(((VLOOKUP(Tabla1[[#This Row],[HIPOTESIS_1]],listas!$D$1:$E$105,2,FALSE))),"SIN INFORMACIÓN")</f>
        <v>Impericia en el manejo.</v>
      </c>
      <c r="AP44" s="36">
        <v>157</v>
      </c>
      <c r="AQ44" s="36" t="str">
        <f>IFERROR(((VLOOKUP(Tabla1[[#This Row],[HIPOTESIS_2]],listas!$D$1:$E$105,2,FALSE))),"")</f>
        <v>Otra</v>
      </c>
      <c r="AR44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45" spans="1:44" x14ac:dyDescent="0.25">
      <c r="A45" s="12">
        <v>791</v>
      </c>
      <c r="B45" s="136">
        <v>0</v>
      </c>
      <c r="C45" s="136">
        <v>0</v>
      </c>
      <c r="D45" s="141">
        <v>1</v>
      </c>
      <c r="E45" s="18" t="str">
        <f t="shared" si="0"/>
        <v>FALLECIDO</v>
      </c>
      <c r="F45" s="26" t="s">
        <v>866</v>
      </c>
      <c r="G45" s="21">
        <v>5.3235213888888886</v>
      </c>
      <c r="H45" s="21">
        <v>-72.385292777777778</v>
      </c>
      <c r="I45" s="93" t="s">
        <v>697</v>
      </c>
      <c r="J45" s="36" t="s">
        <v>717</v>
      </c>
      <c r="K45" s="24" t="str">
        <f t="shared" si="1"/>
        <v>2024</v>
      </c>
      <c r="L45" s="24" t="str">
        <f t="shared" si="2"/>
        <v>OCTUBRE</v>
      </c>
      <c r="M45" s="224">
        <v>45577</v>
      </c>
      <c r="N45" s="24" t="str">
        <f t="shared" si="3"/>
        <v>SÁBADO</v>
      </c>
      <c r="O45" s="171">
        <v>0.20833333333333334</v>
      </c>
      <c r="P45" s="178" t="s">
        <v>469</v>
      </c>
      <c r="Q45" s="178"/>
      <c r="R45" s="36">
        <f>COUNTIF(Tabla1[[#This Row],[VEHICULOS_ACCIDENTADOS]:[VEHICULOS_ACCIDENTADOS2]],"MOTOCICLETA")</f>
        <v>1</v>
      </c>
      <c r="S45" s="36">
        <f>COUNTIF(Tabla1[[#This Row],[VEHICULOS_ACCIDENTADOS]:[VEHICULOS_ACCIDENTADOS2]],"MOTOCARRO")</f>
        <v>0</v>
      </c>
      <c r="T45" s="36">
        <f>COUNTIF(Tabla1[[#This Row],[VEHICULOS_ACCIDENTADOS]:[VEHICULOS_ACCIDENTADOS2]],"AUTOMOVIL")</f>
        <v>0</v>
      </c>
      <c r="U45" s="36">
        <f>COUNTIF(Tabla1[[#This Row],[VEHICULOS_ACCIDENTADOS]:[VEHICULOS_ACCIDENTADOS2]],"CAMPERO")</f>
        <v>0</v>
      </c>
      <c r="V45" s="36">
        <f>COUNTIF(Tabla1[[#This Row],[VEHICULOS_ACCIDENTADOS]:[VEHICULOS_ACCIDENTADOS2]],"CAMIONETA")</f>
        <v>0</v>
      </c>
      <c r="W45" s="36">
        <f>COUNTIF(Tabla1[[#This Row],[VEHICULOS_ACCIDENTADOS]:[VEHICULOS_ACCIDENTADOS2]],"MICROBUS")</f>
        <v>0</v>
      </c>
      <c r="X45" s="36">
        <f>COUNTIF(Tabla1[[#This Row],[VEHICULOS_ACCIDENTADOS]:[VEHICULOS_ACCIDENTADOS2]],"BUS")</f>
        <v>0</v>
      </c>
      <c r="Y45" s="36">
        <f>COUNTIF(Tabla1[[#This Row],[VEHICULOS_ACCIDENTADOS]:[VEHICULOS_ACCIDENTADOS2]],"BUSETA")</f>
        <v>0</v>
      </c>
      <c r="Z45" s="36">
        <f>COUNTIF(Tabla1[[#This Row],[VEHICULOS_ACCIDENTADOS]:[VEHICULOS_ACCIDENTADOS2]],"CAMION")</f>
        <v>0</v>
      </c>
      <c r="AA45" s="36">
        <f>COUNTIF(Tabla1[[#This Row],[VEHICULOS_ACCIDENTADOS]:[VEHICULOS_ACCIDENTADOS2]],"TRACTOCAMION")</f>
        <v>0</v>
      </c>
      <c r="AB45" s="36">
        <f>COUNTIF(Tabla1[[#This Row],[VEHICULOS_ACCIDENTADOS]:[VEHICULOS_ACCIDENTADOS2]],"VOLQUETA")</f>
        <v>0</v>
      </c>
      <c r="AC45" s="36">
        <f>COUNTIF(Tabla1[[#This Row],[VEHICULOS_ACCIDENTADOS]:[VEHICULOS_ACCIDENTADOS2]],"BICICLETA")</f>
        <v>0</v>
      </c>
      <c r="AD45" s="136" t="s">
        <v>471</v>
      </c>
      <c r="AE45" s="136"/>
      <c r="AF45" s="136">
        <f>COUNTIF(Tabla1[[#This Row],[GENERO_MASCULINO]:[GENERO_FEMENINO]],"MASCULINO")</f>
        <v>1</v>
      </c>
      <c r="AG45" s="36">
        <f>COUNTIF(Tabla1[[#This Row],[GENERO_MASCULINO]:[GENERO_FEMENINO]],"FEMENINO")</f>
        <v>0</v>
      </c>
      <c r="AH45" s="85"/>
      <c r="AI45" s="85"/>
      <c r="AJ45" s="85"/>
      <c r="AK45" s="85"/>
      <c r="AL45" s="85"/>
      <c r="AM45" s="136">
        <v>19</v>
      </c>
      <c r="AN45" s="85">
        <v>114</v>
      </c>
      <c r="AO45" s="36" t="str">
        <f>IFERROR(((VLOOKUP(Tabla1[[#This Row],[HIPOTESIS_1]],listas!$D$1:$E$105,2,FALSE))),"SIN INFORMACIÓN")</f>
        <v>Embriaguez aparente.</v>
      </c>
      <c r="AP45" s="136">
        <v>157</v>
      </c>
      <c r="AQ45" s="36" t="str">
        <f>IFERROR(((VLOOKUP(Tabla1[[#This Row],[HIPOTESIS_2]],listas!$D$1:$E$105,2,FALSE))),"")</f>
        <v>Otra</v>
      </c>
      <c r="AR45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46" spans="1:44" x14ac:dyDescent="0.25">
      <c r="A46" s="12">
        <v>677</v>
      </c>
      <c r="B46" s="136">
        <v>0</v>
      </c>
      <c r="C46" s="136">
        <v>1</v>
      </c>
      <c r="D46" s="136">
        <v>0</v>
      </c>
      <c r="E46" s="18" t="str">
        <f t="shared" si="0"/>
        <v>LESIONADO</v>
      </c>
      <c r="F46" s="26" t="s">
        <v>867</v>
      </c>
      <c r="G46" s="21">
        <v>5.3255694444444446</v>
      </c>
      <c r="H46" s="21">
        <v>-72.3833388888889</v>
      </c>
      <c r="I46" s="93" t="s">
        <v>697</v>
      </c>
      <c r="J46" s="136" t="s">
        <v>717</v>
      </c>
      <c r="K46" s="24" t="str">
        <f t="shared" si="1"/>
        <v>2024</v>
      </c>
      <c r="L46" s="24" t="str">
        <f t="shared" si="2"/>
        <v>MARZO</v>
      </c>
      <c r="M46" s="224">
        <v>45361</v>
      </c>
      <c r="N46" s="24" t="str">
        <f t="shared" si="3"/>
        <v>DOMINGO</v>
      </c>
      <c r="O46" s="171">
        <v>0.16666666666666666</v>
      </c>
      <c r="P46" s="178" t="s">
        <v>469</v>
      </c>
      <c r="Q46" s="178"/>
      <c r="R46" s="36">
        <f>COUNTIF(Tabla1[[#This Row],[VEHICULOS_ACCIDENTADOS]:[VEHICULOS_ACCIDENTADOS2]],"MOTOCICLETA")</f>
        <v>1</v>
      </c>
      <c r="S46" s="36">
        <f>COUNTIF(Tabla1[[#This Row],[VEHICULOS_ACCIDENTADOS]:[VEHICULOS_ACCIDENTADOS2]],"MOTOCARRO")</f>
        <v>0</v>
      </c>
      <c r="T46" s="36">
        <f>COUNTIF(Tabla1[[#This Row],[VEHICULOS_ACCIDENTADOS]:[VEHICULOS_ACCIDENTADOS2]],"AUTOMOVIL")</f>
        <v>0</v>
      </c>
      <c r="U46" s="36">
        <f>COUNTIF(Tabla1[[#This Row],[VEHICULOS_ACCIDENTADOS]:[VEHICULOS_ACCIDENTADOS2]],"CAMPERO")</f>
        <v>0</v>
      </c>
      <c r="V46" s="36">
        <f>COUNTIF(Tabla1[[#This Row],[VEHICULOS_ACCIDENTADOS]:[VEHICULOS_ACCIDENTADOS2]],"CAMIONETA")</f>
        <v>0</v>
      </c>
      <c r="W46" s="36">
        <f>COUNTIF(Tabla1[[#This Row],[VEHICULOS_ACCIDENTADOS]:[VEHICULOS_ACCIDENTADOS2]],"MICROBUS")</f>
        <v>0</v>
      </c>
      <c r="X46" s="36">
        <f>COUNTIF(Tabla1[[#This Row],[VEHICULOS_ACCIDENTADOS]:[VEHICULOS_ACCIDENTADOS2]],"BUS")</f>
        <v>0</v>
      </c>
      <c r="Y46" s="36">
        <f>COUNTIF(Tabla1[[#This Row],[VEHICULOS_ACCIDENTADOS]:[VEHICULOS_ACCIDENTADOS2]],"BUSETA")</f>
        <v>0</v>
      </c>
      <c r="Z46" s="36">
        <f>COUNTIF(Tabla1[[#This Row],[VEHICULOS_ACCIDENTADOS]:[VEHICULOS_ACCIDENTADOS2]],"CAMION")</f>
        <v>0</v>
      </c>
      <c r="AA46" s="36">
        <f>COUNTIF(Tabla1[[#This Row],[VEHICULOS_ACCIDENTADOS]:[VEHICULOS_ACCIDENTADOS2]],"TRACTOCAMION")</f>
        <v>0</v>
      </c>
      <c r="AB46" s="36">
        <f>COUNTIF(Tabla1[[#This Row],[VEHICULOS_ACCIDENTADOS]:[VEHICULOS_ACCIDENTADOS2]],"VOLQUETA")</f>
        <v>0</v>
      </c>
      <c r="AC46" s="36">
        <f>COUNTIF(Tabla1[[#This Row],[VEHICULOS_ACCIDENTADOS]:[VEHICULOS_ACCIDENTADOS2]],"BICICLETA")</f>
        <v>0</v>
      </c>
      <c r="AD46" s="136" t="s">
        <v>471</v>
      </c>
      <c r="AE46" s="136"/>
      <c r="AF46" s="136">
        <f>COUNTIF(Tabla1[[#This Row],[GENERO_MASCULINO]:[GENERO_FEMENINO]],"MASCULINO")</f>
        <v>1</v>
      </c>
      <c r="AG46" s="36">
        <f>COUNTIF(Tabla1[[#This Row],[GENERO_MASCULINO]:[GENERO_FEMENINO]],"FEMENINO")</f>
        <v>0</v>
      </c>
      <c r="AH46" s="85">
        <v>31</v>
      </c>
      <c r="AI46" s="85"/>
      <c r="AJ46" s="85"/>
      <c r="AK46" s="85"/>
      <c r="AL46" s="85"/>
      <c r="AM46" s="136"/>
      <c r="AN46" s="85">
        <v>139</v>
      </c>
      <c r="AO46" s="36" t="str">
        <f>IFERROR(((VLOOKUP(Tabla1[[#This Row],[HIPOTESIS_1]],listas!$D$1:$E$105,2,FALSE))),"SIN INFORMACIÓN")</f>
        <v>Impericia en el manejo.</v>
      </c>
      <c r="AP46" s="136">
        <v>157</v>
      </c>
      <c r="AQ46" s="36" t="str">
        <f>IFERROR(((VLOOKUP(Tabla1[[#This Row],[HIPOTESIS_2]],listas!$D$1:$E$105,2,FALSE))),"")</f>
        <v>Otra</v>
      </c>
      <c r="AR46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47" spans="1:44" x14ac:dyDescent="0.25">
      <c r="A47" s="12">
        <v>476</v>
      </c>
      <c r="B47" s="36">
        <v>0</v>
      </c>
      <c r="C47" s="36">
        <v>1</v>
      </c>
      <c r="D47" s="36">
        <v>0</v>
      </c>
      <c r="E47" s="18" t="str">
        <f t="shared" si="0"/>
        <v>LESIONADO</v>
      </c>
      <c r="F47" s="29" t="s">
        <v>869</v>
      </c>
      <c r="G47" s="21">
        <v>5.3298833333333331</v>
      </c>
      <c r="H47" s="21">
        <v>-72.37877499999999</v>
      </c>
      <c r="I47" s="93" t="s">
        <v>697</v>
      </c>
      <c r="J47" s="36" t="s">
        <v>717</v>
      </c>
      <c r="K47" s="24" t="str">
        <f t="shared" si="1"/>
        <v>2023</v>
      </c>
      <c r="L47" s="24" t="str">
        <f t="shared" si="2"/>
        <v>MAYO</v>
      </c>
      <c r="M47" s="225">
        <v>45057</v>
      </c>
      <c r="N47" s="24" t="str">
        <f t="shared" si="3"/>
        <v>JUEVES</v>
      </c>
      <c r="O47" s="101">
        <v>0.63194444444444442</v>
      </c>
      <c r="P47" s="57" t="s">
        <v>469</v>
      </c>
      <c r="Q47" s="57" t="s">
        <v>445</v>
      </c>
      <c r="R47" s="36">
        <f>COUNTIF(Tabla1[[#This Row],[VEHICULOS_ACCIDENTADOS]:[VEHICULOS_ACCIDENTADOS2]],"MOTOCICLETA")</f>
        <v>1</v>
      </c>
      <c r="S47" s="36">
        <f>COUNTIF(Tabla1[[#This Row],[VEHICULOS_ACCIDENTADOS]:[VEHICULOS_ACCIDENTADOS2]],"MOTOCARRO")</f>
        <v>0</v>
      </c>
      <c r="T47" s="36">
        <f>COUNTIF(Tabla1[[#This Row],[VEHICULOS_ACCIDENTADOS]:[VEHICULOS_ACCIDENTADOS2]],"AUTOMOVIL")</f>
        <v>0</v>
      </c>
      <c r="U47" s="36">
        <f>COUNTIF(Tabla1[[#This Row],[VEHICULOS_ACCIDENTADOS]:[VEHICULOS_ACCIDENTADOS2]],"CAMPERO")</f>
        <v>0</v>
      </c>
      <c r="V47" s="36">
        <f>COUNTIF(Tabla1[[#This Row],[VEHICULOS_ACCIDENTADOS]:[VEHICULOS_ACCIDENTADOS2]],"CAMIONETA")</f>
        <v>1</v>
      </c>
      <c r="W47" s="36">
        <f>COUNTIF(Tabla1[[#This Row],[VEHICULOS_ACCIDENTADOS]:[VEHICULOS_ACCIDENTADOS2]],"MICROBUS")</f>
        <v>0</v>
      </c>
      <c r="X47" s="36">
        <f>COUNTIF(Tabla1[[#This Row],[VEHICULOS_ACCIDENTADOS]:[VEHICULOS_ACCIDENTADOS2]],"BUS")</f>
        <v>0</v>
      </c>
      <c r="Y47" s="36">
        <f>COUNTIF(Tabla1[[#This Row],[VEHICULOS_ACCIDENTADOS]:[VEHICULOS_ACCIDENTADOS2]],"BUSETA")</f>
        <v>0</v>
      </c>
      <c r="Z47" s="36">
        <f>COUNTIF(Tabla1[[#This Row],[VEHICULOS_ACCIDENTADOS]:[VEHICULOS_ACCIDENTADOS2]],"CAMION")</f>
        <v>0</v>
      </c>
      <c r="AA47" s="36">
        <f>COUNTIF(Tabla1[[#This Row],[VEHICULOS_ACCIDENTADOS]:[VEHICULOS_ACCIDENTADOS2]],"TRACTOCAMION")</f>
        <v>0</v>
      </c>
      <c r="AB47" s="36">
        <f>COUNTIF(Tabla1[[#This Row],[VEHICULOS_ACCIDENTADOS]:[VEHICULOS_ACCIDENTADOS2]],"VOLQUETA")</f>
        <v>0</v>
      </c>
      <c r="AC47" s="36">
        <f>COUNTIF(Tabla1[[#This Row],[VEHICULOS_ACCIDENTADOS]:[VEHICULOS_ACCIDENTADOS2]],"BICICLETA")</f>
        <v>0</v>
      </c>
      <c r="AD47" s="36" t="s">
        <v>471</v>
      </c>
      <c r="AE47" s="36"/>
      <c r="AF47" s="36">
        <f>COUNTIF(Tabla1[[#This Row],[GENERO_MASCULINO]:[GENERO_FEMENINO]],"MASCULINO")</f>
        <v>1</v>
      </c>
      <c r="AG47" s="36">
        <f>COUNTIF(Tabla1[[#This Row],[GENERO_MASCULINO]:[GENERO_FEMENINO]],"FEMENINO")</f>
        <v>0</v>
      </c>
      <c r="AH47" s="61">
        <v>16</v>
      </c>
      <c r="AI47" s="61"/>
      <c r="AJ47" s="61"/>
      <c r="AK47" s="61"/>
      <c r="AL47" s="61"/>
      <c r="AM47" s="36"/>
      <c r="AN47" s="61">
        <v>139</v>
      </c>
      <c r="AO47" s="36" t="str">
        <f>IFERROR(((VLOOKUP(Tabla1[[#This Row],[HIPOTESIS_1]],listas!$D$1:$E$105,2,FALSE))),"SIN INFORMACIÓN")</f>
        <v>Impericia en el manejo.</v>
      </c>
      <c r="AP47" s="36">
        <v>157</v>
      </c>
      <c r="AQ47" s="36" t="str">
        <f>IFERROR(((VLOOKUP(Tabla1[[#This Row],[HIPOTESIS_2]],listas!$D$1:$E$105,2,FALSE))),"")</f>
        <v>Otra</v>
      </c>
      <c r="AR47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48" spans="1:44" x14ac:dyDescent="0.25">
      <c r="A48" s="12">
        <v>1031</v>
      </c>
      <c r="B48" s="137">
        <v>0</v>
      </c>
      <c r="C48" s="137">
        <v>1</v>
      </c>
      <c r="D48" s="137">
        <v>0</v>
      </c>
      <c r="E48" s="18" t="str">
        <f t="shared" si="0"/>
        <v>LESIONADO</v>
      </c>
      <c r="F48" s="137" t="s">
        <v>875</v>
      </c>
      <c r="G48" s="30">
        <v>5.3183280000000002</v>
      </c>
      <c r="H48" s="30">
        <v>-72.398932000000002</v>
      </c>
      <c r="I48" s="93" t="s">
        <v>697</v>
      </c>
      <c r="J48" s="36" t="s">
        <v>717</v>
      </c>
      <c r="K48" s="24" t="str">
        <f t="shared" si="1"/>
        <v>2025</v>
      </c>
      <c r="L48" s="24" t="str">
        <f t="shared" si="2"/>
        <v>AGOSTO</v>
      </c>
      <c r="M48" s="225">
        <v>45870</v>
      </c>
      <c r="N48" s="24" t="str">
        <f t="shared" si="3"/>
        <v>VIERNES</v>
      </c>
      <c r="O48" s="101">
        <v>0.99305555555555547</v>
      </c>
      <c r="P48" s="63" t="s">
        <v>469</v>
      </c>
      <c r="Q48" s="63" t="s">
        <v>469</v>
      </c>
      <c r="R48" s="36">
        <f>COUNTIF(Tabla1[[#This Row],[VEHICULOS_ACCIDENTADOS]:[VEHICULOS_ACCIDENTADOS2]],"MOTOCICLETA")</f>
        <v>2</v>
      </c>
      <c r="S48" s="36">
        <f>COUNTIF(Tabla1[[#This Row],[VEHICULOS_ACCIDENTADOS]:[VEHICULOS_ACCIDENTADOS2]],"MOTOCARRO")</f>
        <v>0</v>
      </c>
      <c r="T48" s="36">
        <f>COUNTIF(Tabla1[[#This Row],[VEHICULOS_ACCIDENTADOS]:[VEHICULOS_ACCIDENTADOS2]],"AUTOMOVIL")</f>
        <v>0</v>
      </c>
      <c r="U48" s="36">
        <f>COUNTIF(Tabla1[[#This Row],[VEHICULOS_ACCIDENTADOS]:[VEHICULOS_ACCIDENTADOS2]],"CAMPERO")</f>
        <v>0</v>
      </c>
      <c r="V48" s="36">
        <f>COUNTIF(Tabla1[[#This Row],[VEHICULOS_ACCIDENTADOS]:[VEHICULOS_ACCIDENTADOS2]],"CAMIONETA")</f>
        <v>0</v>
      </c>
      <c r="W48" s="36">
        <f>COUNTIF(Tabla1[[#This Row],[VEHICULOS_ACCIDENTADOS]:[VEHICULOS_ACCIDENTADOS2]],"MICROBUS")</f>
        <v>0</v>
      </c>
      <c r="X48" s="36">
        <f>COUNTIF(Tabla1[[#This Row],[VEHICULOS_ACCIDENTADOS]:[VEHICULOS_ACCIDENTADOS2]],"BUS")</f>
        <v>0</v>
      </c>
      <c r="Y48" s="36">
        <f>COUNTIF(Tabla1[[#This Row],[VEHICULOS_ACCIDENTADOS]:[VEHICULOS_ACCIDENTADOS2]],"BUSETA")</f>
        <v>0</v>
      </c>
      <c r="Z48" s="36">
        <f>COUNTIF(Tabla1[[#This Row],[VEHICULOS_ACCIDENTADOS]:[VEHICULOS_ACCIDENTADOS2]],"CAMION")</f>
        <v>0</v>
      </c>
      <c r="AA48" s="36">
        <f>COUNTIF(Tabla1[[#This Row],[VEHICULOS_ACCIDENTADOS]:[VEHICULOS_ACCIDENTADOS2]],"TRACTOCAMION")</f>
        <v>0</v>
      </c>
      <c r="AB48" s="36">
        <f>COUNTIF(Tabla1[[#This Row],[VEHICULOS_ACCIDENTADOS]:[VEHICULOS_ACCIDENTADOS2]],"VOLQUETA")</f>
        <v>0</v>
      </c>
      <c r="AC48" s="36">
        <f>COUNTIF(Tabla1[[#This Row],[VEHICULOS_ACCIDENTADOS]:[VEHICULOS_ACCIDENTADOS2]],"BICICLETA")</f>
        <v>0</v>
      </c>
      <c r="AD48" s="61" t="s">
        <v>472</v>
      </c>
      <c r="AE48" s="61" t="s">
        <v>471</v>
      </c>
      <c r="AF48" s="36">
        <f>COUNTIF(Tabla1[[#This Row],[GENERO_MASCULINO]:[GENERO_FEMENINO]],"MASCULINO")</f>
        <v>1</v>
      </c>
      <c r="AG48" s="36">
        <f>COUNTIF(Tabla1[[#This Row],[GENERO_MASCULINO]:[GENERO_FEMENINO]],"FEMENINO")</f>
        <v>1</v>
      </c>
      <c r="AH48" s="85">
        <v>29</v>
      </c>
      <c r="AI48" s="85">
        <v>52</v>
      </c>
      <c r="AJ48" s="85"/>
      <c r="AK48" s="78"/>
      <c r="AL48" s="78"/>
      <c r="AM48" s="59"/>
      <c r="AN48" s="61">
        <v>114</v>
      </c>
      <c r="AO48" s="59" t="str">
        <f>IFERROR(((VLOOKUP(Tabla1[[#This Row],[HIPOTESIS_1]],listas!$D$1:$E$105,2,FALSE))),"SIN INFORMACIÓN")</f>
        <v>Embriaguez aparente.</v>
      </c>
      <c r="AP48" s="36">
        <v>157</v>
      </c>
      <c r="AQ48" s="36" t="str">
        <f>IFERROR(((VLOOKUP(Tabla1[[#This Row],[HIPOTESIS_2]],listas!$D$1:$E$105,2,FALSE))),"")</f>
        <v>Otra</v>
      </c>
      <c r="AR48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49" spans="1:44" x14ac:dyDescent="0.25">
      <c r="A49" s="12">
        <v>1080</v>
      </c>
      <c r="B49" s="139">
        <v>0</v>
      </c>
      <c r="C49" s="139">
        <v>2</v>
      </c>
      <c r="D49" s="139">
        <v>0</v>
      </c>
      <c r="E49" s="24" t="str">
        <f t="shared" si="0"/>
        <v>LESIONADO</v>
      </c>
      <c r="F49" s="155" t="s">
        <v>877</v>
      </c>
      <c r="G49" s="30">
        <v>5.3317368280000004</v>
      </c>
      <c r="H49" s="30">
        <v>-72.376993119999995</v>
      </c>
      <c r="I49" s="165" t="s">
        <v>697</v>
      </c>
      <c r="J49" s="36" t="s">
        <v>717</v>
      </c>
      <c r="K49" s="24" t="str">
        <f t="shared" si="1"/>
        <v>2025</v>
      </c>
      <c r="L49" s="24" t="str">
        <f t="shared" si="2"/>
        <v>SEPTIEMBRE</v>
      </c>
      <c r="M49" s="225">
        <v>45928</v>
      </c>
      <c r="N49" s="24" t="str">
        <f t="shared" si="3"/>
        <v>DOMINGO</v>
      </c>
      <c r="O49" s="101">
        <v>0.53472222222222221</v>
      </c>
      <c r="P49" s="63" t="s">
        <v>446</v>
      </c>
      <c r="Q49" s="63" t="s">
        <v>447</v>
      </c>
      <c r="R49" s="36">
        <f>COUNTIF(Tabla1[[#This Row],[VEHICULOS_ACCIDENTADOS]:[VEHICULOS_ACCIDENTADOS2]],"MOTOCICLETA")</f>
        <v>0</v>
      </c>
      <c r="S49" s="36">
        <f>COUNTIF(Tabla1[[#This Row],[VEHICULOS_ACCIDENTADOS]:[VEHICULOS_ACCIDENTADOS2]],"MOTOCARRO")</f>
        <v>0</v>
      </c>
      <c r="T49" s="36">
        <f>COUNTIF(Tabla1[[#This Row],[VEHICULOS_ACCIDENTADOS]:[VEHICULOS_ACCIDENTADOS2]],"AUTOMOVIL")</f>
        <v>1</v>
      </c>
      <c r="U49" s="36">
        <f>COUNTIF(Tabla1[[#This Row],[VEHICULOS_ACCIDENTADOS]:[VEHICULOS_ACCIDENTADOS2]],"CAMPERO")</f>
        <v>1</v>
      </c>
      <c r="V49" s="36">
        <f>COUNTIF(Tabla1[[#This Row],[VEHICULOS_ACCIDENTADOS]:[VEHICULOS_ACCIDENTADOS2]],"CAMIONETA")</f>
        <v>0</v>
      </c>
      <c r="W49" s="36">
        <f>COUNTIF(Tabla1[[#This Row],[VEHICULOS_ACCIDENTADOS]:[VEHICULOS_ACCIDENTADOS2]],"MICROBUS")</f>
        <v>0</v>
      </c>
      <c r="X49" s="36">
        <f>COUNTIF(Tabla1[[#This Row],[VEHICULOS_ACCIDENTADOS]:[VEHICULOS_ACCIDENTADOS2]],"BUS")</f>
        <v>0</v>
      </c>
      <c r="Y49" s="36">
        <f>COUNTIF(Tabla1[[#This Row],[VEHICULOS_ACCIDENTADOS]:[VEHICULOS_ACCIDENTADOS2]],"BUSETA")</f>
        <v>0</v>
      </c>
      <c r="Z49" s="36">
        <f>COUNTIF(Tabla1[[#This Row],[VEHICULOS_ACCIDENTADOS]:[VEHICULOS_ACCIDENTADOS2]],"CAMION")</f>
        <v>0</v>
      </c>
      <c r="AA49" s="36">
        <f>COUNTIF(Tabla1[[#This Row],[VEHICULOS_ACCIDENTADOS]:[VEHICULOS_ACCIDENTADOS2]],"TRACTOCAMION")</f>
        <v>0</v>
      </c>
      <c r="AB49" s="36">
        <f>COUNTIF(Tabla1[[#This Row],[VEHICULOS_ACCIDENTADOS]:[VEHICULOS_ACCIDENTADOS2]],"VOLQUETA")</f>
        <v>0</v>
      </c>
      <c r="AC49" s="36">
        <f>COUNTIF(Tabla1[[#This Row],[VEHICULOS_ACCIDENTADOS]:[VEHICULOS_ACCIDENTADOS2]],"BICICLETA")</f>
        <v>0</v>
      </c>
      <c r="AD49" s="61" t="s">
        <v>471</v>
      </c>
      <c r="AE49" s="61" t="s">
        <v>471</v>
      </c>
      <c r="AF49" s="36">
        <f>COUNTIF(Tabla1[[#This Row],[GENERO_MASCULINO]:[GENERO_FEMENINO]],"MASCULINO")</f>
        <v>2</v>
      </c>
      <c r="AG49" s="36">
        <f>COUNTIF(Tabla1[[#This Row],[GENERO_MASCULINO]:[GENERO_FEMENINO]],"FEMENINO")</f>
        <v>0</v>
      </c>
      <c r="AH49" s="85">
        <v>75</v>
      </c>
      <c r="AI49" s="85">
        <v>32</v>
      </c>
      <c r="AJ49" s="85"/>
      <c r="AK49" s="78"/>
      <c r="AL49" s="78"/>
      <c r="AM49" s="59"/>
      <c r="AN49" s="61">
        <v>112</v>
      </c>
      <c r="AO49" s="59" t="str">
        <f>IFERROR(((VLOOKUP(Tabla1[[#This Row],[HIPOTESIS_1]],listas!$D$1:$E$105,2,FALSE))),"SIN INFORMACIÓN")</f>
        <v>Desobedecer señales o normas de tránsito.</v>
      </c>
      <c r="AP49" s="36">
        <v>157</v>
      </c>
      <c r="AQ49" s="36" t="str">
        <f>IFERROR(((VLOOKUP(Tabla1[[#This Row],[HIPOTESIS_2]],listas!$D$1:$E$105,2,FALSE))),"")</f>
        <v>Otra</v>
      </c>
      <c r="AR49" s="2" t="str">
        <f>IF(HOUR(Tabla1[[#This Row],[HORA_ACCIDENTE]])&lt;6,"MAÑANA",
 IF(HOUR(Tabla1[[#This Row],[HORA_ACCIDENTE]])&lt;12,"MAÑANA",
 IF(HOUR(Tabla1[[#This Row],[HORA_ACCIDENTE]])&lt;18,"TARDE","NOCHE")))</f>
        <v>TARDE</v>
      </c>
    </row>
    <row r="50" spans="1:44" x14ac:dyDescent="0.25">
      <c r="A50" s="12">
        <v>133</v>
      </c>
      <c r="B50" s="36">
        <v>0</v>
      </c>
      <c r="C50" s="36">
        <v>1</v>
      </c>
      <c r="D50" s="36">
        <v>0</v>
      </c>
      <c r="E50" s="18" t="str">
        <f t="shared" si="0"/>
        <v>LESIONADO</v>
      </c>
      <c r="F50" s="29" t="s">
        <v>879</v>
      </c>
      <c r="G50" s="17">
        <v>5.318513888888889</v>
      </c>
      <c r="H50" s="17">
        <v>-72.4034388888889</v>
      </c>
      <c r="I50" s="93" t="s">
        <v>697</v>
      </c>
      <c r="J50" s="36" t="s">
        <v>717</v>
      </c>
      <c r="K50" s="24" t="str">
        <f t="shared" si="1"/>
        <v>2022</v>
      </c>
      <c r="L50" s="24" t="str">
        <f t="shared" si="2"/>
        <v>ABRIL</v>
      </c>
      <c r="M50" s="225">
        <v>44664</v>
      </c>
      <c r="N50" s="24" t="str">
        <f t="shared" si="3"/>
        <v>MIÉRCOLES</v>
      </c>
      <c r="O50" s="101">
        <v>0.58333333333333337</v>
      </c>
      <c r="P50" s="63" t="s">
        <v>469</v>
      </c>
      <c r="Q50" s="63"/>
      <c r="R50" s="36">
        <f>COUNTIF(Tabla1[[#This Row],[VEHICULOS_ACCIDENTADOS]:[VEHICULOS_ACCIDENTADOS2]],"MOTOCICLETA")</f>
        <v>1</v>
      </c>
      <c r="S50" s="36">
        <f>COUNTIF(Tabla1[[#This Row],[VEHICULOS_ACCIDENTADOS]:[VEHICULOS_ACCIDENTADOS2]],"MOTOCARRO")</f>
        <v>0</v>
      </c>
      <c r="T50" s="36">
        <f>COUNTIF(Tabla1[[#This Row],[VEHICULOS_ACCIDENTADOS]:[VEHICULOS_ACCIDENTADOS2]],"AUTOMOVIL")</f>
        <v>0</v>
      </c>
      <c r="U50" s="36">
        <f>COUNTIF(Tabla1[[#This Row],[VEHICULOS_ACCIDENTADOS]:[VEHICULOS_ACCIDENTADOS2]],"CAMPERO")</f>
        <v>0</v>
      </c>
      <c r="V50" s="36">
        <f>COUNTIF(Tabla1[[#This Row],[VEHICULOS_ACCIDENTADOS]:[VEHICULOS_ACCIDENTADOS2]],"CAMIONETA")</f>
        <v>0</v>
      </c>
      <c r="W50" s="36">
        <f>COUNTIF(Tabla1[[#This Row],[VEHICULOS_ACCIDENTADOS]:[VEHICULOS_ACCIDENTADOS2]],"MICROBUS")</f>
        <v>0</v>
      </c>
      <c r="X50" s="36">
        <f>COUNTIF(Tabla1[[#This Row],[VEHICULOS_ACCIDENTADOS]:[VEHICULOS_ACCIDENTADOS2]],"BUS")</f>
        <v>0</v>
      </c>
      <c r="Y50" s="36">
        <f>COUNTIF(Tabla1[[#This Row],[VEHICULOS_ACCIDENTADOS]:[VEHICULOS_ACCIDENTADOS2]],"BUSETA")</f>
        <v>0</v>
      </c>
      <c r="Z50" s="36">
        <f>COUNTIF(Tabla1[[#This Row],[VEHICULOS_ACCIDENTADOS]:[VEHICULOS_ACCIDENTADOS2]],"CAMION")</f>
        <v>0</v>
      </c>
      <c r="AA50" s="36">
        <f>COUNTIF(Tabla1[[#This Row],[VEHICULOS_ACCIDENTADOS]:[VEHICULOS_ACCIDENTADOS2]],"TRACTOCAMION")</f>
        <v>0</v>
      </c>
      <c r="AB50" s="36">
        <f>COUNTIF(Tabla1[[#This Row],[VEHICULOS_ACCIDENTADOS]:[VEHICULOS_ACCIDENTADOS2]],"VOLQUETA")</f>
        <v>0</v>
      </c>
      <c r="AC50" s="36">
        <f>COUNTIF(Tabla1[[#This Row],[VEHICULOS_ACCIDENTADOS]:[VEHICULOS_ACCIDENTADOS2]],"BICICLETA")</f>
        <v>0</v>
      </c>
      <c r="AD50" s="36"/>
      <c r="AE50" s="36" t="s">
        <v>472</v>
      </c>
      <c r="AF50" s="36">
        <f>COUNTIF(Tabla1[[#This Row],[GENERO_MASCULINO]:[GENERO_FEMENINO]],"MASCULINO")</f>
        <v>0</v>
      </c>
      <c r="AG50" s="36">
        <f>COUNTIF(Tabla1[[#This Row],[GENERO_MASCULINO]:[GENERO_FEMENINO]],"FEMENINO")</f>
        <v>1</v>
      </c>
      <c r="AH50" s="61">
        <v>20</v>
      </c>
      <c r="AI50" s="61"/>
      <c r="AJ50" s="61"/>
      <c r="AK50" s="61"/>
      <c r="AL50" s="61"/>
      <c r="AM50" s="36"/>
      <c r="AN50" s="61">
        <v>139</v>
      </c>
      <c r="AO50" s="36" t="str">
        <f>IFERROR(((VLOOKUP(Tabla1[[#This Row],[HIPOTESIS_1]],listas!$D$1:$E$105,2,FALSE))),"SIN INFORMACIÓN")</f>
        <v>Impericia en el manejo.</v>
      </c>
      <c r="AP50" s="36">
        <v>157</v>
      </c>
      <c r="AQ50" s="36" t="str">
        <f>IFERROR(((VLOOKUP(Tabla1[[#This Row],[HIPOTESIS_2]],listas!$D$1:$E$105,2,FALSE))),"")</f>
        <v>Otra</v>
      </c>
      <c r="AR50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51" spans="1:44" x14ac:dyDescent="0.25">
      <c r="A51" s="12">
        <v>665</v>
      </c>
      <c r="B51" s="136">
        <v>0</v>
      </c>
      <c r="C51" s="136">
        <v>0</v>
      </c>
      <c r="D51" s="141">
        <v>1</v>
      </c>
      <c r="E51" s="18" t="str">
        <f t="shared" si="0"/>
        <v>FALLECIDO</v>
      </c>
      <c r="F51" s="26" t="s">
        <v>162</v>
      </c>
      <c r="G51" s="21">
        <v>5.3101472222222217</v>
      </c>
      <c r="H51" s="21">
        <v>-72.415316666666669</v>
      </c>
      <c r="I51" s="93" t="s">
        <v>697</v>
      </c>
      <c r="J51" s="136" t="s">
        <v>717</v>
      </c>
      <c r="K51" s="24" t="str">
        <f t="shared" si="1"/>
        <v>2024</v>
      </c>
      <c r="L51" s="24" t="str">
        <f t="shared" si="2"/>
        <v>FEBRERO</v>
      </c>
      <c r="M51" s="224">
        <v>45343</v>
      </c>
      <c r="N51" s="24" t="str">
        <f t="shared" si="3"/>
        <v>MIÉRCOLES</v>
      </c>
      <c r="O51" s="171">
        <v>0.98611111111111116</v>
      </c>
      <c r="P51" s="178" t="s">
        <v>469</v>
      </c>
      <c r="Q51" s="178"/>
      <c r="R51" s="36">
        <f>COUNTIF(Tabla1[[#This Row],[VEHICULOS_ACCIDENTADOS]:[VEHICULOS_ACCIDENTADOS2]],"MOTOCICLETA")</f>
        <v>1</v>
      </c>
      <c r="S51" s="36">
        <f>COUNTIF(Tabla1[[#This Row],[VEHICULOS_ACCIDENTADOS]:[VEHICULOS_ACCIDENTADOS2]],"MOTOCARRO")</f>
        <v>0</v>
      </c>
      <c r="T51" s="36">
        <f>COUNTIF(Tabla1[[#This Row],[VEHICULOS_ACCIDENTADOS]:[VEHICULOS_ACCIDENTADOS2]],"AUTOMOVIL")</f>
        <v>0</v>
      </c>
      <c r="U51" s="36">
        <f>COUNTIF(Tabla1[[#This Row],[VEHICULOS_ACCIDENTADOS]:[VEHICULOS_ACCIDENTADOS2]],"CAMPERO")</f>
        <v>0</v>
      </c>
      <c r="V51" s="36">
        <f>COUNTIF(Tabla1[[#This Row],[VEHICULOS_ACCIDENTADOS]:[VEHICULOS_ACCIDENTADOS2]],"CAMIONETA")</f>
        <v>0</v>
      </c>
      <c r="W51" s="36">
        <f>COUNTIF(Tabla1[[#This Row],[VEHICULOS_ACCIDENTADOS]:[VEHICULOS_ACCIDENTADOS2]],"MICROBUS")</f>
        <v>0</v>
      </c>
      <c r="X51" s="36">
        <f>COUNTIF(Tabla1[[#This Row],[VEHICULOS_ACCIDENTADOS]:[VEHICULOS_ACCIDENTADOS2]],"BUS")</f>
        <v>0</v>
      </c>
      <c r="Y51" s="36">
        <f>COUNTIF(Tabla1[[#This Row],[VEHICULOS_ACCIDENTADOS]:[VEHICULOS_ACCIDENTADOS2]],"BUSETA")</f>
        <v>0</v>
      </c>
      <c r="Z51" s="36">
        <f>COUNTIF(Tabla1[[#This Row],[VEHICULOS_ACCIDENTADOS]:[VEHICULOS_ACCIDENTADOS2]],"CAMION")</f>
        <v>0</v>
      </c>
      <c r="AA51" s="36">
        <f>COUNTIF(Tabla1[[#This Row],[VEHICULOS_ACCIDENTADOS]:[VEHICULOS_ACCIDENTADOS2]],"TRACTOCAMION")</f>
        <v>0</v>
      </c>
      <c r="AB51" s="36">
        <f>COUNTIF(Tabla1[[#This Row],[VEHICULOS_ACCIDENTADOS]:[VEHICULOS_ACCIDENTADOS2]],"VOLQUETA")</f>
        <v>0</v>
      </c>
      <c r="AC51" s="36">
        <f>COUNTIF(Tabla1[[#This Row],[VEHICULOS_ACCIDENTADOS]:[VEHICULOS_ACCIDENTADOS2]],"BICICLETA")</f>
        <v>0</v>
      </c>
      <c r="AD51" s="136" t="s">
        <v>471</v>
      </c>
      <c r="AE51" s="136"/>
      <c r="AF51" s="136">
        <f>COUNTIF(Tabla1[[#This Row],[GENERO_MASCULINO]:[GENERO_FEMENINO]],"MASCULINO")</f>
        <v>1</v>
      </c>
      <c r="AG51" s="36">
        <f>COUNTIF(Tabla1[[#This Row],[GENERO_MASCULINO]:[GENERO_FEMENINO]],"FEMENINO")</f>
        <v>0</v>
      </c>
      <c r="AH51" s="85"/>
      <c r="AI51" s="85"/>
      <c r="AJ51" s="85"/>
      <c r="AK51" s="85"/>
      <c r="AL51" s="85"/>
      <c r="AM51" s="136">
        <v>23</v>
      </c>
      <c r="AN51" s="85">
        <v>114</v>
      </c>
      <c r="AO51" s="36" t="str">
        <f>IFERROR(((VLOOKUP(Tabla1[[#This Row],[HIPOTESIS_1]],listas!$D$1:$E$105,2,FALSE))),"SIN INFORMACIÓN")</f>
        <v>Embriaguez aparente.</v>
      </c>
      <c r="AP51" s="136">
        <v>157</v>
      </c>
      <c r="AQ51" s="36" t="str">
        <f>IFERROR(((VLOOKUP(Tabla1[[#This Row],[HIPOTESIS_2]],listas!$D$1:$E$105,2,FALSE))),"")</f>
        <v>Otra</v>
      </c>
      <c r="AR51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52" spans="1:44" x14ac:dyDescent="0.25">
      <c r="A52" s="12">
        <v>384</v>
      </c>
      <c r="B52" s="36">
        <v>0</v>
      </c>
      <c r="C52" s="36">
        <v>2</v>
      </c>
      <c r="D52" s="36">
        <v>0</v>
      </c>
      <c r="E52" s="18" t="str">
        <f t="shared" si="0"/>
        <v>LESIONADO</v>
      </c>
      <c r="F52" s="29" t="s">
        <v>293</v>
      </c>
      <c r="G52" s="21">
        <v>5.3113138888888889</v>
      </c>
      <c r="H52" s="21">
        <v>-72.398851944444445</v>
      </c>
      <c r="I52" s="93" t="s">
        <v>697</v>
      </c>
      <c r="J52" s="36" t="s">
        <v>717</v>
      </c>
      <c r="K52" s="24" t="str">
        <f t="shared" si="1"/>
        <v>2023</v>
      </c>
      <c r="L52" s="24" t="str">
        <f t="shared" si="2"/>
        <v>ENERO</v>
      </c>
      <c r="M52" s="225">
        <v>44929</v>
      </c>
      <c r="N52" s="24" t="str">
        <f t="shared" si="3"/>
        <v>MARTES</v>
      </c>
      <c r="O52" s="101">
        <v>0.68055555555555503</v>
      </c>
      <c r="P52" s="57" t="s">
        <v>469</v>
      </c>
      <c r="Q52" s="57" t="s">
        <v>447</v>
      </c>
      <c r="R52" s="36">
        <f>COUNTIF(Tabla1[[#This Row],[VEHICULOS_ACCIDENTADOS]:[VEHICULOS_ACCIDENTADOS2]],"MOTOCICLETA")</f>
        <v>1</v>
      </c>
      <c r="S52" s="36">
        <f>COUNTIF(Tabla1[[#This Row],[VEHICULOS_ACCIDENTADOS]:[VEHICULOS_ACCIDENTADOS2]],"MOTOCARRO")</f>
        <v>0</v>
      </c>
      <c r="T52" s="36">
        <f>COUNTIF(Tabla1[[#This Row],[VEHICULOS_ACCIDENTADOS]:[VEHICULOS_ACCIDENTADOS2]],"AUTOMOVIL")</f>
        <v>1</v>
      </c>
      <c r="U52" s="36">
        <f>COUNTIF(Tabla1[[#This Row],[VEHICULOS_ACCIDENTADOS]:[VEHICULOS_ACCIDENTADOS2]],"CAMPERO")</f>
        <v>0</v>
      </c>
      <c r="V52" s="36">
        <f>COUNTIF(Tabla1[[#This Row],[VEHICULOS_ACCIDENTADOS]:[VEHICULOS_ACCIDENTADOS2]],"CAMIONETA")</f>
        <v>0</v>
      </c>
      <c r="W52" s="36">
        <f>COUNTIF(Tabla1[[#This Row],[VEHICULOS_ACCIDENTADOS]:[VEHICULOS_ACCIDENTADOS2]],"MICROBUS")</f>
        <v>0</v>
      </c>
      <c r="X52" s="36">
        <f>COUNTIF(Tabla1[[#This Row],[VEHICULOS_ACCIDENTADOS]:[VEHICULOS_ACCIDENTADOS2]],"BUS")</f>
        <v>0</v>
      </c>
      <c r="Y52" s="36">
        <f>COUNTIF(Tabla1[[#This Row],[VEHICULOS_ACCIDENTADOS]:[VEHICULOS_ACCIDENTADOS2]],"BUSETA")</f>
        <v>0</v>
      </c>
      <c r="Z52" s="36">
        <f>COUNTIF(Tabla1[[#This Row],[VEHICULOS_ACCIDENTADOS]:[VEHICULOS_ACCIDENTADOS2]],"CAMION")</f>
        <v>0</v>
      </c>
      <c r="AA52" s="36">
        <f>COUNTIF(Tabla1[[#This Row],[VEHICULOS_ACCIDENTADOS]:[VEHICULOS_ACCIDENTADOS2]],"TRACTOCAMION")</f>
        <v>0</v>
      </c>
      <c r="AB52" s="36">
        <f>COUNTIF(Tabla1[[#This Row],[VEHICULOS_ACCIDENTADOS]:[VEHICULOS_ACCIDENTADOS2]],"VOLQUETA")</f>
        <v>0</v>
      </c>
      <c r="AC52" s="36">
        <f>COUNTIF(Tabla1[[#This Row],[VEHICULOS_ACCIDENTADOS]:[VEHICULOS_ACCIDENTADOS2]],"BICICLETA")</f>
        <v>0</v>
      </c>
      <c r="AD52" s="36" t="s">
        <v>471</v>
      </c>
      <c r="AE52" s="36" t="s">
        <v>472</v>
      </c>
      <c r="AF52" s="36">
        <f>COUNTIF(Tabla1[[#This Row],[GENERO_MASCULINO]:[GENERO_FEMENINO]],"MASCULINO")</f>
        <v>1</v>
      </c>
      <c r="AG52" s="36">
        <f>COUNTIF(Tabla1[[#This Row],[GENERO_MASCULINO]:[GENERO_FEMENINO]],"FEMENINO")</f>
        <v>1</v>
      </c>
      <c r="AH52" s="61">
        <v>24</v>
      </c>
      <c r="AI52" s="61">
        <v>52</v>
      </c>
      <c r="AJ52" s="61"/>
      <c r="AK52" s="61"/>
      <c r="AL52" s="61"/>
      <c r="AM52" s="36"/>
      <c r="AN52" s="61">
        <v>121</v>
      </c>
      <c r="AO52" s="36" t="str">
        <f>IFERROR(((VLOOKUP(Tabla1[[#This Row],[HIPOTESIS_1]],listas!$D$1:$E$105,2,FALSE))),"SIN INFORMACIÓN")</f>
        <v>No mantener distancia de seguridad.</v>
      </c>
      <c r="AP52" s="36">
        <v>157</v>
      </c>
      <c r="AQ52" s="36" t="str">
        <f>IFERROR(((VLOOKUP(Tabla1[[#This Row],[HIPOTESIS_2]],listas!$D$1:$E$105,2,FALSE))),"")</f>
        <v>Otra</v>
      </c>
      <c r="AR52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53" spans="1:44" x14ac:dyDescent="0.25">
      <c r="A53" s="12">
        <v>904</v>
      </c>
      <c r="B53" s="135">
        <v>0</v>
      </c>
      <c r="C53" s="136">
        <v>1</v>
      </c>
      <c r="D53" s="136">
        <v>0</v>
      </c>
      <c r="E53" s="18" t="str">
        <f t="shared" si="0"/>
        <v>LESIONADO</v>
      </c>
      <c r="F53" s="26" t="s">
        <v>1048</v>
      </c>
      <c r="G53" s="21">
        <v>5.3177060000000003</v>
      </c>
      <c r="H53" s="21">
        <v>-72.398831999999999</v>
      </c>
      <c r="I53" s="93" t="s">
        <v>697</v>
      </c>
      <c r="J53" s="167" t="s">
        <v>717</v>
      </c>
      <c r="K53" s="24" t="str">
        <f t="shared" si="1"/>
        <v>2025</v>
      </c>
      <c r="L53" s="24" t="str">
        <f t="shared" si="2"/>
        <v>MARZO</v>
      </c>
      <c r="M53" s="224">
        <v>45731</v>
      </c>
      <c r="N53" s="24" t="str">
        <f t="shared" si="3"/>
        <v>SÁBADO</v>
      </c>
      <c r="O53" s="171">
        <v>0.61111111111111105</v>
      </c>
      <c r="P53" s="178" t="s">
        <v>469</v>
      </c>
      <c r="Q53" s="178" t="s">
        <v>446</v>
      </c>
      <c r="R53" s="36">
        <f>COUNTIF(Tabla1[[#This Row],[VEHICULOS_ACCIDENTADOS]:[VEHICULOS_ACCIDENTADOS2]],"MOTOCICLETA")</f>
        <v>1</v>
      </c>
      <c r="S53" s="36">
        <f>COUNTIF(Tabla1[[#This Row],[VEHICULOS_ACCIDENTADOS]:[VEHICULOS_ACCIDENTADOS2]],"MOTOCARRO")</f>
        <v>0</v>
      </c>
      <c r="T53" s="36">
        <f>COUNTIF(Tabla1[[#This Row],[VEHICULOS_ACCIDENTADOS]:[VEHICULOS_ACCIDENTADOS2]],"AUTOMOVIL")</f>
        <v>0</v>
      </c>
      <c r="U53" s="36">
        <f>COUNTIF(Tabla1[[#This Row],[VEHICULOS_ACCIDENTADOS]:[VEHICULOS_ACCIDENTADOS2]],"CAMPERO")</f>
        <v>1</v>
      </c>
      <c r="V53" s="36">
        <f>COUNTIF(Tabla1[[#This Row],[VEHICULOS_ACCIDENTADOS]:[VEHICULOS_ACCIDENTADOS2]],"CAMIONETA")</f>
        <v>0</v>
      </c>
      <c r="W53" s="36">
        <f>COUNTIF(Tabla1[[#This Row],[VEHICULOS_ACCIDENTADOS]:[VEHICULOS_ACCIDENTADOS2]],"MICROBUS")</f>
        <v>0</v>
      </c>
      <c r="X53" s="36">
        <f>COUNTIF(Tabla1[[#This Row],[VEHICULOS_ACCIDENTADOS]:[VEHICULOS_ACCIDENTADOS2]],"BUS")</f>
        <v>0</v>
      </c>
      <c r="Y53" s="36">
        <f>COUNTIF(Tabla1[[#This Row],[VEHICULOS_ACCIDENTADOS]:[VEHICULOS_ACCIDENTADOS2]],"BUSETA")</f>
        <v>0</v>
      </c>
      <c r="Z53" s="36">
        <f>COUNTIF(Tabla1[[#This Row],[VEHICULOS_ACCIDENTADOS]:[VEHICULOS_ACCIDENTADOS2]],"CAMION")</f>
        <v>0</v>
      </c>
      <c r="AA53" s="36">
        <f>COUNTIF(Tabla1[[#This Row],[VEHICULOS_ACCIDENTADOS]:[VEHICULOS_ACCIDENTADOS2]],"TRACTOCAMION")</f>
        <v>0</v>
      </c>
      <c r="AB53" s="36">
        <f>COUNTIF(Tabla1[[#This Row],[VEHICULOS_ACCIDENTADOS]:[VEHICULOS_ACCIDENTADOS2]],"VOLQUETA")</f>
        <v>0</v>
      </c>
      <c r="AC53" s="36">
        <f>COUNTIF(Tabla1[[#This Row],[VEHICULOS_ACCIDENTADOS]:[VEHICULOS_ACCIDENTADOS2]],"BICICLETA")</f>
        <v>0</v>
      </c>
      <c r="AD53" s="136" t="s">
        <v>471</v>
      </c>
      <c r="AE53" s="136" t="s">
        <v>471</v>
      </c>
      <c r="AF53" s="136">
        <f>COUNTIF(Tabla1[[#This Row],[GENERO_MASCULINO]:[GENERO_FEMENINO]],"MASCULINO")</f>
        <v>2</v>
      </c>
      <c r="AG53" s="36">
        <f>COUNTIF(Tabla1[[#This Row],[GENERO_MASCULINO]:[GENERO_FEMENINO]],"FEMENINO")</f>
        <v>0</v>
      </c>
      <c r="AH53" s="85">
        <v>17</v>
      </c>
      <c r="AI53" s="85">
        <v>54</v>
      </c>
      <c r="AJ53" s="85"/>
      <c r="AK53" s="85"/>
      <c r="AL53" s="85"/>
      <c r="AM53" s="136"/>
      <c r="AN53" s="85">
        <v>122</v>
      </c>
      <c r="AO53" s="36" t="str">
        <f>IFERROR(((VLOOKUP(Tabla1[[#This Row],[HIPOTESIS_1]],listas!$D$1:$E$105,2,FALSE))),"SIN INFORMACIÓN")</f>
        <v>Girar bruscamente.</v>
      </c>
      <c r="AP53" s="136">
        <v>157</v>
      </c>
      <c r="AQ53" s="36" t="str">
        <f>IFERROR(((VLOOKUP(Tabla1[[#This Row],[HIPOTESIS_2]],listas!$D$1:$E$105,2,FALSE))),"")</f>
        <v>Otra</v>
      </c>
      <c r="AR53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54" spans="1:44" x14ac:dyDescent="0.25">
      <c r="A54" s="12">
        <v>926</v>
      </c>
      <c r="B54" s="135">
        <v>0</v>
      </c>
      <c r="C54" s="136">
        <v>2</v>
      </c>
      <c r="D54" s="136">
        <v>0</v>
      </c>
      <c r="E54" s="18" t="str">
        <f t="shared" si="0"/>
        <v>LESIONADO</v>
      </c>
      <c r="F54" s="26" t="s">
        <v>49</v>
      </c>
      <c r="G54" s="20">
        <v>5.3247980000000004</v>
      </c>
      <c r="H54" s="20">
        <v>-72.401200000000003</v>
      </c>
      <c r="I54" s="93" t="s">
        <v>697</v>
      </c>
      <c r="J54" s="136" t="s">
        <v>717</v>
      </c>
      <c r="K54" s="24" t="str">
        <f t="shared" si="1"/>
        <v>2025</v>
      </c>
      <c r="L54" s="24" t="str">
        <f t="shared" si="2"/>
        <v>ABRIL</v>
      </c>
      <c r="M54" s="224">
        <v>45753</v>
      </c>
      <c r="N54" s="24" t="str">
        <f t="shared" si="3"/>
        <v>DOMINGO</v>
      </c>
      <c r="O54" s="171">
        <v>0.53472222222222221</v>
      </c>
      <c r="P54" s="136" t="s">
        <v>469</v>
      </c>
      <c r="Q54" s="136" t="s">
        <v>447</v>
      </c>
      <c r="R54" s="36">
        <f>COUNTIF(Tabla1[[#This Row],[VEHICULOS_ACCIDENTADOS]:[VEHICULOS_ACCIDENTADOS2]],"MOTOCICLETA")</f>
        <v>1</v>
      </c>
      <c r="S54" s="36">
        <f>COUNTIF(Tabla1[[#This Row],[VEHICULOS_ACCIDENTADOS]:[VEHICULOS_ACCIDENTADOS2]],"MOTOCARRO")</f>
        <v>0</v>
      </c>
      <c r="T54" s="36">
        <f>COUNTIF(Tabla1[[#This Row],[VEHICULOS_ACCIDENTADOS]:[VEHICULOS_ACCIDENTADOS2]],"AUTOMOVIL")</f>
        <v>1</v>
      </c>
      <c r="U54" s="36">
        <f>COUNTIF(Tabla1[[#This Row],[VEHICULOS_ACCIDENTADOS]:[VEHICULOS_ACCIDENTADOS2]],"CAMPERO")</f>
        <v>0</v>
      </c>
      <c r="V54" s="36">
        <f>COUNTIF(Tabla1[[#This Row],[VEHICULOS_ACCIDENTADOS]:[VEHICULOS_ACCIDENTADOS2]],"CAMIONETA")</f>
        <v>0</v>
      </c>
      <c r="W54" s="36">
        <f>COUNTIF(Tabla1[[#This Row],[VEHICULOS_ACCIDENTADOS]:[VEHICULOS_ACCIDENTADOS2]],"MICROBUS")</f>
        <v>0</v>
      </c>
      <c r="X54" s="36">
        <f>COUNTIF(Tabla1[[#This Row],[VEHICULOS_ACCIDENTADOS]:[VEHICULOS_ACCIDENTADOS2]],"BUS")</f>
        <v>0</v>
      </c>
      <c r="Y54" s="36">
        <f>COUNTIF(Tabla1[[#This Row],[VEHICULOS_ACCIDENTADOS]:[VEHICULOS_ACCIDENTADOS2]],"BUSETA")</f>
        <v>0</v>
      </c>
      <c r="Z54" s="36">
        <f>COUNTIF(Tabla1[[#This Row],[VEHICULOS_ACCIDENTADOS]:[VEHICULOS_ACCIDENTADOS2]],"CAMION")</f>
        <v>0</v>
      </c>
      <c r="AA54" s="36">
        <f>COUNTIF(Tabla1[[#This Row],[VEHICULOS_ACCIDENTADOS]:[VEHICULOS_ACCIDENTADOS2]],"TRACTOCAMION")</f>
        <v>0</v>
      </c>
      <c r="AB54" s="36">
        <f>COUNTIF(Tabla1[[#This Row],[VEHICULOS_ACCIDENTADOS]:[VEHICULOS_ACCIDENTADOS2]],"VOLQUETA")</f>
        <v>0</v>
      </c>
      <c r="AC54" s="36">
        <f>COUNTIF(Tabla1[[#This Row],[VEHICULOS_ACCIDENTADOS]:[VEHICULOS_ACCIDENTADOS2]],"BICICLETA")</f>
        <v>0</v>
      </c>
      <c r="AD54" s="136" t="s">
        <v>472</v>
      </c>
      <c r="AE54" s="136" t="s">
        <v>471</v>
      </c>
      <c r="AF54" s="136">
        <f>COUNTIF(Tabla1[[#This Row],[GENERO_MASCULINO]:[GENERO_FEMENINO]],"MASCULINO")</f>
        <v>1</v>
      </c>
      <c r="AG54" s="36">
        <f>COUNTIF(Tabla1[[#This Row],[GENERO_MASCULINO]:[GENERO_FEMENINO]],"FEMENINO")</f>
        <v>1</v>
      </c>
      <c r="AH54" s="85">
        <v>25</v>
      </c>
      <c r="AI54" s="85">
        <v>46</v>
      </c>
      <c r="AJ54" s="85">
        <v>31</v>
      </c>
      <c r="AK54" s="78"/>
      <c r="AL54" s="78"/>
      <c r="AM54" s="59"/>
      <c r="AN54" s="85">
        <v>121</v>
      </c>
      <c r="AO54" s="36" t="str">
        <f>IFERROR(((VLOOKUP(Tabla1[[#This Row],[HIPOTESIS_1]],listas!$D$1:$E$105,2,FALSE))),"SIN INFORMACIÓN")</f>
        <v>No mantener distancia de seguridad.</v>
      </c>
      <c r="AP54" s="36">
        <v>157</v>
      </c>
      <c r="AQ54" s="36" t="str">
        <f>IFERROR(((VLOOKUP(Tabla1[[#This Row],[HIPOTESIS_2]],listas!$D$1:$E$105,2,FALSE))),"")</f>
        <v>Otra</v>
      </c>
      <c r="AR54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55" spans="1:44" x14ac:dyDescent="0.25">
      <c r="A55" s="12">
        <v>436</v>
      </c>
      <c r="B55" s="36">
        <v>0</v>
      </c>
      <c r="C55" s="36">
        <v>1</v>
      </c>
      <c r="D55" s="36">
        <v>0</v>
      </c>
      <c r="E55" s="18" t="str">
        <f t="shared" si="0"/>
        <v>LESIONADO</v>
      </c>
      <c r="F55" s="29" t="s">
        <v>93</v>
      </c>
      <c r="G55" s="17">
        <v>5.3117694444444439</v>
      </c>
      <c r="H55" s="17">
        <v>-72.398197222222223</v>
      </c>
      <c r="I55" s="93" t="s">
        <v>697</v>
      </c>
      <c r="J55" s="36" t="s">
        <v>717</v>
      </c>
      <c r="K55" s="24" t="str">
        <f t="shared" si="1"/>
        <v>2023</v>
      </c>
      <c r="L55" s="24" t="str">
        <f t="shared" si="2"/>
        <v>MARZO</v>
      </c>
      <c r="M55" s="225">
        <v>45005</v>
      </c>
      <c r="N55" s="24" t="str">
        <f t="shared" si="3"/>
        <v>LUNES</v>
      </c>
      <c r="O55" s="101">
        <v>0.75694444444444453</v>
      </c>
      <c r="P55" s="57" t="s">
        <v>469</v>
      </c>
      <c r="Q55" s="57"/>
      <c r="R55" s="36">
        <f>COUNTIF(Tabla1[[#This Row],[VEHICULOS_ACCIDENTADOS]:[VEHICULOS_ACCIDENTADOS2]],"MOTOCICLETA")</f>
        <v>1</v>
      </c>
      <c r="S55" s="36">
        <f>COUNTIF(Tabla1[[#This Row],[VEHICULOS_ACCIDENTADOS]:[VEHICULOS_ACCIDENTADOS2]],"MOTOCARRO")</f>
        <v>0</v>
      </c>
      <c r="T55" s="36">
        <f>COUNTIF(Tabla1[[#This Row],[VEHICULOS_ACCIDENTADOS]:[VEHICULOS_ACCIDENTADOS2]],"AUTOMOVIL")</f>
        <v>0</v>
      </c>
      <c r="U55" s="36">
        <f>COUNTIF(Tabla1[[#This Row],[VEHICULOS_ACCIDENTADOS]:[VEHICULOS_ACCIDENTADOS2]],"CAMPERO")</f>
        <v>0</v>
      </c>
      <c r="V55" s="36">
        <f>COUNTIF(Tabla1[[#This Row],[VEHICULOS_ACCIDENTADOS]:[VEHICULOS_ACCIDENTADOS2]],"CAMIONETA")</f>
        <v>0</v>
      </c>
      <c r="W55" s="36">
        <f>COUNTIF(Tabla1[[#This Row],[VEHICULOS_ACCIDENTADOS]:[VEHICULOS_ACCIDENTADOS2]],"MICROBUS")</f>
        <v>0</v>
      </c>
      <c r="X55" s="36">
        <f>COUNTIF(Tabla1[[#This Row],[VEHICULOS_ACCIDENTADOS]:[VEHICULOS_ACCIDENTADOS2]],"BUS")</f>
        <v>0</v>
      </c>
      <c r="Y55" s="36">
        <f>COUNTIF(Tabla1[[#This Row],[VEHICULOS_ACCIDENTADOS]:[VEHICULOS_ACCIDENTADOS2]],"BUSETA")</f>
        <v>0</v>
      </c>
      <c r="Z55" s="36">
        <f>COUNTIF(Tabla1[[#This Row],[VEHICULOS_ACCIDENTADOS]:[VEHICULOS_ACCIDENTADOS2]],"CAMION")</f>
        <v>0</v>
      </c>
      <c r="AA55" s="36">
        <f>COUNTIF(Tabla1[[#This Row],[VEHICULOS_ACCIDENTADOS]:[VEHICULOS_ACCIDENTADOS2]],"TRACTOCAMION")</f>
        <v>0</v>
      </c>
      <c r="AB55" s="36">
        <f>COUNTIF(Tabla1[[#This Row],[VEHICULOS_ACCIDENTADOS]:[VEHICULOS_ACCIDENTADOS2]],"VOLQUETA")</f>
        <v>0</v>
      </c>
      <c r="AC55" s="36">
        <f>COUNTIF(Tabla1[[#This Row],[VEHICULOS_ACCIDENTADOS]:[VEHICULOS_ACCIDENTADOS2]],"BICICLETA")</f>
        <v>0</v>
      </c>
      <c r="AD55" s="36" t="s">
        <v>471</v>
      </c>
      <c r="AE55" s="36"/>
      <c r="AF55" s="36">
        <f>COUNTIF(Tabla1[[#This Row],[GENERO_MASCULINO]:[GENERO_FEMENINO]],"MASCULINO")</f>
        <v>1</v>
      </c>
      <c r="AG55" s="36">
        <f>COUNTIF(Tabla1[[#This Row],[GENERO_MASCULINO]:[GENERO_FEMENINO]],"FEMENINO")</f>
        <v>0</v>
      </c>
      <c r="AH55" s="61">
        <v>75</v>
      </c>
      <c r="AI55" s="61"/>
      <c r="AJ55" s="61"/>
      <c r="AK55" s="61"/>
      <c r="AL55" s="61"/>
      <c r="AM55" s="36"/>
      <c r="AN55" s="61">
        <v>139</v>
      </c>
      <c r="AO55" s="36" t="str">
        <f>IFERROR(((VLOOKUP(Tabla1[[#This Row],[HIPOTESIS_1]],listas!$D$1:$E$105,2,FALSE))),"SIN INFORMACIÓN")</f>
        <v>Impericia en el manejo.</v>
      </c>
      <c r="AP55" s="36">
        <v>157</v>
      </c>
      <c r="AQ55" s="36" t="str">
        <f>IFERROR(((VLOOKUP(Tabla1[[#This Row],[HIPOTESIS_2]],listas!$D$1:$E$105,2,FALSE))),"")</f>
        <v>Otra</v>
      </c>
      <c r="AR55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56" spans="1:44" x14ac:dyDescent="0.25">
      <c r="A56" s="12">
        <v>731</v>
      </c>
      <c r="B56" s="135">
        <v>0</v>
      </c>
      <c r="C56" s="36">
        <v>1</v>
      </c>
      <c r="D56" s="36">
        <v>0</v>
      </c>
      <c r="E56" s="18" t="str">
        <f t="shared" si="0"/>
        <v>LESIONADO</v>
      </c>
      <c r="F56" s="29" t="s">
        <v>93</v>
      </c>
      <c r="G56" s="17">
        <v>5.3117694444444439</v>
      </c>
      <c r="H56" s="17">
        <v>-72.398197222222223</v>
      </c>
      <c r="I56" s="93" t="s">
        <v>697</v>
      </c>
      <c r="J56" s="136" t="s">
        <v>717</v>
      </c>
      <c r="K56" s="24" t="str">
        <f t="shared" si="1"/>
        <v>2024</v>
      </c>
      <c r="L56" s="24" t="str">
        <f t="shared" si="2"/>
        <v>JUNIO</v>
      </c>
      <c r="M56" s="225">
        <v>45460</v>
      </c>
      <c r="N56" s="24" t="str">
        <f t="shared" si="3"/>
        <v>LUNES</v>
      </c>
      <c r="O56" s="101">
        <v>0.28472222222222221</v>
      </c>
      <c r="P56" s="57" t="s">
        <v>469</v>
      </c>
      <c r="Q56" s="57" t="s">
        <v>445</v>
      </c>
      <c r="R56" s="36">
        <f>COUNTIF(Tabla1[[#This Row],[VEHICULOS_ACCIDENTADOS]:[VEHICULOS_ACCIDENTADOS2]],"MOTOCICLETA")</f>
        <v>1</v>
      </c>
      <c r="S56" s="36">
        <f>COUNTIF(Tabla1[[#This Row],[VEHICULOS_ACCIDENTADOS]:[VEHICULOS_ACCIDENTADOS2]],"MOTOCARRO")</f>
        <v>0</v>
      </c>
      <c r="T56" s="36">
        <f>COUNTIF(Tabla1[[#This Row],[VEHICULOS_ACCIDENTADOS]:[VEHICULOS_ACCIDENTADOS2]],"AUTOMOVIL")</f>
        <v>0</v>
      </c>
      <c r="U56" s="36">
        <f>COUNTIF(Tabla1[[#This Row],[VEHICULOS_ACCIDENTADOS]:[VEHICULOS_ACCIDENTADOS2]],"CAMPERO")</f>
        <v>0</v>
      </c>
      <c r="V56" s="36">
        <f>COUNTIF(Tabla1[[#This Row],[VEHICULOS_ACCIDENTADOS]:[VEHICULOS_ACCIDENTADOS2]],"CAMIONETA")</f>
        <v>1</v>
      </c>
      <c r="W56" s="36">
        <f>COUNTIF(Tabla1[[#This Row],[VEHICULOS_ACCIDENTADOS]:[VEHICULOS_ACCIDENTADOS2]],"MICROBUS")</f>
        <v>0</v>
      </c>
      <c r="X56" s="36">
        <f>COUNTIF(Tabla1[[#This Row],[VEHICULOS_ACCIDENTADOS]:[VEHICULOS_ACCIDENTADOS2]],"BUS")</f>
        <v>0</v>
      </c>
      <c r="Y56" s="36">
        <f>COUNTIF(Tabla1[[#This Row],[VEHICULOS_ACCIDENTADOS]:[VEHICULOS_ACCIDENTADOS2]],"BUSETA")</f>
        <v>0</v>
      </c>
      <c r="Z56" s="36">
        <f>COUNTIF(Tabla1[[#This Row],[VEHICULOS_ACCIDENTADOS]:[VEHICULOS_ACCIDENTADOS2]],"CAMION")</f>
        <v>0</v>
      </c>
      <c r="AA56" s="36">
        <f>COUNTIF(Tabla1[[#This Row],[VEHICULOS_ACCIDENTADOS]:[VEHICULOS_ACCIDENTADOS2]],"TRACTOCAMION")</f>
        <v>0</v>
      </c>
      <c r="AB56" s="36">
        <f>COUNTIF(Tabla1[[#This Row],[VEHICULOS_ACCIDENTADOS]:[VEHICULOS_ACCIDENTADOS2]],"VOLQUETA")</f>
        <v>0</v>
      </c>
      <c r="AC56" s="36">
        <f>COUNTIF(Tabla1[[#This Row],[VEHICULOS_ACCIDENTADOS]:[VEHICULOS_ACCIDENTADOS2]],"BICICLETA")</f>
        <v>0</v>
      </c>
      <c r="AD56" s="36" t="s">
        <v>471</v>
      </c>
      <c r="AE56" s="36"/>
      <c r="AF56" s="36">
        <f>COUNTIF(Tabla1[[#This Row],[GENERO_MASCULINO]:[GENERO_FEMENINO]],"MASCULINO")</f>
        <v>1</v>
      </c>
      <c r="AG56" s="36">
        <f>COUNTIF(Tabla1[[#This Row],[GENERO_MASCULINO]:[GENERO_FEMENINO]],"FEMENINO")</f>
        <v>0</v>
      </c>
      <c r="AH56" s="61">
        <v>28</v>
      </c>
      <c r="AI56" s="61">
        <v>39</v>
      </c>
      <c r="AJ56" s="61"/>
      <c r="AK56" s="61"/>
      <c r="AL56" s="61"/>
      <c r="AM56" s="36"/>
      <c r="AN56" s="61">
        <v>139</v>
      </c>
      <c r="AO56" s="36" t="str">
        <f>IFERROR(((VLOOKUP(Tabla1[[#This Row],[HIPOTESIS_1]],listas!$D$1:$E$105,2,FALSE))),"SIN INFORMACIÓN")</f>
        <v>Impericia en el manejo.</v>
      </c>
      <c r="AP56" s="36">
        <v>157</v>
      </c>
      <c r="AQ56" s="36" t="str">
        <f>IFERROR(((VLOOKUP(Tabla1[[#This Row],[HIPOTESIS_2]],listas!$D$1:$E$105,2,FALSE))),"")</f>
        <v>Otra</v>
      </c>
      <c r="AR56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57" spans="1:44" x14ac:dyDescent="0.25">
      <c r="A57" s="12">
        <v>144</v>
      </c>
      <c r="B57" s="36">
        <v>0</v>
      </c>
      <c r="C57" s="36">
        <v>1</v>
      </c>
      <c r="D57" s="36">
        <v>0</v>
      </c>
      <c r="E57" s="18" t="str">
        <f t="shared" si="0"/>
        <v>LESIONADO</v>
      </c>
      <c r="F57" s="29" t="s">
        <v>1049</v>
      </c>
      <c r="G57" s="17">
        <v>5.3332990000000002</v>
      </c>
      <c r="H57" s="17">
        <v>-72.401500999999996</v>
      </c>
      <c r="I57" s="93" t="s">
        <v>697</v>
      </c>
      <c r="J57" s="36" t="s">
        <v>717</v>
      </c>
      <c r="K57" s="24" t="str">
        <f t="shared" si="1"/>
        <v>2022</v>
      </c>
      <c r="L57" s="24" t="str">
        <f t="shared" si="2"/>
        <v>ABRIL</v>
      </c>
      <c r="M57" s="225">
        <v>44674</v>
      </c>
      <c r="N57" s="24" t="str">
        <f t="shared" si="3"/>
        <v>SÁBADO</v>
      </c>
      <c r="O57" s="101">
        <v>0.77083333333333304</v>
      </c>
      <c r="P57" s="63" t="s">
        <v>469</v>
      </c>
      <c r="Q57" s="63" t="s">
        <v>447</v>
      </c>
      <c r="R57" s="36">
        <f>COUNTIF(Tabla1[[#This Row],[VEHICULOS_ACCIDENTADOS]:[VEHICULOS_ACCIDENTADOS2]],"MOTOCICLETA")</f>
        <v>1</v>
      </c>
      <c r="S57" s="36">
        <f>COUNTIF(Tabla1[[#This Row],[VEHICULOS_ACCIDENTADOS]:[VEHICULOS_ACCIDENTADOS2]],"MOTOCARRO")</f>
        <v>0</v>
      </c>
      <c r="T57" s="36">
        <f>COUNTIF(Tabla1[[#This Row],[VEHICULOS_ACCIDENTADOS]:[VEHICULOS_ACCIDENTADOS2]],"AUTOMOVIL")</f>
        <v>1</v>
      </c>
      <c r="U57" s="36">
        <f>COUNTIF(Tabla1[[#This Row],[VEHICULOS_ACCIDENTADOS]:[VEHICULOS_ACCIDENTADOS2]],"CAMPERO")</f>
        <v>0</v>
      </c>
      <c r="V57" s="36">
        <f>COUNTIF(Tabla1[[#This Row],[VEHICULOS_ACCIDENTADOS]:[VEHICULOS_ACCIDENTADOS2]],"CAMIONETA")</f>
        <v>0</v>
      </c>
      <c r="W57" s="36">
        <f>COUNTIF(Tabla1[[#This Row],[VEHICULOS_ACCIDENTADOS]:[VEHICULOS_ACCIDENTADOS2]],"MICROBUS")</f>
        <v>0</v>
      </c>
      <c r="X57" s="36">
        <f>COUNTIF(Tabla1[[#This Row],[VEHICULOS_ACCIDENTADOS]:[VEHICULOS_ACCIDENTADOS2]],"BUS")</f>
        <v>0</v>
      </c>
      <c r="Y57" s="36">
        <f>COUNTIF(Tabla1[[#This Row],[VEHICULOS_ACCIDENTADOS]:[VEHICULOS_ACCIDENTADOS2]],"BUSETA")</f>
        <v>0</v>
      </c>
      <c r="Z57" s="36">
        <f>COUNTIF(Tabla1[[#This Row],[VEHICULOS_ACCIDENTADOS]:[VEHICULOS_ACCIDENTADOS2]],"CAMION")</f>
        <v>0</v>
      </c>
      <c r="AA57" s="36">
        <f>COUNTIF(Tabla1[[#This Row],[VEHICULOS_ACCIDENTADOS]:[VEHICULOS_ACCIDENTADOS2]],"TRACTOCAMION")</f>
        <v>0</v>
      </c>
      <c r="AB57" s="36">
        <f>COUNTIF(Tabla1[[#This Row],[VEHICULOS_ACCIDENTADOS]:[VEHICULOS_ACCIDENTADOS2]],"VOLQUETA")</f>
        <v>0</v>
      </c>
      <c r="AC57" s="36">
        <f>COUNTIF(Tabla1[[#This Row],[VEHICULOS_ACCIDENTADOS]:[VEHICULOS_ACCIDENTADOS2]],"BICICLETA")</f>
        <v>0</v>
      </c>
      <c r="AD57" s="36" t="s">
        <v>471</v>
      </c>
      <c r="AE57" s="36"/>
      <c r="AF57" s="36">
        <f>COUNTIF(Tabla1[[#This Row],[GENERO_MASCULINO]:[GENERO_FEMENINO]],"MASCULINO")</f>
        <v>1</v>
      </c>
      <c r="AG57" s="36">
        <f>COUNTIF(Tabla1[[#This Row],[GENERO_MASCULINO]:[GENERO_FEMENINO]],"FEMENINO")</f>
        <v>0</v>
      </c>
      <c r="AH57" s="61">
        <v>20</v>
      </c>
      <c r="AI57" s="61"/>
      <c r="AJ57" s="61"/>
      <c r="AK57" s="61"/>
      <c r="AL57" s="61"/>
      <c r="AM57" s="36"/>
      <c r="AN57" s="61">
        <v>139</v>
      </c>
      <c r="AO57" s="36" t="str">
        <f>IFERROR(((VLOOKUP(Tabla1[[#This Row],[HIPOTESIS_1]],listas!$D$1:$E$105,2,FALSE))),"SIN INFORMACIÓN")</f>
        <v>Impericia en el manejo.</v>
      </c>
      <c r="AP57" s="36">
        <v>157</v>
      </c>
      <c r="AQ57" s="36" t="str">
        <f>IFERROR(((VLOOKUP(Tabla1[[#This Row],[HIPOTESIS_2]],listas!$D$1:$E$105,2,FALSE))),"")</f>
        <v>Otra</v>
      </c>
      <c r="AR57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58" spans="1:44" x14ac:dyDescent="0.25">
      <c r="A58" s="12">
        <v>339</v>
      </c>
      <c r="B58" s="36">
        <v>0</v>
      </c>
      <c r="C58" s="36">
        <v>1</v>
      </c>
      <c r="D58" s="36">
        <v>0</v>
      </c>
      <c r="E58" s="18" t="str">
        <f t="shared" si="0"/>
        <v>LESIONADO</v>
      </c>
      <c r="F58" s="29" t="s">
        <v>1054</v>
      </c>
      <c r="G58" s="17">
        <v>5.3282472222222221</v>
      </c>
      <c r="H58" s="17">
        <v>-72.398072222222225</v>
      </c>
      <c r="I58" s="93" t="s">
        <v>697</v>
      </c>
      <c r="J58" s="36" t="s">
        <v>717</v>
      </c>
      <c r="K58" s="24" t="str">
        <f t="shared" si="1"/>
        <v>2022</v>
      </c>
      <c r="L58" s="24" t="str">
        <f t="shared" si="2"/>
        <v>OCTUBRE</v>
      </c>
      <c r="M58" s="225">
        <v>44856</v>
      </c>
      <c r="N58" s="24" t="str">
        <f t="shared" si="3"/>
        <v>SÁBADO</v>
      </c>
      <c r="O58" s="102">
        <v>0.9375</v>
      </c>
      <c r="P58" s="53" t="s">
        <v>469</v>
      </c>
      <c r="Q58" s="53" t="s">
        <v>469</v>
      </c>
      <c r="R58" s="36">
        <f>COUNTIF(Tabla1[[#This Row],[VEHICULOS_ACCIDENTADOS]:[VEHICULOS_ACCIDENTADOS2]],"MOTOCICLETA")</f>
        <v>2</v>
      </c>
      <c r="S58" s="36">
        <f>COUNTIF(Tabla1[[#This Row],[VEHICULOS_ACCIDENTADOS]:[VEHICULOS_ACCIDENTADOS2]],"MOTOCARRO")</f>
        <v>0</v>
      </c>
      <c r="T58" s="36">
        <f>COUNTIF(Tabla1[[#This Row],[VEHICULOS_ACCIDENTADOS]:[VEHICULOS_ACCIDENTADOS2]],"AUTOMOVIL")</f>
        <v>0</v>
      </c>
      <c r="U58" s="36">
        <f>COUNTIF(Tabla1[[#This Row],[VEHICULOS_ACCIDENTADOS]:[VEHICULOS_ACCIDENTADOS2]],"CAMPERO")</f>
        <v>0</v>
      </c>
      <c r="V58" s="36">
        <f>COUNTIF(Tabla1[[#This Row],[VEHICULOS_ACCIDENTADOS]:[VEHICULOS_ACCIDENTADOS2]],"CAMIONETA")</f>
        <v>0</v>
      </c>
      <c r="W58" s="36">
        <f>COUNTIF(Tabla1[[#This Row],[VEHICULOS_ACCIDENTADOS]:[VEHICULOS_ACCIDENTADOS2]],"MICROBUS")</f>
        <v>0</v>
      </c>
      <c r="X58" s="36">
        <f>COUNTIF(Tabla1[[#This Row],[VEHICULOS_ACCIDENTADOS]:[VEHICULOS_ACCIDENTADOS2]],"BUS")</f>
        <v>0</v>
      </c>
      <c r="Y58" s="36">
        <f>COUNTIF(Tabla1[[#This Row],[VEHICULOS_ACCIDENTADOS]:[VEHICULOS_ACCIDENTADOS2]],"BUSETA")</f>
        <v>0</v>
      </c>
      <c r="Z58" s="36">
        <f>COUNTIF(Tabla1[[#This Row],[VEHICULOS_ACCIDENTADOS]:[VEHICULOS_ACCIDENTADOS2]],"CAMION")</f>
        <v>0</v>
      </c>
      <c r="AA58" s="36">
        <f>COUNTIF(Tabla1[[#This Row],[VEHICULOS_ACCIDENTADOS]:[VEHICULOS_ACCIDENTADOS2]],"TRACTOCAMION")</f>
        <v>0</v>
      </c>
      <c r="AB58" s="36">
        <f>COUNTIF(Tabla1[[#This Row],[VEHICULOS_ACCIDENTADOS]:[VEHICULOS_ACCIDENTADOS2]],"VOLQUETA")</f>
        <v>0</v>
      </c>
      <c r="AC58" s="36">
        <f>COUNTIF(Tabla1[[#This Row],[VEHICULOS_ACCIDENTADOS]:[VEHICULOS_ACCIDENTADOS2]],"BICICLETA")</f>
        <v>0</v>
      </c>
      <c r="AD58" s="36"/>
      <c r="AE58" s="36" t="s">
        <v>472</v>
      </c>
      <c r="AF58" s="36">
        <f>COUNTIF(Tabla1[[#This Row],[GENERO_MASCULINO]:[GENERO_FEMENINO]],"MASCULINO")</f>
        <v>0</v>
      </c>
      <c r="AG58" s="36">
        <f>COUNTIF(Tabla1[[#This Row],[GENERO_MASCULINO]:[GENERO_FEMENINO]],"FEMENINO")</f>
        <v>1</v>
      </c>
      <c r="AH58" s="61"/>
      <c r="AI58" s="61"/>
      <c r="AJ58" s="61"/>
      <c r="AK58" s="61"/>
      <c r="AL58" s="61"/>
      <c r="AM58" s="36"/>
      <c r="AN58" s="61">
        <v>157</v>
      </c>
      <c r="AO58" s="36" t="str">
        <f>IFERROR(((VLOOKUP(Tabla1[[#This Row],[HIPOTESIS_1]],listas!$D$1:$E$105,2,FALSE))),"SIN INFORMACIÓN")</f>
        <v>Otra</v>
      </c>
      <c r="AP58" s="36">
        <v>157</v>
      </c>
      <c r="AQ58" s="36" t="str">
        <f>IFERROR(((VLOOKUP(Tabla1[[#This Row],[HIPOTESIS_2]],listas!$D$1:$E$105,2,FALSE))),"")</f>
        <v>Otra</v>
      </c>
      <c r="AR58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59" spans="1:44" x14ac:dyDescent="0.25">
      <c r="A59" s="12">
        <v>405</v>
      </c>
      <c r="B59" s="36">
        <v>0</v>
      </c>
      <c r="C59" s="36">
        <v>1</v>
      </c>
      <c r="D59" s="36">
        <v>0</v>
      </c>
      <c r="E59" s="18" t="str">
        <f t="shared" si="0"/>
        <v>LESIONADO</v>
      </c>
      <c r="F59" s="29" t="s">
        <v>1054</v>
      </c>
      <c r="G59" s="17">
        <v>5.3282472222222221</v>
      </c>
      <c r="H59" s="17">
        <v>-72.398072222222225</v>
      </c>
      <c r="I59" s="93" t="s">
        <v>697</v>
      </c>
      <c r="J59" s="36" t="s">
        <v>717</v>
      </c>
      <c r="K59" s="24" t="str">
        <f t="shared" si="1"/>
        <v>2023</v>
      </c>
      <c r="L59" s="24" t="str">
        <f t="shared" si="2"/>
        <v>FEBRERO</v>
      </c>
      <c r="M59" s="225">
        <v>44968</v>
      </c>
      <c r="N59" s="24" t="str">
        <f t="shared" si="3"/>
        <v>SÁBADO</v>
      </c>
      <c r="O59" s="101">
        <v>0.92013888888888895</v>
      </c>
      <c r="P59" s="57" t="s">
        <v>469</v>
      </c>
      <c r="Q59" s="57" t="s">
        <v>469</v>
      </c>
      <c r="R59" s="36">
        <f>COUNTIF(Tabla1[[#This Row],[VEHICULOS_ACCIDENTADOS]:[VEHICULOS_ACCIDENTADOS2]],"MOTOCICLETA")</f>
        <v>2</v>
      </c>
      <c r="S59" s="36">
        <f>COUNTIF(Tabla1[[#This Row],[VEHICULOS_ACCIDENTADOS]:[VEHICULOS_ACCIDENTADOS2]],"MOTOCARRO")</f>
        <v>0</v>
      </c>
      <c r="T59" s="36">
        <f>COUNTIF(Tabla1[[#This Row],[VEHICULOS_ACCIDENTADOS]:[VEHICULOS_ACCIDENTADOS2]],"AUTOMOVIL")</f>
        <v>0</v>
      </c>
      <c r="U59" s="36">
        <f>COUNTIF(Tabla1[[#This Row],[VEHICULOS_ACCIDENTADOS]:[VEHICULOS_ACCIDENTADOS2]],"CAMPERO")</f>
        <v>0</v>
      </c>
      <c r="V59" s="36">
        <f>COUNTIF(Tabla1[[#This Row],[VEHICULOS_ACCIDENTADOS]:[VEHICULOS_ACCIDENTADOS2]],"CAMIONETA")</f>
        <v>0</v>
      </c>
      <c r="W59" s="36">
        <f>COUNTIF(Tabla1[[#This Row],[VEHICULOS_ACCIDENTADOS]:[VEHICULOS_ACCIDENTADOS2]],"MICROBUS")</f>
        <v>0</v>
      </c>
      <c r="X59" s="36">
        <f>COUNTIF(Tabla1[[#This Row],[VEHICULOS_ACCIDENTADOS]:[VEHICULOS_ACCIDENTADOS2]],"BUS")</f>
        <v>0</v>
      </c>
      <c r="Y59" s="36">
        <f>COUNTIF(Tabla1[[#This Row],[VEHICULOS_ACCIDENTADOS]:[VEHICULOS_ACCIDENTADOS2]],"BUSETA")</f>
        <v>0</v>
      </c>
      <c r="Z59" s="36">
        <f>COUNTIF(Tabla1[[#This Row],[VEHICULOS_ACCIDENTADOS]:[VEHICULOS_ACCIDENTADOS2]],"CAMION")</f>
        <v>0</v>
      </c>
      <c r="AA59" s="36">
        <f>COUNTIF(Tabla1[[#This Row],[VEHICULOS_ACCIDENTADOS]:[VEHICULOS_ACCIDENTADOS2]],"TRACTOCAMION")</f>
        <v>0</v>
      </c>
      <c r="AB59" s="36">
        <f>COUNTIF(Tabla1[[#This Row],[VEHICULOS_ACCIDENTADOS]:[VEHICULOS_ACCIDENTADOS2]],"VOLQUETA")</f>
        <v>0</v>
      </c>
      <c r="AC59" s="36">
        <f>COUNTIF(Tabla1[[#This Row],[VEHICULOS_ACCIDENTADOS]:[VEHICULOS_ACCIDENTADOS2]],"BICICLETA")</f>
        <v>0</v>
      </c>
      <c r="AD59" s="36"/>
      <c r="AE59" s="36" t="s">
        <v>472</v>
      </c>
      <c r="AF59" s="36">
        <f>COUNTIF(Tabla1[[#This Row],[GENERO_MASCULINO]:[GENERO_FEMENINO]],"MASCULINO")</f>
        <v>0</v>
      </c>
      <c r="AG59" s="36">
        <f>COUNTIF(Tabla1[[#This Row],[GENERO_MASCULINO]:[GENERO_FEMENINO]],"FEMENINO")</f>
        <v>1</v>
      </c>
      <c r="AH59" s="61">
        <v>47</v>
      </c>
      <c r="AI59" s="61"/>
      <c r="AJ59" s="61"/>
      <c r="AK59" s="61"/>
      <c r="AL59" s="61"/>
      <c r="AM59" s="36"/>
      <c r="AN59" s="61">
        <v>157</v>
      </c>
      <c r="AO59" s="36" t="str">
        <f>IFERROR(((VLOOKUP(Tabla1[[#This Row],[HIPOTESIS_1]],listas!$D$1:$E$105,2,FALSE))),"SIN INFORMACIÓN")</f>
        <v>Otra</v>
      </c>
      <c r="AP59" s="36">
        <v>157</v>
      </c>
      <c r="AQ59" s="36" t="str">
        <f>IFERROR(((VLOOKUP(Tabla1[[#This Row],[HIPOTESIS_2]],listas!$D$1:$E$105,2,FALSE))),"")</f>
        <v>Otra</v>
      </c>
      <c r="AR59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60" spans="1:44" x14ac:dyDescent="0.25">
      <c r="A60" s="12">
        <v>1058</v>
      </c>
      <c r="B60" s="137">
        <v>0</v>
      </c>
      <c r="C60" s="137">
        <v>2</v>
      </c>
      <c r="D60" s="137">
        <v>0</v>
      </c>
      <c r="E60" s="18" t="str">
        <f t="shared" si="0"/>
        <v>LESIONADO</v>
      </c>
      <c r="F60" s="158" t="s">
        <v>1055</v>
      </c>
      <c r="G60" s="30">
        <v>5.3186470000000003</v>
      </c>
      <c r="H60" s="30">
        <v>-72.396232999999995</v>
      </c>
      <c r="I60" s="93" t="s">
        <v>697</v>
      </c>
      <c r="J60" s="36" t="s">
        <v>717</v>
      </c>
      <c r="K60" s="24" t="str">
        <f t="shared" si="1"/>
        <v>2025</v>
      </c>
      <c r="L60" s="24" t="str">
        <f t="shared" si="2"/>
        <v>SEPTIEMBRE</v>
      </c>
      <c r="M60" s="225">
        <v>45906</v>
      </c>
      <c r="N60" s="24" t="str">
        <f t="shared" si="3"/>
        <v>SÁBADO</v>
      </c>
      <c r="O60" s="101">
        <v>0.88958333333333339</v>
      </c>
      <c r="P60" s="63" t="s">
        <v>469</v>
      </c>
      <c r="Q60" s="63" t="s">
        <v>469</v>
      </c>
      <c r="R60" s="36">
        <f>COUNTIF(Tabla1[[#This Row],[VEHICULOS_ACCIDENTADOS]:[VEHICULOS_ACCIDENTADOS2]],"MOTOCICLETA")</f>
        <v>2</v>
      </c>
      <c r="S60" s="36">
        <f>COUNTIF(Tabla1[[#This Row],[VEHICULOS_ACCIDENTADOS]:[VEHICULOS_ACCIDENTADOS2]],"MOTOCARRO")</f>
        <v>0</v>
      </c>
      <c r="T60" s="36">
        <f>COUNTIF(Tabla1[[#This Row],[VEHICULOS_ACCIDENTADOS]:[VEHICULOS_ACCIDENTADOS2]],"AUTOMOVIL")</f>
        <v>0</v>
      </c>
      <c r="U60" s="36">
        <f>COUNTIF(Tabla1[[#This Row],[VEHICULOS_ACCIDENTADOS]:[VEHICULOS_ACCIDENTADOS2]],"CAMPERO")</f>
        <v>0</v>
      </c>
      <c r="V60" s="36">
        <f>COUNTIF(Tabla1[[#This Row],[VEHICULOS_ACCIDENTADOS]:[VEHICULOS_ACCIDENTADOS2]],"CAMIONETA")</f>
        <v>0</v>
      </c>
      <c r="W60" s="36">
        <f>COUNTIF(Tabla1[[#This Row],[VEHICULOS_ACCIDENTADOS]:[VEHICULOS_ACCIDENTADOS2]],"MICROBUS")</f>
        <v>0</v>
      </c>
      <c r="X60" s="36">
        <f>COUNTIF(Tabla1[[#This Row],[VEHICULOS_ACCIDENTADOS]:[VEHICULOS_ACCIDENTADOS2]],"BUS")</f>
        <v>0</v>
      </c>
      <c r="Y60" s="36">
        <f>COUNTIF(Tabla1[[#This Row],[VEHICULOS_ACCIDENTADOS]:[VEHICULOS_ACCIDENTADOS2]],"BUSETA")</f>
        <v>0</v>
      </c>
      <c r="Z60" s="36">
        <f>COUNTIF(Tabla1[[#This Row],[VEHICULOS_ACCIDENTADOS]:[VEHICULOS_ACCIDENTADOS2]],"CAMION")</f>
        <v>0</v>
      </c>
      <c r="AA60" s="36">
        <f>COUNTIF(Tabla1[[#This Row],[VEHICULOS_ACCIDENTADOS]:[VEHICULOS_ACCIDENTADOS2]],"TRACTOCAMION")</f>
        <v>0</v>
      </c>
      <c r="AB60" s="36">
        <f>COUNTIF(Tabla1[[#This Row],[VEHICULOS_ACCIDENTADOS]:[VEHICULOS_ACCIDENTADOS2]],"VOLQUETA")</f>
        <v>0</v>
      </c>
      <c r="AC60" s="36">
        <f>COUNTIF(Tabla1[[#This Row],[VEHICULOS_ACCIDENTADOS]:[VEHICULOS_ACCIDENTADOS2]],"BICICLETA")</f>
        <v>0</v>
      </c>
      <c r="AD60" s="61" t="s">
        <v>471</v>
      </c>
      <c r="AE60" s="61" t="s">
        <v>472</v>
      </c>
      <c r="AF60" s="36">
        <f>COUNTIF(Tabla1[[#This Row],[GENERO_MASCULINO]:[GENERO_FEMENINO]],"MASCULINO")</f>
        <v>1</v>
      </c>
      <c r="AG60" s="36">
        <f>COUNTIF(Tabla1[[#This Row],[GENERO_MASCULINO]:[GENERO_FEMENINO]],"FEMENINO")</f>
        <v>1</v>
      </c>
      <c r="AH60" s="85">
        <v>27</v>
      </c>
      <c r="AI60" s="85">
        <v>24</v>
      </c>
      <c r="AJ60" s="85"/>
      <c r="AK60" s="78"/>
      <c r="AL60" s="78"/>
      <c r="AM60" s="59"/>
      <c r="AN60" s="61">
        <v>139</v>
      </c>
      <c r="AO60" s="59" t="str">
        <f>IFERROR(((VLOOKUP(Tabla1[[#This Row],[HIPOTESIS_1]],listas!$D$1:$E$105,2,FALSE))),"SIN INFORMACIÓN")</f>
        <v>Impericia en el manejo.</v>
      </c>
      <c r="AP60" s="36">
        <v>157</v>
      </c>
      <c r="AQ60" s="36" t="str">
        <f>IFERROR(((VLOOKUP(Tabla1[[#This Row],[HIPOTESIS_2]],listas!$D$1:$E$105,2,FALSE))),"")</f>
        <v>Otra</v>
      </c>
      <c r="AR60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61" spans="1:44" x14ac:dyDescent="0.25">
      <c r="A61" s="12">
        <v>949</v>
      </c>
      <c r="B61" s="135">
        <v>1</v>
      </c>
      <c r="C61" s="136">
        <v>0</v>
      </c>
      <c r="D61" s="141">
        <v>0</v>
      </c>
      <c r="E61" s="18" t="str">
        <f t="shared" si="0"/>
        <v>SOLO DAÑO</v>
      </c>
      <c r="F61" s="26" t="s">
        <v>36</v>
      </c>
      <c r="G61" s="20">
        <v>5.3282472222222221</v>
      </c>
      <c r="H61" s="20">
        <v>-72.398072222222225</v>
      </c>
      <c r="I61" s="93" t="s">
        <v>697</v>
      </c>
      <c r="J61" s="136" t="s">
        <v>717</v>
      </c>
      <c r="K61" s="24" t="str">
        <f t="shared" si="1"/>
        <v>2025</v>
      </c>
      <c r="L61" s="24" t="str">
        <f t="shared" si="2"/>
        <v>ABRIL</v>
      </c>
      <c r="M61" s="224">
        <v>45759</v>
      </c>
      <c r="N61" s="24" t="str">
        <f t="shared" si="3"/>
        <v>SÁBADO</v>
      </c>
      <c r="O61" s="171">
        <v>0.70833333333333337</v>
      </c>
      <c r="P61" s="136" t="s">
        <v>469</v>
      </c>
      <c r="Q61" s="136" t="s">
        <v>445</v>
      </c>
      <c r="R61" s="36">
        <f>COUNTIF(Tabla1[[#This Row],[VEHICULOS_ACCIDENTADOS]:[VEHICULOS_ACCIDENTADOS2]],"MOTOCICLETA")</f>
        <v>1</v>
      </c>
      <c r="S61" s="36">
        <f>COUNTIF(Tabla1[[#This Row],[VEHICULOS_ACCIDENTADOS]:[VEHICULOS_ACCIDENTADOS2]],"MOTOCARRO")</f>
        <v>0</v>
      </c>
      <c r="T61" s="36">
        <f>COUNTIF(Tabla1[[#This Row],[VEHICULOS_ACCIDENTADOS]:[VEHICULOS_ACCIDENTADOS2]],"AUTOMOVIL")</f>
        <v>0</v>
      </c>
      <c r="U61" s="36">
        <f>COUNTIF(Tabla1[[#This Row],[VEHICULOS_ACCIDENTADOS]:[VEHICULOS_ACCIDENTADOS2]],"CAMPERO")</f>
        <v>0</v>
      </c>
      <c r="V61" s="36">
        <f>COUNTIF(Tabla1[[#This Row],[VEHICULOS_ACCIDENTADOS]:[VEHICULOS_ACCIDENTADOS2]],"CAMIONETA")</f>
        <v>1</v>
      </c>
      <c r="W61" s="36">
        <f>COUNTIF(Tabla1[[#This Row],[VEHICULOS_ACCIDENTADOS]:[VEHICULOS_ACCIDENTADOS2]],"MICROBUS")</f>
        <v>0</v>
      </c>
      <c r="X61" s="36">
        <f>COUNTIF(Tabla1[[#This Row],[VEHICULOS_ACCIDENTADOS]:[VEHICULOS_ACCIDENTADOS2]],"BUS")</f>
        <v>0</v>
      </c>
      <c r="Y61" s="36">
        <f>COUNTIF(Tabla1[[#This Row],[VEHICULOS_ACCIDENTADOS]:[VEHICULOS_ACCIDENTADOS2]],"BUSETA")</f>
        <v>0</v>
      </c>
      <c r="Z61" s="36">
        <f>COUNTIF(Tabla1[[#This Row],[VEHICULOS_ACCIDENTADOS]:[VEHICULOS_ACCIDENTADOS2]],"CAMION")</f>
        <v>0</v>
      </c>
      <c r="AA61" s="36">
        <f>COUNTIF(Tabla1[[#This Row],[VEHICULOS_ACCIDENTADOS]:[VEHICULOS_ACCIDENTADOS2]],"TRACTOCAMION")</f>
        <v>0</v>
      </c>
      <c r="AB61" s="36">
        <f>COUNTIF(Tabla1[[#This Row],[VEHICULOS_ACCIDENTADOS]:[VEHICULOS_ACCIDENTADOS2]],"VOLQUETA")</f>
        <v>0</v>
      </c>
      <c r="AC61" s="36">
        <f>COUNTIF(Tabla1[[#This Row],[VEHICULOS_ACCIDENTADOS]:[VEHICULOS_ACCIDENTADOS2]],"BICICLETA")</f>
        <v>0</v>
      </c>
      <c r="AD61" s="136" t="s">
        <v>472</v>
      </c>
      <c r="AE61" s="136" t="s">
        <v>471</v>
      </c>
      <c r="AF61" s="136">
        <f>COUNTIF(Tabla1[[#This Row],[GENERO_MASCULINO]:[GENERO_FEMENINO]],"MASCULINO")</f>
        <v>1</v>
      </c>
      <c r="AG61" s="36">
        <f>COUNTIF(Tabla1[[#This Row],[GENERO_MASCULINO]:[GENERO_FEMENINO]],"FEMENINO")</f>
        <v>1</v>
      </c>
      <c r="AH61" s="85">
        <v>22</v>
      </c>
      <c r="AI61" s="85">
        <v>41</v>
      </c>
      <c r="AJ61" s="85"/>
      <c r="AK61" s="78"/>
      <c r="AL61" s="78"/>
      <c r="AM61" s="59"/>
      <c r="AN61" s="85">
        <v>114</v>
      </c>
      <c r="AO61" s="36" t="str">
        <f>IFERROR(((VLOOKUP(Tabla1[[#This Row],[HIPOTESIS_1]],listas!$D$1:$E$105,2,FALSE))),"SIN INFORMACIÓN")</f>
        <v>Embriaguez aparente.</v>
      </c>
      <c r="AP61" s="36">
        <v>157</v>
      </c>
      <c r="AQ61" s="36" t="str">
        <f>IFERROR(((VLOOKUP(Tabla1[[#This Row],[HIPOTESIS_2]],listas!$D$1:$E$105,2,FALSE))),"")</f>
        <v>Otra</v>
      </c>
      <c r="AR61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62" spans="1:44" x14ac:dyDescent="0.25">
      <c r="A62" s="12">
        <v>343</v>
      </c>
      <c r="B62" s="36">
        <v>0</v>
      </c>
      <c r="C62" s="36">
        <v>2</v>
      </c>
      <c r="D62" s="36">
        <v>0</v>
      </c>
      <c r="E62" s="18" t="str">
        <f t="shared" si="0"/>
        <v>LESIONADO</v>
      </c>
      <c r="F62" s="29" t="s">
        <v>306</v>
      </c>
      <c r="G62" s="17">
        <v>5.3400749999999997</v>
      </c>
      <c r="H62" s="17">
        <v>-72.399369444444446</v>
      </c>
      <c r="I62" s="93" t="s">
        <v>697</v>
      </c>
      <c r="J62" s="36" t="s">
        <v>717</v>
      </c>
      <c r="K62" s="24" t="str">
        <f t="shared" si="1"/>
        <v>2022</v>
      </c>
      <c r="L62" s="24" t="str">
        <f t="shared" si="2"/>
        <v>OCTUBRE</v>
      </c>
      <c r="M62" s="225">
        <v>44864</v>
      </c>
      <c r="N62" s="24" t="str">
        <f t="shared" si="3"/>
        <v>DOMINGO</v>
      </c>
      <c r="O62" s="102">
        <v>0.92708333333333304</v>
      </c>
      <c r="P62" s="53" t="s">
        <v>469</v>
      </c>
      <c r="Q62" s="53" t="s">
        <v>447</v>
      </c>
      <c r="R62" s="36">
        <f>COUNTIF(Tabla1[[#This Row],[VEHICULOS_ACCIDENTADOS]:[VEHICULOS_ACCIDENTADOS2]],"MOTOCICLETA")</f>
        <v>1</v>
      </c>
      <c r="S62" s="36">
        <f>COUNTIF(Tabla1[[#This Row],[VEHICULOS_ACCIDENTADOS]:[VEHICULOS_ACCIDENTADOS2]],"MOTOCARRO")</f>
        <v>0</v>
      </c>
      <c r="T62" s="36">
        <f>COUNTIF(Tabla1[[#This Row],[VEHICULOS_ACCIDENTADOS]:[VEHICULOS_ACCIDENTADOS2]],"AUTOMOVIL")</f>
        <v>1</v>
      </c>
      <c r="U62" s="36">
        <f>COUNTIF(Tabla1[[#This Row],[VEHICULOS_ACCIDENTADOS]:[VEHICULOS_ACCIDENTADOS2]],"CAMPERO")</f>
        <v>0</v>
      </c>
      <c r="V62" s="36">
        <f>COUNTIF(Tabla1[[#This Row],[VEHICULOS_ACCIDENTADOS]:[VEHICULOS_ACCIDENTADOS2]],"CAMIONETA")</f>
        <v>0</v>
      </c>
      <c r="W62" s="36">
        <f>COUNTIF(Tabla1[[#This Row],[VEHICULOS_ACCIDENTADOS]:[VEHICULOS_ACCIDENTADOS2]],"MICROBUS")</f>
        <v>0</v>
      </c>
      <c r="X62" s="36">
        <f>COUNTIF(Tabla1[[#This Row],[VEHICULOS_ACCIDENTADOS]:[VEHICULOS_ACCIDENTADOS2]],"BUS")</f>
        <v>0</v>
      </c>
      <c r="Y62" s="36">
        <f>COUNTIF(Tabla1[[#This Row],[VEHICULOS_ACCIDENTADOS]:[VEHICULOS_ACCIDENTADOS2]],"BUSETA")</f>
        <v>0</v>
      </c>
      <c r="Z62" s="36">
        <f>COUNTIF(Tabla1[[#This Row],[VEHICULOS_ACCIDENTADOS]:[VEHICULOS_ACCIDENTADOS2]],"CAMION")</f>
        <v>0</v>
      </c>
      <c r="AA62" s="36">
        <f>COUNTIF(Tabla1[[#This Row],[VEHICULOS_ACCIDENTADOS]:[VEHICULOS_ACCIDENTADOS2]],"TRACTOCAMION")</f>
        <v>0</v>
      </c>
      <c r="AB62" s="36">
        <f>COUNTIF(Tabla1[[#This Row],[VEHICULOS_ACCIDENTADOS]:[VEHICULOS_ACCIDENTADOS2]],"VOLQUETA")</f>
        <v>0</v>
      </c>
      <c r="AC62" s="36">
        <f>COUNTIF(Tabla1[[#This Row],[VEHICULOS_ACCIDENTADOS]:[VEHICULOS_ACCIDENTADOS2]],"BICICLETA")</f>
        <v>0</v>
      </c>
      <c r="AD62" s="36"/>
      <c r="AE62" s="36" t="s">
        <v>472</v>
      </c>
      <c r="AF62" s="36">
        <f>COUNTIF(Tabla1[[#This Row],[GENERO_MASCULINO]:[GENERO_FEMENINO]],"MASCULINO")</f>
        <v>0</v>
      </c>
      <c r="AG62" s="36">
        <f>COUNTIF(Tabla1[[#This Row],[GENERO_MASCULINO]:[GENERO_FEMENINO]],"FEMENINO")</f>
        <v>1</v>
      </c>
      <c r="AH62" s="61">
        <v>22</v>
      </c>
      <c r="AI62" s="61"/>
      <c r="AJ62" s="61"/>
      <c r="AK62" s="61"/>
      <c r="AL62" s="61">
        <v>0.9</v>
      </c>
      <c r="AM62" s="36"/>
      <c r="AN62" s="61">
        <v>112</v>
      </c>
      <c r="AO62" s="36" t="str">
        <f>IFERROR(((VLOOKUP(Tabla1[[#This Row],[HIPOTESIS_1]],listas!$D$1:$E$105,2,FALSE))),"SIN INFORMACIÓN")</f>
        <v>Desobedecer señales o normas de tránsito.</v>
      </c>
      <c r="AP62" s="36">
        <v>157</v>
      </c>
      <c r="AQ62" s="36" t="str">
        <f>IFERROR(((VLOOKUP(Tabla1[[#This Row],[HIPOTESIS_2]],listas!$D$1:$E$105,2,FALSE))),"")</f>
        <v>Otra</v>
      </c>
      <c r="AR62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63" spans="1:44" x14ac:dyDescent="0.25">
      <c r="A63" s="12">
        <v>298</v>
      </c>
      <c r="B63" s="36">
        <v>0</v>
      </c>
      <c r="C63" s="36">
        <v>5</v>
      </c>
      <c r="D63" s="36">
        <v>0</v>
      </c>
      <c r="E63" s="18" t="str">
        <f t="shared" si="0"/>
        <v>LESIONADO</v>
      </c>
      <c r="F63" s="36" t="s">
        <v>1162</v>
      </c>
      <c r="G63" s="17">
        <v>5.3276230555555557</v>
      </c>
      <c r="H63" s="17">
        <v>-72.391824444444453</v>
      </c>
      <c r="I63" s="93" t="s">
        <v>697</v>
      </c>
      <c r="J63" s="36" t="s">
        <v>717</v>
      </c>
      <c r="K63" s="24" t="str">
        <f t="shared" si="1"/>
        <v>2022</v>
      </c>
      <c r="L63" s="24" t="str">
        <f t="shared" si="2"/>
        <v>SEPTIEMBRE</v>
      </c>
      <c r="M63" s="225">
        <v>44809</v>
      </c>
      <c r="N63" s="24" t="str">
        <f t="shared" si="3"/>
        <v>LUNES</v>
      </c>
      <c r="O63" s="102">
        <v>0.74305555555555503</v>
      </c>
      <c r="P63" s="53" t="s">
        <v>469</v>
      </c>
      <c r="Q63" s="53" t="s">
        <v>447</v>
      </c>
      <c r="R63" s="36">
        <f>COUNTIF(Tabla1[[#This Row],[VEHICULOS_ACCIDENTADOS]:[VEHICULOS_ACCIDENTADOS2]],"MOTOCICLETA")</f>
        <v>1</v>
      </c>
      <c r="S63" s="36">
        <f>COUNTIF(Tabla1[[#This Row],[VEHICULOS_ACCIDENTADOS]:[VEHICULOS_ACCIDENTADOS2]],"MOTOCARRO")</f>
        <v>0</v>
      </c>
      <c r="T63" s="36">
        <f>COUNTIF(Tabla1[[#This Row],[VEHICULOS_ACCIDENTADOS]:[VEHICULOS_ACCIDENTADOS2]],"AUTOMOVIL")</f>
        <v>1</v>
      </c>
      <c r="U63" s="36">
        <f>COUNTIF(Tabla1[[#This Row],[VEHICULOS_ACCIDENTADOS]:[VEHICULOS_ACCIDENTADOS2]],"CAMPERO")</f>
        <v>0</v>
      </c>
      <c r="V63" s="36">
        <f>COUNTIF(Tabla1[[#This Row],[VEHICULOS_ACCIDENTADOS]:[VEHICULOS_ACCIDENTADOS2]],"CAMIONETA")</f>
        <v>0</v>
      </c>
      <c r="W63" s="36">
        <f>COUNTIF(Tabla1[[#This Row],[VEHICULOS_ACCIDENTADOS]:[VEHICULOS_ACCIDENTADOS2]],"MICROBUS")</f>
        <v>0</v>
      </c>
      <c r="X63" s="36">
        <f>COUNTIF(Tabla1[[#This Row],[VEHICULOS_ACCIDENTADOS]:[VEHICULOS_ACCIDENTADOS2]],"BUS")</f>
        <v>0</v>
      </c>
      <c r="Y63" s="36">
        <f>COUNTIF(Tabla1[[#This Row],[VEHICULOS_ACCIDENTADOS]:[VEHICULOS_ACCIDENTADOS2]],"BUSETA")</f>
        <v>0</v>
      </c>
      <c r="Z63" s="36">
        <f>COUNTIF(Tabla1[[#This Row],[VEHICULOS_ACCIDENTADOS]:[VEHICULOS_ACCIDENTADOS2]],"CAMION")</f>
        <v>0</v>
      </c>
      <c r="AA63" s="36">
        <f>COUNTIF(Tabla1[[#This Row],[VEHICULOS_ACCIDENTADOS]:[VEHICULOS_ACCIDENTADOS2]],"TRACTOCAMION")</f>
        <v>0</v>
      </c>
      <c r="AB63" s="36">
        <f>COUNTIF(Tabla1[[#This Row],[VEHICULOS_ACCIDENTADOS]:[VEHICULOS_ACCIDENTADOS2]],"VOLQUETA")</f>
        <v>0</v>
      </c>
      <c r="AC63" s="36">
        <f>COUNTIF(Tabla1[[#This Row],[VEHICULOS_ACCIDENTADOS]:[VEHICULOS_ACCIDENTADOS2]],"BICICLETA")</f>
        <v>0</v>
      </c>
      <c r="AD63" s="36" t="s">
        <v>471</v>
      </c>
      <c r="AE63" s="36" t="s">
        <v>472</v>
      </c>
      <c r="AF63" s="36">
        <f>COUNTIF(Tabla1[[#This Row],[GENERO_MASCULINO]:[GENERO_FEMENINO]],"MASCULINO")</f>
        <v>1</v>
      </c>
      <c r="AG63" s="36">
        <f>COUNTIF(Tabla1[[#This Row],[GENERO_MASCULINO]:[GENERO_FEMENINO]],"FEMENINO")</f>
        <v>1</v>
      </c>
      <c r="AH63" s="61">
        <v>23</v>
      </c>
      <c r="AI63" s="61"/>
      <c r="AJ63" s="78"/>
      <c r="AK63" s="61">
        <v>21</v>
      </c>
      <c r="AL63" s="61"/>
      <c r="AM63" s="36"/>
      <c r="AN63" s="61">
        <v>139</v>
      </c>
      <c r="AO63" s="36" t="str">
        <f>IFERROR(((VLOOKUP(Tabla1[[#This Row],[HIPOTESIS_1]],listas!$D$1:$E$105,2,FALSE))),"SIN INFORMACIÓN")</f>
        <v>Impericia en el manejo.</v>
      </c>
      <c r="AP63" s="36">
        <v>157</v>
      </c>
      <c r="AQ63" s="36" t="str">
        <f>IFERROR(((VLOOKUP(Tabla1[[#This Row],[HIPOTESIS_2]],listas!$D$1:$E$105,2,FALSE))),"")</f>
        <v>Otra</v>
      </c>
      <c r="AR63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64" spans="1:44" x14ac:dyDescent="0.25">
      <c r="A64" s="12">
        <v>325</v>
      </c>
      <c r="B64" s="36">
        <v>0</v>
      </c>
      <c r="C64" s="36">
        <v>1</v>
      </c>
      <c r="D64" s="36">
        <v>0</v>
      </c>
      <c r="E64" s="18" t="str">
        <f t="shared" si="0"/>
        <v>LESIONADO</v>
      </c>
      <c r="F64" s="29" t="s">
        <v>909</v>
      </c>
      <c r="G64" s="17">
        <v>5.3341277777777778</v>
      </c>
      <c r="H64" s="17">
        <v>-72.394177777777784</v>
      </c>
      <c r="I64" s="93" t="s">
        <v>697</v>
      </c>
      <c r="J64" s="36" t="s">
        <v>717</v>
      </c>
      <c r="K64" s="24" t="str">
        <f t="shared" si="1"/>
        <v>2022</v>
      </c>
      <c r="L64" s="24" t="str">
        <f t="shared" si="2"/>
        <v>OCTUBRE</v>
      </c>
      <c r="M64" s="225">
        <v>44839</v>
      </c>
      <c r="N64" s="24" t="str">
        <f t="shared" si="3"/>
        <v>MIÉRCOLES</v>
      </c>
      <c r="O64" s="102">
        <v>0.58333333333333304</v>
      </c>
      <c r="P64" s="53" t="s">
        <v>469</v>
      </c>
      <c r="Q64" s="53" t="s">
        <v>447</v>
      </c>
      <c r="R64" s="36">
        <f>COUNTIF(Tabla1[[#This Row],[VEHICULOS_ACCIDENTADOS]:[VEHICULOS_ACCIDENTADOS2]],"MOTOCICLETA")</f>
        <v>1</v>
      </c>
      <c r="S64" s="36">
        <f>COUNTIF(Tabla1[[#This Row],[VEHICULOS_ACCIDENTADOS]:[VEHICULOS_ACCIDENTADOS2]],"MOTOCARRO")</f>
        <v>0</v>
      </c>
      <c r="T64" s="36">
        <f>COUNTIF(Tabla1[[#This Row],[VEHICULOS_ACCIDENTADOS]:[VEHICULOS_ACCIDENTADOS2]],"AUTOMOVIL")</f>
        <v>1</v>
      </c>
      <c r="U64" s="36">
        <f>COUNTIF(Tabla1[[#This Row],[VEHICULOS_ACCIDENTADOS]:[VEHICULOS_ACCIDENTADOS2]],"CAMPERO")</f>
        <v>0</v>
      </c>
      <c r="V64" s="36">
        <f>COUNTIF(Tabla1[[#This Row],[VEHICULOS_ACCIDENTADOS]:[VEHICULOS_ACCIDENTADOS2]],"CAMIONETA")</f>
        <v>0</v>
      </c>
      <c r="W64" s="36">
        <f>COUNTIF(Tabla1[[#This Row],[VEHICULOS_ACCIDENTADOS]:[VEHICULOS_ACCIDENTADOS2]],"MICROBUS")</f>
        <v>0</v>
      </c>
      <c r="X64" s="36">
        <f>COUNTIF(Tabla1[[#This Row],[VEHICULOS_ACCIDENTADOS]:[VEHICULOS_ACCIDENTADOS2]],"BUS")</f>
        <v>0</v>
      </c>
      <c r="Y64" s="36">
        <f>COUNTIF(Tabla1[[#This Row],[VEHICULOS_ACCIDENTADOS]:[VEHICULOS_ACCIDENTADOS2]],"BUSETA")</f>
        <v>0</v>
      </c>
      <c r="Z64" s="36">
        <f>COUNTIF(Tabla1[[#This Row],[VEHICULOS_ACCIDENTADOS]:[VEHICULOS_ACCIDENTADOS2]],"CAMION")</f>
        <v>0</v>
      </c>
      <c r="AA64" s="36">
        <f>COUNTIF(Tabla1[[#This Row],[VEHICULOS_ACCIDENTADOS]:[VEHICULOS_ACCIDENTADOS2]],"TRACTOCAMION")</f>
        <v>0</v>
      </c>
      <c r="AB64" s="36">
        <f>COUNTIF(Tabla1[[#This Row],[VEHICULOS_ACCIDENTADOS]:[VEHICULOS_ACCIDENTADOS2]],"VOLQUETA")</f>
        <v>0</v>
      </c>
      <c r="AC64" s="36">
        <f>COUNTIF(Tabla1[[#This Row],[VEHICULOS_ACCIDENTADOS]:[VEHICULOS_ACCIDENTADOS2]],"BICICLETA")</f>
        <v>0</v>
      </c>
      <c r="AD64" s="36" t="s">
        <v>471</v>
      </c>
      <c r="AE64" s="36"/>
      <c r="AF64" s="36">
        <f>COUNTIF(Tabla1[[#This Row],[GENERO_MASCULINO]:[GENERO_FEMENINO]],"MASCULINO")</f>
        <v>1</v>
      </c>
      <c r="AG64" s="36">
        <f>COUNTIF(Tabla1[[#This Row],[GENERO_MASCULINO]:[GENERO_FEMENINO]],"FEMENINO")</f>
        <v>0</v>
      </c>
      <c r="AH64" s="61">
        <v>22</v>
      </c>
      <c r="AI64" s="61"/>
      <c r="AJ64" s="61"/>
      <c r="AK64" s="61"/>
      <c r="AL64" s="61"/>
      <c r="AM64" s="36"/>
      <c r="AN64" s="61">
        <v>123</v>
      </c>
      <c r="AO64" s="36" t="str">
        <f>IFERROR(((VLOOKUP(Tabla1[[#This Row],[HIPOTESIS_1]],listas!$D$1:$E$105,2,FALSE))),"SIN INFORMACIÓN")</f>
        <v>No respetar prelación de intersecciones o giros.</v>
      </c>
      <c r="AP64" s="36">
        <v>157</v>
      </c>
      <c r="AQ64" s="36" t="str">
        <f>IFERROR(((VLOOKUP(Tabla1[[#This Row],[HIPOTESIS_2]],listas!$D$1:$E$105,2,FALSE))),"")</f>
        <v>Otra</v>
      </c>
      <c r="AR64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65" spans="1:44" x14ac:dyDescent="0.25">
      <c r="A65" s="12">
        <v>666</v>
      </c>
      <c r="B65" s="135">
        <v>0</v>
      </c>
      <c r="C65" s="136">
        <v>2</v>
      </c>
      <c r="D65" s="136">
        <v>0</v>
      </c>
      <c r="E65" s="18" t="str">
        <f t="shared" si="0"/>
        <v>LESIONADO</v>
      </c>
      <c r="F65" s="26" t="s">
        <v>161</v>
      </c>
      <c r="G65" s="21">
        <v>5.3256999999999994</v>
      </c>
      <c r="H65" s="21">
        <v>-72.389655555555564</v>
      </c>
      <c r="I65" s="93" t="s">
        <v>697</v>
      </c>
      <c r="J65" s="136" t="s">
        <v>717</v>
      </c>
      <c r="K65" s="24" t="str">
        <f t="shared" si="1"/>
        <v>2024</v>
      </c>
      <c r="L65" s="24" t="str">
        <f t="shared" si="2"/>
        <v>FEBRERO</v>
      </c>
      <c r="M65" s="224">
        <v>45343</v>
      </c>
      <c r="N65" s="24" t="str">
        <f t="shared" si="3"/>
        <v>MIÉRCOLES</v>
      </c>
      <c r="O65" s="171">
        <v>0.4375</v>
      </c>
      <c r="P65" s="178" t="s">
        <v>469</v>
      </c>
      <c r="Q65" s="178" t="s">
        <v>469</v>
      </c>
      <c r="R65" s="36">
        <f>COUNTIF(Tabla1[[#This Row],[VEHICULOS_ACCIDENTADOS]:[VEHICULOS_ACCIDENTADOS2]],"MOTOCICLETA")</f>
        <v>2</v>
      </c>
      <c r="S65" s="36">
        <f>COUNTIF(Tabla1[[#This Row],[VEHICULOS_ACCIDENTADOS]:[VEHICULOS_ACCIDENTADOS2]],"MOTOCARRO")</f>
        <v>0</v>
      </c>
      <c r="T65" s="36">
        <f>COUNTIF(Tabla1[[#This Row],[VEHICULOS_ACCIDENTADOS]:[VEHICULOS_ACCIDENTADOS2]],"AUTOMOVIL")</f>
        <v>0</v>
      </c>
      <c r="U65" s="36">
        <f>COUNTIF(Tabla1[[#This Row],[VEHICULOS_ACCIDENTADOS]:[VEHICULOS_ACCIDENTADOS2]],"CAMPERO")</f>
        <v>0</v>
      </c>
      <c r="V65" s="36">
        <f>COUNTIF(Tabla1[[#This Row],[VEHICULOS_ACCIDENTADOS]:[VEHICULOS_ACCIDENTADOS2]],"CAMIONETA")</f>
        <v>0</v>
      </c>
      <c r="W65" s="36">
        <f>COUNTIF(Tabla1[[#This Row],[VEHICULOS_ACCIDENTADOS]:[VEHICULOS_ACCIDENTADOS2]],"MICROBUS")</f>
        <v>0</v>
      </c>
      <c r="X65" s="36">
        <f>COUNTIF(Tabla1[[#This Row],[VEHICULOS_ACCIDENTADOS]:[VEHICULOS_ACCIDENTADOS2]],"BUS")</f>
        <v>0</v>
      </c>
      <c r="Y65" s="36">
        <f>COUNTIF(Tabla1[[#This Row],[VEHICULOS_ACCIDENTADOS]:[VEHICULOS_ACCIDENTADOS2]],"BUSETA")</f>
        <v>0</v>
      </c>
      <c r="Z65" s="36">
        <f>COUNTIF(Tabla1[[#This Row],[VEHICULOS_ACCIDENTADOS]:[VEHICULOS_ACCIDENTADOS2]],"CAMION")</f>
        <v>0</v>
      </c>
      <c r="AA65" s="36">
        <f>COUNTIF(Tabla1[[#This Row],[VEHICULOS_ACCIDENTADOS]:[VEHICULOS_ACCIDENTADOS2]],"TRACTOCAMION")</f>
        <v>0</v>
      </c>
      <c r="AB65" s="36">
        <f>COUNTIF(Tabla1[[#This Row],[VEHICULOS_ACCIDENTADOS]:[VEHICULOS_ACCIDENTADOS2]],"VOLQUETA")</f>
        <v>0</v>
      </c>
      <c r="AC65" s="36">
        <f>COUNTIF(Tabla1[[#This Row],[VEHICULOS_ACCIDENTADOS]:[VEHICULOS_ACCIDENTADOS2]],"BICICLETA")</f>
        <v>0</v>
      </c>
      <c r="AD65" s="136" t="s">
        <v>471</v>
      </c>
      <c r="AE65" s="136"/>
      <c r="AF65" s="136">
        <f>COUNTIF(Tabla1[[#This Row],[GENERO_MASCULINO]:[GENERO_FEMENINO]],"MASCULINO")</f>
        <v>1</v>
      </c>
      <c r="AG65" s="36">
        <f>COUNTIF(Tabla1[[#This Row],[GENERO_MASCULINO]:[GENERO_FEMENINO]],"FEMENINO")</f>
        <v>0</v>
      </c>
      <c r="AH65" s="85">
        <v>56</v>
      </c>
      <c r="AI65" s="85">
        <v>18</v>
      </c>
      <c r="AJ65" s="85"/>
      <c r="AK65" s="85"/>
      <c r="AL65" s="85"/>
      <c r="AM65" s="136"/>
      <c r="AN65" s="85">
        <v>112</v>
      </c>
      <c r="AO65" s="36" t="str">
        <f>IFERROR(((VLOOKUP(Tabla1[[#This Row],[HIPOTESIS_1]],listas!$D$1:$E$105,2,FALSE))),"SIN INFORMACIÓN")</f>
        <v>Desobedecer señales o normas de tránsito.</v>
      </c>
      <c r="AP65" s="136">
        <v>157</v>
      </c>
      <c r="AQ65" s="36" t="str">
        <f>IFERROR(((VLOOKUP(Tabla1[[#This Row],[HIPOTESIS_2]],listas!$D$1:$E$105,2,FALSE))),"")</f>
        <v>Otra</v>
      </c>
      <c r="AR65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66" spans="1:44" x14ac:dyDescent="0.25">
      <c r="A66" s="12">
        <v>983</v>
      </c>
      <c r="B66" s="137">
        <v>0</v>
      </c>
      <c r="C66" s="137">
        <v>1</v>
      </c>
      <c r="D66" s="137">
        <v>0</v>
      </c>
      <c r="E66" s="18" t="str">
        <f t="shared" ref="E66:E129" si="4">IF(D66&gt;=1,"FALLECIDO",IF(C66&gt;=1,"LESIONADO",IF(B66&gt;=1,"SOLO DAÑO","")))</f>
        <v>LESIONADO</v>
      </c>
      <c r="F66" s="152" t="s">
        <v>1112</v>
      </c>
      <c r="G66" s="30">
        <v>5.330438</v>
      </c>
      <c r="H66" s="30">
        <v>-72.392251000000002</v>
      </c>
      <c r="I66" s="93" t="s">
        <v>697</v>
      </c>
      <c r="J66" s="36" t="s">
        <v>717</v>
      </c>
      <c r="K66" s="24" t="str">
        <f t="shared" ref="K66:K129" si="5">UPPER(TEXT(M66,"YYYY"))</f>
        <v>2025</v>
      </c>
      <c r="L66" s="24" t="str">
        <f t="shared" ref="L66:L129" si="6">UPPER(TEXT(M66,"MMMM"))</f>
        <v>JUNIO</v>
      </c>
      <c r="M66" s="228">
        <v>45816</v>
      </c>
      <c r="N66" s="24" t="str">
        <f t="shared" ref="N66:N129" si="7">UPPER(TEXT(M66,"DDDD"))</f>
        <v>DOMINGO</v>
      </c>
      <c r="O66" s="101">
        <v>0.77083333333333337</v>
      </c>
      <c r="P66" s="63" t="s">
        <v>469</v>
      </c>
      <c r="Q66" s="63" t="s">
        <v>447</v>
      </c>
      <c r="R66" s="36">
        <f>COUNTIF(Tabla1[[#This Row],[VEHICULOS_ACCIDENTADOS]:[VEHICULOS_ACCIDENTADOS2]],"MOTOCICLETA")</f>
        <v>1</v>
      </c>
      <c r="S66" s="36">
        <f>COUNTIF(Tabla1[[#This Row],[VEHICULOS_ACCIDENTADOS]:[VEHICULOS_ACCIDENTADOS2]],"MOTOCARRO")</f>
        <v>0</v>
      </c>
      <c r="T66" s="36">
        <f>COUNTIF(Tabla1[[#This Row],[VEHICULOS_ACCIDENTADOS]:[VEHICULOS_ACCIDENTADOS2]],"AUTOMOVIL")</f>
        <v>1</v>
      </c>
      <c r="U66" s="36">
        <f>COUNTIF(Tabla1[[#This Row],[VEHICULOS_ACCIDENTADOS]:[VEHICULOS_ACCIDENTADOS2]],"CAMPERO")</f>
        <v>0</v>
      </c>
      <c r="V66" s="36">
        <f>COUNTIF(Tabla1[[#This Row],[VEHICULOS_ACCIDENTADOS]:[VEHICULOS_ACCIDENTADOS2]],"CAMIONETA")</f>
        <v>0</v>
      </c>
      <c r="W66" s="36">
        <f>COUNTIF(Tabla1[[#This Row],[VEHICULOS_ACCIDENTADOS]:[VEHICULOS_ACCIDENTADOS2]],"MICROBUS")</f>
        <v>0</v>
      </c>
      <c r="X66" s="36">
        <f>COUNTIF(Tabla1[[#This Row],[VEHICULOS_ACCIDENTADOS]:[VEHICULOS_ACCIDENTADOS2]],"BUS")</f>
        <v>0</v>
      </c>
      <c r="Y66" s="36">
        <f>COUNTIF(Tabla1[[#This Row],[VEHICULOS_ACCIDENTADOS]:[VEHICULOS_ACCIDENTADOS2]],"BUSETA")</f>
        <v>0</v>
      </c>
      <c r="Z66" s="36">
        <f>COUNTIF(Tabla1[[#This Row],[VEHICULOS_ACCIDENTADOS]:[VEHICULOS_ACCIDENTADOS2]],"CAMION")</f>
        <v>0</v>
      </c>
      <c r="AA66" s="36">
        <f>COUNTIF(Tabla1[[#This Row],[VEHICULOS_ACCIDENTADOS]:[VEHICULOS_ACCIDENTADOS2]],"TRACTOCAMION")</f>
        <v>0</v>
      </c>
      <c r="AB66" s="36">
        <f>COUNTIF(Tabla1[[#This Row],[VEHICULOS_ACCIDENTADOS]:[VEHICULOS_ACCIDENTADOS2]],"VOLQUETA")</f>
        <v>0</v>
      </c>
      <c r="AC66" s="36">
        <f>COUNTIF(Tabla1[[#This Row],[VEHICULOS_ACCIDENTADOS]:[VEHICULOS_ACCIDENTADOS2]],"BICICLETA")</f>
        <v>0</v>
      </c>
      <c r="AD66" s="36" t="s">
        <v>471</v>
      </c>
      <c r="AE66" s="36" t="s">
        <v>471</v>
      </c>
      <c r="AF66" s="36">
        <f>COUNTIF(Tabla1[[#This Row],[GENERO_MASCULINO]:[GENERO_FEMENINO]],"MASCULINO")</f>
        <v>2</v>
      </c>
      <c r="AG66" s="36">
        <f>COUNTIF(Tabla1[[#This Row],[GENERO_MASCULINO]:[GENERO_FEMENINO]],"FEMENINO")</f>
        <v>0</v>
      </c>
      <c r="AH66" s="85">
        <v>32</v>
      </c>
      <c r="AI66" s="85">
        <v>36</v>
      </c>
      <c r="AJ66" s="85"/>
      <c r="AK66" s="78"/>
      <c r="AL66" s="78"/>
      <c r="AM66" s="59"/>
      <c r="AN66" s="61">
        <v>139</v>
      </c>
      <c r="AO66" s="36" t="str">
        <f>IFERROR(((VLOOKUP(Tabla1[[#This Row],[HIPOTESIS_1]],listas!$D$1:$E$105,2,FALSE))),"SIN INFORMACIÓN")</f>
        <v>Impericia en el manejo.</v>
      </c>
      <c r="AP66" s="36">
        <v>157</v>
      </c>
      <c r="AQ66" s="36" t="str">
        <f>IFERROR(((VLOOKUP(Tabla1[[#This Row],[HIPOTESIS_2]],listas!$D$1:$E$105,2,FALSE))),"")</f>
        <v>Otra</v>
      </c>
      <c r="AR66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67" spans="1:44" x14ac:dyDescent="0.25">
      <c r="A67" s="12">
        <v>108</v>
      </c>
      <c r="B67" s="36">
        <v>0</v>
      </c>
      <c r="C67" s="36">
        <v>1</v>
      </c>
      <c r="D67" s="36">
        <v>0</v>
      </c>
      <c r="E67" s="18" t="str">
        <f t="shared" si="4"/>
        <v>LESIONADO</v>
      </c>
      <c r="F67" s="29" t="s">
        <v>1112</v>
      </c>
      <c r="G67" s="17">
        <v>5.3304388888888887</v>
      </c>
      <c r="H67" s="17">
        <v>-72.392241666666678</v>
      </c>
      <c r="I67" s="93" t="s">
        <v>697</v>
      </c>
      <c r="J67" s="36" t="s">
        <v>717</v>
      </c>
      <c r="K67" s="24" t="str">
        <f t="shared" si="5"/>
        <v>2022</v>
      </c>
      <c r="L67" s="24" t="str">
        <f t="shared" si="6"/>
        <v>MARZO</v>
      </c>
      <c r="M67" s="225">
        <v>44651</v>
      </c>
      <c r="N67" s="24" t="str">
        <f t="shared" si="7"/>
        <v>JUEVES</v>
      </c>
      <c r="O67" s="101">
        <v>0.58333333333333304</v>
      </c>
      <c r="P67" s="63" t="s">
        <v>469</v>
      </c>
      <c r="Q67" s="63" t="s">
        <v>445</v>
      </c>
      <c r="R67" s="36">
        <f>COUNTIF(Tabla1[[#This Row],[VEHICULOS_ACCIDENTADOS]:[VEHICULOS_ACCIDENTADOS2]],"MOTOCICLETA")</f>
        <v>1</v>
      </c>
      <c r="S67" s="36">
        <f>COUNTIF(Tabla1[[#This Row],[VEHICULOS_ACCIDENTADOS]:[VEHICULOS_ACCIDENTADOS2]],"MOTOCARRO")</f>
        <v>0</v>
      </c>
      <c r="T67" s="36">
        <f>COUNTIF(Tabla1[[#This Row],[VEHICULOS_ACCIDENTADOS]:[VEHICULOS_ACCIDENTADOS2]],"AUTOMOVIL")</f>
        <v>0</v>
      </c>
      <c r="U67" s="36">
        <f>COUNTIF(Tabla1[[#This Row],[VEHICULOS_ACCIDENTADOS]:[VEHICULOS_ACCIDENTADOS2]],"CAMPERO")</f>
        <v>0</v>
      </c>
      <c r="V67" s="36">
        <f>COUNTIF(Tabla1[[#This Row],[VEHICULOS_ACCIDENTADOS]:[VEHICULOS_ACCIDENTADOS2]],"CAMIONETA")</f>
        <v>1</v>
      </c>
      <c r="W67" s="36">
        <f>COUNTIF(Tabla1[[#This Row],[VEHICULOS_ACCIDENTADOS]:[VEHICULOS_ACCIDENTADOS2]],"MICROBUS")</f>
        <v>0</v>
      </c>
      <c r="X67" s="36">
        <f>COUNTIF(Tabla1[[#This Row],[VEHICULOS_ACCIDENTADOS]:[VEHICULOS_ACCIDENTADOS2]],"BUS")</f>
        <v>0</v>
      </c>
      <c r="Y67" s="36">
        <f>COUNTIF(Tabla1[[#This Row],[VEHICULOS_ACCIDENTADOS]:[VEHICULOS_ACCIDENTADOS2]],"BUSETA")</f>
        <v>0</v>
      </c>
      <c r="Z67" s="36">
        <f>COUNTIF(Tabla1[[#This Row],[VEHICULOS_ACCIDENTADOS]:[VEHICULOS_ACCIDENTADOS2]],"CAMION")</f>
        <v>0</v>
      </c>
      <c r="AA67" s="36">
        <f>COUNTIF(Tabla1[[#This Row],[VEHICULOS_ACCIDENTADOS]:[VEHICULOS_ACCIDENTADOS2]],"TRACTOCAMION")</f>
        <v>0</v>
      </c>
      <c r="AB67" s="36">
        <f>COUNTIF(Tabla1[[#This Row],[VEHICULOS_ACCIDENTADOS]:[VEHICULOS_ACCIDENTADOS2]],"VOLQUETA")</f>
        <v>0</v>
      </c>
      <c r="AC67" s="36">
        <f>COUNTIF(Tabla1[[#This Row],[VEHICULOS_ACCIDENTADOS]:[VEHICULOS_ACCIDENTADOS2]],"BICICLETA")</f>
        <v>0</v>
      </c>
      <c r="AD67" s="36" t="s">
        <v>471</v>
      </c>
      <c r="AE67" s="36"/>
      <c r="AF67" s="36">
        <f>COUNTIF(Tabla1[[#This Row],[GENERO_MASCULINO]:[GENERO_FEMENINO]],"MASCULINO")</f>
        <v>1</v>
      </c>
      <c r="AG67" s="36">
        <f>COUNTIF(Tabla1[[#This Row],[GENERO_MASCULINO]:[GENERO_FEMENINO]],"FEMENINO")</f>
        <v>0</v>
      </c>
      <c r="AH67" s="61">
        <v>28</v>
      </c>
      <c r="AI67" s="61"/>
      <c r="AJ67" s="78"/>
      <c r="AK67" s="61"/>
      <c r="AL67" s="61"/>
      <c r="AM67" s="36"/>
      <c r="AN67" s="61">
        <v>112</v>
      </c>
      <c r="AO67" s="36" t="str">
        <f>IFERROR(((VLOOKUP(Tabla1[[#This Row],[HIPOTESIS_1]],listas!$D$1:$E$105,2,FALSE))),"SIN INFORMACIÓN")</f>
        <v>Desobedecer señales o normas de tránsito.</v>
      </c>
      <c r="AP67" s="36">
        <v>157</v>
      </c>
      <c r="AQ67" s="36" t="str">
        <f>IFERROR(((VLOOKUP(Tabla1[[#This Row],[HIPOTESIS_2]],listas!$D$1:$E$105,2,FALSE))),"")</f>
        <v>Otra</v>
      </c>
      <c r="AR67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68" spans="1:44" x14ac:dyDescent="0.25">
      <c r="A68" s="12">
        <v>617</v>
      </c>
      <c r="B68" s="36">
        <v>0</v>
      </c>
      <c r="C68" s="55">
        <v>3</v>
      </c>
      <c r="D68" s="55">
        <v>0</v>
      </c>
      <c r="E68" s="18" t="str">
        <f t="shared" si="4"/>
        <v>LESIONADO</v>
      </c>
      <c r="F68" s="29" t="s">
        <v>917</v>
      </c>
      <c r="G68" s="21">
        <v>5.3352463888888888</v>
      </c>
      <c r="H68" s="21">
        <v>-72.394839166666671</v>
      </c>
      <c r="I68" s="93" t="s">
        <v>697</v>
      </c>
      <c r="J68" s="36" t="s">
        <v>717</v>
      </c>
      <c r="K68" s="24" t="str">
        <f t="shared" si="5"/>
        <v>2023</v>
      </c>
      <c r="L68" s="24" t="str">
        <f t="shared" si="6"/>
        <v>NOVIEMBRE</v>
      </c>
      <c r="M68" s="225">
        <v>45251</v>
      </c>
      <c r="N68" s="24" t="str">
        <f t="shared" si="7"/>
        <v>MARTES</v>
      </c>
      <c r="O68" s="101">
        <v>0.88888888888888884</v>
      </c>
      <c r="P68" s="57" t="s">
        <v>469</v>
      </c>
      <c r="Q68" s="57" t="s">
        <v>469</v>
      </c>
      <c r="R68" s="36">
        <f>COUNTIF(Tabla1[[#This Row],[VEHICULOS_ACCIDENTADOS]:[VEHICULOS_ACCIDENTADOS2]],"MOTOCICLETA")</f>
        <v>2</v>
      </c>
      <c r="S68" s="36">
        <f>COUNTIF(Tabla1[[#This Row],[VEHICULOS_ACCIDENTADOS]:[VEHICULOS_ACCIDENTADOS2]],"MOTOCARRO")</f>
        <v>0</v>
      </c>
      <c r="T68" s="36">
        <f>COUNTIF(Tabla1[[#This Row],[VEHICULOS_ACCIDENTADOS]:[VEHICULOS_ACCIDENTADOS2]],"AUTOMOVIL")</f>
        <v>0</v>
      </c>
      <c r="U68" s="36">
        <f>COUNTIF(Tabla1[[#This Row],[VEHICULOS_ACCIDENTADOS]:[VEHICULOS_ACCIDENTADOS2]],"CAMPERO")</f>
        <v>0</v>
      </c>
      <c r="V68" s="36">
        <f>COUNTIF(Tabla1[[#This Row],[VEHICULOS_ACCIDENTADOS]:[VEHICULOS_ACCIDENTADOS2]],"CAMIONETA")</f>
        <v>0</v>
      </c>
      <c r="W68" s="36">
        <f>COUNTIF(Tabla1[[#This Row],[VEHICULOS_ACCIDENTADOS]:[VEHICULOS_ACCIDENTADOS2]],"MICROBUS")</f>
        <v>0</v>
      </c>
      <c r="X68" s="36">
        <f>COUNTIF(Tabla1[[#This Row],[VEHICULOS_ACCIDENTADOS]:[VEHICULOS_ACCIDENTADOS2]],"BUS")</f>
        <v>0</v>
      </c>
      <c r="Y68" s="36">
        <f>COUNTIF(Tabla1[[#This Row],[VEHICULOS_ACCIDENTADOS]:[VEHICULOS_ACCIDENTADOS2]],"BUSETA")</f>
        <v>0</v>
      </c>
      <c r="Z68" s="36">
        <f>COUNTIF(Tabla1[[#This Row],[VEHICULOS_ACCIDENTADOS]:[VEHICULOS_ACCIDENTADOS2]],"CAMION")</f>
        <v>0</v>
      </c>
      <c r="AA68" s="36">
        <f>COUNTIF(Tabla1[[#This Row],[VEHICULOS_ACCIDENTADOS]:[VEHICULOS_ACCIDENTADOS2]],"TRACTOCAMION")</f>
        <v>0</v>
      </c>
      <c r="AB68" s="36">
        <f>COUNTIF(Tabla1[[#This Row],[VEHICULOS_ACCIDENTADOS]:[VEHICULOS_ACCIDENTADOS2]],"VOLQUETA")</f>
        <v>0</v>
      </c>
      <c r="AC68" s="36">
        <f>COUNTIF(Tabla1[[#This Row],[VEHICULOS_ACCIDENTADOS]:[VEHICULOS_ACCIDENTADOS2]],"BICICLETA")</f>
        <v>0</v>
      </c>
      <c r="AD68" s="36" t="s">
        <v>471</v>
      </c>
      <c r="AE68" s="36" t="s">
        <v>472</v>
      </c>
      <c r="AF68" s="36">
        <f>COUNTIF(Tabla1[[#This Row],[GENERO_MASCULINO]:[GENERO_FEMENINO]],"MASCULINO")</f>
        <v>1</v>
      </c>
      <c r="AG68" s="36">
        <f>COUNTIF(Tabla1[[#This Row],[GENERO_MASCULINO]:[GENERO_FEMENINO]],"FEMENINO")</f>
        <v>1</v>
      </c>
      <c r="AH68" s="85">
        <v>23</v>
      </c>
      <c r="AI68" s="85">
        <v>23</v>
      </c>
      <c r="AJ68" s="78"/>
      <c r="AK68" s="78"/>
      <c r="AL68" s="78">
        <v>15</v>
      </c>
      <c r="AM68" s="59"/>
      <c r="AN68" s="61">
        <v>116</v>
      </c>
      <c r="AO68" s="36" t="str">
        <f>IFERROR(((VLOOKUP(Tabla1[[#This Row],[HIPOTESIS_1]],listas!$D$1:$E$105,2,FALSE))),"SIN INFORMACIÓN")</f>
        <v>Exceso de velocidad</v>
      </c>
      <c r="AP68" s="36">
        <v>157</v>
      </c>
      <c r="AQ68" s="36" t="str">
        <f>IFERROR(((VLOOKUP(Tabla1[[#This Row],[HIPOTESIS_2]],listas!$D$1:$E$105,2,FALSE))),"")</f>
        <v>Otra</v>
      </c>
      <c r="AR68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69" spans="1:44" x14ac:dyDescent="0.25">
      <c r="A69" s="12">
        <v>609</v>
      </c>
      <c r="B69" s="36">
        <v>0</v>
      </c>
      <c r="C69" s="36">
        <v>2</v>
      </c>
      <c r="D69" s="36">
        <v>0</v>
      </c>
      <c r="E69" s="18" t="str">
        <f t="shared" si="4"/>
        <v>LESIONADO</v>
      </c>
      <c r="F69" s="29" t="s">
        <v>181</v>
      </c>
      <c r="G69" s="21">
        <v>5.3383750000000001</v>
      </c>
      <c r="H69" s="21">
        <v>-72.396538888888898</v>
      </c>
      <c r="I69" s="93" t="s">
        <v>697</v>
      </c>
      <c r="J69" s="36" t="s">
        <v>717</v>
      </c>
      <c r="K69" s="24" t="str">
        <f t="shared" si="5"/>
        <v>2023</v>
      </c>
      <c r="L69" s="24" t="str">
        <f t="shared" si="6"/>
        <v>NOVIEMBRE</v>
      </c>
      <c r="M69" s="225">
        <v>45244</v>
      </c>
      <c r="N69" s="24" t="str">
        <f t="shared" si="7"/>
        <v>MARTES</v>
      </c>
      <c r="O69" s="101">
        <v>0.46527777777777773</v>
      </c>
      <c r="P69" s="57" t="s">
        <v>469</v>
      </c>
      <c r="Q69" s="57" t="s">
        <v>447</v>
      </c>
      <c r="R69" s="36">
        <f>COUNTIF(Tabla1[[#This Row],[VEHICULOS_ACCIDENTADOS]:[VEHICULOS_ACCIDENTADOS2]],"MOTOCICLETA")</f>
        <v>1</v>
      </c>
      <c r="S69" s="36">
        <f>COUNTIF(Tabla1[[#This Row],[VEHICULOS_ACCIDENTADOS]:[VEHICULOS_ACCIDENTADOS2]],"MOTOCARRO")</f>
        <v>0</v>
      </c>
      <c r="T69" s="36">
        <f>COUNTIF(Tabla1[[#This Row],[VEHICULOS_ACCIDENTADOS]:[VEHICULOS_ACCIDENTADOS2]],"AUTOMOVIL")</f>
        <v>1</v>
      </c>
      <c r="U69" s="36">
        <f>COUNTIF(Tabla1[[#This Row],[VEHICULOS_ACCIDENTADOS]:[VEHICULOS_ACCIDENTADOS2]],"CAMPERO")</f>
        <v>0</v>
      </c>
      <c r="V69" s="36">
        <f>COUNTIF(Tabla1[[#This Row],[VEHICULOS_ACCIDENTADOS]:[VEHICULOS_ACCIDENTADOS2]],"CAMIONETA")</f>
        <v>0</v>
      </c>
      <c r="W69" s="36">
        <f>COUNTIF(Tabla1[[#This Row],[VEHICULOS_ACCIDENTADOS]:[VEHICULOS_ACCIDENTADOS2]],"MICROBUS")</f>
        <v>0</v>
      </c>
      <c r="X69" s="36">
        <f>COUNTIF(Tabla1[[#This Row],[VEHICULOS_ACCIDENTADOS]:[VEHICULOS_ACCIDENTADOS2]],"BUS")</f>
        <v>0</v>
      </c>
      <c r="Y69" s="36">
        <f>COUNTIF(Tabla1[[#This Row],[VEHICULOS_ACCIDENTADOS]:[VEHICULOS_ACCIDENTADOS2]],"BUSETA")</f>
        <v>0</v>
      </c>
      <c r="Z69" s="36">
        <f>COUNTIF(Tabla1[[#This Row],[VEHICULOS_ACCIDENTADOS]:[VEHICULOS_ACCIDENTADOS2]],"CAMION")</f>
        <v>0</v>
      </c>
      <c r="AA69" s="36">
        <f>COUNTIF(Tabla1[[#This Row],[VEHICULOS_ACCIDENTADOS]:[VEHICULOS_ACCIDENTADOS2]],"TRACTOCAMION")</f>
        <v>0</v>
      </c>
      <c r="AB69" s="36">
        <f>COUNTIF(Tabla1[[#This Row],[VEHICULOS_ACCIDENTADOS]:[VEHICULOS_ACCIDENTADOS2]],"VOLQUETA")</f>
        <v>0</v>
      </c>
      <c r="AC69" s="36">
        <f>COUNTIF(Tabla1[[#This Row],[VEHICULOS_ACCIDENTADOS]:[VEHICULOS_ACCIDENTADOS2]],"BICICLETA")</f>
        <v>0</v>
      </c>
      <c r="AD69" s="36"/>
      <c r="AE69" s="36" t="s">
        <v>472</v>
      </c>
      <c r="AF69" s="36">
        <f>COUNTIF(Tabla1[[#This Row],[GENERO_MASCULINO]:[GENERO_FEMENINO]],"MASCULINO")</f>
        <v>0</v>
      </c>
      <c r="AG69" s="36">
        <f>COUNTIF(Tabla1[[#This Row],[GENERO_MASCULINO]:[GENERO_FEMENINO]],"FEMENINO")</f>
        <v>1</v>
      </c>
      <c r="AH69" s="61">
        <v>29</v>
      </c>
      <c r="AI69" s="61"/>
      <c r="AJ69" s="61"/>
      <c r="AK69" s="61"/>
      <c r="AL69" s="61">
        <v>0.4</v>
      </c>
      <c r="AM69" s="36"/>
      <c r="AN69" s="61">
        <v>121</v>
      </c>
      <c r="AO69" s="36" t="str">
        <f>IFERROR(((VLOOKUP(Tabla1[[#This Row],[HIPOTESIS_1]],listas!$D$1:$E$105,2,FALSE))),"SIN INFORMACIÓN")</f>
        <v>No mantener distancia de seguridad.</v>
      </c>
      <c r="AP69" s="36">
        <v>157</v>
      </c>
      <c r="AQ69" s="36" t="str">
        <f>IFERROR(((VLOOKUP(Tabla1[[#This Row],[HIPOTESIS_2]],listas!$D$1:$E$105,2,FALSE))),"")</f>
        <v>Otra</v>
      </c>
      <c r="AR69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70" spans="1:44" x14ac:dyDescent="0.25">
      <c r="A70" s="12">
        <v>971</v>
      </c>
      <c r="B70" s="136">
        <v>0</v>
      </c>
      <c r="C70" s="136">
        <v>1</v>
      </c>
      <c r="D70" s="141">
        <v>0</v>
      </c>
      <c r="E70" s="18" t="str">
        <f t="shared" si="4"/>
        <v>LESIONADO</v>
      </c>
      <c r="F70" s="26" t="s">
        <v>21</v>
      </c>
      <c r="G70" s="20">
        <v>5.3368080000000004</v>
      </c>
      <c r="H70" s="20">
        <v>-72.395600999999999</v>
      </c>
      <c r="I70" s="93" t="s">
        <v>697</v>
      </c>
      <c r="J70" s="135" t="s">
        <v>717</v>
      </c>
      <c r="K70" s="24" t="str">
        <f t="shared" si="5"/>
        <v>2025</v>
      </c>
      <c r="L70" s="24" t="str">
        <f t="shared" si="6"/>
        <v>MAYO</v>
      </c>
      <c r="M70" s="224">
        <v>45800</v>
      </c>
      <c r="N70" s="24" t="str">
        <f t="shared" si="7"/>
        <v>VIERNES</v>
      </c>
      <c r="O70" s="171">
        <v>0.73958333333333337</v>
      </c>
      <c r="P70" s="63" t="s">
        <v>469</v>
      </c>
      <c r="Q70" s="63" t="s">
        <v>469</v>
      </c>
      <c r="R70" s="36">
        <f>COUNTIF(Tabla1[[#This Row],[VEHICULOS_ACCIDENTADOS]:[VEHICULOS_ACCIDENTADOS2]],"MOTOCICLETA")</f>
        <v>2</v>
      </c>
      <c r="S70" s="36">
        <f>COUNTIF(Tabla1[[#This Row],[VEHICULOS_ACCIDENTADOS]:[VEHICULOS_ACCIDENTADOS2]],"MOTOCARRO")</f>
        <v>0</v>
      </c>
      <c r="T70" s="36">
        <f>COUNTIF(Tabla1[[#This Row],[VEHICULOS_ACCIDENTADOS]:[VEHICULOS_ACCIDENTADOS2]],"AUTOMOVIL")</f>
        <v>0</v>
      </c>
      <c r="U70" s="36">
        <f>COUNTIF(Tabla1[[#This Row],[VEHICULOS_ACCIDENTADOS]:[VEHICULOS_ACCIDENTADOS2]],"CAMPERO")</f>
        <v>0</v>
      </c>
      <c r="V70" s="36">
        <f>COUNTIF(Tabla1[[#This Row],[VEHICULOS_ACCIDENTADOS]:[VEHICULOS_ACCIDENTADOS2]],"CAMIONETA")</f>
        <v>0</v>
      </c>
      <c r="W70" s="36">
        <f>COUNTIF(Tabla1[[#This Row],[VEHICULOS_ACCIDENTADOS]:[VEHICULOS_ACCIDENTADOS2]],"MICROBUS")</f>
        <v>0</v>
      </c>
      <c r="X70" s="36">
        <f>COUNTIF(Tabla1[[#This Row],[VEHICULOS_ACCIDENTADOS]:[VEHICULOS_ACCIDENTADOS2]],"BUS")</f>
        <v>0</v>
      </c>
      <c r="Y70" s="36">
        <f>COUNTIF(Tabla1[[#This Row],[VEHICULOS_ACCIDENTADOS]:[VEHICULOS_ACCIDENTADOS2]],"BUSETA")</f>
        <v>0</v>
      </c>
      <c r="Z70" s="36">
        <f>COUNTIF(Tabla1[[#This Row],[VEHICULOS_ACCIDENTADOS]:[VEHICULOS_ACCIDENTADOS2]],"CAMION")</f>
        <v>0</v>
      </c>
      <c r="AA70" s="36">
        <f>COUNTIF(Tabla1[[#This Row],[VEHICULOS_ACCIDENTADOS]:[VEHICULOS_ACCIDENTADOS2]],"TRACTOCAMION")</f>
        <v>0</v>
      </c>
      <c r="AB70" s="36">
        <f>COUNTIF(Tabla1[[#This Row],[VEHICULOS_ACCIDENTADOS]:[VEHICULOS_ACCIDENTADOS2]],"VOLQUETA")</f>
        <v>0</v>
      </c>
      <c r="AC70" s="36">
        <f>COUNTIF(Tabla1[[#This Row],[VEHICULOS_ACCIDENTADOS]:[VEHICULOS_ACCIDENTADOS2]],"BICICLETA")</f>
        <v>0</v>
      </c>
      <c r="AD70" s="36" t="s">
        <v>471</v>
      </c>
      <c r="AE70" s="36" t="s">
        <v>471</v>
      </c>
      <c r="AF70" s="36">
        <f>COUNTIF(Tabla1[[#This Row],[GENERO_MASCULINO]:[GENERO_FEMENINO]],"MASCULINO")</f>
        <v>2</v>
      </c>
      <c r="AG70" s="36">
        <f>COUNTIF(Tabla1[[#This Row],[GENERO_MASCULINO]:[GENERO_FEMENINO]],"FEMENINO")</f>
        <v>0</v>
      </c>
      <c r="AH70" s="85">
        <v>43</v>
      </c>
      <c r="AI70" s="85">
        <v>21</v>
      </c>
      <c r="AJ70" s="85"/>
      <c r="AK70" s="85">
        <v>14</v>
      </c>
      <c r="AL70" s="78"/>
      <c r="AM70" s="59"/>
      <c r="AN70" s="85">
        <v>139</v>
      </c>
      <c r="AO70" s="36" t="str">
        <f>IFERROR(((VLOOKUP(Tabla1[[#This Row],[HIPOTESIS_1]],listas!$D$1:$E$105,2,FALSE))),"SIN INFORMACIÓN")</f>
        <v>Impericia en el manejo.</v>
      </c>
      <c r="AP70" s="36">
        <v>157</v>
      </c>
      <c r="AQ70" s="36" t="str">
        <f>IFERROR(((VLOOKUP(Tabla1[[#This Row],[HIPOTESIS_2]],listas!$D$1:$E$105,2,FALSE))),"")</f>
        <v>Otra</v>
      </c>
      <c r="AR70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71" spans="1:44" x14ac:dyDescent="0.25">
      <c r="A71" s="12">
        <v>819</v>
      </c>
      <c r="B71" s="135">
        <v>0</v>
      </c>
      <c r="C71" s="136">
        <v>2</v>
      </c>
      <c r="D71" s="141">
        <v>0</v>
      </c>
      <c r="E71" s="18" t="str">
        <f t="shared" si="4"/>
        <v>LESIONADO</v>
      </c>
      <c r="F71" s="26" t="s">
        <v>100</v>
      </c>
      <c r="G71" s="21">
        <v>5.332841666666666</v>
      </c>
      <c r="H71" s="21">
        <v>-72.393502777777783</v>
      </c>
      <c r="I71" s="93" t="s">
        <v>697</v>
      </c>
      <c r="J71" s="36" t="s">
        <v>717</v>
      </c>
      <c r="K71" s="24" t="str">
        <f t="shared" si="5"/>
        <v>2024</v>
      </c>
      <c r="L71" s="24" t="str">
        <f t="shared" si="6"/>
        <v>NOVIEMBRE</v>
      </c>
      <c r="M71" s="224">
        <v>45618</v>
      </c>
      <c r="N71" s="24" t="str">
        <f t="shared" si="7"/>
        <v>VIERNES</v>
      </c>
      <c r="O71" s="171">
        <v>0.98819444444444438</v>
      </c>
      <c r="P71" s="178" t="s">
        <v>469</v>
      </c>
      <c r="Q71" s="178" t="s">
        <v>446</v>
      </c>
      <c r="R71" s="36">
        <f>COUNTIF(Tabla1[[#This Row],[VEHICULOS_ACCIDENTADOS]:[VEHICULOS_ACCIDENTADOS2]],"MOTOCICLETA")</f>
        <v>1</v>
      </c>
      <c r="S71" s="36">
        <f>COUNTIF(Tabla1[[#This Row],[VEHICULOS_ACCIDENTADOS]:[VEHICULOS_ACCIDENTADOS2]],"MOTOCARRO")</f>
        <v>0</v>
      </c>
      <c r="T71" s="36">
        <f>COUNTIF(Tabla1[[#This Row],[VEHICULOS_ACCIDENTADOS]:[VEHICULOS_ACCIDENTADOS2]],"AUTOMOVIL")</f>
        <v>0</v>
      </c>
      <c r="U71" s="36">
        <f>COUNTIF(Tabla1[[#This Row],[VEHICULOS_ACCIDENTADOS]:[VEHICULOS_ACCIDENTADOS2]],"CAMPERO")</f>
        <v>1</v>
      </c>
      <c r="V71" s="36">
        <f>COUNTIF(Tabla1[[#This Row],[VEHICULOS_ACCIDENTADOS]:[VEHICULOS_ACCIDENTADOS2]],"CAMIONETA")</f>
        <v>0</v>
      </c>
      <c r="W71" s="36">
        <f>COUNTIF(Tabla1[[#This Row],[VEHICULOS_ACCIDENTADOS]:[VEHICULOS_ACCIDENTADOS2]],"MICROBUS")</f>
        <v>0</v>
      </c>
      <c r="X71" s="36">
        <f>COUNTIF(Tabla1[[#This Row],[VEHICULOS_ACCIDENTADOS]:[VEHICULOS_ACCIDENTADOS2]],"BUS")</f>
        <v>0</v>
      </c>
      <c r="Y71" s="36">
        <f>COUNTIF(Tabla1[[#This Row],[VEHICULOS_ACCIDENTADOS]:[VEHICULOS_ACCIDENTADOS2]],"BUSETA")</f>
        <v>0</v>
      </c>
      <c r="Z71" s="36">
        <f>COUNTIF(Tabla1[[#This Row],[VEHICULOS_ACCIDENTADOS]:[VEHICULOS_ACCIDENTADOS2]],"CAMION")</f>
        <v>0</v>
      </c>
      <c r="AA71" s="36">
        <f>COUNTIF(Tabla1[[#This Row],[VEHICULOS_ACCIDENTADOS]:[VEHICULOS_ACCIDENTADOS2]],"TRACTOCAMION")</f>
        <v>0</v>
      </c>
      <c r="AB71" s="36">
        <f>COUNTIF(Tabla1[[#This Row],[VEHICULOS_ACCIDENTADOS]:[VEHICULOS_ACCIDENTADOS2]],"VOLQUETA")</f>
        <v>0</v>
      </c>
      <c r="AC71" s="36">
        <f>COUNTIF(Tabla1[[#This Row],[VEHICULOS_ACCIDENTADOS]:[VEHICULOS_ACCIDENTADOS2]],"BICICLETA")</f>
        <v>0</v>
      </c>
      <c r="AD71" s="136" t="s">
        <v>471</v>
      </c>
      <c r="AE71" s="136" t="s">
        <v>472</v>
      </c>
      <c r="AF71" s="136">
        <f>COUNTIF(Tabla1[[#This Row],[GENERO_MASCULINO]:[GENERO_FEMENINO]],"MASCULINO")</f>
        <v>1</v>
      </c>
      <c r="AG71" s="36">
        <f>COUNTIF(Tabla1[[#This Row],[GENERO_MASCULINO]:[GENERO_FEMENINO]],"FEMENINO")</f>
        <v>1</v>
      </c>
      <c r="AH71" s="85">
        <v>30</v>
      </c>
      <c r="AI71" s="85">
        <v>16</v>
      </c>
      <c r="AJ71" s="85">
        <v>15</v>
      </c>
      <c r="AK71" s="85"/>
      <c r="AL71" s="85"/>
      <c r="AM71" s="136"/>
      <c r="AN71" s="85">
        <v>123</v>
      </c>
      <c r="AO71" s="36" t="str">
        <f>IFERROR(((VLOOKUP(Tabla1[[#This Row],[HIPOTESIS_1]],listas!$D$1:$E$105,2,FALSE))),"SIN INFORMACIÓN")</f>
        <v>No respetar prelación de intersecciones o giros.</v>
      </c>
      <c r="AP71" s="136">
        <v>157</v>
      </c>
      <c r="AQ71" s="36" t="str">
        <f>IFERROR(((VLOOKUP(Tabla1[[#This Row],[HIPOTESIS_2]],listas!$D$1:$E$105,2,FALSE))),"")</f>
        <v>Otra</v>
      </c>
      <c r="AR71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72" spans="1:44" x14ac:dyDescent="0.25">
      <c r="A72" s="12">
        <v>431</v>
      </c>
      <c r="B72" s="36">
        <v>0</v>
      </c>
      <c r="C72" s="36">
        <v>2</v>
      </c>
      <c r="D72" s="36">
        <v>0</v>
      </c>
      <c r="E72" s="18" t="str">
        <f t="shared" si="4"/>
        <v>LESIONADO</v>
      </c>
      <c r="F72" s="29" t="s">
        <v>270</v>
      </c>
      <c r="G72" s="21">
        <v>5.3036366666666668</v>
      </c>
      <c r="H72" s="21">
        <v>-72.41057722222223</v>
      </c>
      <c r="I72" s="93" t="s">
        <v>697</v>
      </c>
      <c r="J72" s="36" t="s">
        <v>717</v>
      </c>
      <c r="K72" s="24" t="str">
        <f t="shared" si="5"/>
        <v>2023</v>
      </c>
      <c r="L72" s="24" t="str">
        <f t="shared" si="6"/>
        <v>MARZO</v>
      </c>
      <c r="M72" s="225">
        <v>45002</v>
      </c>
      <c r="N72" s="24" t="str">
        <f t="shared" si="7"/>
        <v>VIERNES</v>
      </c>
      <c r="O72" s="101">
        <v>0.4236111111111111</v>
      </c>
      <c r="P72" s="57" t="s">
        <v>469</v>
      </c>
      <c r="Q72" s="57" t="s">
        <v>469</v>
      </c>
      <c r="R72" s="36">
        <f>COUNTIF(Tabla1[[#This Row],[VEHICULOS_ACCIDENTADOS]:[VEHICULOS_ACCIDENTADOS2]],"MOTOCICLETA")</f>
        <v>2</v>
      </c>
      <c r="S72" s="36">
        <f>COUNTIF(Tabla1[[#This Row],[VEHICULOS_ACCIDENTADOS]:[VEHICULOS_ACCIDENTADOS2]],"MOTOCARRO")</f>
        <v>0</v>
      </c>
      <c r="T72" s="36">
        <f>COUNTIF(Tabla1[[#This Row],[VEHICULOS_ACCIDENTADOS]:[VEHICULOS_ACCIDENTADOS2]],"AUTOMOVIL")</f>
        <v>0</v>
      </c>
      <c r="U72" s="36">
        <f>COUNTIF(Tabla1[[#This Row],[VEHICULOS_ACCIDENTADOS]:[VEHICULOS_ACCIDENTADOS2]],"CAMPERO")</f>
        <v>0</v>
      </c>
      <c r="V72" s="36">
        <f>COUNTIF(Tabla1[[#This Row],[VEHICULOS_ACCIDENTADOS]:[VEHICULOS_ACCIDENTADOS2]],"CAMIONETA")</f>
        <v>0</v>
      </c>
      <c r="W72" s="36">
        <f>COUNTIF(Tabla1[[#This Row],[VEHICULOS_ACCIDENTADOS]:[VEHICULOS_ACCIDENTADOS2]],"MICROBUS")</f>
        <v>0</v>
      </c>
      <c r="X72" s="36">
        <f>COUNTIF(Tabla1[[#This Row],[VEHICULOS_ACCIDENTADOS]:[VEHICULOS_ACCIDENTADOS2]],"BUS")</f>
        <v>0</v>
      </c>
      <c r="Y72" s="36">
        <f>COUNTIF(Tabla1[[#This Row],[VEHICULOS_ACCIDENTADOS]:[VEHICULOS_ACCIDENTADOS2]],"BUSETA")</f>
        <v>0</v>
      </c>
      <c r="Z72" s="36">
        <f>COUNTIF(Tabla1[[#This Row],[VEHICULOS_ACCIDENTADOS]:[VEHICULOS_ACCIDENTADOS2]],"CAMION")</f>
        <v>0</v>
      </c>
      <c r="AA72" s="36">
        <f>COUNTIF(Tabla1[[#This Row],[VEHICULOS_ACCIDENTADOS]:[VEHICULOS_ACCIDENTADOS2]],"TRACTOCAMION")</f>
        <v>0</v>
      </c>
      <c r="AB72" s="36">
        <f>COUNTIF(Tabla1[[#This Row],[VEHICULOS_ACCIDENTADOS]:[VEHICULOS_ACCIDENTADOS2]],"VOLQUETA")</f>
        <v>0</v>
      </c>
      <c r="AC72" s="36">
        <f>COUNTIF(Tabla1[[#This Row],[VEHICULOS_ACCIDENTADOS]:[VEHICULOS_ACCIDENTADOS2]],"BICICLETA")</f>
        <v>0</v>
      </c>
      <c r="AD72" s="36" t="s">
        <v>471</v>
      </c>
      <c r="AE72" s="36"/>
      <c r="AF72" s="36">
        <f>COUNTIF(Tabla1[[#This Row],[GENERO_MASCULINO]:[GENERO_FEMENINO]],"MASCULINO")</f>
        <v>1</v>
      </c>
      <c r="AG72" s="36">
        <f>COUNTIF(Tabla1[[#This Row],[GENERO_MASCULINO]:[GENERO_FEMENINO]],"FEMENINO")</f>
        <v>0</v>
      </c>
      <c r="AH72" s="61">
        <v>25</v>
      </c>
      <c r="AI72" s="61"/>
      <c r="AJ72" s="61"/>
      <c r="AK72" s="61"/>
      <c r="AL72" s="61">
        <v>22</v>
      </c>
      <c r="AM72" s="36"/>
      <c r="AN72" s="61">
        <v>139</v>
      </c>
      <c r="AO72" s="36" t="str">
        <f>IFERROR(((VLOOKUP(Tabla1[[#This Row],[HIPOTESIS_1]],listas!$D$1:$E$105,2,FALSE))),"SIN INFORMACIÓN")</f>
        <v>Impericia en el manejo.</v>
      </c>
      <c r="AP72" s="36">
        <v>157</v>
      </c>
      <c r="AQ72" s="36" t="str">
        <f>IFERROR(((VLOOKUP(Tabla1[[#This Row],[HIPOTESIS_2]],listas!$D$1:$E$105,2,FALSE))),"")</f>
        <v>Otra</v>
      </c>
      <c r="AR72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73" spans="1:44" x14ac:dyDescent="0.25">
      <c r="A73" s="12">
        <v>741</v>
      </c>
      <c r="B73" s="36">
        <v>0</v>
      </c>
      <c r="C73" s="36">
        <v>0</v>
      </c>
      <c r="D73" s="144">
        <v>1</v>
      </c>
      <c r="E73" s="18" t="str">
        <f t="shared" si="4"/>
        <v>FALLECIDO</v>
      </c>
      <c r="F73" s="36" t="s">
        <v>921</v>
      </c>
      <c r="G73" s="21">
        <v>5.3402691666666664</v>
      </c>
      <c r="H73" s="21">
        <v>-72.396330277777778</v>
      </c>
      <c r="I73" s="93" t="s">
        <v>697</v>
      </c>
      <c r="J73" s="136" t="s">
        <v>717</v>
      </c>
      <c r="K73" s="24" t="str">
        <f t="shared" si="5"/>
        <v>2024</v>
      </c>
      <c r="L73" s="24" t="str">
        <f t="shared" si="6"/>
        <v>JULIO</v>
      </c>
      <c r="M73" s="225">
        <v>45479</v>
      </c>
      <c r="N73" s="24" t="str">
        <f t="shared" si="7"/>
        <v>SÁBADO</v>
      </c>
      <c r="O73" s="101">
        <v>0.93055555555555547</v>
      </c>
      <c r="P73" s="57" t="s">
        <v>469</v>
      </c>
      <c r="Q73" s="57"/>
      <c r="R73" s="36">
        <f>COUNTIF(Tabla1[[#This Row],[VEHICULOS_ACCIDENTADOS]:[VEHICULOS_ACCIDENTADOS2]],"MOTOCICLETA")</f>
        <v>1</v>
      </c>
      <c r="S73" s="36">
        <f>COUNTIF(Tabla1[[#This Row],[VEHICULOS_ACCIDENTADOS]:[VEHICULOS_ACCIDENTADOS2]],"MOTOCARRO")</f>
        <v>0</v>
      </c>
      <c r="T73" s="36">
        <f>COUNTIF(Tabla1[[#This Row],[VEHICULOS_ACCIDENTADOS]:[VEHICULOS_ACCIDENTADOS2]],"AUTOMOVIL")</f>
        <v>0</v>
      </c>
      <c r="U73" s="36">
        <f>COUNTIF(Tabla1[[#This Row],[VEHICULOS_ACCIDENTADOS]:[VEHICULOS_ACCIDENTADOS2]],"CAMPERO")</f>
        <v>0</v>
      </c>
      <c r="V73" s="36">
        <f>COUNTIF(Tabla1[[#This Row],[VEHICULOS_ACCIDENTADOS]:[VEHICULOS_ACCIDENTADOS2]],"CAMIONETA")</f>
        <v>0</v>
      </c>
      <c r="W73" s="36">
        <f>COUNTIF(Tabla1[[#This Row],[VEHICULOS_ACCIDENTADOS]:[VEHICULOS_ACCIDENTADOS2]],"MICROBUS")</f>
        <v>0</v>
      </c>
      <c r="X73" s="36">
        <f>COUNTIF(Tabla1[[#This Row],[VEHICULOS_ACCIDENTADOS]:[VEHICULOS_ACCIDENTADOS2]],"BUS")</f>
        <v>0</v>
      </c>
      <c r="Y73" s="36">
        <f>COUNTIF(Tabla1[[#This Row],[VEHICULOS_ACCIDENTADOS]:[VEHICULOS_ACCIDENTADOS2]],"BUSETA")</f>
        <v>0</v>
      </c>
      <c r="Z73" s="36">
        <f>COUNTIF(Tabla1[[#This Row],[VEHICULOS_ACCIDENTADOS]:[VEHICULOS_ACCIDENTADOS2]],"CAMION")</f>
        <v>0</v>
      </c>
      <c r="AA73" s="36">
        <f>COUNTIF(Tabla1[[#This Row],[VEHICULOS_ACCIDENTADOS]:[VEHICULOS_ACCIDENTADOS2]],"TRACTOCAMION")</f>
        <v>0</v>
      </c>
      <c r="AB73" s="36">
        <f>COUNTIF(Tabla1[[#This Row],[VEHICULOS_ACCIDENTADOS]:[VEHICULOS_ACCIDENTADOS2]],"VOLQUETA")</f>
        <v>0</v>
      </c>
      <c r="AC73" s="36">
        <f>COUNTIF(Tabla1[[#This Row],[VEHICULOS_ACCIDENTADOS]:[VEHICULOS_ACCIDENTADOS2]],"BICICLETA")</f>
        <v>0</v>
      </c>
      <c r="AD73" s="36"/>
      <c r="AE73" s="36" t="s">
        <v>472</v>
      </c>
      <c r="AF73" s="36">
        <f>COUNTIF(Tabla1[[#This Row],[GENERO_MASCULINO]:[GENERO_FEMENINO]],"MASCULINO")</f>
        <v>0</v>
      </c>
      <c r="AG73" s="36">
        <f>COUNTIF(Tabla1[[#This Row],[GENERO_MASCULINO]:[GENERO_FEMENINO]],"FEMENINO")</f>
        <v>1</v>
      </c>
      <c r="AH73" s="61"/>
      <c r="AI73" s="61"/>
      <c r="AJ73" s="61"/>
      <c r="AK73" s="61"/>
      <c r="AL73" s="61"/>
      <c r="AM73" s="36">
        <v>26</v>
      </c>
      <c r="AN73" s="61">
        <v>139</v>
      </c>
      <c r="AO73" s="36" t="str">
        <f>IFERROR(((VLOOKUP(Tabla1[[#This Row],[HIPOTESIS_1]],listas!$D$1:$E$105,2,FALSE))),"SIN INFORMACIÓN")</f>
        <v>Impericia en el manejo.</v>
      </c>
      <c r="AP73" s="36">
        <v>157</v>
      </c>
      <c r="AQ73" s="36" t="str">
        <f>IFERROR(((VLOOKUP(Tabla1[[#This Row],[HIPOTESIS_2]],listas!$D$1:$E$105,2,FALSE))),"")</f>
        <v>Otra</v>
      </c>
      <c r="AR73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74" spans="1:44" x14ac:dyDescent="0.25">
      <c r="A74" s="12">
        <v>303</v>
      </c>
      <c r="B74" s="36">
        <v>0</v>
      </c>
      <c r="C74" s="36">
        <v>1</v>
      </c>
      <c r="D74" s="36">
        <v>0</v>
      </c>
      <c r="E74" s="18" t="str">
        <f t="shared" si="4"/>
        <v>LESIONADO</v>
      </c>
      <c r="F74" s="29" t="s">
        <v>1114</v>
      </c>
      <c r="G74" s="17">
        <v>5.3467961111111109</v>
      </c>
      <c r="H74" s="17">
        <v>-72.39990111111112</v>
      </c>
      <c r="I74" s="93" t="s">
        <v>697</v>
      </c>
      <c r="J74" s="36" t="s">
        <v>717</v>
      </c>
      <c r="K74" s="24" t="str">
        <f t="shared" si="5"/>
        <v>2022</v>
      </c>
      <c r="L74" s="24" t="str">
        <f t="shared" si="6"/>
        <v>SEPTIEMBRE</v>
      </c>
      <c r="M74" s="225">
        <v>44814</v>
      </c>
      <c r="N74" s="24" t="str">
        <f t="shared" si="7"/>
        <v>SÁBADO</v>
      </c>
      <c r="O74" s="102">
        <v>1.09375</v>
      </c>
      <c r="P74" s="53" t="s">
        <v>469</v>
      </c>
      <c r="Q74" s="53" t="s">
        <v>447</v>
      </c>
      <c r="R74" s="36">
        <f>COUNTIF(Tabla1[[#This Row],[VEHICULOS_ACCIDENTADOS]:[VEHICULOS_ACCIDENTADOS2]],"MOTOCICLETA")</f>
        <v>1</v>
      </c>
      <c r="S74" s="36">
        <f>COUNTIF(Tabla1[[#This Row],[VEHICULOS_ACCIDENTADOS]:[VEHICULOS_ACCIDENTADOS2]],"MOTOCARRO")</f>
        <v>0</v>
      </c>
      <c r="T74" s="36">
        <f>COUNTIF(Tabla1[[#This Row],[VEHICULOS_ACCIDENTADOS]:[VEHICULOS_ACCIDENTADOS2]],"AUTOMOVIL")</f>
        <v>1</v>
      </c>
      <c r="U74" s="36">
        <f>COUNTIF(Tabla1[[#This Row],[VEHICULOS_ACCIDENTADOS]:[VEHICULOS_ACCIDENTADOS2]],"CAMPERO")</f>
        <v>0</v>
      </c>
      <c r="V74" s="36">
        <f>COUNTIF(Tabla1[[#This Row],[VEHICULOS_ACCIDENTADOS]:[VEHICULOS_ACCIDENTADOS2]],"CAMIONETA")</f>
        <v>0</v>
      </c>
      <c r="W74" s="36">
        <f>COUNTIF(Tabla1[[#This Row],[VEHICULOS_ACCIDENTADOS]:[VEHICULOS_ACCIDENTADOS2]],"MICROBUS")</f>
        <v>0</v>
      </c>
      <c r="X74" s="36">
        <f>COUNTIF(Tabla1[[#This Row],[VEHICULOS_ACCIDENTADOS]:[VEHICULOS_ACCIDENTADOS2]],"BUS")</f>
        <v>0</v>
      </c>
      <c r="Y74" s="36">
        <f>COUNTIF(Tabla1[[#This Row],[VEHICULOS_ACCIDENTADOS]:[VEHICULOS_ACCIDENTADOS2]],"BUSETA")</f>
        <v>0</v>
      </c>
      <c r="Z74" s="36">
        <f>COUNTIF(Tabla1[[#This Row],[VEHICULOS_ACCIDENTADOS]:[VEHICULOS_ACCIDENTADOS2]],"CAMION")</f>
        <v>0</v>
      </c>
      <c r="AA74" s="36">
        <f>COUNTIF(Tabla1[[#This Row],[VEHICULOS_ACCIDENTADOS]:[VEHICULOS_ACCIDENTADOS2]],"TRACTOCAMION")</f>
        <v>0</v>
      </c>
      <c r="AB74" s="36">
        <f>COUNTIF(Tabla1[[#This Row],[VEHICULOS_ACCIDENTADOS]:[VEHICULOS_ACCIDENTADOS2]],"VOLQUETA")</f>
        <v>0</v>
      </c>
      <c r="AC74" s="36">
        <f>COUNTIF(Tabla1[[#This Row],[VEHICULOS_ACCIDENTADOS]:[VEHICULOS_ACCIDENTADOS2]],"BICICLETA")</f>
        <v>0</v>
      </c>
      <c r="AD74" s="36" t="s">
        <v>471</v>
      </c>
      <c r="AE74" s="36"/>
      <c r="AF74" s="36">
        <f>COUNTIF(Tabla1[[#This Row],[GENERO_MASCULINO]:[GENERO_FEMENINO]],"MASCULINO")</f>
        <v>1</v>
      </c>
      <c r="AG74" s="36">
        <f>COUNTIF(Tabla1[[#This Row],[GENERO_MASCULINO]:[GENERO_FEMENINO]],"FEMENINO")</f>
        <v>0</v>
      </c>
      <c r="AH74" s="61">
        <v>21</v>
      </c>
      <c r="AI74" s="61"/>
      <c r="AJ74" s="78"/>
      <c r="AK74" s="61"/>
      <c r="AL74" s="61"/>
      <c r="AM74" s="36"/>
      <c r="AN74" s="61">
        <v>139</v>
      </c>
      <c r="AO74" s="36" t="str">
        <f>IFERROR(((VLOOKUP(Tabla1[[#This Row],[HIPOTESIS_1]],listas!$D$1:$E$105,2,FALSE))),"SIN INFORMACIÓN")</f>
        <v>Impericia en el manejo.</v>
      </c>
      <c r="AP74" s="36">
        <v>157</v>
      </c>
      <c r="AQ74" s="36" t="str">
        <f>IFERROR(((VLOOKUP(Tabla1[[#This Row],[HIPOTESIS_2]],listas!$D$1:$E$105,2,FALSE))),"")</f>
        <v>Otra</v>
      </c>
      <c r="AR74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75" spans="1:44" x14ac:dyDescent="0.25">
      <c r="A75" s="12">
        <v>334</v>
      </c>
      <c r="B75" s="36">
        <v>0</v>
      </c>
      <c r="C75" s="36">
        <v>1</v>
      </c>
      <c r="D75" s="36">
        <v>0</v>
      </c>
      <c r="E75" s="18" t="str">
        <f t="shared" si="4"/>
        <v>LESIONADO</v>
      </c>
      <c r="F75" s="29" t="s">
        <v>1118</v>
      </c>
      <c r="G75" s="17">
        <v>5.3388722222222222</v>
      </c>
      <c r="H75" s="17">
        <v>-72.395641666666677</v>
      </c>
      <c r="I75" s="93" t="s">
        <v>697</v>
      </c>
      <c r="J75" s="36" t="s">
        <v>717</v>
      </c>
      <c r="K75" s="24" t="str">
        <f t="shared" si="5"/>
        <v>2022</v>
      </c>
      <c r="L75" s="24" t="str">
        <f t="shared" si="6"/>
        <v>OCTUBRE</v>
      </c>
      <c r="M75" s="225">
        <v>44852</v>
      </c>
      <c r="N75" s="24" t="str">
        <f t="shared" si="7"/>
        <v>MARTES</v>
      </c>
      <c r="O75" s="102">
        <v>0.45138888888888901</v>
      </c>
      <c r="P75" s="53" t="s">
        <v>469</v>
      </c>
      <c r="Q75" s="53" t="s">
        <v>445</v>
      </c>
      <c r="R75" s="36">
        <f>COUNTIF(Tabla1[[#This Row],[VEHICULOS_ACCIDENTADOS]:[VEHICULOS_ACCIDENTADOS2]],"MOTOCICLETA")</f>
        <v>1</v>
      </c>
      <c r="S75" s="36">
        <f>COUNTIF(Tabla1[[#This Row],[VEHICULOS_ACCIDENTADOS]:[VEHICULOS_ACCIDENTADOS2]],"MOTOCARRO")</f>
        <v>0</v>
      </c>
      <c r="T75" s="36">
        <f>COUNTIF(Tabla1[[#This Row],[VEHICULOS_ACCIDENTADOS]:[VEHICULOS_ACCIDENTADOS2]],"AUTOMOVIL")</f>
        <v>0</v>
      </c>
      <c r="U75" s="36">
        <f>COUNTIF(Tabla1[[#This Row],[VEHICULOS_ACCIDENTADOS]:[VEHICULOS_ACCIDENTADOS2]],"CAMPERO")</f>
        <v>0</v>
      </c>
      <c r="V75" s="36">
        <f>COUNTIF(Tabla1[[#This Row],[VEHICULOS_ACCIDENTADOS]:[VEHICULOS_ACCIDENTADOS2]],"CAMIONETA")</f>
        <v>1</v>
      </c>
      <c r="W75" s="36">
        <f>COUNTIF(Tabla1[[#This Row],[VEHICULOS_ACCIDENTADOS]:[VEHICULOS_ACCIDENTADOS2]],"MICROBUS")</f>
        <v>0</v>
      </c>
      <c r="X75" s="36">
        <f>COUNTIF(Tabla1[[#This Row],[VEHICULOS_ACCIDENTADOS]:[VEHICULOS_ACCIDENTADOS2]],"BUS")</f>
        <v>0</v>
      </c>
      <c r="Y75" s="36">
        <f>COUNTIF(Tabla1[[#This Row],[VEHICULOS_ACCIDENTADOS]:[VEHICULOS_ACCIDENTADOS2]],"BUSETA")</f>
        <v>0</v>
      </c>
      <c r="Z75" s="36">
        <f>COUNTIF(Tabla1[[#This Row],[VEHICULOS_ACCIDENTADOS]:[VEHICULOS_ACCIDENTADOS2]],"CAMION")</f>
        <v>0</v>
      </c>
      <c r="AA75" s="36">
        <f>COUNTIF(Tabla1[[#This Row],[VEHICULOS_ACCIDENTADOS]:[VEHICULOS_ACCIDENTADOS2]],"TRACTOCAMION")</f>
        <v>0</v>
      </c>
      <c r="AB75" s="36">
        <f>COUNTIF(Tabla1[[#This Row],[VEHICULOS_ACCIDENTADOS]:[VEHICULOS_ACCIDENTADOS2]],"VOLQUETA")</f>
        <v>0</v>
      </c>
      <c r="AC75" s="36">
        <f>COUNTIF(Tabla1[[#This Row],[VEHICULOS_ACCIDENTADOS]:[VEHICULOS_ACCIDENTADOS2]],"BICICLETA")</f>
        <v>0</v>
      </c>
      <c r="AD75" s="36" t="s">
        <v>471</v>
      </c>
      <c r="AE75" s="36"/>
      <c r="AF75" s="36">
        <f>COUNTIF(Tabla1[[#This Row],[GENERO_MASCULINO]:[GENERO_FEMENINO]],"MASCULINO")</f>
        <v>1</v>
      </c>
      <c r="AG75" s="36">
        <f>COUNTIF(Tabla1[[#This Row],[GENERO_MASCULINO]:[GENERO_FEMENINO]],"FEMENINO")</f>
        <v>0</v>
      </c>
      <c r="AH75" s="61">
        <v>28</v>
      </c>
      <c r="AI75" s="61"/>
      <c r="AJ75" s="61"/>
      <c r="AK75" s="61"/>
      <c r="AL75" s="61"/>
      <c r="AM75" s="36"/>
      <c r="AN75" s="61">
        <v>139</v>
      </c>
      <c r="AO75" s="36" t="str">
        <f>IFERROR(((VLOOKUP(Tabla1[[#This Row],[HIPOTESIS_1]],listas!$D$1:$E$105,2,FALSE))),"SIN INFORMACIÓN")</f>
        <v>Impericia en el manejo.</v>
      </c>
      <c r="AP75" s="36">
        <v>157</v>
      </c>
      <c r="AQ75" s="36" t="str">
        <f>IFERROR(((VLOOKUP(Tabla1[[#This Row],[HIPOTESIS_2]],listas!$D$1:$E$105,2,FALSE))),"")</f>
        <v>Otra</v>
      </c>
      <c r="AR75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76" spans="1:44" x14ac:dyDescent="0.25">
      <c r="A76" s="12">
        <v>453</v>
      </c>
      <c r="B76" s="36">
        <v>0</v>
      </c>
      <c r="C76" s="36">
        <v>1</v>
      </c>
      <c r="D76" s="36">
        <v>0</v>
      </c>
      <c r="E76" s="18" t="str">
        <f t="shared" si="4"/>
        <v>LESIONADO</v>
      </c>
      <c r="F76" s="29" t="s">
        <v>259</v>
      </c>
      <c r="G76" s="21">
        <v>5.3341552777777776</v>
      </c>
      <c r="H76" s="21">
        <v>-72.393056666666666</v>
      </c>
      <c r="I76" s="93" t="s">
        <v>697</v>
      </c>
      <c r="J76" s="36" t="s">
        <v>717</v>
      </c>
      <c r="K76" s="24" t="str">
        <f t="shared" si="5"/>
        <v>2023</v>
      </c>
      <c r="L76" s="24" t="str">
        <f t="shared" si="6"/>
        <v>ABRIL</v>
      </c>
      <c r="M76" s="225">
        <v>45034</v>
      </c>
      <c r="N76" s="24" t="str">
        <f t="shared" si="7"/>
        <v>MARTES</v>
      </c>
      <c r="O76" s="101">
        <v>0.88541666666666663</v>
      </c>
      <c r="P76" s="57" t="s">
        <v>469</v>
      </c>
      <c r="Q76" s="57" t="s">
        <v>468</v>
      </c>
      <c r="R76" s="36">
        <f>COUNTIF(Tabla1[[#This Row],[VEHICULOS_ACCIDENTADOS]:[VEHICULOS_ACCIDENTADOS2]],"MOTOCICLETA")</f>
        <v>1</v>
      </c>
      <c r="S76" s="36">
        <f>COUNTIF(Tabla1[[#This Row],[VEHICULOS_ACCIDENTADOS]:[VEHICULOS_ACCIDENTADOS2]],"MOTOCARRO")</f>
        <v>1</v>
      </c>
      <c r="T76" s="36">
        <f>COUNTIF(Tabla1[[#This Row],[VEHICULOS_ACCIDENTADOS]:[VEHICULOS_ACCIDENTADOS2]],"AUTOMOVIL")</f>
        <v>0</v>
      </c>
      <c r="U76" s="36">
        <f>COUNTIF(Tabla1[[#This Row],[VEHICULOS_ACCIDENTADOS]:[VEHICULOS_ACCIDENTADOS2]],"CAMPERO")</f>
        <v>0</v>
      </c>
      <c r="V76" s="36">
        <f>COUNTIF(Tabla1[[#This Row],[VEHICULOS_ACCIDENTADOS]:[VEHICULOS_ACCIDENTADOS2]],"CAMIONETA")</f>
        <v>0</v>
      </c>
      <c r="W76" s="36">
        <f>COUNTIF(Tabla1[[#This Row],[VEHICULOS_ACCIDENTADOS]:[VEHICULOS_ACCIDENTADOS2]],"MICROBUS")</f>
        <v>0</v>
      </c>
      <c r="X76" s="36">
        <f>COUNTIF(Tabla1[[#This Row],[VEHICULOS_ACCIDENTADOS]:[VEHICULOS_ACCIDENTADOS2]],"BUS")</f>
        <v>0</v>
      </c>
      <c r="Y76" s="36">
        <f>COUNTIF(Tabla1[[#This Row],[VEHICULOS_ACCIDENTADOS]:[VEHICULOS_ACCIDENTADOS2]],"BUSETA")</f>
        <v>0</v>
      </c>
      <c r="Z76" s="36">
        <f>COUNTIF(Tabla1[[#This Row],[VEHICULOS_ACCIDENTADOS]:[VEHICULOS_ACCIDENTADOS2]],"CAMION")</f>
        <v>0</v>
      </c>
      <c r="AA76" s="36">
        <f>COUNTIF(Tabla1[[#This Row],[VEHICULOS_ACCIDENTADOS]:[VEHICULOS_ACCIDENTADOS2]],"TRACTOCAMION")</f>
        <v>0</v>
      </c>
      <c r="AB76" s="36">
        <f>COUNTIF(Tabla1[[#This Row],[VEHICULOS_ACCIDENTADOS]:[VEHICULOS_ACCIDENTADOS2]],"VOLQUETA")</f>
        <v>0</v>
      </c>
      <c r="AC76" s="36">
        <f>COUNTIF(Tabla1[[#This Row],[VEHICULOS_ACCIDENTADOS]:[VEHICULOS_ACCIDENTADOS2]],"BICICLETA")</f>
        <v>0</v>
      </c>
      <c r="AD76" s="36" t="s">
        <v>471</v>
      </c>
      <c r="AE76" s="36"/>
      <c r="AF76" s="36">
        <f>COUNTIF(Tabla1[[#This Row],[GENERO_MASCULINO]:[GENERO_FEMENINO]],"MASCULINO")</f>
        <v>1</v>
      </c>
      <c r="AG76" s="36">
        <f>COUNTIF(Tabla1[[#This Row],[GENERO_MASCULINO]:[GENERO_FEMENINO]],"FEMENINO")</f>
        <v>0</v>
      </c>
      <c r="AH76" s="61">
        <v>19</v>
      </c>
      <c r="AI76" s="61"/>
      <c r="AJ76" s="61"/>
      <c r="AK76" s="61"/>
      <c r="AL76" s="61"/>
      <c r="AM76" s="36"/>
      <c r="AN76" s="61">
        <v>112</v>
      </c>
      <c r="AO76" s="36" t="str">
        <f>IFERROR(((VLOOKUP(Tabla1[[#This Row],[HIPOTESIS_1]],listas!$D$1:$E$105,2,FALSE))),"SIN INFORMACIÓN")</f>
        <v>Desobedecer señales o normas de tránsito.</v>
      </c>
      <c r="AP76" s="36">
        <v>157</v>
      </c>
      <c r="AQ76" s="36" t="str">
        <f>IFERROR(((VLOOKUP(Tabla1[[#This Row],[HIPOTESIS_2]],listas!$D$1:$E$105,2,FALSE))),"")</f>
        <v>Otra</v>
      </c>
      <c r="AR76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77" spans="1:44" x14ac:dyDescent="0.25">
      <c r="A77" s="12">
        <v>719</v>
      </c>
      <c r="B77" s="136">
        <v>0</v>
      </c>
      <c r="C77" s="36">
        <v>1</v>
      </c>
      <c r="D77" s="36">
        <v>0</v>
      </c>
      <c r="E77" s="18" t="str">
        <f t="shared" si="4"/>
        <v>LESIONADO</v>
      </c>
      <c r="F77" s="36" t="s">
        <v>1126</v>
      </c>
      <c r="G77" s="17">
        <v>5.3361840000000003</v>
      </c>
      <c r="H77" s="17">
        <v>-72.393091999999996</v>
      </c>
      <c r="I77" s="93" t="s">
        <v>697</v>
      </c>
      <c r="J77" s="136" t="s">
        <v>717</v>
      </c>
      <c r="K77" s="24" t="str">
        <f t="shared" si="5"/>
        <v>2024</v>
      </c>
      <c r="L77" s="24" t="str">
        <f t="shared" si="6"/>
        <v>MAYO</v>
      </c>
      <c r="M77" s="225">
        <v>45439</v>
      </c>
      <c r="N77" s="24" t="str">
        <f t="shared" si="7"/>
        <v>LUNES</v>
      </c>
      <c r="O77" s="101">
        <v>0.9375</v>
      </c>
      <c r="P77" s="57" t="s">
        <v>469</v>
      </c>
      <c r="Q77" s="57" t="s">
        <v>469</v>
      </c>
      <c r="R77" s="36">
        <f>COUNTIF(Tabla1[[#This Row],[VEHICULOS_ACCIDENTADOS]:[VEHICULOS_ACCIDENTADOS2]],"MOTOCICLETA")</f>
        <v>2</v>
      </c>
      <c r="S77" s="36">
        <f>COUNTIF(Tabla1[[#This Row],[VEHICULOS_ACCIDENTADOS]:[VEHICULOS_ACCIDENTADOS2]],"MOTOCARRO")</f>
        <v>0</v>
      </c>
      <c r="T77" s="36">
        <f>COUNTIF(Tabla1[[#This Row],[VEHICULOS_ACCIDENTADOS]:[VEHICULOS_ACCIDENTADOS2]],"AUTOMOVIL")</f>
        <v>0</v>
      </c>
      <c r="U77" s="36">
        <f>COUNTIF(Tabla1[[#This Row],[VEHICULOS_ACCIDENTADOS]:[VEHICULOS_ACCIDENTADOS2]],"CAMPERO")</f>
        <v>0</v>
      </c>
      <c r="V77" s="36">
        <f>COUNTIF(Tabla1[[#This Row],[VEHICULOS_ACCIDENTADOS]:[VEHICULOS_ACCIDENTADOS2]],"CAMIONETA")</f>
        <v>0</v>
      </c>
      <c r="W77" s="36">
        <f>COUNTIF(Tabla1[[#This Row],[VEHICULOS_ACCIDENTADOS]:[VEHICULOS_ACCIDENTADOS2]],"MICROBUS")</f>
        <v>0</v>
      </c>
      <c r="X77" s="36">
        <f>COUNTIF(Tabla1[[#This Row],[VEHICULOS_ACCIDENTADOS]:[VEHICULOS_ACCIDENTADOS2]],"BUS")</f>
        <v>0</v>
      </c>
      <c r="Y77" s="36">
        <f>COUNTIF(Tabla1[[#This Row],[VEHICULOS_ACCIDENTADOS]:[VEHICULOS_ACCIDENTADOS2]],"BUSETA")</f>
        <v>0</v>
      </c>
      <c r="Z77" s="36">
        <f>COUNTIF(Tabla1[[#This Row],[VEHICULOS_ACCIDENTADOS]:[VEHICULOS_ACCIDENTADOS2]],"CAMION")</f>
        <v>0</v>
      </c>
      <c r="AA77" s="36">
        <f>COUNTIF(Tabla1[[#This Row],[VEHICULOS_ACCIDENTADOS]:[VEHICULOS_ACCIDENTADOS2]],"TRACTOCAMION")</f>
        <v>0</v>
      </c>
      <c r="AB77" s="36">
        <f>COUNTIF(Tabla1[[#This Row],[VEHICULOS_ACCIDENTADOS]:[VEHICULOS_ACCIDENTADOS2]],"VOLQUETA")</f>
        <v>0</v>
      </c>
      <c r="AC77" s="36">
        <f>COUNTIF(Tabla1[[#This Row],[VEHICULOS_ACCIDENTADOS]:[VEHICULOS_ACCIDENTADOS2]],"BICICLETA")</f>
        <v>0</v>
      </c>
      <c r="AD77" s="36" t="s">
        <v>471</v>
      </c>
      <c r="AE77" s="36" t="s">
        <v>472</v>
      </c>
      <c r="AF77" s="36">
        <f>COUNTIF(Tabla1[[#This Row],[GENERO_MASCULINO]:[GENERO_FEMENINO]],"MASCULINO")</f>
        <v>1</v>
      </c>
      <c r="AG77" s="36">
        <f>COUNTIF(Tabla1[[#This Row],[GENERO_MASCULINO]:[GENERO_FEMENINO]],"FEMENINO")</f>
        <v>1</v>
      </c>
      <c r="AH77" s="61">
        <v>21</v>
      </c>
      <c r="AI77" s="61">
        <v>19</v>
      </c>
      <c r="AJ77" s="61"/>
      <c r="AK77" s="61"/>
      <c r="AL77" s="61"/>
      <c r="AM77" s="36"/>
      <c r="AN77" s="61">
        <v>139</v>
      </c>
      <c r="AO77" s="36" t="str">
        <f>IFERROR(((VLOOKUP(Tabla1[[#This Row],[HIPOTESIS_1]],listas!$D$1:$E$105,2,FALSE))),"SIN INFORMACIÓN")</f>
        <v>Impericia en el manejo.</v>
      </c>
      <c r="AP77" s="36">
        <v>157</v>
      </c>
      <c r="AQ77" s="36" t="str">
        <f>IFERROR(((VLOOKUP(Tabla1[[#This Row],[HIPOTESIS_2]],listas!$D$1:$E$105,2,FALSE))),"")</f>
        <v>Otra</v>
      </c>
      <c r="AR77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78" spans="1:44" x14ac:dyDescent="0.25">
      <c r="A78" s="12">
        <v>890</v>
      </c>
      <c r="B78" s="135">
        <v>0</v>
      </c>
      <c r="C78" s="136">
        <v>3</v>
      </c>
      <c r="D78" s="136">
        <v>0</v>
      </c>
      <c r="E78" s="18" t="str">
        <f t="shared" si="4"/>
        <v>LESIONADO</v>
      </c>
      <c r="F78" s="136" t="s">
        <v>1126</v>
      </c>
      <c r="G78" s="17">
        <v>5.3361840000000003</v>
      </c>
      <c r="H78" s="17">
        <v>-72.393091999999996</v>
      </c>
      <c r="I78" s="93" t="s">
        <v>697</v>
      </c>
      <c r="J78" s="167" t="s">
        <v>717</v>
      </c>
      <c r="K78" s="24" t="str">
        <f t="shared" si="5"/>
        <v>2025</v>
      </c>
      <c r="L78" s="24" t="str">
        <f t="shared" si="6"/>
        <v>MARZO</v>
      </c>
      <c r="M78" s="224">
        <v>45718</v>
      </c>
      <c r="N78" s="24" t="str">
        <f t="shared" si="7"/>
        <v>DOMINGO</v>
      </c>
      <c r="O78" s="171">
        <v>0.63541666666666663</v>
      </c>
      <c r="P78" s="178" t="s">
        <v>469</v>
      </c>
      <c r="Q78" s="178" t="s">
        <v>469</v>
      </c>
      <c r="R78" s="36">
        <f>COUNTIF(Tabla1[[#This Row],[VEHICULOS_ACCIDENTADOS]:[VEHICULOS_ACCIDENTADOS2]],"MOTOCICLETA")</f>
        <v>2</v>
      </c>
      <c r="S78" s="36">
        <f>COUNTIF(Tabla1[[#This Row],[VEHICULOS_ACCIDENTADOS]:[VEHICULOS_ACCIDENTADOS2]],"MOTOCARRO")</f>
        <v>0</v>
      </c>
      <c r="T78" s="36">
        <f>COUNTIF(Tabla1[[#This Row],[VEHICULOS_ACCIDENTADOS]:[VEHICULOS_ACCIDENTADOS2]],"AUTOMOVIL")</f>
        <v>0</v>
      </c>
      <c r="U78" s="36">
        <f>COUNTIF(Tabla1[[#This Row],[VEHICULOS_ACCIDENTADOS]:[VEHICULOS_ACCIDENTADOS2]],"CAMPERO")</f>
        <v>0</v>
      </c>
      <c r="V78" s="36">
        <f>COUNTIF(Tabla1[[#This Row],[VEHICULOS_ACCIDENTADOS]:[VEHICULOS_ACCIDENTADOS2]],"CAMIONETA")</f>
        <v>0</v>
      </c>
      <c r="W78" s="36">
        <f>COUNTIF(Tabla1[[#This Row],[VEHICULOS_ACCIDENTADOS]:[VEHICULOS_ACCIDENTADOS2]],"MICROBUS")</f>
        <v>0</v>
      </c>
      <c r="X78" s="36">
        <f>COUNTIF(Tabla1[[#This Row],[VEHICULOS_ACCIDENTADOS]:[VEHICULOS_ACCIDENTADOS2]],"BUS")</f>
        <v>0</v>
      </c>
      <c r="Y78" s="36">
        <f>COUNTIF(Tabla1[[#This Row],[VEHICULOS_ACCIDENTADOS]:[VEHICULOS_ACCIDENTADOS2]],"BUSETA")</f>
        <v>0</v>
      </c>
      <c r="Z78" s="36">
        <f>COUNTIF(Tabla1[[#This Row],[VEHICULOS_ACCIDENTADOS]:[VEHICULOS_ACCIDENTADOS2]],"CAMION")</f>
        <v>0</v>
      </c>
      <c r="AA78" s="36">
        <f>COUNTIF(Tabla1[[#This Row],[VEHICULOS_ACCIDENTADOS]:[VEHICULOS_ACCIDENTADOS2]],"TRACTOCAMION")</f>
        <v>0</v>
      </c>
      <c r="AB78" s="36">
        <f>COUNTIF(Tabla1[[#This Row],[VEHICULOS_ACCIDENTADOS]:[VEHICULOS_ACCIDENTADOS2]],"VOLQUETA")</f>
        <v>0</v>
      </c>
      <c r="AC78" s="36">
        <f>COUNTIF(Tabla1[[#This Row],[VEHICULOS_ACCIDENTADOS]:[VEHICULOS_ACCIDENTADOS2]],"BICICLETA")</f>
        <v>0</v>
      </c>
      <c r="AD78" s="136" t="s">
        <v>471</v>
      </c>
      <c r="AE78" s="136" t="s">
        <v>472</v>
      </c>
      <c r="AF78" s="136">
        <f>COUNTIF(Tabla1[[#This Row],[GENERO_MASCULINO]:[GENERO_FEMENINO]],"MASCULINO")</f>
        <v>1</v>
      </c>
      <c r="AG78" s="36">
        <f>COUNTIF(Tabla1[[#This Row],[GENERO_MASCULINO]:[GENERO_FEMENINO]],"FEMENINO")</f>
        <v>1</v>
      </c>
      <c r="AH78" s="85">
        <v>17</v>
      </c>
      <c r="AI78" s="85">
        <v>24</v>
      </c>
      <c r="AJ78" s="85">
        <v>17</v>
      </c>
      <c r="AK78" s="85"/>
      <c r="AL78" s="85"/>
      <c r="AM78" s="136"/>
      <c r="AN78" s="85">
        <v>139</v>
      </c>
      <c r="AO78" s="36" t="str">
        <f>IFERROR(((VLOOKUP(Tabla1[[#This Row],[HIPOTESIS_1]],listas!$D$1:$E$105,2,FALSE))),"SIN INFORMACIÓN")</f>
        <v>Impericia en el manejo.</v>
      </c>
      <c r="AP78" s="136">
        <v>157</v>
      </c>
      <c r="AQ78" s="36" t="str">
        <f>IFERROR(((VLOOKUP(Tabla1[[#This Row],[HIPOTESIS_2]],listas!$D$1:$E$105,2,FALSE))),"")</f>
        <v>Otra</v>
      </c>
      <c r="AR78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79" spans="1:44" x14ac:dyDescent="0.25">
      <c r="A79" s="12">
        <v>920</v>
      </c>
      <c r="B79" s="135">
        <v>0</v>
      </c>
      <c r="C79" s="36">
        <v>1</v>
      </c>
      <c r="D79" s="136">
        <v>0</v>
      </c>
      <c r="E79" s="18" t="str">
        <f t="shared" si="4"/>
        <v>LESIONADO</v>
      </c>
      <c r="F79" s="29" t="s">
        <v>935</v>
      </c>
      <c r="G79" s="17">
        <v>5.3384280000000004</v>
      </c>
      <c r="H79" s="17">
        <v>-72.392544000000001</v>
      </c>
      <c r="I79" s="93" t="s">
        <v>697</v>
      </c>
      <c r="J79" s="36" t="s">
        <v>717</v>
      </c>
      <c r="K79" s="24" t="str">
        <f t="shared" si="5"/>
        <v>2025</v>
      </c>
      <c r="L79" s="24" t="str">
        <f t="shared" si="6"/>
        <v>MARZO</v>
      </c>
      <c r="M79" s="225">
        <v>45746</v>
      </c>
      <c r="N79" s="24" t="str">
        <f t="shared" si="7"/>
        <v>DOMINGO</v>
      </c>
      <c r="O79" s="101">
        <v>0.93055555555555547</v>
      </c>
      <c r="P79" s="36" t="s">
        <v>469</v>
      </c>
      <c r="Q79" s="36" t="s">
        <v>469</v>
      </c>
      <c r="R79" s="36">
        <f>COUNTIF(Tabla1[[#This Row],[VEHICULOS_ACCIDENTADOS]:[VEHICULOS_ACCIDENTADOS2]],"MOTOCICLETA")</f>
        <v>2</v>
      </c>
      <c r="S79" s="36">
        <f>COUNTIF(Tabla1[[#This Row],[VEHICULOS_ACCIDENTADOS]:[VEHICULOS_ACCIDENTADOS2]],"MOTOCARRO")</f>
        <v>0</v>
      </c>
      <c r="T79" s="36">
        <f>COUNTIF(Tabla1[[#This Row],[VEHICULOS_ACCIDENTADOS]:[VEHICULOS_ACCIDENTADOS2]],"AUTOMOVIL")</f>
        <v>0</v>
      </c>
      <c r="U79" s="36">
        <f>COUNTIF(Tabla1[[#This Row],[VEHICULOS_ACCIDENTADOS]:[VEHICULOS_ACCIDENTADOS2]],"CAMPERO")</f>
        <v>0</v>
      </c>
      <c r="V79" s="36">
        <f>COUNTIF(Tabla1[[#This Row],[VEHICULOS_ACCIDENTADOS]:[VEHICULOS_ACCIDENTADOS2]],"CAMIONETA")</f>
        <v>0</v>
      </c>
      <c r="W79" s="36">
        <f>COUNTIF(Tabla1[[#This Row],[VEHICULOS_ACCIDENTADOS]:[VEHICULOS_ACCIDENTADOS2]],"MICROBUS")</f>
        <v>0</v>
      </c>
      <c r="X79" s="36">
        <f>COUNTIF(Tabla1[[#This Row],[VEHICULOS_ACCIDENTADOS]:[VEHICULOS_ACCIDENTADOS2]],"BUS")</f>
        <v>0</v>
      </c>
      <c r="Y79" s="36">
        <f>COUNTIF(Tabla1[[#This Row],[VEHICULOS_ACCIDENTADOS]:[VEHICULOS_ACCIDENTADOS2]],"BUSETA")</f>
        <v>0</v>
      </c>
      <c r="Z79" s="36">
        <f>COUNTIF(Tabla1[[#This Row],[VEHICULOS_ACCIDENTADOS]:[VEHICULOS_ACCIDENTADOS2]],"CAMION")</f>
        <v>0</v>
      </c>
      <c r="AA79" s="36">
        <f>COUNTIF(Tabla1[[#This Row],[VEHICULOS_ACCIDENTADOS]:[VEHICULOS_ACCIDENTADOS2]],"TRACTOCAMION")</f>
        <v>0</v>
      </c>
      <c r="AB79" s="36">
        <f>COUNTIF(Tabla1[[#This Row],[VEHICULOS_ACCIDENTADOS]:[VEHICULOS_ACCIDENTADOS2]],"VOLQUETA")</f>
        <v>0</v>
      </c>
      <c r="AC79" s="36">
        <f>COUNTIF(Tabla1[[#This Row],[VEHICULOS_ACCIDENTADOS]:[VEHICULOS_ACCIDENTADOS2]],"BICICLETA")</f>
        <v>0</v>
      </c>
      <c r="AD79" s="36" t="s">
        <v>471</v>
      </c>
      <c r="AE79" s="36" t="s">
        <v>471</v>
      </c>
      <c r="AF79" s="36">
        <f>COUNTIF(Tabla1[[#This Row],[GENERO_MASCULINO]:[GENERO_FEMENINO]],"MASCULINO")</f>
        <v>2</v>
      </c>
      <c r="AG79" s="36">
        <f>COUNTIF(Tabla1[[#This Row],[GENERO_MASCULINO]:[GENERO_FEMENINO]],"FEMENINO")</f>
        <v>0</v>
      </c>
      <c r="AH79" s="85">
        <v>18</v>
      </c>
      <c r="AI79" s="85">
        <v>24</v>
      </c>
      <c r="AJ79" s="85"/>
      <c r="AK79" s="78"/>
      <c r="AL79" s="78"/>
      <c r="AM79" s="59"/>
      <c r="AN79" s="61">
        <v>139</v>
      </c>
      <c r="AO79" s="36" t="str">
        <f>IFERROR(((VLOOKUP(Tabla1[[#This Row],[HIPOTESIS_1]],listas!$D$1:$E$105,2,FALSE))),"SIN INFORMACIÓN")</f>
        <v>Impericia en el manejo.</v>
      </c>
      <c r="AP79" s="36">
        <v>157</v>
      </c>
      <c r="AQ79" s="36" t="str">
        <f>IFERROR(((VLOOKUP(Tabla1[[#This Row],[HIPOTESIS_2]],listas!$D$1:$E$105,2,FALSE))),"")</f>
        <v>Otra</v>
      </c>
      <c r="AR79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80" spans="1:44" x14ac:dyDescent="0.25">
      <c r="A80" s="12">
        <v>633</v>
      </c>
      <c r="B80" s="36">
        <v>0</v>
      </c>
      <c r="C80" s="36">
        <v>1</v>
      </c>
      <c r="D80" s="36">
        <v>0</v>
      </c>
      <c r="E80" s="18" t="str">
        <f t="shared" si="4"/>
        <v>LESIONADO</v>
      </c>
      <c r="F80" s="29" t="s">
        <v>1136</v>
      </c>
      <c r="G80" s="17">
        <v>5.3423138888888886</v>
      </c>
      <c r="H80" s="17">
        <v>-72.394836111111118</v>
      </c>
      <c r="I80" s="93" t="s">
        <v>697</v>
      </c>
      <c r="J80" s="36" t="s">
        <v>717</v>
      </c>
      <c r="K80" s="24" t="str">
        <f t="shared" si="5"/>
        <v>2023</v>
      </c>
      <c r="L80" s="24" t="str">
        <f t="shared" si="6"/>
        <v>DICIEMBRE</v>
      </c>
      <c r="M80" s="225">
        <v>45275</v>
      </c>
      <c r="N80" s="24" t="str">
        <f t="shared" si="7"/>
        <v>VIERNES</v>
      </c>
      <c r="O80" s="101">
        <v>0.72916666666666663</v>
      </c>
      <c r="P80" s="57" t="s">
        <v>469</v>
      </c>
      <c r="Q80" s="57"/>
      <c r="R80" s="36">
        <f>COUNTIF(Tabla1[[#This Row],[VEHICULOS_ACCIDENTADOS]:[VEHICULOS_ACCIDENTADOS2]],"MOTOCICLETA")</f>
        <v>1</v>
      </c>
      <c r="S80" s="36">
        <f>COUNTIF(Tabla1[[#This Row],[VEHICULOS_ACCIDENTADOS]:[VEHICULOS_ACCIDENTADOS2]],"MOTOCARRO")</f>
        <v>0</v>
      </c>
      <c r="T80" s="36">
        <f>COUNTIF(Tabla1[[#This Row],[VEHICULOS_ACCIDENTADOS]:[VEHICULOS_ACCIDENTADOS2]],"AUTOMOVIL")</f>
        <v>0</v>
      </c>
      <c r="U80" s="36">
        <f>COUNTIF(Tabla1[[#This Row],[VEHICULOS_ACCIDENTADOS]:[VEHICULOS_ACCIDENTADOS2]],"CAMPERO")</f>
        <v>0</v>
      </c>
      <c r="V80" s="36">
        <f>COUNTIF(Tabla1[[#This Row],[VEHICULOS_ACCIDENTADOS]:[VEHICULOS_ACCIDENTADOS2]],"CAMIONETA")</f>
        <v>0</v>
      </c>
      <c r="W80" s="36">
        <f>COUNTIF(Tabla1[[#This Row],[VEHICULOS_ACCIDENTADOS]:[VEHICULOS_ACCIDENTADOS2]],"MICROBUS")</f>
        <v>0</v>
      </c>
      <c r="X80" s="36">
        <f>COUNTIF(Tabla1[[#This Row],[VEHICULOS_ACCIDENTADOS]:[VEHICULOS_ACCIDENTADOS2]],"BUS")</f>
        <v>0</v>
      </c>
      <c r="Y80" s="36">
        <f>COUNTIF(Tabla1[[#This Row],[VEHICULOS_ACCIDENTADOS]:[VEHICULOS_ACCIDENTADOS2]],"BUSETA")</f>
        <v>0</v>
      </c>
      <c r="Z80" s="36">
        <f>COUNTIF(Tabla1[[#This Row],[VEHICULOS_ACCIDENTADOS]:[VEHICULOS_ACCIDENTADOS2]],"CAMION")</f>
        <v>0</v>
      </c>
      <c r="AA80" s="36">
        <f>COUNTIF(Tabla1[[#This Row],[VEHICULOS_ACCIDENTADOS]:[VEHICULOS_ACCIDENTADOS2]],"TRACTOCAMION")</f>
        <v>0</v>
      </c>
      <c r="AB80" s="36">
        <f>COUNTIF(Tabla1[[#This Row],[VEHICULOS_ACCIDENTADOS]:[VEHICULOS_ACCIDENTADOS2]],"VOLQUETA")</f>
        <v>0</v>
      </c>
      <c r="AC80" s="36">
        <f>COUNTIF(Tabla1[[#This Row],[VEHICULOS_ACCIDENTADOS]:[VEHICULOS_ACCIDENTADOS2]],"BICICLETA")</f>
        <v>0</v>
      </c>
      <c r="AD80" s="36" t="s">
        <v>471</v>
      </c>
      <c r="AE80" s="36"/>
      <c r="AF80" s="36">
        <f>COUNTIF(Tabla1[[#This Row],[GENERO_MASCULINO]:[GENERO_FEMENINO]],"MASCULINO")</f>
        <v>1</v>
      </c>
      <c r="AG80" s="36">
        <f>COUNTIF(Tabla1[[#This Row],[GENERO_MASCULINO]:[GENERO_FEMENINO]],"FEMENINO")</f>
        <v>0</v>
      </c>
      <c r="AH80" s="61">
        <v>38</v>
      </c>
      <c r="AI80" s="61"/>
      <c r="AJ80" s="61"/>
      <c r="AK80" s="61"/>
      <c r="AL80" s="61"/>
      <c r="AM80" s="36"/>
      <c r="AN80" s="61">
        <v>139</v>
      </c>
      <c r="AO80" s="36" t="str">
        <f>IFERROR(((VLOOKUP(Tabla1[[#This Row],[HIPOTESIS_1]],listas!$D$1:$E$105,2,FALSE))),"SIN INFORMACIÓN")</f>
        <v>Impericia en el manejo.</v>
      </c>
      <c r="AP80" s="36">
        <v>157</v>
      </c>
      <c r="AQ80" s="36" t="str">
        <f>IFERROR(((VLOOKUP(Tabla1[[#This Row],[HIPOTESIS_2]],listas!$D$1:$E$105,2,FALSE))),"")</f>
        <v>Otra</v>
      </c>
      <c r="AR80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81" spans="1:44" x14ac:dyDescent="0.25">
      <c r="A81" s="12">
        <v>959</v>
      </c>
      <c r="B81" s="136">
        <v>0</v>
      </c>
      <c r="C81" s="136">
        <v>1</v>
      </c>
      <c r="D81" s="136">
        <v>0</v>
      </c>
      <c r="E81" s="18" t="str">
        <f t="shared" si="4"/>
        <v>LESIONADO</v>
      </c>
      <c r="F81" s="26" t="s">
        <v>1138</v>
      </c>
      <c r="G81" s="20">
        <v>5.3373536111111104</v>
      </c>
      <c r="H81" s="20">
        <v>-72.391008888888891</v>
      </c>
      <c r="I81" s="93" t="s">
        <v>697</v>
      </c>
      <c r="J81" s="135" t="s">
        <v>717</v>
      </c>
      <c r="K81" s="24" t="str">
        <f t="shared" si="5"/>
        <v>2025</v>
      </c>
      <c r="L81" s="24" t="str">
        <f t="shared" si="6"/>
        <v>MAYO</v>
      </c>
      <c r="M81" s="224">
        <v>45787</v>
      </c>
      <c r="N81" s="24" t="str">
        <f t="shared" si="7"/>
        <v>SÁBADO</v>
      </c>
      <c r="O81" s="171">
        <v>0.84722222222222221</v>
      </c>
      <c r="P81" s="63" t="s">
        <v>469</v>
      </c>
      <c r="Q81" s="63"/>
      <c r="R81" s="36">
        <f>COUNTIF(Tabla1[[#This Row],[VEHICULOS_ACCIDENTADOS]:[VEHICULOS_ACCIDENTADOS2]],"MOTOCICLETA")</f>
        <v>1</v>
      </c>
      <c r="S81" s="36">
        <f>COUNTIF(Tabla1[[#This Row],[VEHICULOS_ACCIDENTADOS]:[VEHICULOS_ACCIDENTADOS2]],"MOTOCARRO")</f>
        <v>0</v>
      </c>
      <c r="T81" s="36">
        <f>COUNTIF(Tabla1[[#This Row],[VEHICULOS_ACCIDENTADOS]:[VEHICULOS_ACCIDENTADOS2]],"AUTOMOVIL")</f>
        <v>0</v>
      </c>
      <c r="U81" s="36">
        <f>COUNTIF(Tabla1[[#This Row],[VEHICULOS_ACCIDENTADOS]:[VEHICULOS_ACCIDENTADOS2]],"CAMPERO")</f>
        <v>0</v>
      </c>
      <c r="V81" s="36">
        <f>COUNTIF(Tabla1[[#This Row],[VEHICULOS_ACCIDENTADOS]:[VEHICULOS_ACCIDENTADOS2]],"CAMIONETA")</f>
        <v>0</v>
      </c>
      <c r="W81" s="36">
        <f>COUNTIF(Tabla1[[#This Row],[VEHICULOS_ACCIDENTADOS]:[VEHICULOS_ACCIDENTADOS2]],"MICROBUS")</f>
        <v>0</v>
      </c>
      <c r="X81" s="36">
        <f>COUNTIF(Tabla1[[#This Row],[VEHICULOS_ACCIDENTADOS]:[VEHICULOS_ACCIDENTADOS2]],"BUS")</f>
        <v>0</v>
      </c>
      <c r="Y81" s="36">
        <f>COUNTIF(Tabla1[[#This Row],[VEHICULOS_ACCIDENTADOS]:[VEHICULOS_ACCIDENTADOS2]],"BUSETA")</f>
        <v>0</v>
      </c>
      <c r="Z81" s="36">
        <f>COUNTIF(Tabla1[[#This Row],[VEHICULOS_ACCIDENTADOS]:[VEHICULOS_ACCIDENTADOS2]],"CAMION")</f>
        <v>0</v>
      </c>
      <c r="AA81" s="36">
        <f>COUNTIF(Tabla1[[#This Row],[VEHICULOS_ACCIDENTADOS]:[VEHICULOS_ACCIDENTADOS2]],"TRACTOCAMION")</f>
        <v>0</v>
      </c>
      <c r="AB81" s="36">
        <f>COUNTIF(Tabla1[[#This Row],[VEHICULOS_ACCIDENTADOS]:[VEHICULOS_ACCIDENTADOS2]],"VOLQUETA")</f>
        <v>0</v>
      </c>
      <c r="AC81" s="36">
        <f>COUNTIF(Tabla1[[#This Row],[VEHICULOS_ACCIDENTADOS]:[VEHICULOS_ACCIDENTADOS2]],"BICICLETA")</f>
        <v>0</v>
      </c>
      <c r="AD81" s="36" t="s">
        <v>471</v>
      </c>
      <c r="AE81" s="36" t="s">
        <v>472</v>
      </c>
      <c r="AF81" s="36">
        <f>COUNTIF(Tabla1[[#This Row],[GENERO_MASCULINO]:[GENERO_FEMENINO]],"MASCULINO")</f>
        <v>1</v>
      </c>
      <c r="AG81" s="36">
        <f>COUNTIF(Tabla1[[#This Row],[GENERO_MASCULINO]:[GENERO_FEMENINO]],"FEMENINO")</f>
        <v>1</v>
      </c>
      <c r="AH81" s="85">
        <v>18</v>
      </c>
      <c r="AI81" s="85">
        <v>13</v>
      </c>
      <c r="AJ81" s="85"/>
      <c r="AK81" s="85"/>
      <c r="AL81" s="78"/>
      <c r="AM81" s="59"/>
      <c r="AN81" s="85">
        <v>139</v>
      </c>
      <c r="AO81" s="36" t="str">
        <f>IFERROR(((VLOOKUP(Tabla1[[#This Row],[HIPOTESIS_1]],listas!$D$1:$E$105,2,FALSE))),"SIN INFORMACIÓN")</f>
        <v>Impericia en el manejo.</v>
      </c>
      <c r="AP81" s="36">
        <v>157</v>
      </c>
      <c r="AQ81" s="36" t="str">
        <f>IFERROR(((VLOOKUP(Tabla1[[#This Row],[HIPOTESIS_2]],listas!$D$1:$E$105,2,FALSE))),"")</f>
        <v>Otra</v>
      </c>
      <c r="AR81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82" spans="1:44" x14ac:dyDescent="0.25">
      <c r="A82" s="12">
        <v>658</v>
      </c>
      <c r="B82" s="136">
        <v>0</v>
      </c>
      <c r="C82" s="136">
        <v>1</v>
      </c>
      <c r="D82" s="141">
        <v>1</v>
      </c>
      <c r="E82" s="18" t="str">
        <f t="shared" si="4"/>
        <v>FALLECIDO</v>
      </c>
      <c r="F82" s="26" t="s">
        <v>1141</v>
      </c>
      <c r="G82" s="17">
        <v>5.3427833333333332</v>
      </c>
      <c r="H82" s="17">
        <v>-72.394019444444453</v>
      </c>
      <c r="I82" s="93" t="s">
        <v>697</v>
      </c>
      <c r="J82" s="136" t="s">
        <v>717</v>
      </c>
      <c r="K82" s="24" t="str">
        <f t="shared" si="5"/>
        <v>2024</v>
      </c>
      <c r="L82" s="24" t="str">
        <f t="shared" si="6"/>
        <v>FEBRERO</v>
      </c>
      <c r="M82" s="224">
        <v>45328</v>
      </c>
      <c r="N82" s="24" t="str">
        <f t="shared" si="7"/>
        <v>MARTES</v>
      </c>
      <c r="O82" s="171">
        <v>0.66666666666666663</v>
      </c>
      <c r="P82" s="178" t="s">
        <v>469</v>
      </c>
      <c r="Q82" s="178" t="s">
        <v>447</v>
      </c>
      <c r="R82" s="36">
        <f>COUNTIF(Tabla1[[#This Row],[VEHICULOS_ACCIDENTADOS]:[VEHICULOS_ACCIDENTADOS2]],"MOTOCICLETA")</f>
        <v>1</v>
      </c>
      <c r="S82" s="36">
        <f>COUNTIF(Tabla1[[#This Row],[VEHICULOS_ACCIDENTADOS]:[VEHICULOS_ACCIDENTADOS2]],"MOTOCARRO")</f>
        <v>0</v>
      </c>
      <c r="T82" s="36">
        <f>COUNTIF(Tabla1[[#This Row],[VEHICULOS_ACCIDENTADOS]:[VEHICULOS_ACCIDENTADOS2]],"AUTOMOVIL")</f>
        <v>1</v>
      </c>
      <c r="U82" s="36">
        <f>COUNTIF(Tabla1[[#This Row],[VEHICULOS_ACCIDENTADOS]:[VEHICULOS_ACCIDENTADOS2]],"CAMPERO")</f>
        <v>0</v>
      </c>
      <c r="V82" s="36">
        <f>COUNTIF(Tabla1[[#This Row],[VEHICULOS_ACCIDENTADOS]:[VEHICULOS_ACCIDENTADOS2]],"CAMIONETA")</f>
        <v>0</v>
      </c>
      <c r="W82" s="36">
        <f>COUNTIF(Tabla1[[#This Row],[VEHICULOS_ACCIDENTADOS]:[VEHICULOS_ACCIDENTADOS2]],"MICROBUS")</f>
        <v>0</v>
      </c>
      <c r="X82" s="36">
        <f>COUNTIF(Tabla1[[#This Row],[VEHICULOS_ACCIDENTADOS]:[VEHICULOS_ACCIDENTADOS2]],"BUS")</f>
        <v>0</v>
      </c>
      <c r="Y82" s="36">
        <f>COUNTIF(Tabla1[[#This Row],[VEHICULOS_ACCIDENTADOS]:[VEHICULOS_ACCIDENTADOS2]],"BUSETA")</f>
        <v>0</v>
      </c>
      <c r="Z82" s="36">
        <f>COUNTIF(Tabla1[[#This Row],[VEHICULOS_ACCIDENTADOS]:[VEHICULOS_ACCIDENTADOS2]],"CAMION")</f>
        <v>0</v>
      </c>
      <c r="AA82" s="36">
        <f>COUNTIF(Tabla1[[#This Row],[VEHICULOS_ACCIDENTADOS]:[VEHICULOS_ACCIDENTADOS2]],"TRACTOCAMION")</f>
        <v>0</v>
      </c>
      <c r="AB82" s="36">
        <f>COUNTIF(Tabla1[[#This Row],[VEHICULOS_ACCIDENTADOS]:[VEHICULOS_ACCIDENTADOS2]],"VOLQUETA")</f>
        <v>0</v>
      </c>
      <c r="AC82" s="36">
        <f>COUNTIF(Tabla1[[#This Row],[VEHICULOS_ACCIDENTADOS]:[VEHICULOS_ACCIDENTADOS2]],"BICICLETA")</f>
        <v>0</v>
      </c>
      <c r="AD82" s="136" t="s">
        <v>471</v>
      </c>
      <c r="AE82" s="136" t="s">
        <v>472</v>
      </c>
      <c r="AF82" s="136">
        <f>COUNTIF(Tabla1[[#This Row],[GENERO_MASCULINO]:[GENERO_FEMENINO]],"MASCULINO")</f>
        <v>1</v>
      </c>
      <c r="AG82" s="36">
        <f>COUNTIF(Tabla1[[#This Row],[GENERO_MASCULINO]:[GENERO_FEMENINO]],"FEMENINO")</f>
        <v>1</v>
      </c>
      <c r="AH82" s="85">
        <v>55</v>
      </c>
      <c r="AI82" s="85"/>
      <c r="AJ82" s="85">
        <v>25</v>
      </c>
      <c r="AK82" s="85"/>
      <c r="AL82" s="85"/>
      <c r="AM82" s="136">
        <v>23</v>
      </c>
      <c r="AN82" s="85">
        <v>112</v>
      </c>
      <c r="AO82" s="36" t="str">
        <f>IFERROR(((VLOOKUP(Tabla1[[#This Row],[HIPOTESIS_1]],listas!$D$1:$E$105,2,FALSE))),"SIN INFORMACIÓN")</f>
        <v>Desobedecer señales o normas de tránsito.</v>
      </c>
      <c r="AP82" s="136">
        <v>157</v>
      </c>
      <c r="AQ82" s="36" t="str">
        <f>IFERROR(((VLOOKUP(Tabla1[[#This Row],[HIPOTESIS_2]],listas!$D$1:$E$105,2,FALSE))),"")</f>
        <v>Otra</v>
      </c>
      <c r="AR82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83" spans="1:44" x14ac:dyDescent="0.25">
      <c r="A83" s="12">
        <v>937</v>
      </c>
      <c r="B83" s="135">
        <v>0</v>
      </c>
      <c r="C83" s="136">
        <v>1</v>
      </c>
      <c r="D83" s="136">
        <v>0</v>
      </c>
      <c r="E83" s="18" t="str">
        <f t="shared" si="4"/>
        <v>LESIONADO</v>
      </c>
      <c r="F83" s="26" t="s">
        <v>1146</v>
      </c>
      <c r="G83" s="20">
        <v>5.33887</v>
      </c>
      <c r="H83" s="20">
        <v>-72.391850000000005</v>
      </c>
      <c r="I83" s="93" t="s">
        <v>697</v>
      </c>
      <c r="J83" s="136" t="s">
        <v>717</v>
      </c>
      <c r="K83" s="24" t="str">
        <f t="shared" si="5"/>
        <v>2025</v>
      </c>
      <c r="L83" s="24" t="str">
        <f t="shared" si="6"/>
        <v>ABRIL</v>
      </c>
      <c r="M83" s="224">
        <v>45762</v>
      </c>
      <c r="N83" s="24" t="str">
        <f t="shared" si="7"/>
        <v>MARTES</v>
      </c>
      <c r="O83" s="171">
        <v>0.58680555555555558</v>
      </c>
      <c r="P83" s="136" t="s">
        <v>445</v>
      </c>
      <c r="Q83" s="136" t="s">
        <v>469</v>
      </c>
      <c r="R83" s="36">
        <f>COUNTIF(Tabla1[[#This Row],[VEHICULOS_ACCIDENTADOS]:[VEHICULOS_ACCIDENTADOS2]],"MOTOCICLETA")</f>
        <v>1</v>
      </c>
      <c r="S83" s="36">
        <f>COUNTIF(Tabla1[[#This Row],[VEHICULOS_ACCIDENTADOS]:[VEHICULOS_ACCIDENTADOS2]],"MOTOCARRO")</f>
        <v>0</v>
      </c>
      <c r="T83" s="36">
        <f>COUNTIF(Tabla1[[#This Row],[VEHICULOS_ACCIDENTADOS]:[VEHICULOS_ACCIDENTADOS2]],"AUTOMOVIL")</f>
        <v>0</v>
      </c>
      <c r="U83" s="36">
        <f>COUNTIF(Tabla1[[#This Row],[VEHICULOS_ACCIDENTADOS]:[VEHICULOS_ACCIDENTADOS2]],"CAMPERO")</f>
        <v>0</v>
      </c>
      <c r="V83" s="36">
        <f>COUNTIF(Tabla1[[#This Row],[VEHICULOS_ACCIDENTADOS]:[VEHICULOS_ACCIDENTADOS2]],"CAMIONETA")</f>
        <v>1</v>
      </c>
      <c r="W83" s="36">
        <f>COUNTIF(Tabla1[[#This Row],[VEHICULOS_ACCIDENTADOS]:[VEHICULOS_ACCIDENTADOS2]],"MICROBUS")</f>
        <v>0</v>
      </c>
      <c r="X83" s="36">
        <f>COUNTIF(Tabla1[[#This Row],[VEHICULOS_ACCIDENTADOS]:[VEHICULOS_ACCIDENTADOS2]],"BUS")</f>
        <v>0</v>
      </c>
      <c r="Y83" s="36">
        <f>COUNTIF(Tabla1[[#This Row],[VEHICULOS_ACCIDENTADOS]:[VEHICULOS_ACCIDENTADOS2]],"BUSETA")</f>
        <v>0</v>
      </c>
      <c r="Z83" s="36">
        <f>COUNTIF(Tabla1[[#This Row],[VEHICULOS_ACCIDENTADOS]:[VEHICULOS_ACCIDENTADOS2]],"CAMION")</f>
        <v>0</v>
      </c>
      <c r="AA83" s="36">
        <f>COUNTIF(Tabla1[[#This Row],[VEHICULOS_ACCIDENTADOS]:[VEHICULOS_ACCIDENTADOS2]],"TRACTOCAMION")</f>
        <v>0</v>
      </c>
      <c r="AB83" s="36">
        <f>COUNTIF(Tabla1[[#This Row],[VEHICULOS_ACCIDENTADOS]:[VEHICULOS_ACCIDENTADOS2]],"VOLQUETA")</f>
        <v>0</v>
      </c>
      <c r="AC83" s="36">
        <f>COUNTIF(Tabla1[[#This Row],[VEHICULOS_ACCIDENTADOS]:[VEHICULOS_ACCIDENTADOS2]],"BICICLETA")</f>
        <v>0</v>
      </c>
      <c r="AD83" s="136" t="s">
        <v>471</v>
      </c>
      <c r="AE83" s="136" t="s">
        <v>471</v>
      </c>
      <c r="AF83" s="136">
        <f>COUNTIF(Tabla1[[#This Row],[GENERO_MASCULINO]:[GENERO_FEMENINO]],"MASCULINO")</f>
        <v>2</v>
      </c>
      <c r="AG83" s="36">
        <f>COUNTIF(Tabla1[[#This Row],[GENERO_MASCULINO]:[GENERO_FEMENINO]],"FEMENINO")</f>
        <v>0</v>
      </c>
      <c r="AH83" s="85">
        <v>30</v>
      </c>
      <c r="AI83" s="85">
        <v>36</v>
      </c>
      <c r="AJ83" s="85"/>
      <c r="AK83" s="78"/>
      <c r="AL83" s="78"/>
      <c r="AM83" s="59"/>
      <c r="AN83" s="85">
        <v>112</v>
      </c>
      <c r="AO83" s="36" t="str">
        <f>IFERROR(((VLOOKUP(Tabla1[[#This Row],[HIPOTESIS_1]],listas!$D$1:$E$105,2,FALSE))),"SIN INFORMACIÓN")</f>
        <v>Desobedecer señales o normas de tránsito.</v>
      </c>
      <c r="AP83" s="36">
        <v>157</v>
      </c>
      <c r="AQ83" s="36" t="str">
        <f>IFERROR(((VLOOKUP(Tabla1[[#This Row],[HIPOTESIS_2]],listas!$D$1:$E$105,2,FALSE))),"")</f>
        <v>Otra</v>
      </c>
      <c r="AR83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84" spans="1:44" x14ac:dyDescent="0.25">
      <c r="A84" s="12">
        <v>721</v>
      </c>
      <c r="B84" s="136">
        <v>0</v>
      </c>
      <c r="C84" s="136">
        <v>2</v>
      </c>
      <c r="D84" s="136">
        <v>0</v>
      </c>
      <c r="E84" s="18" t="str">
        <f t="shared" si="4"/>
        <v>LESIONADO</v>
      </c>
      <c r="F84" s="26" t="s">
        <v>1147</v>
      </c>
      <c r="G84" s="21">
        <v>5.3357388888888888</v>
      </c>
      <c r="H84" s="21">
        <v>-72.390136111111119</v>
      </c>
      <c r="I84" s="93" t="s">
        <v>697</v>
      </c>
      <c r="J84" s="136" t="s">
        <v>717</v>
      </c>
      <c r="K84" s="24" t="str">
        <f t="shared" si="5"/>
        <v>2024</v>
      </c>
      <c r="L84" s="24" t="str">
        <f t="shared" si="6"/>
        <v>MAYO</v>
      </c>
      <c r="M84" s="224">
        <v>45443</v>
      </c>
      <c r="N84" s="24" t="str">
        <f t="shared" si="7"/>
        <v>VIERNES</v>
      </c>
      <c r="O84" s="171">
        <v>0.72916666666666663</v>
      </c>
      <c r="P84" s="178" t="s">
        <v>469</v>
      </c>
      <c r="Q84" s="178"/>
      <c r="R84" s="36">
        <f>COUNTIF(Tabla1[[#This Row],[VEHICULOS_ACCIDENTADOS]:[VEHICULOS_ACCIDENTADOS2]],"MOTOCICLETA")</f>
        <v>1</v>
      </c>
      <c r="S84" s="36">
        <f>COUNTIF(Tabla1[[#This Row],[VEHICULOS_ACCIDENTADOS]:[VEHICULOS_ACCIDENTADOS2]],"MOTOCARRO")</f>
        <v>0</v>
      </c>
      <c r="T84" s="36">
        <f>COUNTIF(Tabla1[[#This Row],[VEHICULOS_ACCIDENTADOS]:[VEHICULOS_ACCIDENTADOS2]],"AUTOMOVIL")</f>
        <v>0</v>
      </c>
      <c r="U84" s="36">
        <f>COUNTIF(Tabla1[[#This Row],[VEHICULOS_ACCIDENTADOS]:[VEHICULOS_ACCIDENTADOS2]],"CAMPERO")</f>
        <v>0</v>
      </c>
      <c r="V84" s="36">
        <f>COUNTIF(Tabla1[[#This Row],[VEHICULOS_ACCIDENTADOS]:[VEHICULOS_ACCIDENTADOS2]],"CAMIONETA")</f>
        <v>0</v>
      </c>
      <c r="W84" s="36">
        <f>COUNTIF(Tabla1[[#This Row],[VEHICULOS_ACCIDENTADOS]:[VEHICULOS_ACCIDENTADOS2]],"MICROBUS")</f>
        <v>0</v>
      </c>
      <c r="X84" s="36">
        <f>COUNTIF(Tabla1[[#This Row],[VEHICULOS_ACCIDENTADOS]:[VEHICULOS_ACCIDENTADOS2]],"BUS")</f>
        <v>0</v>
      </c>
      <c r="Y84" s="36">
        <f>COUNTIF(Tabla1[[#This Row],[VEHICULOS_ACCIDENTADOS]:[VEHICULOS_ACCIDENTADOS2]],"BUSETA")</f>
        <v>0</v>
      </c>
      <c r="Z84" s="36">
        <f>COUNTIF(Tabla1[[#This Row],[VEHICULOS_ACCIDENTADOS]:[VEHICULOS_ACCIDENTADOS2]],"CAMION")</f>
        <v>0</v>
      </c>
      <c r="AA84" s="36">
        <f>COUNTIF(Tabla1[[#This Row],[VEHICULOS_ACCIDENTADOS]:[VEHICULOS_ACCIDENTADOS2]],"TRACTOCAMION")</f>
        <v>0</v>
      </c>
      <c r="AB84" s="36">
        <f>COUNTIF(Tabla1[[#This Row],[VEHICULOS_ACCIDENTADOS]:[VEHICULOS_ACCIDENTADOS2]],"VOLQUETA")</f>
        <v>0</v>
      </c>
      <c r="AC84" s="36">
        <f>COUNTIF(Tabla1[[#This Row],[VEHICULOS_ACCIDENTADOS]:[VEHICULOS_ACCIDENTADOS2]],"BICICLETA")</f>
        <v>0</v>
      </c>
      <c r="AD84" s="136" t="s">
        <v>471</v>
      </c>
      <c r="AE84" s="136"/>
      <c r="AF84" s="136">
        <f>COUNTIF(Tabla1[[#This Row],[GENERO_MASCULINO]:[GENERO_FEMENINO]],"MASCULINO")</f>
        <v>1</v>
      </c>
      <c r="AG84" s="36">
        <f>COUNTIF(Tabla1[[#This Row],[GENERO_MASCULINO]:[GENERO_FEMENINO]],"FEMENINO")</f>
        <v>0</v>
      </c>
      <c r="AH84" s="85">
        <v>20</v>
      </c>
      <c r="AI84" s="85">
        <v>68</v>
      </c>
      <c r="AJ84" s="85"/>
      <c r="AK84" s="85"/>
      <c r="AL84" s="85"/>
      <c r="AM84" s="136"/>
      <c r="AN84" s="85">
        <v>157</v>
      </c>
      <c r="AO84" s="36" t="str">
        <f>IFERROR(((VLOOKUP(Tabla1[[#This Row],[HIPOTESIS_1]],listas!$D$1:$E$105,2,FALSE))),"SIN INFORMACIÓN")</f>
        <v>Otra</v>
      </c>
      <c r="AP84" s="136">
        <v>157</v>
      </c>
      <c r="AQ84" s="36" t="str">
        <f>IFERROR(((VLOOKUP(Tabla1[[#This Row],[HIPOTESIS_2]],listas!$D$1:$E$105,2,FALSE))),"")</f>
        <v>Otra</v>
      </c>
      <c r="AR84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85" spans="1:44" x14ac:dyDescent="0.25">
      <c r="A85" s="12">
        <v>680</v>
      </c>
      <c r="B85" s="136">
        <v>0</v>
      </c>
      <c r="C85" s="136">
        <v>0</v>
      </c>
      <c r="D85" s="141">
        <v>1</v>
      </c>
      <c r="E85" s="18" t="str">
        <f t="shared" si="4"/>
        <v>FALLECIDO</v>
      </c>
      <c r="F85" s="29" t="s">
        <v>1149</v>
      </c>
      <c r="G85" s="17">
        <v>5.3325027777777771</v>
      </c>
      <c r="H85" s="17">
        <v>-72.38847777777778</v>
      </c>
      <c r="I85" s="93" t="s">
        <v>697</v>
      </c>
      <c r="J85" s="136" t="s">
        <v>717</v>
      </c>
      <c r="K85" s="24" t="str">
        <f t="shared" si="5"/>
        <v>2024</v>
      </c>
      <c r="L85" s="24" t="str">
        <f t="shared" si="6"/>
        <v>MARZO</v>
      </c>
      <c r="M85" s="224">
        <v>45368</v>
      </c>
      <c r="N85" s="24" t="str">
        <f t="shared" si="7"/>
        <v>DOMINGO</v>
      </c>
      <c r="O85" s="171">
        <v>0.20138888888888887</v>
      </c>
      <c r="P85" s="178" t="s">
        <v>469</v>
      </c>
      <c r="Q85" s="178" t="s">
        <v>445</v>
      </c>
      <c r="R85" s="36">
        <f>COUNTIF(Tabla1[[#This Row],[VEHICULOS_ACCIDENTADOS]:[VEHICULOS_ACCIDENTADOS2]],"MOTOCICLETA")</f>
        <v>1</v>
      </c>
      <c r="S85" s="36">
        <f>COUNTIF(Tabla1[[#This Row],[VEHICULOS_ACCIDENTADOS]:[VEHICULOS_ACCIDENTADOS2]],"MOTOCARRO")</f>
        <v>0</v>
      </c>
      <c r="T85" s="36">
        <f>COUNTIF(Tabla1[[#This Row],[VEHICULOS_ACCIDENTADOS]:[VEHICULOS_ACCIDENTADOS2]],"AUTOMOVIL")</f>
        <v>0</v>
      </c>
      <c r="U85" s="36">
        <f>COUNTIF(Tabla1[[#This Row],[VEHICULOS_ACCIDENTADOS]:[VEHICULOS_ACCIDENTADOS2]],"CAMPERO")</f>
        <v>0</v>
      </c>
      <c r="V85" s="36">
        <f>COUNTIF(Tabla1[[#This Row],[VEHICULOS_ACCIDENTADOS]:[VEHICULOS_ACCIDENTADOS2]],"CAMIONETA")</f>
        <v>1</v>
      </c>
      <c r="W85" s="36">
        <f>COUNTIF(Tabla1[[#This Row],[VEHICULOS_ACCIDENTADOS]:[VEHICULOS_ACCIDENTADOS2]],"MICROBUS")</f>
        <v>0</v>
      </c>
      <c r="X85" s="36">
        <f>COUNTIF(Tabla1[[#This Row],[VEHICULOS_ACCIDENTADOS]:[VEHICULOS_ACCIDENTADOS2]],"BUS")</f>
        <v>0</v>
      </c>
      <c r="Y85" s="36">
        <f>COUNTIF(Tabla1[[#This Row],[VEHICULOS_ACCIDENTADOS]:[VEHICULOS_ACCIDENTADOS2]],"BUSETA")</f>
        <v>0</v>
      </c>
      <c r="Z85" s="36">
        <f>COUNTIF(Tabla1[[#This Row],[VEHICULOS_ACCIDENTADOS]:[VEHICULOS_ACCIDENTADOS2]],"CAMION")</f>
        <v>0</v>
      </c>
      <c r="AA85" s="36">
        <f>COUNTIF(Tabla1[[#This Row],[VEHICULOS_ACCIDENTADOS]:[VEHICULOS_ACCIDENTADOS2]],"TRACTOCAMION")</f>
        <v>0</v>
      </c>
      <c r="AB85" s="36">
        <f>COUNTIF(Tabla1[[#This Row],[VEHICULOS_ACCIDENTADOS]:[VEHICULOS_ACCIDENTADOS2]],"VOLQUETA")</f>
        <v>0</v>
      </c>
      <c r="AC85" s="36">
        <f>COUNTIF(Tabla1[[#This Row],[VEHICULOS_ACCIDENTADOS]:[VEHICULOS_ACCIDENTADOS2]],"BICICLETA")</f>
        <v>0</v>
      </c>
      <c r="AD85" s="136" t="s">
        <v>471</v>
      </c>
      <c r="AE85" s="136"/>
      <c r="AF85" s="136">
        <f>COUNTIF(Tabla1[[#This Row],[GENERO_MASCULINO]:[GENERO_FEMENINO]],"MASCULINO")</f>
        <v>1</v>
      </c>
      <c r="AG85" s="36">
        <f>COUNTIF(Tabla1[[#This Row],[GENERO_MASCULINO]:[GENERO_FEMENINO]],"FEMENINO")</f>
        <v>0</v>
      </c>
      <c r="AH85" s="85">
        <v>40</v>
      </c>
      <c r="AI85" s="85">
        <v>28</v>
      </c>
      <c r="AJ85" s="85"/>
      <c r="AK85" s="85"/>
      <c r="AL85" s="85"/>
      <c r="AM85" s="136">
        <v>40</v>
      </c>
      <c r="AN85" s="85">
        <v>157</v>
      </c>
      <c r="AO85" s="36" t="str">
        <f>IFERROR(((VLOOKUP(Tabla1[[#This Row],[HIPOTESIS_1]],listas!$D$1:$E$105,2,FALSE))),"SIN INFORMACIÓN")</f>
        <v>Otra</v>
      </c>
      <c r="AP85" s="136">
        <v>157</v>
      </c>
      <c r="AQ85" s="36" t="str">
        <f>IFERROR(((VLOOKUP(Tabla1[[#This Row],[HIPOTESIS_2]],listas!$D$1:$E$105,2,FALSE))),"")</f>
        <v>Otra</v>
      </c>
      <c r="AR85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86" spans="1:44" x14ac:dyDescent="0.25">
      <c r="A86" s="12">
        <v>464</v>
      </c>
      <c r="B86" s="36">
        <v>0</v>
      </c>
      <c r="C86" s="36">
        <v>2</v>
      </c>
      <c r="D86" s="36">
        <v>0</v>
      </c>
      <c r="E86" s="18" t="str">
        <f t="shared" si="4"/>
        <v>LESIONADO</v>
      </c>
      <c r="F86" s="29" t="s">
        <v>1149</v>
      </c>
      <c r="G86" s="17">
        <v>5.3325027777777771</v>
      </c>
      <c r="H86" s="17">
        <v>-72.38847777777778</v>
      </c>
      <c r="I86" s="93" t="s">
        <v>697</v>
      </c>
      <c r="J86" s="36" t="s">
        <v>717</v>
      </c>
      <c r="K86" s="24" t="str">
        <f t="shared" si="5"/>
        <v>2023</v>
      </c>
      <c r="L86" s="24" t="str">
        <f t="shared" si="6"/>
        <v>ABRIL</v>
      </c>
      <c r="M86" s="225">
        <v>45045</v>
      </c>
      <c r="N86" s="24" t="str">
        <f t="shared" si="7"/>
        <v>SÁBADO</v>
      </c>
      <c r="O86" s="101">
        <v>0.95833333333333337</v>
      </c>
      <c r="P86" s="57" t="s">
        <v>469</v>
      </c>
      <c r="Q86" s="57" t="s">
        <v>469</v>
      </c>
      <c r="R86" s="36">
        <f>COUNTIF(Tabla1[[#This Row],[VEHICULOS_ACCIDENTADOS]:[VEHICULOS_ACCIDENTADOS2]],"MOTOCICLETA")</f>
        <v>2</v>
      </c>
      <c r="S86" s="36">
        <f>COUNTIF(Tabla1[[#This Row],[VEHICULOS_ACCIDENTADOS]:[VEHICULOS_ACCIDENTADOS2]],"MOTOCARRO")</f>
        <v>0</v>
      </c>
      <c r="T86" s="36">
        <f>COUNTIF(Tabla1[[#This Row],[VEHICULOS_ACCIDENTADOS]:[VEHICULOS_ACCIDENTADOS2]],"AUTOMOVIL")</f>
        <v>0</v>
      </c>
      <c r="U86" s="36">
        <f>COUNTIF(Tabla1[[#This Row],[VEHICULOS_ACCIDENTADOS]:[VEHICULOS_ACCIDENTADOS2]],"CAMPERO")</f>
        <v>0</v>
      </c>
      <c r="V86" s="36">
        <f>COUNTIF(Tabla1[[#This Row],[VEHICULOS_ACCIDENTADOS]:[VEHICULOS_ACCIDENTADOS2]],"CAMIONETA")</f>
        <v>0</v>
      </c>
      <c r="W86" s="36">
        <f>COUNTIF(Tabla1[[#This Row],[VEHICULOS_ACCIDENTADOS]:[VEHICULOS_ACCIDENTADOS2]],"MICROBUS")</f>
        <v>0</v>
      </c>
      <c r="X86" s="36">
        <f>COUNTIF(Tabla1[[#This Row],[VEHICULOS_ACCIDENTADOS]:[VEHICULOS_ACCIDENTADOS2]],"BUS")</f>
        <v>0</v>
      </c>
      <c r="Y86" s="36">
        <f>COUNTIF(Tabla1[[#This Row],[VEHICULOS_ACCIDENTADOS]:[VEHICULOS_ACCIDENTADOS2]],"BUSETA")</f>
        <v>0</v>
      </c>
      <c r="Z86" s="36">
        <f>COUNTIF(Tabla1[[#This Row],[VEHICULOS_ACCIDENTADOS]:[VEHICULOS_ACCIDENTADOS2]],"CAMION")</f>
        <v>0</v>
      </c>
      <c r="AA86" s="36">
        <f>COUNTIF(Tabla1[[#This Row],[VEHICULOS_ACCIDENTADOS]:[VEHICULOS_ACCIDENTADOS2]],"TRACTOCAMION")</f>
        <v>0</v>
      </c>
      <c r="AB86" s="36">
        <f>COUNTIF(Tabla1[[#This Row],[VEHICULOS_ACCIDENTADOS]:[VEHICULOS_ACCIDENTADOS2]],"VOLQUETA")</f>
        <v>0</v>
      </c>
      <c r="AC86" s="36">
        <f>COUNTIF(Tabla1[[#This Row],[VEHICULOS_ACCIDENTADOS]:[VEHICULOS_ACCIDENTADOS2]],"BICICLETA")</f>
        <v>0</v>
      </c>
      <c r="AD86" s="36" t="s">
        <v>471</v>
      </c>
      <c r="AE86" s="36" t="s">
        <v>472</v>
      </c>
      <c r="AF86" s="36">
        <f>COUNTIF(Tabla1[[#This Row],[GENERO_MASCULINO]:[GENERO_FEMENINO]],"MASCULINO")</f>
        <v>1</v>
      </c>
      <c r="AG86" s="36">
        <f>COUNTIF(Tabla1[[#This Row],[GENERO_MASCULINO]:[GENERO_FEMENINO]],"FEMENINO")</f>
        <v>1</v>
      </c>
      <c r="AH86" s="61">
        <v>24</v>
      </c>
      <c r="AI86" s="61">
        <v>65</v>
      </c>
      <c r="AJ86" s="78"/>
      <c r="AK86" s="61"/>
      <c r="AL86" s="61"/>
      <c r="AM86" s="36"/>
      <c r="AN86" s="61">
        <v>139</v>
      </c>
      <c r="AO86" s="36" t="str">
        <f>IFERROR(((VLOOKUP(Tabla1[[#This Row],[HIPOTESIS_1]],listas!$D$1:$E$105,2,FALSE))),"SIN INFORMACIÓN")</f>
        <v>Impericia en el manejo.</v>
      </c>
      <c r="AP86" s="36">
        <v>157</v>
      </c>
      <c r="AQ86" s="36" t="str">
        <f>IFERROR(((VLOOKUP(Tabla1[[#This Row],[HIPOTESIS_2]],listas!$D$1:$E$105,2,FALSE))),"")</f>
        <v>Otra</v>
      </c>
      <c r="AR86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87" spans="1:44" x14ac:dyDescent="0.25">
      <c r="A87" s="12">
        <v>777</v>
      </c>
      <c r="B87" s="36">
        <v>0</v>
      </c>
      <c r="C87" s="36">
        <v>1</v>
      </c>
      <c r="D87" s="144">
        <v>1</v>
      </c>
      <c r="E87" s="18" t="str">
        <f t="shared" si="4"/>
        <v>FALLECIDO</v>
      </c>
      <c r="F87" s="36" t="s">
        <v>1150</v>
      </c>
      <c r="G87" s="17">
        <v>5.3285472222222223</v>
      </c>
      <c r="H87" s="17">
        <v>-72.386288888888899</v>
      </c>
      <c r="I87" s="93" t="s">
        <v>697</v>
      </c>
      <c r="J87" s="136" t="s">
        <v>717</v>
      </c>
      <c r="K87" s="24" t="str">
        <f t="shared" si="5"/>
        <v>2024</v>
      </c>
      <c r="L87" s="24" t="str">
        <f t="shared" si="6"/>
        <v>SEPTIEMBRE</v>
      </c>
      <c r="M87" s="225">
        <v>45543</v>
      </c>
      <c r="N87" s="24" t="str">
        <f t="shared" si="7"/>
        <v>DOMINGO</v>
      </c>
      <c r="O87" s="101">
        <v>6.9444444444444434E-2</v>
      </c>
      <c r="P87" s="57" t="s">
        <v>469</v>
      </c>
      <c r="Q87" s="57" t="s">
        <v>469</v>
      </c>
      <c r="R87" s="36">
        <f>COUNTIF(Tabla1[[#This Row],[VEHICULOS_ACCIDENTADOS]:[VEHICULOS_ACCIDENTADOS2]],"MOTOCICLETA")</f>
        <v>2</v>
      </c>
      <c r="S87" s="36">
        <f>COUNTIF(Tabla1[[#This Row],[VEHICULOS_ACCIDENTADOS]:[VEHICULOS_ACCIDENTADOS2]],"MOTOCARRO")</f>
        <v>0</v>
      </c>
      <c r="T87" s="36">
        <f>COUNTIF(Tabla1[[#This Row],[VEHICULOS_ACCIDENTADOS]:[VEHICULOS_ACCIDENTADOS2]],"AUTOMOVIL")</f>
        <v>0</v>
      </c>
      <c r="U87" s="36">
        <f>COUNTIF(Tabla1[[#This Row],[VEHICULOS_ACCIDENTADOS]:[VEHICULOS_ACCIDENTADOS2]],"CAMPERO")</f>
        <v>0</v>
      </c>
      <c r="V87" s="36">
        <f>COUNTIF(Tabla1[[#This Row],[VEHICULOS_ACCIDENTADOS]:[VEHICULOS_ACCIDENTADOS2]],"CAMIONETA")</f>
        <v>0</v>
      </c>
      <c r="W87" s="36">
        <f>COUNTIF(Tabla1[[#This Row],[VEHICULOS_ACCIDENTADOS]:[VEHICULOS_ACCIDENTADOS2]],"MICROBUS")</f>
        <v>0</v>
      </c>
      <c r="X87" s="36">
        <f>COUNTIF(Tabla1[[#This Row],[VEHICULOS_ACCIDENTADOS]:[VEHICULOS_ACCIDENTADOS2]],"BUS")</f>
        <v>0</v>
      </c>
      <c r="Y87" s="36">
        <f>COUNTIF(Tabla1[[#This Row],[VEHICULOS_ACCIDENTADOS]:[VEHICULOS_ACCIDENTADOS2]],"BUSETA")</f>
        <v>0</v>
      </c>
      <c r="Z87" s="36">
        <f>COUNTIF(Tabla1[[#This Row],[VEHICULOS_ACCIDENTADOS]:[VEHICULOS_ACCIDENTADOS2]],"CAMION")</f>
        <v>0</v>
      </c>
      <c r="AA87" s="36">
        <f>COUNTIF(Tabla1[[#This Row],[VEHICULOS_ACCIDENTADOS]:[VEHICULOS_ACCIDENTADOS2]],"TRACTOCAMION")</f>
        <v>0</v>
      </c>
      <c r="AB87" s="36">
        <f>COUNTIF(Tabla1[[#This Row],[VEHICULOS_ACCIDENTADOS]:[VEHICULOS_ACCIDENTADOS2]],"VOLQUETA")</f>
        <v>0</v>
      </c>
      <c r="AC87" s="36">
        <f>COUNTIF(Tabla1[[#This Row],[VEHICULOS_ACCIDENTADOS]:[VEHICULOS_ACCIDENTADOS2]],"BICICLETA")</f>
        <v>0</v>
      </c>
      <c r="AD87" s="36" t="s">
        <v>471</v>
      </c>
      <c r="AE87" s="36"/>
      <c r="AF87" s="36">
        <f>COUNTIF(Tabla1[[#This Row],[GENERO_MASCULINO]:[GENERO_FEMENINO]],"MASCULINO")</f>
        <v>1</v>
      </c>
      <c r="AG87" s="36">
        <f>COUNTIF(Tabla1[[#This Row],[GENERO_MASCULINO]:[GENERO_FEMENINO]],"FEMENINO")</f>
        <v>0</v>
      </c>
      <c r="AH87" s="61"/>
      <c r="AI87" s="61">
        <v>29</v>
      </c>
      <c r="AJ87" s="61">
        <v>15</v>
      </c>
      <c r="AK87" s="61"/>
      <c r="AL87" s="61"/>
      <c r="AM87" s="36">
        <v>30</v>
      </c>
      <c r="AN87" s="61">
        <v>112</v>
      </c>
      <c r="AO87" s="36" t="str">
        <f>IFERROR(((VLOOKUP(Tabla1[[#This Row],[HIPOTESIS_1]],listas!$D$1:$E$105,2,FALSE))),"SIN INFORMACIÓN")</f>
        <v>Desobedecer señales o normas de tránsito.</v>
      </c>
      <c r="AP87" s="36">
        <v>157</v>
      </c>
      <c r="AQ87" s="36" t="str">
        <f>IFERROR(((VLOOKUP(Tabla1[[#This Row],[HIPOTESIS_2]],listas!$D$1:$E$105,2,FALSE))),"")</f>
        <v>Otra</v>
      </c>
      <c r="AR87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88" spans="1:44" x14ac:dyDescent="0.25">
      <c r="A88" s="12">
        <v>145</v>
      </c>
      <c r="B88" s="36">
        <v>0</v>
      </c>
      <c r="C88" s="36">
        <v>1</v>
      </c>
      <c r="D88" s="36">
        <v>0</v>
      </c>
      <c r="E88" s="18" t="str">
        <f t="shared" si="4"/>
        <v>LESIONADO</v>
      </c>
      <c r="F88" s="29" t="s">
        <v>384</v>
      </c>
      <c r="G88" s="17">
        <v>5.3435944444444443</v>
      </c>
      <c r="H88" s="17">
        <v>-72.394416666666672</v>
      </c>
      <c r="I88" s="93" t="s">
        <v>697</v>
      </c>
      <c r="J88" s="36" t="s">
        <v>717</v>
      </c>
      <c r="K88" s="24" t="str">
        <f t="shared" si="5"/>
        <v>2022</v>
      </c>
      <c r="L88" s="24" t="str">
        <f t="shared" si="6"/>
        <v>ABRIL</v>
      </c>
      <c r="M88" s="225">
        <v>44674</v>
      </c>
      <c r="N88" s="24" t="str">
        <f t="shared" si="7"/>
        <v>SÁBADO</v>
      </c>
      <c r="O88" s="101">
        <v>0.88888888888888895</v>
      </c>
      <c r="P88" s="63" t="s">
        <v>469</v>
      </c>
      <c r="Q88" s="63" t="s">
        <v>447</v>
      </c>
      <c r="R88" s="36">
        <f>COUNTIF(Tabla1[[#This Row],[VEHICULOS_ACCIDENTADOS]:[VEHICULOS_ACCIDENTADOS2]],"MOTOCICLETA")</f>
        <v>1</v>
      </c>
      <c r="S88" s="36">
        <f>COUNTIF(Tabla1[[#This Row],[VEHICULOS_ACCIDENTADOS]:[VEHICULOS_ACCIDENTADOS2]],"MOTOCARRO")</f>
        <v>0</v>
      </c>
      <c r="T88" s="36">
        <f>COUNTIF(Tabla1[[#This Row],[VEHICULOS_ACCIDENTADOS]:[VEHICULOS_ACCIDENTADOS2]],"AUTOMOVIL")</f>
        <v>1</v>
      </c>
      <c r="U88" s="36">
        <f>COUNTIF(Tabla1[[#This Row],[VEHICULOS_ACCIDENTADOS]:[VEHICULOS_ACCIDENTADOS2]],"CAMPERO")</f>
        <v>0</v>
      </c>
      <c r="V88" s="36">
        <f>COUNTIF(Tabla1[[#This Row],[VEHICULOS_ACCIDENTADOS]:[VEHICULOS_ACCIDENTADOS2]],"CAMIONETA")</f>
        <v>0</v>
      </c>
      <c r="W88" s="36">
        <f>COUNTIF(Tabla1[[#This Row],[VEHICULOS_ACCIDENTADOS]:[VEHICULOS_ACCIDENTADOS2]],"MICROBUS")</f>
        <v>0</v>
      </c>
      <c r="X88" s="36">
        <f>COUNTIF(Tabla1[[#This Row],[VEHICULOS_ACCIDENTADOS]:[VEHICULOS_ACCIDENTADOS2]],"BUS")</f>
        <v>0</v>
      </c>
      <c r="Y88" s="36">
        <f>COUNTIF(Tabla1[[#This Row],[VEHICULOS_ACCIDENTADOS]:[VEHICULOS_ACCIDENTADOS2]],"BUSETA")</f>
        <v>0</v>
      </c>
      <c r="Z88" s="36">
        <f>COUNTIF(Tabla1[[#This Row],[VEHICULOS_ACCIDENTADOS]:[VEHICULOS_ACCIDENTADOS2]],"CAMION")</f>
        <v>0</v>
      </c>
      <c r="AA88" s="36">
        <f>COUNTIF(Tabla1[[#This Row],[VEHICULOS_ACCIDENTADOS]:[VEHICULOS_ACCIDENTADOS2]],"TRACTOCAMION")</f>
        <v>0</v>
      </c>
      <c r="AB88" s="36">
        <f>COUNTIF(Tabla1[[#This Row],[VEHICULOS_ACCIDENTADOS]:[VEHICULOS_ACCIDENTADOS2]],"VOLQUETA")</f>
        <v>0</v>
      </c>
      <c r="AC88" s="36">
        <f>COUNTIF(Tabla1[[#This Row],[VEHICULOS_ACCIDENTADOS]:[VEHICULOS_ACCIDENTADOS2]],"BICICLETA")</f>
        <v>0</v>
      </c>
      <c r="AD88" s="36" t="s">
        <v>471</v>
      </c>
      <c r="AE88" s="36"/>
      <c r="AF88" s="36">
        <f>COUNTIF(Tabla1[[#This Row],[GENERO_MASCULINO]:[GENERO_FEMENINO]],"MASCULINO")</f>
        <v>1</v>
      </c>
      <c r="AG88" s="36">
        <f>COUNTIF(Tabla1[[#This Row],[GENERO_MASCULINO]:[GENERO_FEMENINO]],"FEMENINO")</f>
        <v>0</v>
      </c>
      <c r="AH88" s="61">
        <v>29</v>
      </c>
      <c r="AI88" s="61"/>
      <c r="AJ88" s="61"/>
      <c r="AK88" s="61"/>
      <c r="AL88" s="61"/>
      <c r="AM88" s="36"/>
      <c r="AN88" s="61">
        <v>114</v>
      </c>
      <c r="AO88" s="36" t="str">
        <f>IFERROR(((VLOOKUP(Tabla1[[#This Row],[HIPOTESIS_1]],listas!$D$1:$E$105,2,FALSE))),"SIN INFORMACIÓN")</f>
        <v>Embriaguez aparente.</v>
      </c>
      <c r="AP88" s="36">
        <v>157</v>
      </c>
      <c r="AQ88" s="36" t="str">
        <f>IFERROR(((VLOOKUP(Tabla1[[#This Row],[HIPOTESIS_2]],listas!$D$1:$E$105,2,FALSE))),"")</f>
        <v>Otra</v>
      </c>
      <c r="AR88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89" spans="1:44" x14ac:dyDescent="0.25">
      <c r="A89" s="12">
        <v>487</v>
      </c>
      <c r="B89" s="36">
        <v>0</v>
      </c>
      <c r="C89" s="36">
        <v>0</v>
      </c>
      <c r="D89" s="36">
        <v>1</v>
      </c>
      <c r="E89" s="18" t="str">
        <f t="shared" si="4"/>
        <v>FALLECIDO</v>
      </c>
      <c r="F89" s="36" t="s">
        <v>241</v>
      </c>
      <c r="G89" s="21">
        <v>5.3420611111111107</v>
      </c>
      <c r="H89" s="21">
        <v>-72.393580555555559</v>
      </c>
      <c r="I89" s="93" t="s">
        <v>697</v>
      </c>
      <c r="J89" s="36" t="s">
        <v>717</v>
      </c>
      <c r="K89" s="24" t="str">
        <f t="shared" si="5"/>
        <v>2023</v>
      </c>
      <c r="L89" s="24" t="str">
        <f t="shared" si="6"/>
        <v>MAYO</v>
      </c>
      <c r="M89" s="225">
        <v>45072</v>
      </c>
      <c r="N89" s="24" t="str">
        <f t="shared" si="7"/>
        <v>VIERNES</v>
      </c>
      <c r="O89" s="101">
        <v>0.52083333333333337</v>
      </c>
      <c r="P89" s="57" t="s">
        <v>469</v>
      </c>
      <c r="Q89" s="57"/>
      <c r="R89" s="36">
        <f>COUNTIF(Tabla1[[#This Row],[VEHICULOS_ACCIDENTADOS]:[VEHICULOS_ACCIDENTADOS2]],"MOTOCICLETA")</f>
        <v>1</v>
      </c>
      <c r="S89" s="36">
        <f>COUNTIF(Tabla1[[#This Row],[VEHICULOS_ACCIDENTADOS]:[VEHICULOS_ACCIDENTADOS2]],"MOTOCARRO")</f>
        <v>0</v>
      </c>
      <c r="T89" s="36">
        <f>COUNTIF(Tabla1[[#This Row],[VEHICULOS_ACCIDENTADOS]:[VEHICULOS_ACCIDENTADOS2]],"AUTOMOVIL")</f>
        <v>0</v>
      </c>
      <c r="U89" s="36">
        <f>COUNTIF(Tabla1[[#This Row],[VEHICULOS_ACCIDENTADOS]:[VEHICULOS_ACCIDENTADOS2]],"CAMPERO")</f>
        <v>0</v>
      </c>
      <c r="V89" s="36">
        <f>COUNTIF(Tabla1[[#This Row],[VEHICULOS_ACCIDENTADOS]:[VEHICULOS_ACCIDENTADOS2]],"CAMIONETA")</f>
        <v>0</v>
      </c>
      <c r="W89" s="36">
        <f>COUNTIF(Tabla1[[#This Row],[VEHICULOS_ACCIDENTADOS]:[VEHICULOS_ACCIDENTADOS2]],"MICROBUS")</f>
        <v>0</v>
      </c>
      <c r="X89" s="36">
        <f>COUNTIF(Tabla1[[#This Row],[VEHICULOS_ACCIDENTADOS]:[VEHICULOS_ACCIDENTADOS2]],"BUS")</f>
        <v>0</v>
      </c>
      <c r="Y89" s="36">
        <f>COUNTIF(Tabla1[[#This Row],[VEHICULOS_ACCIDENTADOS]:[VEHICULOS_ACCIDENTADOS2]],"BUSETA")</f>
        <v>0</v>
      </c>
      <c r="Z89" s="36">
        <f>COUNTIF(Tabla1[[#This Row],[VEHICULOS_ACCIDENTADOS]:[VEHICULOS_ACCIDENTADOS2]],"CAMION")</f>
        <v>0</v>
      </c>
      <c r="AA89" s="36">
        <f>COUNTIF(Tabla1[[#This Row],[VEHICULOS_ACCIDENTADOS]:[VEHICULOS_ACCIDENTADOS2]],"TRACTOCAMION")</f>
        <v>0</v>
      </c>
      <c r="AB89" s="36">
        <f>COUNTIF(Tabla1[[#This Row],[VEHICULOS_ACCIDENTADOS]:[VEHICULOS_ACCIDENTADOS2]],"VOLQUETA")</f>
        <v>0</v>
      </c>
      <c r="AC89" s="36">
        <f>COUNTIF(Tabla1[[#This Row],[VEHICULOS_ACCIDENTADOS]:[VEHICULOS_ACCIDENTADOS2]],"BICICLETA")</f>
        <v>0</v>
      </c>
      <c r="AD89" s="36" t="s">
        <v>471</v>
      </c>
      <c r="AE89" s="36"/>
      <c r="AF89" s="36">
        <f>COUNTIF(Tabla1[[#This Row],[GENERO_MASCULINO]:[GENERO_FEMENINO]],"MASCULINO")</f>
        <v>1</v>
      </c>
      <c r="AG89" s="36">
        <f>COUNTIF(Tabla1[[#This Row],[GENERO_MASCULINO]:[GENERO_FEMENINO]],"FEMENINO")</f>
        <v>0</v>
      </c>
      <c r="AH89" s="61"/>
      <c r="AI89" s="61"/>
      <c r="AJ89" s="78"/>
      <c r="AK89" s="61"/>
      <c r="AL89" s="61"/>
      <c r="AM89" s="36">
        <v>72</v>
      </c>
      <c r="AN89" s="61">
        <v>116</v>
      </c>
      <c r="AO89" s="36" t="str">
        <f>IFERROR(((VLOOKUP(Tabla1[[#This Row],[HIPOTESIS_1]],listas!$D$1:$E$105,2,FALSE))),"SIN INFORMACIÓN")</f>
        <v>Exceso de velocidad</v>
      </c>
      <c r="AP89" s="36">
        <v>157</v>
      </c>
      <c r="AQ89" s="36" t="str">
        <f>IFERROR(((VLOOKUP(Tabla1[[#This Row],[HIPOTESIS_2]],listas!$D$1:$E$105,2,FALSE))),"")</f>
        <v>Otra</v>
      </c>
      <c r="AR89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90" spans="1:44" x14ac:dyDescent="0.25">
      <c r="A90" s="12">
        <v>438</v>
      </c>
      <c r="B90" s="36">
        <v>0</v>
      </c>
      <c r="C90" s="36">
        <v>1</v>
      </c>
      <c r="D90" s="36">
        <v>0</v>
      </c>
      <c r="E90" s="18" t="str">
        <f t="shared" si="4"/>
        <v>LESIONADO</v>
      </c>
      <c r="F90" s="29" t="s">
        <v>265</v>
      </c>
      <c r="G90" s="21">
        <v>5.3278822222222217</v>
      </c>
      <c r="H90" s="21">
        <v>-72.385863055555561</v>
      </c>
      <c r="I90" s="93" t="s">
        <v>697</v>
      </c>
      <c r="J90" s="36" t="s">
        <v>717</v>
      </c>
      <c r="K90" s="24" t="str">
        <f t="shared" si="5"/>
        <v>2023</v>
      </c>
      <c r="L90" s="24" t="str">
        <f t="shared" si="6"/>
        <v>MARZO</v>
      </c>
      <c r="M90" s="225">
        <v>45008</v>
      </c>
      <c r="N90" s="24" t="str">
        <f t="shared" si="7"/>
        <v>JUEVES</v>
      </c>
      <c r="O90" s="101">
        <v>0.25694444444444448</v>
      </c>
      <c r="P90" s="57" t="s">
        <v>469</v>
      </c>
      <c r="Q90" s="57" t="s">
        <v>447</v>
      </c>
      <c r="R90" s="36">
        <f>COUNTIF(Tabla1[[#This Row],[VEHICULOS_ACCIDENTADOS]:[VEHICULOS_ACCIDENTADOS2]],"MOTOCICLETA")</f>
        <v>1</v>
      </c>
      <c r="S90" s="36">
        <f>COUNTIF(Tabla1[[#This Row],[VEHICULOS_ACCIDENTADOS]:[VEHICULOS_ACCIDENTADOS2]],"MOTOCARRO")</f>
        <v>0</v>
      </c>
      <c r="T90" s="36">
        <f>COUNTIF(Tabla1[[#This Row],[VEHICULOS_ACCIDENTADOS]:[VEHICULOS_ACCIDENTADOS2]],"AUTOMOVIL")</f>
        <v>1</v>
      </c>
      <c r="U90" s="36">
        <f>COUNTIF(Tabla1[[#This Row],[VEHICULOS_ACCIDENTADOS]:[VEHICULOS_ACCIDENTADOS2]],"CAMPERO")</f>
        <v>0</v>
      </c>
      <c r="V90" s="36">
        <f>COUNTIF(Tabla1[[#This Row],[VEHICULOS_ACCIDENTADOS]:[VEHICULOS_ACCIDENTADOS2]],"CAMIONETA")</f>
        <v>0</v>
      </c>
      <c r="W90" s="36">
        <f>COUNTIF(Tabla1[[#This Row],[VEHICULOS_ACCIDENTADOS]:[VEHICULOS_ACCIDENTADOS2]],"MICROBUS")</f>
        <v>0</v>
      </c>
      <c r="X90" s="36">
        <f>COUNTIF(Tabla1[[#This Row],[VEHICULOS_ACCIDENTADOS]:[VEHICULOS_ACCIDENTADOS2]],"BUS")</f>
        <v>0</v>
      </c>
      <c r="Y90" s="36">
        <f>COUNTIF(Tabla1[[#This Row],[VEHICULOS_ACCIDENTADOS]:[VEHICULOS_ACCIDENTADOS2]],"BUSETA")</f>
        <v>0</v>
      </c>
      <c r="Z90" s="36">
        <f>COUNTIF(Tabla1[[#This Row],[VEHICULOS_ACCIDENTADOS]:[VEHICULOS_ACCIDENTADOS2]],"CAMION")</f>
        <v>0</v>
      </c>
      <c r="AA90" s="36">
        <f>COUNTIF(Tabla1[[#This Row],[VEHICULOS_ACCIDENTADOS]:[VEHICULOS_ACCIDENTADOS2]],"TRACTOCAMION")</f>
        <v>0</v>
      </c>
      <c r="AB90" s="36">
        <f>COUNTIF(Tabla1[[#This Row],[VEHICULOS_ACCIDENTADOS]:[VEHICULOS_ACCIDENTADOS2]],"VOLQUETA")</f>
        <v>0</v>
      </c>
      <c r="AC90" s="36">
        <f>COUNTIF(Tabla1[[#This Row],[VEHICULOS_ACCIDENTADOS]:[VEHICULOS_ACCIDENTADOS2]],"BICICLETA")</f>
        <v>0</v>
      </c>
      <c r="AD90" s="36"/>
      <c r="AE90" s="36" t="s">
        <v>472</v>
      </c>
      <c r="AF90" s="36">
        <f>COUNTIF(Tabla1[[#This Row],[GENERO_MASCULINO]:[GENERO_FEMENINO]],"MASCULINO")</f>
        <v>0</v>
      </c>
      <c r="AG90" s="36">
        <f>COUNTIF(Tabla1[[#This Row],[GENERO_MASCULINO]:[GENERO_FEMENINO]],"FEMENINO")</f>
        <v>1</v>
      </c>
      <c r="AH90" s="61"/>
      <c r="AI90" s="61"/>
      <c r="AJ90" s="61"/>
      <c r="AK90" s="61"/>
      <c r="AL90" s="61">
        <v>9</v>
      </c>
      <c r="AM90" s="36"/>
      <c r="AN90" s="61">
        <v>139</v>
      </c>
      <c r="AO90" s="36" t="str">
        <f>IFERROR(((VLOOKUP(Tabla1[[#This Row],[HIPOTESIS_1]],listas!$D$1:$E$105,2,FALSE))),"SIN INFORMACIÓN")</f>
        <v>Impericia en el manejo.</v>
      </c>
      <c r="AP90" s="36">
        <v>157</v>
      </c>
      <c r="AQ90" s="36" t="str">
        <f>IFERROR(((VLOOKUP(Tabla1[[#This Row],[HIPOTESIS_2]],listas!$D$1:$E$105,2,FALSE))),"")</f>
        <v>Otra</v>
      </c>
      <c r="AR90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91" spans="1:44" x14ac:dyDescent="0.25">
      <c r="A91" s="12">
        <v>480</v>
      </c>
      <c r="B91" s="36">
        <v>0</v>
      </c>
      <c r="C91" s="36">
        <v>1</v>
      </c>
      <c r="D91" s="36">
        <v>0</v>
      </c>
      <c r="E91" s="18" t="str">
        <f t="shared" si="4"/>
        <v>LESIONADO</v>
      </c>
      <c r="F91" s="29" t="s">
        <v>244</v>
      </c>
      <c r="G91" s="17">
        <v>5.3353805555555551</v>
      </c>
      <c r="H91" s="17">
        <v>-72.388897222222226</v>
      </c>
      <c r="I91" s="93" t="s">
        <v>697</v>
      </c>
      <c r="J91" s="36" t="s">
        <v>717</v>
      </c>
      <c r="K91" s="24" t="str">
        <f t="shared" si="5"/>
        <v>2023</v>
      </c>
      <c r="L91" s="24" t="str">
        <f t="shared" si="6"/>
        <v>MAYO</v>
      </c>
      <c r="M91" s="225">
        <v>45063</v>
      </c>
      <c r="N91" s="24" t="str">
        <f t="shared" si="7"/>
        <v>MIÉRCOLES</v>
      </c>
      <c r="O91" s="101">
        <v>0.60069444444444442</v>
      </c>
      <c r="P91" s="57" t="s">
        <v>469</v>
      </c>
      <c r="Q91" s="57" t="s">
        <v>447</v>
      </c>
      <c r="R91" s="36">
        <f>COUNTIF(Tabla1[[#This Row],[VEHICULOS_ACCIDENTADOS]:[VEHICULOS_ACCIDENTADOS2]],"MOTOCICLETA")</f>
        <v>1</v>
      </c>
      <c r="S91" s="36">
        <f>COUNTIF(Tabla1[[#This Row],[VEHICULOS_ACCIDENTADOS]:[VEHICULOS_ACCIDENTADOS2]],"MOTOCARRO")</f>
        <v>0</v>
      </c>
      <c r="T91" s="36">
        <f>COUNTIF(Tabla1[[#This Row],[VEHICULOS_ACCIDENTADOS]:[VEHICULOS_ACCIDENTADOS2]],"AUTOMOVIL")</f>
        <v>1</v>
      </c>
      <c r="U91" s="36">
        <f>COUNTIF(Tabla1[[#This Row],[VEHICULOS_ACCIDENTADOS]:[VEHICULOS_ACCIDENTADOS2]],"CAMPERO")</f>
        <v>0</v>
      </c>
      <c r="V91" s="36">
        <f>COUNTIF(Tabla1[[#This Row],[VEHICULOS_ACCIDENTADOS]:[VEHICULOS_ACCIDENTADOS2]],"CAMIONETA")</f>
        <v>0</v>
      </c>
      <c r="W91" s="36">
        <f>COUNTIF(Tabla1[[#This Row],[VEHICULOS_ACCIDENTADOS]:[VEHICULOS_ACCIDENTADOS2]],"MICROBUS")</f>
        <v>0</v>
      </c>
      <c r="X91" s="36">
        <f>COUNTIF(Tabla1[[#This Row],[VEHICULOS_ACCIDENTADOS]:[VEHICULOS_ACCIDENTADOS2]],"BUS")</f>
        <v>0</v>
      </c>
      <c r="Y91" s="36">
        <f>COUNTIF(Tabla1[[#This Row],[VEHICULOS_ACCIDENTADOS]:[VEHICULOS_ACCIDENTADOS2]],"BUSETA")</f>
        <v>0</v>
      </c>
      <c r="Z91" s="36">
        <f>COUNTIF(Tabla1[[#This Row],[VEHICULOS_ACCIDENTADOS]:[VEHICULOS_ACCIDENTADOS2]],"CAMION")</f>
        <v>0</v>
      </c>
      <c r="AA91" s="36">
        <f>COUNTIF(Tabla1[[#This Row],[VEHICULOS_ACCIDENTADOS]:[VEHICULOS_ACCIDENTADOS2]],"TRACTOCAMION")</f>
        <v>0</v>
      </c>
      <c r="AB91" s="36">
        <f>COUNTIF(Tabla1[[#This Row],[VEHICULOS_ACCIDENTADOS]:[VEHICULOS_ACCIDENTADOS2]],"VOLQUETA")</f>
        <v>0</v>
      </c>
      <c r="AC91" s="36">
        <f>COUNTIF(Tabla1[[#This Row],[VEHICULOS_ACCIDENTADOS]:[VEHICULOS_ACCIDENTADOS2]],"BICICLETA")</f>
        <v>0</v>
      </c>
      <c r="AD91" s="36" t="s">
        <v>471</v>
      </c>
      <c r="AE91" s="36"/>
      <c r="AF91" s="36">
        <f>COUNTIF(Tabla1[[#This Row],[GENERO_MASCULINO]:[GENERO_FEMENINO]],"MASCULINO")</f>
        <v>1</v>
      </c>
      <c r="AG91" s="36">
        <f>COUNTIF(Tabla1[[#This Row],[GENERO_MASCULINO]:[GENERO_FEMENINO]],"FEMENINO")</f>
        <v>0</v>
      </c>
      <c r="AH91" s="61">
        <v>28</v>
      </c>
      <c r="AI91" s="61"/>
      <c r="AJ91" s="61"/>
      <c r="AK91" s="61"/>
      <c r="AL91" s="61"/>
      <c r="AM91" s="36"/>
      <c r="AN91" s="61">
        <v>123</v>
      </c>
      <c r="AO91" s="36" t="str">
        <f>IFERROR(((VLOOKUP(Tabla1[[#This Row],[HIPOTESIS_1]],listas!$D$1:$E$105,2,FALSE))),"SIN INFORMACIÓN")</f>
        <v>No respetar prelación de intersecciones o giros.</v>
      </c>
      <c r="AP91" s="36">
        <v>157</v>
      </c>
      <c r="AQ91" s="36" t="str">
        <f>IFERROR(((VLOOKUP(Tabla1[[#This Row],[HIPOTESIS_2]],listas!$D$1:$E$105,2,FALSE))),"")</f>
        <v>Otra</v>
      </c>
      <c r="AR91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92" spans="1:44" x14ac:dyDescent="0.25">
      <c r="A92" s="12">
        <v>496</v>
      </c>
      <c r="B92" s="36">
        <v>0</v>
      </c>
      <c r="C92" s="36">
        <v>1</v>
      </c>
      <c r="D92" s="36">
        <v>0</v>
      </c>
      <c r="E92" s="18" t="str">
        <f t="shared" si="4"/>
        <v>LESIONADO</v>
      </c>
      <c r="F92" s="29" t="s">
        <v>236</v>
      </c>
      <c r="G92" s="17">
        <v>5.3345805555555552</v>
      </c>
      <c r="H92" s="17">
        <v>-72.388427777777778</v>
      </c>
      <c r="I92" s="93" t="s">
        <v>697</v>
      </c>
      <c r="J92" s="36" t="s">
        <v>717</v>
      </c>
      <c r="K92" s="24" t="str">
        <f t="shared" si="5"/>
        <v>2023</v>
      </c>
      <c r="L92" s="24" t="str">
        <f t="shared" si="6"/>
        <v>JUNIO</v>
      </c>
      <c r="M92" s="225">
        <v>45080</v>
      </c>
      <c r="N92" s="24" t="str">
        <f t="shared" si="7"/>
        <v>SÁBADO</v>
      </c>
      <c r="O92" s="101">
        <v>0.4375</v>
      </c>
      <c r="P92" s="57" t="s">
        <v>469</v>
      </c>
      <c r="Q92" s="57" t="s">
        <v>447</v>
      </c>
      <c r="R92" s="36">
        <f>COUNTIF(Tabla1[[#This Row],[VEHICULOS_ACCIDENTADOS]:[VEHICULOS_ACCIDENTADOS2]],"MOTOCICLETA")</f>
        <v>1</v>
      </c>
      <c r="S92" s="36">
        <f>COUNTIF(Tabla1[[#This Row],[VEHICULOS_ACCIDENTADOS]:[VEHICULOS_ACCIDENTADOS2]],"MOTOCARRO")</f>
        <v>0</v>
      </c>
      <c r="T92" s="36">
        <f>COUNTIF(Tabla1[[#This Row],[VEHICULOS_ACCIDENTADOS]:[VEHICULOS_ACCIDENTADOS2]],"AUTOMOVIL")</f>
        <v>1</v>
      </c>
      <c r="U92" s="36">
        <f>COUNTIF(Tabla1[[#This Row],[VEHICULOS_ACCIDENTADOS]:[VEHICULOS_ACCIDENTADOS2]],"CAMPERO")</f>
        <v>0</v>
      </c>
      <c r="V92" s="36">
        <f>COUNTIF(Tabla1[[#This Row],[VEHICULOS_ACCIDENTADOS]:[VEHICULOS_ACCIDENTADOS2]],"CAMIONETA")</f>
        <v>0</v>
      </c>
      <c r="W92" s="36">
        <f>COUNTIF(Tabla1[[#This Row],[VEHICULOS_ACCIDENTADOS]:[VEHICULOS_ACCIDENTADOS2]],"MICROBUS")</f>
        <v>0</v>
      </c>
      <c r="X92" s="36">
        <f>COUNTIF(Tabla1[[#This Row],[VEHICULOS_ACCIDENTADOS]:[VEHICULOS_ACCIDENTADOS2]],"BUS")</f>
        <v>0</v>
      </c>
      <c r="Y92" s="36">
        <f>COUNTIF(Tabla1[[#This Row],[VEHICULOS_ACCIDENTADOS]:[VEHICULOS_ACCIDENTADOS2]],"BUSETA")</f>
        <v>0</v>
      </c>
      <c r="Z92" s="36">
        <f>COUNTIF(Tabla1[[#This Row],[VEHICULOS_ACCIDENTADOS]:[VEHICULOS_ACCIDENTADOS2]],"CAMION")</f>
        <v>0</v>
      </c>
      <c r="AA92" s="36">
        <f>COUNTIF(Tabla1[[#This Row],[VEHICULOS_ACCIDENTADOS]:[VEHICULOS_ACCIDENTADOS2]],"TRACTOCAMION")</f>
        <v>0</v>
      </c>
      <c r="AB92" s="36">
        <f>COUNTIF(Tabla1[[#This Row],[VEHICULOS_ACCIDENTADOS]:[VEHICULOS_ACCIDENTADOS2]],"VOLQUETA")</f>
        <v>0</v>
      </c>
      <c r="AC92" s="36">
        <f>COUNTIF(Tabla1[[#This Row],[VEHICULOS_ACCIDENTADOS]:[VEHICULOS_ACCIDENTADOS2]],"BICICLETA")</f>
        <v>0</v>
      </c>
      <c r="AD92" s="36" t="s">
        <v>471</v>
      </c>
      <c r="AE92" s="36"/>
      <c r="AF92" s="36">
        <f>COUNTIF(Tabla1[[#This Row],[GENERO_MASCULINO]:[GENERO_FEMENINO]],"MASCULINO")</f>
        <v>1</v>
      </c>
      <c r="AG92" s="36">
        <f>COUNTIF(Tabla1[[#This Row],[GENERO_MASCULINO]:[GENERO_FEMENINO]],"FEMENINO")</f>
        <v>0</v>
      </c>
      <c r="AH92" s="61">
        <v>32</v>
      </c>
      <c r="AI92" s="61"/>
      <c r="AJ92" s="61"/>
      <c r="AK92" s="61"/>
      <c r="AL92" s="61"/>
      <c r="AM92" s="36"/>
      <c r="AN92" s="61">
        <v>127</v>
      </c>
      <c r="AO92" s="36" t="str">
        <f>IFERROR(((VLOOKUP(Tabla1[[#This Row],[HIPOTESIS_1]],listas!$D$1:$E$105,2,FALSE))),"SIN INFORMACIÓN")</f>
        <v>Transitar en contravía.</v>
      </c>
      <c r="AP92" s="36">
        <v>157</v>
      </c>
      <c r="AQ92" s="36" t="str">
        <f>IFERROR(((VLOOKUP(Tabla1[[#This Row],[HIPOTESIS_2]],listas!$D$1:$E$105,2,FALSE))),"")</f>
        <v>Otra</v>
      </c>
      <c r="AR92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93" spans="1:44" x14ac:dyDescent="0.25">
      <c r="A93" s="12">
        <v>974</v>
      </c>
      <c r="B93" s="136">
        <v>0</v>
      </c>
      <c r="C93" s="136">
        <v>2</v>
      </c>
      <c r="D93" s="141">
        <v>0</v>
      </c>
      <c r="E93" s="18" t="str">
        <f t="shared" si="4"/>
        <v>LESIONADO</v>
      </c>
      <c r="F93" s="136" t="s">
        <v>960</v>
      </c>
      <c r="G93" s="20">
        <v>5.3414270000000004</v>
      </c>
      <c r="H93" s="20">
        <v>-72.389044999999996</v>
      </c>
      <c r="I93" s="93" t="s">
        <v>697</v>
      </c>
      <c r="J93" s="135" t="s">
        <v>717</v>
      </c>
      <c r="K93" s="24" t="str">
        <f t="shared" si="5"/>
        <v>2025</v>
      </c>
      <c r="L93" s="24" t="str">
        <f t="shared" si="6"/>
        <v>MAYO</v>
      </c>
      <c r="M93" s="224">
        <v>45804</v>
      </c>
      <c r="N93" s="24" t="str">
        <f t="shared" si="7"/>
        <v>MARTES</v>
      </c>
      <c r="O93" s="171">
        <v>1.7361111111111112E-2</v>
      </c>
      <c r="P93" s="63" t="s">
        <v>469</v>
      </c>
      <c r="Q93" s="63" t="s">
        <v>469</v>
      </c>
      <c r="R93" s="36">
        <f>COUNTIF(Tabla1[[#This Row],[VEHICULOS_ACCIDENTADOS]:[VEHICULOS_ACCIDENTADOS2]],"MOTOCICLETA")</f>
        <v>2</v>
      </c>
      <c r="S93" s="36">
        <f>COUNTIF(Tabla1[[#This Row],[VEHICULOS_ACCIDENTADOS]:[VEHICULOS_ACCIDENTADOS2]],"MOTOCARRO")</f>
        <v>0</v>
      </c>
      <c r="T93" s="36">
        <f>COUNTIF(Tabla1[[#This Row],[VEHICULOS_ACCIDENTADOS]:[VEHICULOS_ACCIDENTADOS2]],"AUTOMOVIL")</f>
        <v>0</v>
      </c>
      <c r="U93" s="36">
        <f>COUNTIF(Tabla1[[#This Row],[VEHICULOS_ACCIDENTADOS]:[VEHICULOS_ACCIDENTADOS2]],"CAMPERO")</f>
        <v>0</v>
      </c>
      <c r="V93" s="36">
        <f>COUNTIF(Tabla1[[#This Row],[VEHICULOS_ACCIDENTADOS]:[VEHICULOS_ACCIDENTADOS2]],"CAMIONETA")</f>
        <v>0</v>
      </c>
      <c r="W93" s="36">
        <f>COUNTIF(Tabla1[[#This Row],[VEHICULOS_ACCIDENTADOS]:[VEHICULOS_ACCIDENTADOS2]],"MICROBUS")</f>
        <v>0</v>
      </c>
      <c r="X93" s="36">
        <f>COUNTIF(Tabla1[[#This Row],[VEHICULOS_ACCIDENTADOS]:[VEHICULOS_ACCIDENTADOS2]],"BUS")</f>
        <v>0</v>
      </c>
      <c r="Y93" s="36">
        <f>COUNTIF(Tabla1[[#This Row],[VEHICULOS_ACCIDENTADOS]:[VEHICULOS_ACCIDENTADOS2]],"BUSETA")</f>
        <v>0</v>
      </c>
      <c r="Z93" s="36">
        <f>COUNTIF(Tabla1[[#This Row],[VEHICULOS_ACCIDENTADOS]:[VEHICULOS_ACCIDENTADOS2]],"CAMION")</f>
        <v>0</v>
      </c>
      <c r="AA93" s="36">
        <f>COUNTIF(Tabla1[[#This Row],[VEHICULOS_ACCIDENTADOS]:[VEHICULOS_ACCIDENTADOS2]],"TRACTOCAMION")</f>
        <v>0</v>
      </c>
      <c r="AB93" s="36">
        <f>COUNTIF(Tabla1[[#This Row],[VEHICULOS_ACCIDENTADOS]:[VEHICULOS_ACCIDENTADOS2]],"VOLQUETA")</f>
        <v>0</v>
      </c>
      <c r="AC93" s="36">
        <f>COUNTIF(Tabla1[[#This Row],[VEHICULOS_ACCIDENTADOS]:[VEHICULOS_ACCIDENTADOS2]],"BICICLETA")</f>
        <v>0</v>
      </c>
      <c r="AD93" s="36" t="s">
        <v>471</v>
      </c>
      <c r="AE93" s="36" t="s">
        <v>471</v>
      </c>
      <c r="AF93" s="36">
        <f>COUNTIF(Tabla1[[#This Row],[GENERO_MASCULINO]:[GENERO_FEMENINO]],"MASCULINO")</f>
        <v>2</v>
      </c>
      <c r="AG93" s="36">
        <f>COUNTIF(Tabla1[[#This Row],[GENERO_MASCULINO]:[GENERO_FEMENINO]],"FEMENINO")</f>
        <v>0</v>
      </c>
      <c r="AH93" s="85">
        <v>19</v>
      </c>
      <c r="AI93" s="85">
        <v>28</v>
      </c>
      <c r="AJ93" s="85"/>
      <c r="AK93" s="85"/>
      <c r="AL93" s="78"/>
      <c r="AM93" s="59"/>
      <c r="AN93" s="85">
        <v>112</v>
      </c>
      <c r="AO93" s="36" t="str">
        <f>IFERROR(((VLOOKUP(Tabla1[[#This Row],[HIPOTESIS_1]],listas!$D$1:$E$105,2,FALSE))),"SIN INFORMACIÓN")</f>
        <v>Desobedecer señales o normas de tránsito.</v>
      </c>
      <c r="AP93" s="36">
        <v>157</v>
      </c>
      <c r="AQ93" s="36" t="str">
        <f>IFERROR(((VLOOKUP(Tabla1[[#This Row],[HIPOTESIS_2]],listas!$D$1:$E$105,2,FALSE))),"")</f>
        <v>Otra</v>
      </c>
      <c r="AR93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94" spans="1:44" x14ac:dyDescent="0.25">
      <c r="A94" s="12">
        <v>601</v>
      </c>
      <c r="B94" s="36">
        <v>0</v>
      </c>
      <c r="C94" s="36">
        <v>1</v>
      </c>
      <c r="D94" s="36">
        <v>0</v>
      </c>
      <c r="E94" s="18" t="str">
        <f t="shared" si="4"/>
        <v>LESIONADO</v>
      </c>
      <c r="F94" s="29" t="s">
        <v>963</v>
      </c>
      <c r="G94" s="17">
        <v>5.3391222222222217</v>
      </c>
      <c r="H94" s="17">
        <v>-72.387786111111112</v>
      </c>
      <c r="I94" s="93" t="s">
        <v>697</v>
      </c>
      <c r="J94" s="36" t="s">
        <v>717</v>
      </c>
      <c r="K94" s="24" t="str">
        <f t="shared" si="5"/>
        <v>2023</v>
      </c>
      <c r="L94" s="24" t="str">
        <f t="shared" si="6"/>
        <v>NOVIEMBRE</v>
      </c>
      <c r="M94" s="225">
        <v>45238</v>
      </c>
      <c r="N94" s="24" t="str">
        <f t="shared" si="7"/>
        <v>MIÉRCOLES</v>
      </c>
      <c r="O94" s="101">
        <v>0.88888888888888884</v>
      </c>
      <c r="P94" s="57" t="s">
        <v>469</v>
      </c>
      <c r="Q94" s="57" t="s">
        <v>447</v>
      </c>
      <c r="R94" s="36">
        <f>COUNTIF(Tabla1[[#This Row],[VEHICULOS_ACCIDENTADOS]:[VEHICULOS_ACCIDENTADOS2]],"MOTOCICLETA")</f>
        <v>1</v>
      </c>
      <c r="S94" s="36">
        <f>COUNTIF(Tabla1[[#This Row],[VEHICULOS_ACCIDENTADOS]:[VEHICULOS_ACCIDENTADOS2]],"MOTOCARRO")</f>
        <v>0</v>
      </c>
      <c r="T94" s="36">
        <f>COUNTIF(Tabla1[[#This Row],[VEHICULOS_ACCIDENTADOS]:[VEHICULOS_ACCIDENTADOS2]],"AUTOMOVIL")</f>
        <v>1</v>
      </c>
      <c r="U94" s="36">
        <f>COUNTIF(Tabla1[[#This Row],[VEHICULOS_ACCIDENTADOS]:[VEHICULOS_ACCIDENTADOS2]],"CAMPERO")</f>
        <v>0</v>
      </c>
      <c r="V94" s="36">
        <f>COUNTIF(Tabla1[[#This Row],[VEHICULOS_ACCIDENTADOS]:[VEHICULOS_ACCIDENTADOS2]],"CAMIONETA")</f>
        <v>0</v>
      </c>
      <c r="W94" s="36">
        <f>COUNTIF(Tabla1[[#This Row],[VEHICULOS_ACCIDENTADOS]:[VEHICULOS_ACCIDENTADOS2]],"MICROBUS")</f>
        <v>0</v>
      </c>
      <c r="X94" s="36">
        <f>COUNTIF(Tabla1[[#This Row],[VEHICULOS_ACCIDENTADOS]:[VEHICULOS_ACCIDENTADOS2]],"BUS")</f>
        <v>0</v>
      </c>
      <c r="Y94" s="36">
        <f>COUNTIF(Tabla1[[#This Row],[VEHICULOS_ACCIDENTADOS]:[VEHICULOS_ACCIDENTADOS2]],"BUSETA")</f>
        <v>0</v>
      </c>
      <c r="Z94" s="36">
        <f>COUNTIF(Tabla1[[#This Row],[VEHICULOS_ACCIDENTADOS]:[VEHICULOS_ACCIDENTADOS2]],"CAMION")</f>
        <v>0</v>
      </c>
      <c r="AA94" s="36">
        <f>COUNTIF(Tabla1[[#This Row],[VEHICULOS_ACCIDENTADOS]:[VEHICULOS_ACCIDENTADOS2]],"TRACTOCAMION")</f>
        <v>0</v>
      </c>
      <c r="AB94" s="36">
        <f>COUNTIF(Tabla1[[#This Row],[VEHICULOS_ACCIDENTADOS]:[VEHICULOS_ACCIDENTADOS2]],"VOLQUETA")</f>
        <v>0</v>
      </c>
      <c r="AC94" s="36">
        <f>COUNTIF(Tabla1[[#This Row],[VEHICULOS_ACCIDENTADOS]:[VEHICULOS_ACCIDENTADOS2]],"BICICLETA")</f>
        <v>0</v>
      </c>
      <c r="AD94" s="36" t="s">
        <v>471</v>
      </c>
      <c r="AE94" s="36"/>
      <c r="AF94" s="36">
        <f>COUNTIF(Tabla1[[#This Row],[GENERO_MASCULINO]:[GENERO_FEMENINO]],"MASCULINO")</f>
        <v>1</v>
      </c>
      <c r="AG94" s="36">
        <f>COUNTIF(Tabla1[[#This Row],[GENERO_MASCULINO]:[GENERO_FEMENINO]],"FEMENINO")</f>
        <v>0</v>
      </c>
      <c r="AH94" s="61">
        <v>28</v>
      </c>
      <c r="AI94" s="61"/>
      <c r="AJ94" s="61"/>
      <c r="AK94" s="61"/>
      <c r="AL94" s="61"/>
      <c r="AM94" s="36"/>
      <c r="AN94" s="61">
        <v>139</v>
      </c>
      <c r="AO94" s="36" t="str">
        <f>IFERROR(((VLOOKUP(Tabla1[[#This Row],[HIPOTESIS_1]],listas!$D$1:$E$105,2,FALSE))),"SIN INFORMACIÓN")</f>
        <v>Impericia en el manejo.</v>
      </c>
      <c r="AP94" s="36">
        <v>157</v>
      </c>
      <c r="AQ94" s="36" t="str">
        <f>IFERROR(((VLOOKUP(Tabla1[[#This Row],[HIPOTESIS_2]],listas!$D$1:$E$105,2,FALSE))),"")</f>
        <v>Otra</v>
      </c>
      <c r="AR94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95" spans="1:44" x14ac:dyDescent="0.25">
      <c r="A95" s="12">
        <v>262</v>
      </c>
      <c r="B95" s="36">
        <v>0</v>
      </c>
      <c r="C95" s="36">
        <v>1</v>
      </c>
      <c r="D95" s="36">
        <v>0</v>
      </c>
      <c r="E95" s="18" t="str">
        <f t="shared" si="4"/>
        <v>LESIONADO</v>
      </c>
      <c r="F95" s="36" t="s">
        <v>1083</v>
      </c>
      <c r="G95" s="17">
        <v>5.3295766666666662</v>
      </c>
      <c r="H95" s="17">
        <v>-72.37913694444444</v>
      </c>
      <c r="I95" s="93" t="s">
        <v>697</v>
      </c>
      <c r="J95" s="36" t="s">
        <v>717</v>
      </c>
      <c r="K95" s="24" t="str">
        <f t="shared" si="5"/>
        <v>2022</v>
      </c>
      <c r="L95" s="24" t="str">
        <f t="shared" si="6"/>
        <v>JULIO</v>
      </c>
      <c r="M95" s="225">
        <v>44772</v>
      </c>
      <c r="N95" s="24" t="str">
        <f t="shared" si="7"/>
        <v>SÁBADO</v>
      </c>
      <c r="O95" s="102">
        <v>4.8611111111111098E-2</v>
      </c>
      <c r="P95" s="53" t="s">
        <v>469</v>
      </c>
      <c r="Q95" s="53"/>
      <c r="R95" s="36">
        <f>COUNTIF(Tabla1[[#This Row],[VEHICULOS_ACCIDENTADOS]:[VEHICULOS_ACCIDENTADOS2]],"MOTOCICLETA")</f>
        <v>1</v>
      </c>
      <c r="S95" s="36">
        <f>COUNTIF(Tabla1[[#This Row],[VEHICULOS_ACCIDENTADOS]:[VEHICULOS_ACCIDENTADOS2]],"MOTOCARRO")</f>
        <v>0</v>
      </c>
      <c r="T95" s="36">
        <f>COUNTIF(Tabla1[[#This Row],[VEHICULOS_ACCIDENTADOS]:[VEHICULOS_ACCIDENTADOS2]],"AUTOMOVIL")</f>
        <v>0</v>
      </c>
      <c r="U95" s="36">
        <f>COUNTIF(Tabla1[[#This Row],[VEHICULOS_ACCIDENTADOS]:[VEHICULOS_ACCIDENTADOS2]],"CAMPERO")</f>
        <v>0</v>
      </c>
      <c r="V95" s="36">
        <f>COUNTIF(Tabla1[[#This Row],[VEHICULOS_ACCIDENTADOS]:[VEHICULOS_ACCIDENTADOS2]],"CAMIONETA")</f>
        <v>0</v>
      </c>
      <c r="W95" s="36">
        <f>COUNTIF(Tabla1[[#This Row],[VEHICULOS_ACCIDENTADOS]:[VEHICULOS_ACCIDENTADOS2]],"MICROBUS")</f>
        <v>0</v>
      </c>
      <c r="X95" s="36">
        <f>COUNTIF(Tabla1[[#This Row],[VEHICULOS_ACCIDENTADOS]:[VEHICULOS_ACCIDENTADOS2]],"BUS")</f>
        <v>0</v>
      </c>
      <c r="Y95" s="36">
        <f>COUNTIF(Tabla1[[#This Row],[VEHICULOS_ACCIDENTADOS]:[VEHICULOS_ACCIDENTADOS2]],"BUSETA")</f>
        <v>0</v>
      </c>
      <c r="Z95" s="36">
        <f>COUNTIF(Tabla1[[#This Row],[VEHICULOS_ACCIDENTADOS]:[VEHICULOS_ACCIDENTADOS2]],"CAMION")</f>
        <v>0</v>
      </c>
      <c r="AA95" s="36">
        <f>COUNTIF(Tabla1[[#This Row],[VEHICULOS_ACCIDENTADOS]:[VEHICULOS_ACCIDENTADOS2]],"TRACTOCAMION")</f>
        <v>0</v>
      </c>
      <c r="AB95" s="36">
        <f>COUNTIF(Tabla1[[#This Row],[VEHICULOS_ACCIDENTADOS]:[VEHICULOS_ACCIDENTADOS2]],"VOLQUETA")</f>
        <v>0</v>
      </c>
      <c r="AC95" s="36">
        <f>COUNTIF(Tabla1[[#This Row],[VEHICULOS_ACCIDENTADOS]:[VEHICULOS_ACCIDENTADOS2]],"BICICLETA")</f>
        <v>0</v>
      </c>
      <c r="AD95" s="36"/>
      <c r="AE95" s="36" t="s">
        <v>472</v>
      </c>
      <c r="AF95" s="36">
        <f>COUNTIF(Tabla1[[#This Row],[GENERO_MASCULINO]:[GENERO_FEMENINO]],"MASCULINO")</f>
        <v>0</v>
      </c>
      <c r="AG95" s="36">
        <f>COUNTIF(Tabla1[[#This Row],[GENERO_MASCULINO]:[GENERO_FEMENINO]],"FEMENINO")</f>
        <v>1</v>
      </c>
      <c r="AH95" s="61">
        <v>29</v>
      </c>
      <c r="AI95" s="61"/>
      <c r="AJ95" s="61"/>
      <c r="AK95" s="61"/>
      <c r="AL95" s="61"/>
      <c r="AM95" s="36"/>
      <c r="AN95" s="61">
        <v>139</v>
      </c>
      <c r="AO95" s="36" t="str">
        <f>IFERROR(((VLOOKUP(Tabla1[[#This Row],[HIPOTESIS_1]],listas!$D$1:$E$105,2,FALSE))),"SIN INFORMACIÓN")</f>
        <v>Impericia en el manejo.</v>
      </c>
      <c r="AP95" s="36">
        <v>157</v>
      </c>
      <c r="AQ95" s="36" t="str">
        <f>IFERROR(((VLOOKUP(Tabla1[[#This Row],[HIPOTESIS_2]],listas!$D$1:$E$105,2,FALSE))),"")</f>
        <v>Otra</v>
      </c>
      <c r="AR95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96" spans="1:44" x14ac:dyDescent="0.25">
      <c r="A96" s="12">
        <v>900</v>
      </c>
      <c r="B96" s="135">
        <v>0</v>
      </c>
      <c r="C96" s="136">
        <v>2</v>
      </c>
      <c r="D96" s="136">
        <v>0</v>
      </c>
      <c r="E96" s="18" t="str">
        <f t="shared" si="4"/>
        <v>LESIONADO</v>
      </c>
      <c r="F96" s="26" t="s">
        <v>62</v>
      </c>
      <c r="G96" s="21">
        <v>5.3463269999999996</v>
      </c>
      <c r="H96" s="21">
        <v>-72.389675999999994</v>
      </c>
      <c r="I96" s="93" t="s">
        <v>697</v>
      </c>
      <c r="J96" s="167" t="s">
        <v>717</v>
      </c>
      <c r="K96" s="24" t="str">
        <f t="shared" si="5"/>
        <v>2025</v>
      </c>
      <c r="L96" s="24" t="str">
        <f t="shared" si="6"/>
        <v>MARZO</v>
      </c>
      <c r="M96" s="224">
        <v>45721</v>
      </c>
      <c r="N96" s="24" t="str">
        <f t="shared" si="7"/>
        <v>MIÉRCOLES</v>
      </c>
      <c r="O96" s="171">
        <v>0.86111111111111116</v>
      </c>
      <c r="P96" s="178" t="s">
        <v>447</v>
      </c>
      <c r="Q96" s="178" t="s">
        <v>469</v>
      </c>
      <c r="R96" s="36">
        <f>COUNTIF(Tabla1[[#This Row],[VEHICULOS_ACCIDENTADOS]:[VEHICULOS_ACCIDENTADOS2]],"MOTOCICLETA")</f>
        <v>1</v>
      </c>
      <c r="S96" s="36">
        <f>COUNTIF(Tabla1[[#This Row],[VEHICULOS_ACCIDENTADOS]:[VEHICULOS_ACCIDENTADOS2]],"MOTOCARRO")</f>
        <v>0</v>
      </c>
      <c r="T96" s="36">
        <f>COUNTIF(Tabla1[[#This Row],[VEHICULOS_ACCIDENTADOS]:[VEHICULOS_ACCIDENTADOS2]],"AUTOMOVIL")</f>
        <v>1</v>
      </c>
      <c r="U96" s="36">
        <f>COUNTIF(Tabla1[[#This Row],[VEHICULOS_ACCIDENTADOS]:[VEHICULOS_ACCIDENTADOS2]],"CAMPERO")</f>
        <v>0</v>
      </c>
      <c r="V96" s="36">
        <f>COUNTIF(Tabla1[[#This Row],[VEHICULOS_ACCIDENTADOS]:[VEHICULOS_ACCIDENTADOS2]],"CAMIONETA")</f>
        <v>0</v>
      </c>
      <c r="W96" s="36">
        <f>COUNTIF(Tabla1[[#This Row],[VEHICULOS_ACCIDENTADOS]:[VEHICULOS_ACCIDENTADOS2]],"MICROBUS")</f>
        <v>0</v>
      </c>
      <c r="X96" s="36">
        <f>COUNTIF(Tabla1[[#This Row],[VEHICULOS_ACCIDENTADOS]:[VEHICULOS_ACCIDENTADOS2]],"BUS")</f>
        <v>0</v>
      </c>
      <c r="Y96" s="36">
        <f>COUNTIF(Tabla1[[#This Row],[VEHICULOS_ACCIDENTADOS]:[VEHICULOS_ACCIDENTADOS2]],"BUSETA")</f>
        <v>0</v>
      </c>
      <c r="Z96" s="36">
        <f>COUNTIF(Tabla1[[#This Row],[VEHICULOS_ACCIDENTADOS]:[VEHICULOS_ACCIDENTADOS2]],"CAMION")</f>
        <v>0</v>
      </c>
      <c r="AA96" s="36">
        <f>COUNTIF(Tabla1[[#This Row],[VEHICULOS_ACCIDENTADOS]:[VEHICULOS_ACCIDENTADOS2]],"TRACTOCAMION")</f>
        <v>0</v>
      </c>
      <c r="AB96" s="36">
        <f>COUNTIF(Tabla1[[#This Row],[VEHICULOS_ACCIDENTADOS]:[VEHICULOS_ACCIDENTADOS2]],"VOLQUETA")</f>
        <v>0</v>
      </c>
      <c r="AC96" s="36">
        <f>COUNTIF(Tabla1[[#This Row],[VEHICULOS_ACCIDENTADOS]:[VEHICULOS_ACCIDENTADOS2]],"BICICLETA")</f>
        <v>0</v>
      </c>
      <c r="AD96" s="136" t="s">
        <v>471</v>
      </c>
      <c r="AE96" s="136" t="s">
        <v>471</v>
      </c>
      <c r="AF96" s="136">
        <f>COUNTIF(Tabla1[[#This Row],[GENERO_MASCULINO]:[GENERO_FEMENINO]],"MASCULINO")</f>
        <v>2</v>
      </c>
      <c r="AG96" s="36">
        <f>COUNTIF(Tabla1[[#This Row],[GENERO_MASCULINO]:[GENERO_FEMENINO]],"FEMENINO")</f>
        <v>0</v>
      </c>
      <c r="AH96" s="85">
        <v>47</v>
      </c>
      <c r="AI96" s="85">
        <v>21</v>
      </c>
      <c r="AJ96" s="85">
        <v>21</v>
      </c>
      <c r="AK96" s="85"/>
      <c r="AL96" s="85"/>
      <c r="AM96" s="136"/>
      <c r="AN96" s="85">
        <v>116</v>
      </c>
      <c r="AO96" s="36" t="str">
        <f>IFERROR(((VLOOKUP(Tabla1[[#This Row],[HIPOTESIS_1]],listas!$D$1:$E$105,2,FALSE))),"SIN INFORMACIÓN")</f>
        <v>Exceso de velocidad</v>
      </c>
      <c r="AP96" s="136">
        <v>157</v>
      </c>
      <c r="AQ96" s="36" t="str">
        <f>IFERROR(((VLOOKUP(Tabla1[[#This Row],[HIPOTESIS_2]],listas!$D$1:$E$105,2,FALSE))),"")</f>
        <v>Otra</v>
      </c>
      <c r="AR96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97" spans="1:44" x14ac:dyDescent="0.25">
      <c r="A97" s="12">
        <v>886</v>
      </c>
      <c r="B97" s="136">
        <v>1</v>
      </c>
      <c r="C97" s="136">
        <v>0</v>
      </c>
      <c r="D97" s="136">
        <v>0</v>
      </c>
      <c r="E97" s="18" t="str">
        <f t="shared" si="4"/>
        <v>SOLO DAÑO</v>
      </c>
      <c r="F97" s="26" t="s">
        <v>67</v>
      </c>
      <c r="G97" s="21">
        <v>5.301787</v>
      </c>
      <c r="H97" s="21">
        <v>-72.409772000000004</v>
      </c>
      <c r="I97" s="93" t="s">
        <v>697</v>
      </c>
      <c r="J97" s="167" t="s">
        <v>717</v>
      </c>
      <c r="K97" s="24" t="str">
        <f t="shared" si="5"/>
        <v>2025</v>
      </c>
      <c r="L97" s="24" t="str">
        <f t="shared" si="6"/>
        <v>FEBRERO</v>
      </c>
      <c r="M97" s="224">
        <v>45716</v>
      </c>
      <c r="N97" s="24" t="str">
        <f t="shared" si="7"/>
        <v>VIERNES</v>
      </c>
      <c r="O97" s="171">
        <v>0.9375</v>
      </c>
      <c r="P97" s="178" t="s">
        <v>445</v>
      </c>
      <c r="Q97" s="178" t="s">
        <v>445</v>
      </c>
      <c r="R97" s="36">
        <f>COUNTIF(Tabla1[[#This Row],[VEHICULOS_ACCIDENTADOS]:[VEHICULOS_ACCIDENTADOS2]],"MOTOCICLETA")</f>
        <v>0</v>
      </c>
      <c r="S97" s="36">
        <f>COUNTIF(Tabla1[[#This Row],[VEHICULOS_ACCIDENTADOS]:[VEHICULOS_ACCIDENTADOS2]],"MOTOCARRO")</f>
        <v>0</v>
      </c>
      <c r="T97" s="36">
        <f>COUNTIF(Tabla1[[#This Row],[VEHICULOS_ACCIDENTADOS]:[VEHICULOS_ACCIDENTADOS2]],"AUTOMOVIL")</f>
        <v>0</v>
      </c>
      <c r="U97" s="36">
        <f>COUNTIF(Tabla1[[#This Row],[VEHICULOS_ACCIDENTADOS]:[VEHICULOS_ACCIDENTADOS2]],"CAMPERO")</f>
        <v>0</v>
      </c>
      <c r="V97" s="36">
        <f>COUNTIF(Tabla1[[#This Row],[VEHICULOS_ACCIDENTADOS]:[VEHICULOS_ACCIDENTADOS2]],"CAMIONETA")</f>
        <v>2</v>
      </c>
      <c r="W97" s="36">
        <f>COUNTIF(Tabla1[[#This Row],[VEHICULOS_ACCIDENTADOS]:[VEHICULOS_ACCIDENTADOS2]],"MICROBUS")</f>
        <v>0</v>
      </c>
      <c r="X97" s="36">
        <f>COUNTIF(Tabla1[[#This Row],[VEHICULOS_ACCIDENTADOS]:[VEHICULOS_ACCIDENTADOS2]],"BUS")</f>
        <v>0</v>
      </c>
      <c r="Y97" s="36">
        <f>COUNTIF(Tabla1[[#This Row],[VEHICULOS_ACCIDENTADOS]:[VEHICULOS_ACCIDENTADOS2]],"BUSETA")</f>
        <v>0</v>
      </c>
      <c r="Z97" s="36">
        <f>COUNTIF(Tabla1[[#This Row],[VEHICULOS_ACCIDENTADOS]:[VEHICULOS_ACCIDENTADOS2]],"CAMION")</f>
        <v>0</v>
      </c>
      <c r="AA97" s="36">
        <f>COUNTIF(Tabla1[[#This Row],[VEHICULOS_ACCIDENTADOS]:[VEHICULOS_ACCIDENTADOS2]],"TRACTOCAMION")</f>
        <v>0</v>
      </c>
      <c r="AB97" s="36">
        <f>COUNTIF(Tabla1[[#This Row],[VEHICULOS_ACCIDENTADOS]:[VEHICULOS_ACCIDENTADOS2]],"VOLQUETA")</f>
        <v>0</v>
      </c>
      <c r="AC97" s="36">
        <f>COUNTIF(Tabla1[[#This Row],[VEHICULOS_ACCIDENTADOS]:[VEHICULOS_ACCIDENTADOS2]],"BICICLETA")</f>
        <v>0</v>
      </c>
      <c r="AD97" s="136" t="s">
        <v>471</v>
      </c>
      <c r="AE97" s="136" t="s">
        <v>471</v>
      </c>
      <c r="AF97" s="136">
        <f>COUNTIF(Tabla1[[#This Row],[GENERO_MASCULINO]:[GENERO_FEMENINO]],"MASCULINO")</f>
        <v>2</v>
      </c>
      <c r="AG97" s="36">
        <f>COUNTIF(Tabla1[[#This Row],[GENERO_MASCULINO]:[GENERO_FEMENINO]],"FEMENINO")</f>
        <v>0</v>
      </c>
      <c r="AH97" s="85">
        <v>25</v>
      </c>
      <c r="AI97" s="85">
        <v>20</v>
      </c>
      <c r="AJ97" s="85"/>
      <c r="AK97" s="85"/>
      <c r="AL97" s="85"/>
      <c r="AM97" s="136"/>
      <c r="AN97" s="85">
        <v>116</v>
      </c>
      <c r="AO97" s="36" t="str">
        <f>IFERROR(((VLOOKUP(Tabla1[[#This Row],[HIPOTESIS_1]],listas!$D$1:$E$105,2,FALSE))),"SIN INFORMACIÓN")</f>
        <v>Exceso de velocidad</v>
      </c>
      <c r="AP97" s="136">
        <v>157</v>
      </c>
      <c r="AQ97" s="36" t="str">
        <f>IFERROR(((VLOOKUP(Tabla1[[#This Row],[HIPOTESIS_2]],listas!$D$1:$E$105,2,FALSE))),"")</f>
        <v>Otra</v>
      </c>
      <c r="AR97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98" spans="1:44" x14ac:dyDescent="0.25">
      <c r="A98" s="12">
        <v>754</v>
      </c>
      <c r="B98" s="136">
        <v>1</v>
      </c>
      <c r="C98" s="136">
        <v>0</v>
      </c>
      <c r="D98" s="136">
        <v>0</v>
      </c>
      <c r="E98" s="18" t="str">
        <f t="shared" si="4"/>
        <v>SOLO DAÑO</v>
      </c>
      <c r="F98" s="26" t="s">
        <v>124</v>
      </c>
      <c r="G98" s="21">
        <v>5.3387647222222219</v>
      </c>
      <c r="H98" s="21">
        <v>-72.377724444444439</v>
      </c>
      <c r="I98" s="93" t="s">
        <v>697</v>
      </c>
      <c r="J98" s="136" t="s">
        <v>717</v>
      </c>
      <c r="K98" s="24" t="str">
        <f t="shared" si="5"/>
        <v>2024</v>
      </c>
      <c r="L98" s="24" t="str">
        <f t="shared" si="6"/>
        <v>JULIO</v>
      </c>
      <c r="M98" s="224">
        <v>45502</v>
      </c>
      <c r="N98" s="24" t="str">
        <f t="shared" si="7"/>
        <v>LUNES</v>
      </c>
      <c r="O98" s="171">
        <v>0.72916666666666663</v>
      </c>
      <c r="P98" s="178" t="s">
        <v>469</v>
      </c>
      <c r="Q98" s="178" t="s">
        <v>438</v>
      </c>
      <c r="R98" s="36">
        <f>COUNTIF(Tabla1[[#This Row],[VEHICULOS_ACCIDENTADOS]:[VEHICULOS_ACCIDENTADOS2]],"MOTOCICLETA")</f>
        <v>1</v>
      </c>
      <c r="S98" s="36">
        <f>COUNTIF(Tabla1[[#This Row],[VEHICULOS_ACCIDENTADOS]:[VEHICULOS_ACCIDENTADOS2]],"MOTOCARRO")</f>
        <v>0</v>
      </c>
      <c r="T98" s="36">
        <f>COUNTIF(Tabla1[[#This Row],[VEHICULOS_ACCIDENTADOS]:[VEHICULOS_ACCIDENTADOS2]],"AUTOMOVIL")</f>
        <v>0</v>
      </c>
      <c r="U98" s="36">
        <f>COUNTIF(Tabla1[[#This Row],[VEHICULOS_ACCIDENTADOS]:[VEHICULOS_ACCIDENTADOS2]],"CAMPERO")</f>
        <v>0</v>
      </c>
      <c r="V98" s="36">
        <f>COUNTIF(Tabla1[[#This Row],[VEHICULOS_ACCIDENTADOS]:[VEHICULOS_ACCIDENTADOS2]],"CAMIONETA")</f>
        <v>0</v>
      </c>
      <c r="W98" s="36">
        <f>COUNTIF(Tabla1[[#This Row],[VEHICULOS_ACCIDENTADOS]:[VEHICULOS_ACCIDENTADOS2]],"MICROBUS")</f>
        <v>0</v>
      </c>
      <c r="X98" s="36">
        <f>COUNTIF(Tabla1[[#This Row],[VEHICULOS_ACCIDENTADOS]:[VEHICULOS_ACCIDENTADOS2]],"BUS")</f>
        <v>0</v>
      </c>
      <c r="Y98" s="36">
        <f>COUNTIF(Tabla1[[#This Row],[VEHICULOS_ACCIDENTADOS]:[VEHICULOS_ACCIDENTADOS2]],"BUSETA")</f>
        <v>0</v>
      </c>
      <c r="Z98" s="36">
        <f>COUNTIF(Tabla1[[#This Row],[VEHICULOS_ACCIDENTADOS]:[VEHICULOS_ACCIDENTADOS2]],"CAMION")</f>
        <v>0</v>
      </c>
      <c r="AA98" s="36">
        <f>COUNTIF(Tabla1[[#This Row],[VEHICULOS_ACCIDENTADOS]:[VEHICULOS_ACCIDENTADOS2]],"TRACTOCAMION")</f>
        <v>0</v>
      </c>
      <c r="AB98" s="36">
        <f>COUNTIF(Tabla1[[#This Row],[VEHICULOS_ACCIDENTADOS]:[VEHICULOS_ACCIDENTADOS2]],"VOLQUETA")</f>
        <v>0</v>
      </c>
      <c r="AC98" s="36">
        <f>COUNTIF(Tabla1[[#This Row],[VEHICULOS_ACCIDENTADOS]:[VEHICULOS_ACCIDENTADOS2]],"BICICLETA")</f>
        <v>1</v>
      </c>
      <c r="AD98" s="136" t="s">
        <v>471</v>
      </c>
      <c r="AE98" s="136" t="s">
        <v>472</v>
      </c>
      <c r="AF98" s="136">
        <f>COUNTIF(Tabla1[[#This Row],[GENERO_MASCULINO]:[GENERO_FEMENINO]],"MASCULINO")</f>
        <v>1</v>
      </c>
      <c r="AG98" s="36">
        <f>COUNTIF(Tabla1[[#This Row],[GENERO_MASCULINO]:[GENERO_FEMENINO]],"FEMENINO")</f>
        <v>1</v>
      </c>
      <c r="AH98" s="85">
        <v>49</v>
      </c>
      <c r="AI98" s="85">
        <v>27</v>
      </c>
      <c r="AJ98" s="85"/>
      <c r="AK98" s="85"/>
      <c r="AL98" s="85"/>
      <c r="AM98" s="136"/>
      <c r="AN98" s="85">
        <v>112</v>
      </c>
      <c r="AO98" s="36" t="str">
        <f>IFERROR(((VLOOKUP(Tabla1[[#This Row],[HIPOTESIS_1]],listas!$D$1:$E$105,2,FALSE))),"SIN INFORMACIÓN")</f>
        <v>Desobedecer señales o normas de tránsito.</v>
      </c>
      <c r="AP98" s="136">
        <v>157</v>
      </c>
      <c r="AQ98" s="36" t="str">
        <f>IFERROR(((VLOOKUP(Tabla1[[#This Row],[HIPOTESIS_2]],listas!$D$1:$E$105,2,FALSE))),"")</f>
        <v>Otra</v>
      </c>
      <c r="AR98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99" spans="1:44" x14ac:dyDescent="0.25">
      <c r="A99" s="12">
        <v>1064</v>
      </c>
      <c r="B99" s="137">
        <v>0</v>
      </c>
      <c r="C99" s="137">
        <v>1</v>
      </c>
      <c r="D99" s="137">
        <v>0</v>
      </c>
      <c r="E99" s="24" t="str">
        <f t="shared" si="4"/>
        <v>LESIONADO</v>
      </c>
      <c r="F99" s="158" t="s">
        <v>990</v>
      </c>
      <c r="G99" s="30">
        <v>5.2289289999999999</v>
      </c>
      <c r="H99" s="30">
        <v>-72.388918000000004</v>
      </c>
      <c r="I99" s="165" t="s">
        <v>697</v>
      </c>
      <c r="J99" s="36" t="s">
        <v>1</v>
      </c>
      <c r="K99" s="24" t="str">
        <f t="shared" si="5"/>
        <v>2025</v>
      </c>
      <c r="L99" s="24" t="str">
        <f t="shared" si="6"/>
        <v>SEPTIEMBRE</v>
      </c>
      <c r="M99" s="225">
        <v>45911</v>
      </c>
      <c r="N99" s="24" t="str">
        <f t="shared" si="7"/>
        <v>JUEVES</v>
      </c>
      <c r="O99" s="101">
        <v>0.73263888888888884</v>
      </c>
      <c r="P99" s="63" t="s">
        <v>469</v>
      </c>
      <c r="Q99" s="63"/>
      <c r="R99" s="36">
        <f>COUNTIF(Tabla1[[#This Row],[VEHICULOS_ACCIDENTADOS]:[VEHICULOS_ACCIDENTADOS2]],"MOTOCICLETA")</f>
        <v>1</v>
      </c>
      <c r="S99" s="36">
        <f>COUNTIF(Tabla1[[#This Row],[VEHICULOS_ACCIDENTADOS]:[VEHICULOS_ACCIDENTADOS2]],"MOTOCARRO")</f>
        <v>0</v>
      </c>
      <c r="T99" s="36">
        <f>COUNTIF(Tabla1[[#This Row],[VEHICULOS_ACCIDENTADOS]:[VEHICULOS_ACCIDENTADOS2]],"AUTOMOVIL")</f>
        <v>0</v>
      </c>
      <c r="U99" s="36">
        <f>COUNTIF(Tabla1[[#This Row],[VEHICULOS_ACCIDENTADOS]:[VEHICULOS_ACCIDENTADOS2]],"CAMPERO")</f>
        <v>0</v>
      </c>
      <c r="V99" s="36">
        <f>COUNTIF(Tabla1[[#This Row],[VEHICULOS_ACCIDENTADOS]:[VEHICULOS_ACCIDENTADOS2]],"CAMIONETA")</f>
        <v>0</v>
      </c>
      <c r="W99" s="36">
        <f>COUNTIF(Tabla1[[#This Row],[VEHICULOS_ACCIDENTADOS]:[VEHICULOS_ACCIDENTADOS2]],"MICROBUS")</f>
        <v>0</v>
      </c>
      <c r="X99" s="36">
        <f>COUNTIF(Tabla1[[#This Row],[VEHICULOS_ACCIDENTADOS]:[VEHICULOS_ACCIDENTADOS2]],"BUS")</f>
        <v>0</v>
      </c>
      <c r="Y99" s="36">
        <f>COUNTIF(Tabla1[[#This Row],[VEHICULOS_ACCIDENTADOS]:[VEHICULOS_ACCIDENTADOS2]],"BUSETA")</f>
        <v>0</v>
      </c>
      <c r="Z99" s="36">
        <f>COUNTIF(Tabla1[[#This Row],[VEHICULOS_ACCIDENTADOS]:[VEHICULOS_ACCIDENTADOS2]],"CAMION")</f>
        <v>0</v>
      </c>
      <c r="AA99" s="36">
        <f>COUNTIF(Tabla1[[#This Row],[VEHICULOS_ACCIDENTADOS]:[VEHICULOS_ACCIDENTADOS2]],"TRACTOCAMION")</f>
        <v>0</v>
      </c>
      <c r="AB99" s="36">
        <f>COUNTIF(Tabla1[[#This Row],[VEHICULOS_ACCIDENTADOS]:[VEHICULOS_ACCIDENTADOS2]],"VOLQUETA")</f>
        <v>0</v>
      </c>
      <c r="AC99" s="36">
        <f>COUNTIF(Tabla1[[#This Row],[VEHICULOS_ACCIDENTADOS]:[VEHICULOS_ACCIDENTADOS2]],"BICICLETA")</f>
        <v>0</v>
      </c>
      <c r="AD99" s="61" t="s">
        <v>472</v>
      </c>
      <c r="AE99" s="61" t="s">
        <v>471</v>
      </c>
      <c r="AF99" s="36">
        <f>COUNTIF(Tabla1[[#This Row],[GENERO_MASCULINO]:[GENERO_FEMENINO]],"MASCULINO")</f>
        <v>1</v>
      </c>
      <c r="AG99" s="36">
        <f>COUNTIF(Tabla1[[#This Row],[GENERO_MASCULINO]:[GENERO_FEMENINO]],"FEMENINO")</f>
        <v>1</v>
      </c>
      <c r="AH99" s="85">
        <v>15</v>
      </c>
      <c r="AI99" s="85">
        <v>7</v>
      </c>
      <c r="AJ99" s="85"/>
      <c r="AK99" s="78"/>
      <c r="AL99" s="78"/>
      <c r="AM99" s="59"/>
      <c r="AN99" s="61">
        <v>139</v>
      </c>
      <c r="AO99" s="59" t="str">
        <f>IFERROR(((VLOOKUP(Tabla1[[#This Row],[HIPOTESIS_1]],listas!$D$1:$E$105,2,FALSE))),"SIN INFORMACIÓN")</f>
        <v>Impericia en el manejo.</v>
      </c>
      <c r="AP99" s="36">
        <v>157</v>
      </c>
      <c r="AQ99" s="36" t="str">
        <f>IFERROR(((VLOOKUP(Tabla1[[#This Row],[HIPOTESIS_2]],listas!$D$1:$E$105,2,FALSE))),"")</f>
        <v>Otra</v>
      </c>
      <c r="AR99" s="2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00" spans="1:44" x14ac:dyDescent="0.25">
      <c r="A100" s="12">
        <v>761</v>
      </c>
      <c r="B100" s="135">
        <v>0</v>
      </c>
      <c r="C100" s="136">
        <v>1</v>
      </c>
      <c r="D100" s="136">
        <v>0</v>
      </c>
      <c r="E100" s="18" t="str">
        <f t="shared" si="4"/>
        <v>LESIONADO</v>
      </c>
      <c r="F100" s="29" t="s">
        <v>1092</v>
      </c>
      <c r="G100" s="21">
        <v>5.3399916666666662</v>
      </c>
      <c r="H100" s="21">
        <v>-72.375622222222219</v>
      </c>
      <c r="I100" s="93" t="s">
        <v>697</v>
      </c>
      <c r="J100" s="136" t="s">
        <v>717</v>
      </c>
      <c r="K100" s="24" t="str">
        <f t="shared" si="5"/>
        <v>2024</v>
      </c>
      <c r="L100" s="24" t="str">
        <f t="shared" si="6"/>
        <v>AGOSTO</v>
      </c>
      <c r="M100" s="224">
        <v>45514</v>
      </c>
      <c r="N100" s="24" t="str">
        <f t="shared" si="7"/>
        <v>SÁBADO</v>
      </c>
      <c r="O100" s="171">
        <v>0.52083333333333337</v>
      </c>
      <c r="P100" s="178" t="s">
        <v>469</v>
      </c>
      <c r="Q100" s="178" t="s">
        <v>445</v>
      </c>
      <c r="R100" s="36">
        <f>COUNTIF(Tabla1[[#This Row],[VEHICULOS_ACCIDENTADOS]:[VEHICULOS_ACCIDENTADOS2]],"MOTOCICLETA")</f>
        <v>1</v>
      </c>
      <c r="S100" s="36">
        <f>COUNTIF(Tabla1[[#This Row],[VEHICULOS_ACCIDENTADOS]:[VEHICULOS_ACCIDENTADOS2]],"MOTOCARRO")</f>
        <v>0</v>
      </c>
      <c r="T100" s="36">
        <f>COUNTIF(Tabla1[[#This Row],[VEHICULOS_ACCIDENTADOS]:[VEHICULOS_ACCIDENTADOS2]],"AUTOMOVIL")</f>
        <v>0</v>
      </c>
      <c r="U100" s="36">
        <f>COUNTIF(Tabla1[[#This Row],[VEHICULOS_ACCIDENTADOS]:[VEHICULOS_ACCIDENTADOS2]],"CAMPERO")</f>
        <v>0</v>
      </c>
      <c r="V100" s="36">
        <f>COUNTIF(Tabla1[[#This Row],[VEHICULOS_ACCIDENTADOS]:[VEHICULOS_ACCIDENTADOS2]],"CAMIONETA")</f>
        <v>1</v>
      </c>
      <c r="W100" s="36">
        <f>COUNTIF(Tabla1[[#This Row],[VEHICULOS_ACCIDENTADOS]:[VEHICULOS_ACCIDENTADOS2]],"MICROBUS")</f>
        <v>0</v>
      </c>
      <c r="X100" s="36">
        <f>COUNTIF(Tabla1[[#This Row],[VEHICULOS_ACCIDENTADOS]:[VEHICULOS_ACCIDENTADOS2]],"BUS")</f>
        <v>0</v>
      </c>
      <c r="Y100" s="36">
        <f>COUNTIF(Tabla1[[#This Row],[VEHICULOS_ACCIDENTADOS]:[VEHICULOS_ACCIDENTADOS2]],"BUSETA")</f>
        <v>0</v>
      </c>
      <c r="Z100" s="36">
        <f>COUNTIF(Tabla1[[#This Row],[VEHICULOS_ACCIDENTADOS]:[VEHICULOS_ACCIDENTADOS2]],"CAMION")</f>
        <v>0</v>
      </c>
      <c r="AA100" s="36">
        <f>COUNTIF(Tabla1[[#This Row],[VEHICULOS_ACCIDENTADOS]:[VEHICULOS_ACCIDENTADOS2]],"TRACTOCAMION")</f>
        <v>0</v>
      </c>
      <c r="AB100" s="36">
        <f>COUNTIF(Tabla1[[#This Row],[VEHICULOS_ACCIDENTADOS]:[VEHICULOS_ACCIDENTADOS2]],"VOLQUETA")</f>
        <v>0</v>
      </c>
      <c r="AC100" s="36">
        <f>COUNTIF(Tabla1[[#This Row],[VEHICULOS_ACCIDENTADOS]:[VEHICULOS_ACCIDENTADOS2]],"BICICLETA")</f>
        <v>0</v>
      </c>
      <c r="AD100" s="136" t="s">
        <v>471</v>
      </c>
      <c r="AE100" s="136"/>
      <c r="AF100" s="136">
        <f>COUNTIF(Tabla1[[#This Row],[GENERO_MASCULINO]:[GENERO_FEMENINO]],"MASCULINO")</f>
        <v>1</v>
      </c>
      <c r="AG100" s="36">
        <f>COUNTIF(Tabla1[[#This Row],[GENERO_MASCULINO]:[GENERO_FEMENINO]],"FEMENINO")</f>
        <v>0</v>
      </c>
      <c r="AH100" s="85">
        <v>20</v>
      </c>
      <c r="AI100" s="85">
        <v>42</v>
      </c>
      <c r="AJ100" s="85"/>
      <c r="AK100" s="85"/>
      <c r="AL100" s="85"/>
      <c r="AM100" s="136"/>
      <c r="AN100" s="85">
        <v>112</v>
      </c>
      <c r="AO100" s="36" t="str">
        <f>IFERROR(((VLOOKUP(Tabla1[[#This Row],[HIPOTESIS_1]],listas!$D$1:$E$105,2,FALSE))),"SIN INFORMACIÓN")</f>
        <v>Desobedecer señales o normas de tránsito.</v>
      </c>
      <c r="AP100" s="136">
        <v>157</v>
      </c>
      <c r="AQ100" s="36" t="str">
        <f>IFERROR(((VLOOKUP(Tabla1[[#This Row],[HIPOTESIS_2]],listas!$D$1:$E$105,2,FALSE))),"")</f>
        <v>Otra</v>
      </c>
      <c r="AR100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01" spans="1:44" x14ac:dyDescent="0.25">
      <c r="A101" s="12">
        <v>205</v>
      </c>
      <c r="B101" s="36">
        <v>0</v>
      </c>
      <c r="C101" s="36">
        <v>1</v>
      </c>
      <c r="D101" s="36">
        <v>1</v>
      </c>
      <c r="E101" s="18" t="str">
        <f t="shared" si="4"/>
        <v>FALLECIDO</v>
      </c>
      <c r="F101" s="29" t="s">
        <v>358</v>
      </c>
      <c r="G101" s="17">
        <v>5.3369333333333326</v>
      </c>
      <c r="H101" s="17">
        <v>-72.369794444444437</v>
      </c>
      <c r="I101" s="93" t="s">
        <v>697</v>
      </c>
      <c r="J101" s="36" t="s">
        <v>717</v>
      </c>
      <c r="K101" s="24" t="str">
        <f t="shared" si="5"/>
        <v>2022</v>
      </c>
      <c r="L101" s="24" t="str">
        <f t="shared" si="6"/>
        <v>JUNIO</v>
      </c>
      <c r="M101" s="225">
        <v>44716</v>
      </c>
      <c r="N101" s="24" t="str">
        <f t="shared" si="7"/>
        <v>SÁBADO</v>
      </c>
      <c r="O101" s="102">
        <v>0.56944444444444398</v>
      </c>
      <c r="P101" s="53" t="s">
        <v>469</v>
      </c>
      <c r="Q101" s="53" t="s">
        <v>469</v>
      </c>
      <c r="R101" s="36">
        <f>COUNTIF(Tabla1[[#This Row],[VEHICULOS_ACCIDENTADOS]:[VEHICULOS_ACCIDENTADOS2]],"MOTOCICLETA")</f>
        <v>2</v>
      </c>
      <c r="S101" s="36">
        <f>COUNTIF(Tabla1[[#This Row],[VEHICULOS_ACCIDENTADOS]:[VEHICULOS_ACCIDENTADOS2]],"MOTOCARRO")</f>
        <v>0</v>
      </c>
      <c r="T101" s="36">
        <f>COUNTIF(Tabla1[[#This Row],[VEHICULOS_ACCIDENTADOS]:[VEHICULOS_ACCIDENTADOS2]],"AUTOMOVIL")</f>
        <v>0</v>
      </c>
      <c r="U101" s="36">
        <f>COUNTIF(Tabla1[[#This Row],[VEHICULOS_ACCIDENTADOS]:[VEHICULOS_ACCIDENTADOS2]],"CAMPERO")</f>
        <v>0</v>
      </c>
      <c r="V101" s="36">
        <f>COUNTIF(Tabla1[[#This Row],[VEHICULOS_ACCIDENTADOS]:[VEHICULOS_ACCIDENTADOS2]],"CAMIONETA")</f>
        <v>0</v>
      </c>
      <c r="W101" s="36">
        <f>COUNTIF(Tabla1[[#This Row],[VEHICULOS_ACCIDENTADOS]:[VEHICULOS_ACCIDENTADOS2]],"MICROBUS")</f>
        <v>0</v>
      </c>
      <c r="X101" s="36">
        <f>COUNTIF(Tabla1[[#This Row],[VEHICULOS_ACCIDENTADOS]:[VEHICULOS_ACCIDENTADOS2]],"BUS")</f>
        <v>0</v>
      </c>
      <c r="Y101" s="36">
        <f>COUNTIF(Tabla1[[#This Row],[VEHICULOS_ACCIDENTADOS]:[VEHICULOS_ACCIDENTADOS2]],"BUSETA")</f>
        <v>0</v>
      </c>
      <c r="Z101" s="36">
        <f>COUNTIF(Tabla1[[#This Row],[VEHICULOS_ACCIDENTADOS]:[VEHICULOS_ACCIDENTADOS2]],"CAMION")</f>
        <v>0</v>
      </c>
      <c r="AA101" s="36">
        <f>COUNTIF(Tabla1[[#This Row],[VEHICULOS_ACCIDENTADOS]:[VEHICULOS_ACCIDENTADOS2]],"TRACTOCAMION")</f>
        <v>0</v>
      </c>
      <c r="AB101" s="36">
        <f>COUNTIF(Tabla1[[#This Row],[VEHICULOS_ACCIDENTADOS]:[VEHICULOS_ACCIDENTADOS2]],"VOLQUETA")</f>
        <v>0</v>
      </c>
      <c r="AC101" s="36">
        <f>COUNTIF(Tabla1[[#This Row],[VEHICULOS_ACCIDENTADOS]:[VEHICULOS_ACCIDENTADOS2]],"BICICLETA")</f>
        <v>0</v>
      </c>
      <c r="AD101" s="36"/>
      <c r="AE101" s="36" t="s">
        <v>472</v>
      </c>
      <c r="AF101" s="36">
        <f>COUNTIF(Tabla1[[#This Row],[GENERO_MASCULINO]:[GENERO_FEMENINO]],"MASCULINO")</f>
        <v>0</v>
      </c>
      <c r="AG101" s="36">
        <f>COUNTIF(Tabla1[[#This Row],[GENERO_MASCULINO]:[GENERO_FEMENINO]],"FEMENINO")</f>
        <v>1</v>
      </c>
      <c r="AH101" s="61">
        <v>14</v>
      </c>
      <c r="AI101" s="61"/>
      <c r="AJ101" s="61"/>
      <c r="AK101" s="61"/>
      <c r="AL101" s="61"/>
      <c r="AM101" s="36">
        <v>29</v>
      </c>
      <c r="AN101" s="61">
        <v>139</v>
      </c>
      <c r="AO101" s="36" t="str">
        <f>IFERROR(((VLOOKUP(Tabla1[[#This Row],[HIPOTESIS_1]],listas!$D$1:$E$105,2,FALSE))),"SIN INFORMACIÓN")</f>
        <v>Impericia en el manejo.</v>
      </c>
      <c r="AP101" s="36">
        <v>157</v>
      </c>
      <c r="AQ101" s="36" t="str">
        <f>IFERROR(((VLOOKUP(Tabla1[[#This Row],[HIPOTESIS_2]],listas!$D$1:$E$105,2,FALSE))),"")</f>
        <v>Otra</v>
      </c>
      <c r="AR101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02" spans="1:44" x14ac:dyDescent="0.25">
      <c r="A102" s="12">
        <v>132</v>
      </c>
      <c r="B102" s="36">
        <v>0</v>
      </c>
      <c r="C102" s="36">
        <v>2</v>
      </c>
      <c r="D102" s="36">
        <v>0</v>
      </c>
      <c r="E102" s="18" t="str">
        <f t="shared" si="4"/>
        <v>LESIONADO</v>
      </c>
      <c r="F102" s="29" t="s">
        <v>993</v>
      </c>
      <c r="G102" s="17">
        <v>5.3279111111111108</v>
      </c>
      <c r="H102" s="17">
        <v>-72.40784722222223</v>
      </c>
      <c r="I102" s="93" t="s">
        <v>697</v>
      </c>
      <c r="J102" s="36" t="s">
        <v>717</v>
      </c>
      <c r="K102" s="24" t="str">
        <f t="shared" si="5"/>
        <v>2022</v>
      </c>
      <c r="L102" s="24" t="str">
        <f t="shared" si="6"/>
        <v>ABRIL</v>
      </c>
      <c r="M102" s="225">
        <v>44664</v>
      </c>
      <c r="N102" s="24" t="str">
        <f t="shared" si="7"/>
        <v>MIÉRCOLES</v>
      </c>
      <c r="O102" s="101">
        <v>0.77083333333333304</v>
      </c>
      <c r="P102" s="63" t="s">
        <v>469</v>
      </c>
      <c r="Q102" s="63"/>
      <c r="R102" s="36">
        <f>COUNTIF(Tabla1[[#This Row],[VEHICULOS_ACCIDENTADOS]:[VEHICULOS_ACCIDENTADOS2]],"MOTOCICLETA")</f>
        <v>1</v>
      </c>
      <c r="S102" s="36">
        <f>COUNTIF(Tabla1[[#This Row],[VEHICULOS_ACCIDENTADOS]:[VEHICULOS_ACCIDENTADOS2]],"MOTOCARRO")</f>
        <v>0</v>
      </c>
      <c r="T102" s="36">
        <f>COUNTIF(Tabla1[[#This Row],[VEHICULOS_ACCIDENTADOS]:[VEHICULOS_ACCIDENTADOS2]],"AUTOMOVIL")</f>
        <v>0</v>
      </c>
      <c r="U102" s="36">
        <f>COUNTIF(Tabla1[[#This Row],[VEHICULOS_ACCIDENTADOS]:[VEHICULOS_ACCIDENTADOS2]],"CAMPERO")</f>
        <v>0</v>
      </c>
      <c r="V102" s="36">
        <f>COUNTIF(Tabla1[[#This Row],[VEHICULOS_ACCIDENTADOS]:[VEHICULOS_ACCIDENTADOS2]],"CAMIONETA")</f>
        <v>0</v>
      </c>
      <c r="W102" s="36">
        <f>COUNTIF(Tabla1[[#This Row],[VEHICULOS_ACCIDENTADOS]:[VEHICULOS_ACCIDENTADOS2]],"MICROBUS")</f>
        <v>0</v>
      </c>
      <c r="X102" s="36">
        <f>COUNTIF(Tabla1[[#This Row],[VEHICULOS_ACCIDENTADOS]:[VEHICULOS_ACCIDENTADOS2]],"BUS")</f>
        <v>0</v>
      </c>
      <c r="Y102" s="36">
        <f>COUNTIF(Tabla1[[#This Row],[VEHICULOS_ACCIDENTADOS]:[VEHICULOS_ACCIDENTADOS2]],"BUSETA")</f>
        <v>0</v>
      </c>
      <c r="Z102" s="36">
        <f>COUNTIF(Tabla1[[#This Row],[VEHICULOS_ACCIDENTADOS]:[VEHICULOS_ACCIDENTADOS2]],"CAMION")</f>
        <v>0</v>
      </c>
      <c r="AA102" s="36">
        <f>COUNTIF(Tabla1[[#This Row],[VEHICULOS_ACCIDENTADOS]:[VEHICULOS_ACCIDENTADOS2]],"TRACTOCAMION")</f>
        <v>0</v>
      </c>
      <c r="AB102" s="36">
        <f>COUNTIF(Tabla1[[#This Row],[VEHICULOS_ACCIDENTADOS]:[VEHICULOS_ACCIDENTADOS2]],"VOLQUETA")</f>
        <v>0</v>
      </c>
      <c r="AC102" s="36">
        <f>COUNTIF(Tabla1[[#This Row],[VEHICULOS_ACCIDENTADOS]:[VEHICULOS_ACCIDENTADOS2]],"BICICLETA")</f>
        <v>0</v>
      </c>
      <c r="AD102" s="36" t="s">
        <v>471</v>
      </c>
      <c r="AE102" s="36"/>
      <c r="AF102" s="36">
        <f>COUNTIF(Tabla1[[#This Row],[GENERO_MASCULINO]:[GENERO_FEMENINO]],"MASCULINO")</f>
        <v>1</v>
      </c>
      <c r="AG102" s="36">
        <f>COUNTIF(Tabla1[[#This Row],[GENERO_MASCULINO]:[GENERO_FEMENINO]],"FEMENINO")</f>
        <v>0</v>
      </c>
      <c r="AH102" s="79">
        <v>18</v>
      </c>
      <c r="AI102" s="79"/>
      <c r="AJ102" s="80"/>
      <c r="AK102" s="79">
        <v>72</v>
      </c>
      <c r="AL102" s="79"/>
      <c r="AM102" s="55"/>
      <c r="AN102" s="79">
        <v>409</v>
      </c>
      <c r="AO102" s="36" t="str">
        <f>IFERROR(((VLOOKUP(Tabla1[[#This Row],[HIPOTESIS_1]],listas!$D$1:$E$105,2,FALSE))),"SIN INFORMACIÓN")</f>
        <v>Cruzar sin observar.</v>
      </c>
      <c r="AP102" s="55">
        <v>411</v>
      </c>
      <c r="AQ102" s="36" t="str">
        <f>IFERROR(((VLOOKUP(Tabla1[[#This Row],[HIPOTESIS_2]],listas!$D$1:$E$105,2,FALSE))),"")</f>
        <v>Otra</v>
      </c>
      <c r="AR102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03" spans="1:44" x14ac:dyDescent="0.25">
      <c r="A103" s="12">
        <v>703</v>
      </c>
      <c r="B103" s="36">
        <v>0</v>
      </c>
      <c r="C103" s="36">
        <v>0</v>
      </c>
      <c r="D103" s="144">
        <v>1</v>
      </c>
      <c r="E103" s="18" t="str">
        <f t="shared" si="4"/>
        <v>FALLECIDO</v>
      </c>
      <c r="F103" s="29" t="s">
        <v>996</v>
      </c>
      <c r="G103" s="21">
        <v>5.3050880555555553</v>
      </c>
      <c r="H103" s="21">
        <v>-72.403369722222223</v>
      </c>
      <c r="I103" s="93" t="s">
        <v>697</v>
      </c>
      <c r="J103" s="136" t="s">
        <v>717</v>
      </c>
      <c r="K103" s="24" t="str">
        <f t="shared" si="5"/>
        <v>2024</v>
      </c>
      <c r="L103" s="24" t="str">
        <f t="shared" si="6"/>
        <v>MAYO</v>
      </c>
      <c r="M103" s="225">
        <v>45416</v>
      </c>
      <c r="N103" s="24" t="str">
        <f t="shared" si="7"/>
        <v>SÁBADO</v>
      </c>
      <c r="O103" s="101">
        <v>0.91805555555555562</v>
      </c>
      <c r="P103" s="57" t="s">
        <v>469</v>
      </c>
      <c r="Q103" s="57" t="s">
        <v>447</v>
      </c>
      <c r="R103" s="36">
        <f>COUNTIF(Tabla1[[#This Row],[VEHICULOS_ACCIDENTADOS]:[VEHICULOS_ACCIDENTADOS2]],"MOTOCICLETA")</f>
        <v>1</v>
      </c>
      <c r="S103" s="36">
        <f>COUNTIF(Tabla1[[#This Row],[VEHICULOS_ACCIDENTADOS]:[VEHICULOS_ACCIDENTADOS2]],"MOTOCARRO")</f>
        <v>0</v>
      </c>
      <c r="T103" s="36">
        <f>COUNTIF(Tabla1[[#This Row],[VEHICULOS_ACCIDENTADOS]:[VEHICULOS_ACCIDENTADOS2]],"AUTOMOVIL")</f>
        <v>1</v>
      </c>
      <c r="U103" s="36">
        <f>COUNTIF(Tabla1[[#This Row],[VEHICULOS_ACCIDENTADOS]:[VEHICULOS_ACCIDENTADOS2]],"CAMPERO")</f>
        <v>0</v>
      </c>
      <c r="V103" s="36">
        <f>COUNTIF(Tabla1[[#This Row],[VEHICULOS_ACCIDENTADOS]:[VEHICULOS_ACCIDENTADOS2]],"CAMIONETA")</f>
        <v>0</v>
      </c>
      <c r="W103" s="36">
        <f>COUNTIF(Tabla1[[#This Row],[VEHICULOS_ACCIDENTADOS]:[VEHICULOS_ACCIDENTADOS2]],"MICROBUS")</f>
        <v>0</v>
      </c>
      <c r="X103" s="36">
        <f>COUNTIF(Tabla1[[#This Row],[VEHICULOS_ACCIDENTADOS]:[VEHICULOS_ACCIDENTADOS2]],"BUS")</f>
        <v>0</v>
      </c>
      <c r="Y103" s="36">
        <f>COUNTIF(Tabla1[[#This Row],[VEHICULOS_ACCIDENTADOS]:[VEHICULOS_ACCIDENTADOS2]],"BUSETA")</f>
        <v>0</v>
      </c>
      <c r="Z103" s="36">
        <f>COUNTIF(Tabla1[[#This Row],[VEHICULOS_ACCIDENTADOS]:[VEHICULOS_ACCIDENTADOS2]],"CAMION")</f>
        <v>0</v>
      </c>
      <c r="AA103" s="36">
        <f>COUNTIF(Tabla1[[#This Row],[VEHICULOS_ACCIDENTADOS]:[VEHICULOS_ACCIDENTADOS2]],"TRACTOCAMION")</f>
        <v>0</v>
      </c>
      <c r="AB103" s="36">
        <f>COUNTIF(Tabla1[[#This Row],[VEHICULOS_ACCIDENTADOS]:[VEHICULOS_ACCIDENTADOS2]],"VOLQUETA")</f>
        <v>0</v>
      </c>
      <c r="AC103" s="36">
        <f>COUNTIF(Tabla1[[#This Row],[VEHICULOS_ACCIDENTADOS]:[VEHICULOS_ACCIDENTADOS2]],"BICICLETA")</f>
        <v>0</v>
      </c>
      <c r="AD103" s="36" t="s">
        <v>471</v>
      </c>
      <c r="AE103" s="36" t="s">
        <v>472</v>
      </c>
      <c r="AF103" s="36">
        <f>COUNTIF(Tabla1[[#This Row],[GENERO_MASCULINO]:[GENERO_FEMENINO]],"MASCULINO")</f>
        <v>1</v>
      </c>
      <c r="AG103" s="36">
        <f>COUNTIF(Tabla1[[#This Row],[GENERO_MASCULINO]:[GENERO_FEMENINO]],"FEMENINO")</f>
        <v>1</v>
      </c>
      <c r="AH103" s="61">
        <v>25</v>
      </c>
      <c r="AI103" s="61"/>
      <c r="AJ103" s="61"/>
      <c r="AK103" s="61"/>
      <c r="AL103" s="61"/>
      <c r="AM103" s="36">
        <v>45</v>
      </c>
      <c r="AN103" s="61">
        <v>127</v>
      </c>
      <c r="AO103" s="36" t="str">
        <f>IFERROR(((VLOOKUP(Tabla1[[#This Row],[HIPOTESIS_1]],listas!$D$1:$E$105,2,FALSE))),"SIN INFORMACIÓN")</f>
        <v>Transitar en contravía.</v>
      </c>
      <c r="AP103" s="36">
        <v>157</v>
      </c>
      <c r="AQ103" s="36" t="str">
        <f>IFERROR(((VLOOKUP(Tabla1[[#This Row],[HIPOTESIS_2]],listas!$D$1:$E$105,2,FALSE))),"")</f>
        <v>Otra</v>
      </c>
      <c r="AR103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04" spans="1:44" x14ac:dyDescent="0.25">
      <c r="A104" s="12">
        <v>348</v>
      </c>
      <c r="B104" s="36">
        <v>0</v>
      </c>
      <c r="C104" s="36">
        <v>1</v>
      </c>
      <c r="D104" s="36">
        <v>0</v>
      </c>
      <c r="E104" s="18" t="str">
        <f t="shared" si="4"/>
        <v>LESIONADO</v>
      </c>
      <c r="F104" s="29" t="s">
        <v>1070</v>
      </c>
      <c r="G104" s="17">
        <v>5.3301861111111108</v>
      </c>
      <c r="H104" s="17">
        <v>-72.40955277777779</v>
      </c>
      <c r="I104" s="93" t="s">
        <v>697</v>
      </c>
      <c r="J104" s="36" t="s">
        <v>717</v>
      </c>
      <c r="K104" s="24" t="str">
        <f t="shared" si="5"/>
        <v>2022</v>
      </c>
      <c r="L104" s="24" t="str">
        <f t="shared" si="6"/>
        <v>NOVIEMBRE</v>
      </c>
      <c r="M104" s="225">
        <v>44869</v>
      </c>
      <c r="N104" s="24" t="str">
        <f t="shared" si="7"/>
        <v>VIERNES</v>
      </c>
      <c r="O104" s="102">
        <v>0.34652777777777799</v>
      </c>
      <c r="P104" s="53" t="s">
        <v>469</v>
      </c>
      <c r="Q104" s="53" t="s">
        <v>447</v>
      </c>
      <c r="R104" s="36">
        <f>COUNTIF(Tabla1[[#This Row],[VEHICULOS_ACCIDENTADOS]:[VEHICULOS_ACCIDENTADOS2]],"MOTOCICLETA")</f>
        <v>1</v>
      </c>
      <c r="S104" s="36">
        <f>COUNTIF(Tabla1[[#This Row],[VEHICULOS_ACCIDENTADOS]:[VEHICULOS_ACCIDENTADOS2]],"MOTOCARRO")</f>
        <v>0</v>
      </c>
      <c r="T104" s="36">
        <f>COUNTIF(Tabla1[[#This Row],[VEHICULOS_ACCIDENTADOS]:[VEHICULOS_ACCIDENTADOS2]],"AUTOMOVIL")</f>
        <v>1</v>
      </c>
      <c r="U104" s="36">
        <f>COUNTIF(Tabla1[[#This Row],[VEHICULOS_ACCIDENTADOS]:[VEHICULOS_ACCIDENTADOS2]],"CAMPERO")</f>
        <v>0</v>
      </c>
      <c r="V104" s="36">
        <f>COUNTIF(Tabla1[[#This Row],[VEHICULOS_ACCIDENTADOS]:[VEHICULOS_ACCIDENTADOS2]],"CAMIONETA")</f>
        <v>0</v>
      </c>
      <c r="W104" s="36">
        <f>COUNTIF(Tabla1[[#This Row],[VEHICULOS_ACCIDENTADOS]:[VEHICULOS_ACCIDENTADOS2]],"MICROBUS")</f>
        <v>0</v>
      </c>
      <c r="X104" s="36">
        <f>COUNTIF(Tabla1[[#This Row],[VEHICULOS_ACCIDENTADOS]:[VEHICULOS_ACCIDENTADOS2]],"BUS")</f>
        <v>0</v>
      </c>
      <c r="Y104" s="36">
        <f>COUNTIF(Tabla1[[#This Row],[VEHICULOS_ACCIDENTADOS]:[VEHICULOS_ACCIDENTADOS2]],"BUSETA")</f>
        <v>0</v>
      </c>
      <c r="Z104" s="36">
        <f>COUNTIF(Tabla1[[#This Row],[VEHICULOS_ACCIDENTADOS]:[VEHICULOS_ACCIDENTADOS2]],"CAMION")</f>
        <v>0</v>
      </c>
      <c r="AA104" s="36">
        <f>COUNTIF(Tabla1[[#This Row],[VEHICULOS_ACCIDENTADOS]:[VEHICULOS_ACCIDENTADOS2]],"TRACTOCAMION")</f>
        <v>0</v>
      </c>
      <c r="AB104" s="36">
        <f>COUNTIF(Tabla1[[#This Row],[VEHICULOS_ACCIDENTADOS]:[VEHICULOS_ACCIDENTADOS2]],"VOLQUETA")</f>
        <v>0</v>
      </c>
      <c r="AC104" s="36">
        <f>COUNTIF(Tabla1[[#This Row],[VEHICULOS_ACCIDENTADOS]:[VEHICULOS_ACCIDENTADOS2]],"BICICLETA")</f>
        <v>0</v>
      </c>
      <c r="AD104" s="36"/>
      <c r="AE104" s="36" t="s">
        <v>472</v>
      </c>
      <c r="AF104" s="36">
        <f>COUNTIF(Tabla1[[#This Row],[GENERO_MASCULINO]:[GENERO_FEMENINO]],"MASCULINO")</f>
        <v>0</v>
      </c>
      <c r="AG104" s="36">
        <f>COUNTIF(Tabla1[[#This Row],[GENERO_MASCULINO]:[GENERO_FEMENINO]],"FEMENINO")</f>
        <v>1</v>
      </c>
      <c r="AH104" s="61">
        <v>31</v>
      </c>
      <c r="AI104" s="61"/>
      <c r="AJ104" s="61"/>
      <c r="AK104" s="61"/>
      <c r="AL104" s="61"/>
      <c r="AM104" s="36"/>
      <c r="AN104" s="61">
        <v>112</v>
      </c>
      <c r="AO104" s="36" t="str">
        <f>IFERROR(((VLOOKUP(Tabla1[[#This Row],[HIPOTESIS_1]],listas!$D$1:$E$105,2,FALSE))),"SIN INFORMACIÓN")</f>
        <v>Desobedecer señales o normas de tránsito.</v>
      </c>
      <c r="AP104" s="36">
        <v>157</v>
      </c>
      <c r="AQ104" s="36" t="str">
        <f>IFERROR(((VLOOKUP(Tabla1[[#This Row],[HIPOTESIS_2]],listas!$D$1:$E$105,2,FALSE))),"")</f>
        <v>Otra</v>
      </c>
      <c r="AR104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05" spans="1:44" x14ac:dyDescent="0.25">
      <c r="A105" s="12">
        <v>760</v>
      </c>
      <c r="B105" s="135">
        <v>0</v>
      </c>
      <c r="C105" s="136">
        <v>2</v>
      </c>
      <c r="D105" s="136">
        <v>0</v>
      </c>
      <c r="E105" s="18" t="str">
        <f t="shared" si="4"/>
        <v>LESIONADO</v>
      </c>
      <c r="F105" s="26" t="s">
        <v>122</v>
      </c>
      <c r="G105" s="21">
        <v>5.2980027777777776</v>
      </c>
      <c r="H105" s="21">
        <v>-72.402366666666666</v>
      </c>
      <c r="I105" s="93" t="s">
        <v>697</v>
      </c>
      <c r="J105" s="136" t="s">
        <v>717</v>
      </c>
      <c r="K105" s="24" t="str">
        <f t="shared" si="5"/>
        <v>2024</v>
      </c>
      <c r="L105" s="24" t="str">
        <f t="shared" si="6"/>
        <v>AGOSTO</v>
      </c>
      <c r="M105" s="224">
        <v>45509</v>
      </c>
      <c r="N105" s="24" t="str">
        <f t="shared" si="7"/>
        <v>LUNES</v>
      </c>
      <c r="O105" s="171">
        <v>0.30555555555555552</v>
      </c>
      <c r="P105" s="178" t="s">
        <v>469</v>
      </c>
      <c r="Q105" s="178" t="s">
        <v>469</v>
      </c>
      <c r="R105" s="36">
        <f>COUNTIF(Tabla1[[#This Row],[VEHICULOS_ACCIDENTADOS]:[VEHICULOS_ACCIDENTADOS2]],"MOTOCICLETA")</f>
        <v>2</v>
      </c>
      <c r="S105" s="36">
        <f>COUNTIF(Tabla1[[#This Row],[VEHICULOS_ACCIDENTADOS]:[VEHICULOS_ACCIDENTADOS2]],"MOTOCARRO")</f>
        <v>0</v>
      </c>
      <c r="T105" s="36">
        <f>COUNTIF(Tabla1[[#This Row],[VEHICULOS_ACCIDENTADOS]:[VEHICULOS_ACCIDENTADOS2]],"AUTOMOVIL")</f>
        <v>0</v>
      </c>
      <c r="U105" s="36">
        <f>COUNTIF(Tabla1[[#This Row],[VEHICULOS_ACCIDENTADOS]:[VEHICULOS_ACCIDENTADOS2]],"CAMPERO")</f>
        <v>0</v>
      </c>
      <c r="V105" s="36">
        <f>COUNTIF(Tabla1[[#This Row],[VEHICULOS_ACCIDENTADOS]:[VEHICULOS_ACCIDENTADOS2]],"CAMIONETA")</f>
        <v>0</v>
      </c>
      <c r="W105" s="36">
        <f>COUNTIF(Tabla1[[#This Row],[VEHICULOS_ACCIDENTADOS]:[VEHICULOS_ACCIDENTADOS2]],"MICROBUS")</f>
        <v>0</v>
      </c>
      <c r="X105" s="36">
        <f>COUNTIF(Tabla1[[#This Row],[VEHICULOS_ACCIDENTADOS]:[VEHICULOS_ACCIDENTADOS2]],"BUS")</f>
        <v>0</v>
      </c>
      <c r="Y105" s="36">
        <f>COUNTIF(Tabla1[[#This Row],[VEHICULOS_ACCIDENTADOS]:[VEHICULOS_ACCIDENTADOS2]],"BUSETA")</f>
        <v>0</v>
      </c>
      <c r="Z105" s="36">
        <f>COUNTIF(Tabla1[[#This Row],[VEHICULOS_ACCIDENTADOS]:[VEHICULOS_ACCIDENTADOS2]],"CAMION")</f>
        <v>0</v>
      </c>
      <c r="AA105" s="36">
        <f>COUNTIF(Tabla1[[#This Row],[VEHICULOS_ACCIDENTADOS]:[VEHICULOS_ACCIDENTADOS2]],"TRACTOCAMION")</f>
        <v>0</v>
      </c>
      <c r="AB105" s="36">
        <f>COUNTIF(Tabla1[[#This Row],[VEHICULOS_ACCIDENTADOS]:[VEHICULOS_ACCIDENTADOS2]],"VOLQUETA")</f>
        <v>0</v>
      </c>
      <c r="AC105" s="36">
        <f>COUNTIF(Tabla1[[#This Row],[VEHICULOS_ACCIDENTADOS]:[VEHICULOS_ACCIDENTADOS2]],"BICICLETA")</f>
        <v>0</v>
      </c>
      <c r="AD105" s="136" t="s">
        <v>471</v>
      </c>
      <c r="AE105" s="136"/>
      <c r="AF105" s="136">
        <f>COUNTIF(Tabla1[[#This Row],[GENERO_MASCULINO]:[GENERO_FEMENINO]],"MASCULINO")</f>
        <v>1</v>
      </c>
      <c r="AG105" s="36">
        <f>COUNTIF(Tabla1[[#This Row],[GENERO_MASCULINO]:[GENERO_FEMENINO]],"FEMENINO")</f>
        <v>0</v>
      </c>
      <c r="AH105" s="85">
        <v>58</v>
      </c>
      <c r="AI105" s="85">
        <v>20</v>
      </c>
      <c r="AJ105" s="85"/>
      <c r="AK105" s="85"/>
      <c r="AL105" s="85"/>
      <c r="AM105" s="136"/>
      <c r="AN105" s="85">
        <v>102</v>
      </c>
      <c r="AO105" s="36" t="str">
        <f>IFERROR(((VLOOKUP(Tabla1[[#This Row],[HIPOTESIS_1]],listas!$D$1:$E$105,2,FALSE))),"SIN INFORMACIÓN")</f>
        <v>Adelantar por la derecha.</v>
      </c>
      <c r="AP105" s="136">
        <v>157</v>
      </c>
      <c r="AQ105" s="36" t="str">
        <f>IFERROR(((VLOOKUP(Tabla1[[#This Row],[HIPOTESIS_2]],listas!$D$1:$E$105,2,FALSE))),"")</f>
        <v>Otra</v>
      </c>
      <c r="AR105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06" spans="1:44" x14ac:dyDescent="0.25">
      <c r="A106" s="12">
        <v>776</v>
      </c>
      <c r="B106" s="135">
        <v>0</v>
      </c>
      <c r="C106" s="36">
        <v>1</v>
      </c>
      <c r="D106" s="144">
        <v>0</v>
      </c>
      <c r="E106" s="18" t="str">
        <f t="shared" si="4"/>
        <v>LESIONADO</v>
      </c>
      <c r="F106" s="29" t="s">
        <v>116</v>
      </c>
      <c r="G106" s="17">
        <v>5.3090666666666664</v>
      </c>
      <c r="H106" s="17">
        <v>-72.403480555555561</v>
      </c>
      <c r="I106" s="93" t="s">
        <v>697</v>
      </c>
      <c r="J106" s="136" t="s">
        <v>717</v>
      </c>
      <c r="K106" s="24" t="str">
        <f t="shared" si="5"/>
        <v>2024</v>
      </c>
      <c r="L106" s="24" t="str">
        <f t="shared" si="6"/>
        <v>SEPTIEMBRE</v>
      </c>
      <c r="M106" s="225">
        <v>45542</v>
      </c>
      <c r="N106" s="24" t="str">
        <f t="shared" si="7"/>
        <v>SÁBADO</v>
      </c>
      <c r="O106" s="101">
        <v>0.90972222222222221</v>
      </c>
      <c r="P106" s="57" t="s">
        <v>469</v>
      </c>
      <c r="Q106" s="57" t="s">
        <v>447</v>
      </c>
      <c r="R106" s="36">
        <f>COUNTIF(Tabla1[[#This Row],[VEHICULOS_ACCIDENTADOS]:[VEHICULOS_ACCIDENTADOS2]],"MOTOCICLETA")</f>
        <v>1</v>
      </c>
      <c r="S106" s="36">
        <f>COUNTIF(Tabla1[[#This Row],[VEHICULOS_ACCIDENTADOS]:[VEHICULOS_ACCIDENTADOS2]],"MOTOCARRO")</f>
        <v>0</v>
      </c>
      <c r="T106" s="36">
        <f>COUNTIF(Tabla1[[#This Row],[VEHICULOS_ACCIDENTADOS]:[VEHICULOS_ACCIDENTADOS2]],"AUTOMOVIL")</f>
        <v>1</v>
      </c>
      <c r="U106" s="36">
        <f>COUNTIF(Tabla1[[#This Row],[VEHICULOS_ACCIDENTADOS]:[VEHICULOS_ACCIDENTADOS2]],"CAMPERO")</f>
        <v>0</v>
      </c>
      <c r="V106" s="36">
        <f>COUNTIF(Tabla1[[#This Row],[VEHICULOS_ACCIDENTADOS]:[VEHICULOS_ACCIDENTADOS2]],"CAMIONETA")</f>
        <v>0</v>
      </c>
      <c r="W106" s="36">
        <f>COUNTIF(Tabla1[[#This Row],[VEHICULOS_ACCIDENTADOS]:[VEHICULOS_ACCIDENTADOS2]],"MICROBUS")</f>
        <v>0</v>
      </c>
      <c r="X106" s="36">
        <f>COUNTIF(Tabla1[[#This Row],[VEHICULOS_ACCIDENTADOS]:[VEHICULOS_ACCIDENTADOS2]],"BUS")</f>
        <v>0</v>
      </c>
      <c r="Y106" s="36">
        <f>COUNTIF(Tabla1[[#This Row],[VEHICULOS_ACCIDENTADOS]:[VEHICULOS_ACCIDENTADOS2]],"BUSETA")</f>
        <v>0</v>
      </c>
      <c r="Z106" s="36">
        <f>COUNTIF(Tabla1[[#This Row],[VEHICULOS_ACCIDENTADOS]:[VEHICULOS_ACCIDENTADOS2]],"CAMION")</f>
        <v>0</v>
      </c>
      <c r="AA106" s="36">
        <f>COUNTIF(Tabla1[[#This Row],[VEHICULOS_ACCIDENTADOS]:[VEHICULOS_ACCIDENTADOS2]],"TRACTOCAMION")</f>
        <v>0</v>
      </c>
      <c r="AB106" s="36">
        <f>COUNTIF(Tabla1[[#This Row],[VEHICULOS_ACCIDENTADOS]:[VEHICULOS_ACCIDENTADOS2]],"VOLQUETA")</f>
        <v>0</v>
      </c>
      <c r="AC106" s="36">
        <f>COUNTIF(Tabla1[[#This Row],[VEHICULOS_ACCIDENTADOS]:[VEHICULOS_ACCIDENTADOS2]],"BICICLETA")</f>
        <v>0</v>
      </c>
      <c r="AD106" s="36" t="s">
        <v>471</v>
      </c>
      <c r="AE106" s="36" t="s">
        <v>472</v>
      </c>
      <c r="AF106" s="36">
        <f>COUNTIF(Tabla1[[#This Row],[GENERO_MASCULINO]:[GENERO_FEMENINO]],"MASCULINO")</f>
        <v>1</v>
      </c>
      <c r="AG106" s="36">
        <f>COUNTIF(Tabla1[[#This Row],[GENERO_MASCULINO]:[GENERO_FEMENINO]],"FEMENINO")</f>
        <v>1</v>
      </c>
      <c r="AH106" s="61">
        <v>51</v>
      </c>
      <c r="AI106" s="61">
        <v>55</v>
      </c>
      <c r="AJ106" s="61"/>
      <c r="AK106" s="61"/>
      <c r="AL106" s="61"/>
      <c r="AM106" s="36"/>
      <c r="AN106" s="61">
        <v>114</v>
      </c>
      <c r="AO106" s="36" t="str">
        <f>IFERROR(((VLOOKUP(Tabla1[[#This Row],[HIPOTESIS_1]],listas!$D$1:$E$105,2,FALSE))),"SIN INFORMACIÓN")</f>
        <v>Embriaguez aparente.</v>
      </c>
      <c r="AP106" s="36">
        <v>157</v>
      </c>
      <c r="AQ106" s="36" t="str">
        <f>IFERROR(((VLOOKUP(Tabla1[[#This Row],[HIPOTESIS_2]],listas!$D$1:$E$105,2,FALSE))),"")</f>
        <v>Otra</v>
      </c>
      <c r="AR106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07" spans="1:44" x14ac:dyDescent="0.25">
      <c r="A107" s="12">
        <v>408</v>
      </c>
      <c r="B107" s="36">
        <v>0</v>
      </c>
      <c r="C107" s="36">
        <v>1</v>
      </c>
      <c r="D107" s="36">
        <v>0</v>
      </c>
      <c r="E107" s="18" t="str">
        <f t="shared" si="4"/>
        <v>LESIONADO</v>
      </c>
      <c r="F107" s="29" t="s">
        <v>284</v>
      </c>
      <c r="G107" s="21">
        <v>5.3100874999999998</v>
      </c>
      <c r="H107" s="21">
        <v>-72.403551666666672</v>
      </c>
      <c r="I107" s="93" t="s">
        <v>697</v>
      </c>
      <c r="J107" s="36" t="s">
        <v>717</v>
      </c>
      <c r="K107" s="24" t="str">
        <f t="shared" si="5"/>
        <v>2023</v>
      </c>
      <c r="L107" s="24" t="str">
        <f t="shared" si="6"/>
        <v>FEBRERO</v>
      </c>
      <c r="M107" s="225">
        <v>44975</v>
      </c>
      <c r="N107" s="24" t="str">
        <f t="shared" si="7"/>
        <v>SÁBADO</v>
      </c>
      <c r="O107" s="101">
        <v>0.61805555555555602</v>
      </c>
      <c r="P107" s="57" t="s">
        <v>445</v>
      </c>
      <c r="Q107" s="57" t="s">
        <v>438</v>
      </c>
      <c r="R107" s="36">
        <f>COUNTIF(Tabla1[[#This Row],[VEHICULOS_ACCIDENTADOS]:[VEHICULOS_ACCIDENTADOS2]],"MOTOCICLETA")</f>
        <v>0</v>
      </c>
      <c r="S107" s="36">
        <f>COUNTIF(Tabla1[[#This Row],[VEHICULOS_ACCIDENTADOS]:[VEHICULOS_ACCIDENTADOS2]],"MOTOCARRO")</f>
        <v>0</v>
      </c>
      <c r="T107" s="36">
        <f>COUNTIF(Tabla1[[#This Row],[VEHICULOS_ACCIDENTADOS]:[VEHICULOS_ACCIDENTADOS2]],"AUTOMOVIL")</f>
        <v>0</v>
      </c>
      <c r="U107" s="36">
        <f>COUNTIF(Tabla1[[#This Row],[VEHICULOS_ACCIDENTADOS]:[VEHICULOS_ACCIDENTADOS2]],"CAMPERO")</f>
        <v>0</v>
      </c>
      <c r="V107" s="36">
        <f>COUNTIF(Tabla1[[#This Row],[VEHICULOS_ACCIDENTADOS]:[VEHICULOS_ACCIDENTADOS2]],"CAMIONETA")</f>
        <v>1</v>
      </c>
      <c r="W107" s="36">
        <f>COUNTIF(Tabla1[[#This Row],[VEHICULOS_ACCIDENTADOS]:[VEHICULOS_ACCIDENTADOS2]],"MICROBUS")</f>
        <v>0</v>
      </c>
      <c r="X107" s="36">
        <f>COUNTIF(Tabla1[[#This Row],[VEHICULOS_ACCIDENTADOS]:[VEHICULOS_ACCIDENTADOS2]],"BUS")</f>
        <v>0</v>
      </c>
      <c r="Y107" s="36">
        <f>COUNTIF(Tabla1[[#This Row],[VEHICULOS_ACCIDENTADOS]:[VEHICULOS_ACCIDENTADOS2]],"BUSETA")</f>
        <v>0</v>
      </c>
      <c r="Z107" s="36">
        <f>COUNTIF(Tabla1[[#This Row],[VEHICULOS_ACCIDENTADOS]:[VEHICULOS_ACCIDENTADOS2]],"CAMION")</f>
        <v>0</v>
      </c>
      <c r="AA107" s="36">
        <f>COUNTIF(Tabla1[[#This Row],[VEHICULOS_ACCIDENTADOS]:[VEHICULOS_ACCIDENTADOS2]],"TRACTOCAMION")</f>
        <v>0</v>
      </c>
      <c r="AB107" s="36">
        <f>COUNTIF(Tabla1[[#This Row],[VEHICULOS_ACCIDENTADOS]:[VEHICULOS_ACCIDENTADOS2]],"VOLQUETA")</f>
        <v>0</v>
      </c>
      <c r="AC107" s="36">
        <f>COUNTIF(Tabla1[[#This Row],[VEHICULOS_ACCIDENTADOS]:[VEHICULOS_ACCIDENTADOS2]],"BICICLETA")</f>
        <v>1</v>
      </c>
      <c r="AD107" s="36" t="s">
        <v>471</v>
      </c>
      <c r="AE107" s="36"/>
      <c r="AF107" s="36">
        <f>COUNTIF(Tabla1[[#This Row],[GENERO_MASCULINO]:[GENERO_FEMENINO]],"MASCULINO")</f>
        <v>1</v>
      </c>
      <c r="AG107" s="36">
        <f>COUNTIF(Tabla1[[#This Row],[GENERO_MASCULINO]:[GENERO_FEMENINO]],"FEMENINO")</f>
        <v>0</v>
      </c>
      <c r="AH107" s="61">
        <v>47</v>
      </c>
      <c r="AI107" s="61"/>
      <c r="AJ107" s="61"/>
      <c r="AK107" s="61"/>
      <c r="AL107" s="61"/>
      <c r="AM107" s="36"/>
      <c r="AN107" s="61">
        <v>115</v>
      </c>
      <c r="AO107" s="36" t="str">
        <f>IFERROR(((VLOOKUP(Tabla1[[#This Row],[HIPOTESIS_1]],listas!$D$1:$E$105,2,FALSE))),"SIN INFORMACIÓN")</f>
        <v>Embriaguez o Sustancias alucinogenas</v>
      </c>
      <c r="AP107" s="36">
        <v>157</v>
      </c>
      <c r="AQ107" s="36" t="str">
        <f>IFERROR(((VLOOKUP(Tabla1[[#This Row],[HIPOTESIS_2]],listas!$D$1:$E$105,2,FALSE))),"")</f>
        <v>Otra</v>
      </c>
      <c r="AR107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08" spans="1:44" x14ac:dyDescent="0.25">
      <c r="A108" s="12">
        <v>844</v>
      </c>
      <c r="B108" s="135">
        <v>0</v>
      </c>
      <c r="C108" s="136">
        <v>1</v>
      </c>
      <c r="D108" s="141">
        <v>0</v>
      </c>
      <c r="E108" s="18" t="str">
        <f t="shared" si="4"/>
        <v>LESIONADO</v>
      </c>
      <c r="F108" s="26" t="s">
        <v>1099</v>
      </c>
      <c r="G108" s="21">
        <v>5.3300602777777772</v>
      </c>
      <c r="H108" s="21">
        <v>-72.408016388888896</v>
      </c>
      <c r="I108" s="93" t="s">
        <v>697</v>
      </c>
      <c r="J108" s="36" t="s">
        <v>717</v>
      </c>
      <c r="K108" s="24" t="str">
        <f t="shared" si="5"/>
        <v>2024</v>
      </c>
      <c r="L108" s="24" t="str">
        <f t="shared" si="6"/>
        <v>DICIEMBRE</v>
      </c>
      <c r="M108" s="224">
        <v>45650</v>
      </c>
      <c r="N108" s="24" t="str">
        <f t="shared" si="7"/>
        <v>MARTES</v>
      </c>
      <c r="O108" s="171">
        <v>0.59375</v>
      </c>
      <c r="P108" s="178" t="s">
        <v>469</v>
      </c>
      <c r="Q108" s="178" t="s">
        <v>445</v>
      </c>
      <c r="R108" s="36">
        <f>COUNTIF(Tabla1[[#This Row],[VEHICULOS_ACCIDENTADOS]:[VEHICULOS_ACCIDENTADOS2]],"MOTOCICLETA")</f>
        <v>1</v>
      </c>
      <c r="S108" s="36">
        <f>COUNTIF(Tabla1[[#This Row],[VEHICULOS_ACCIDENTADOS]:[VEHICULOS_ACCIDENTADOS2]],"MOTOCARRO")</f>
        <v>0</v>
      </c>
      <c r="T108" s="36">
        <f>COUNTIF(Tabla1[[#This Row],[VEHICULOS_ACCIDENTADOS]:[VEHICULOS_ACCIDENTADOS2]],"AUTOMOVIL")</f>
        <v>0</v>
      </c>
      <c r="U108" s="36">
        <f>COUNTIF(Tabla1[[#This Row],[VEHICULOS_ACCIDENTADOS]:[VEHICULOS_ACCIDENTADOS2]],"CAMPERO")</f>
        <v>0</v>
      </c>
      <c r="V108" s="36">
        <f>COUNTIF(Tabla1[[#This Row],[VEHICULOS_ACCIDENTADOS]:[VEHICULOS_ACCIDENTADOS2]],"CAMIONETA")</f>
        <v>1</v>
      </c>
      <c r="W108" s="36">
        <f>COUNTIF(Tabla1[[#This Row],[VEHICULOS_ACCIDENTADOS]:[VEHICULOS_ACCIDENTADOS2]],"MICROBUS")</f>
        <v>0</v>
      </c>
      <c r="X108" s="36">
        <f>COUNTIF(Tabla1[[#This Row],[VEHICULOS_ACCIDENTADOS]:[VEHICULOS_ACCIDENTADOS2]],"BUS")</f>
        <v>0</v>
      </c>
      <c r="Y108" s="36">
        <f>COUNTIF(Tabla1[[#This Row],[VEHICULOS_ACCIDENTADOS]:[VEHICULOS_ACCIDENTADOS2]],"BUSETA")</f>
        <v>0</v>
      </c>
      <c r="Z108" s="36">
        <f>COUNTIF(Tabla1[[#This Row],[VEHICULOS_ACCIDENTADOS]:[VEHICULOS_ACCIDENTADOS2]],"CAMION")</f>
        <v>0</v>
      </c>
      <c r="AA108" s="36">
        <f>COUNTIF(Tabla1[[#This Row],[VEHICULOS_ACCIDENTADOS]:[VEHICULOS_ACCIDENTADOS2]],"TRACTOCAMION")</f>
        <v>0</v>
      </c>
      <c r="AB108" s="36">
        <f>COUNTIF(Tabla1[[#This Row],[VEHICULOS_ACCIDENTADOS]:[VEHICULOS_ACCIDENTADOS2]],"VOLQUETA")</f>
        <v>0</v>
      </c>
      <c r="AC108" s="36">
        <f>COUNTIF(Tabla1[[#This Row],[VEHICULOS_ACCIDENTADOS]:[VEHICULOS_ACCIDENTADOS2]],"BICICLETA")</f>
        <v>0</v>
      </c>
      <c r="AD108" s="136" t="s">
        <v>471</v>
      </c>
      <c r="AE108" s="136"/>
      <c r="AF108" s="136">
        <f>COUNTIF(Tabla1[[#This Row],[GENERO_MASCULINO]:[GENERO_FEMENINO]],"MASCULINO")</f>
        <v>1</v>
      </c>
      <c r="AG108" s="36">
        <f>COUNTIF(Tabla1[[#This Row],[GENERO_MASCULINO]:[GENERO_FEMENINO]],"FEMENINO")</f>
        <v>0</v>
      </c>
      <c r="AH108" s="85">
        <v>44</v>
      </c>
      <c r="AI108" s="85"/>
      <c r="AJ108" s="85"/>
      <c r="AK108" s="85"/>
      <c r="AL108" s="85"/>
      <c r="AM108" s="136"/>
      <c r="AN108" s="85">
        <v>123</v>
      </c>
      <c r="AO108" s="36" t="str">
        <f>IFERROR(((VLOOKUP(Tabla1[[#This Row],[HIPOTESIS_1]],listas!$D$1:$E$105,2,FALSE))),"SIN INFORMACIÓN")</f>
        <v>No respetar prelación de intersecciones o giros.</v>
      </c>
      <c r="AP108" s="136">
        <v>157</v>
      </c>
      <c r="AQ108" s="36" t="str">
        <f>IFERROR(((VLOOKUP(Tabla1[[#This Row],[HIPOTESIS_2]],listas!$D$1:$E$105,2,FALSE))),"")</f>
        <v>Otra</v>
      </c>
      <c r="AR108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09" spans="1:44" x14ac:dyDescent="0.25">
      <c r="A109" s="12">
        <v>901</v>
      </c>
      <c r="B109" s="135">
        <v>0</v>
      </c>
      <c r="C109" s="136">
        <v>1</v>
      </c>
      <c r="D109" s="136">
        <v>0</v>
      </c>
      <c r="E109" s="18" t="str">
        <f t="shared" si="4"/>
        <v>LESIONADO</v>
      </c>
      <c r="F109" s="26" t="s">
        <v>61</v>
      </c>
      <c r="G109" s="21">
        <v>5.3362699999999998</v>
      </c>
      <c r="H109" s="21">
        <v>-72.407183000000003</v>
      </c>
      <c r="I109" s="93" t="s">
        <v>697</v>
      </c>
      <c r="J109" s="167" t="s">
        <v>717</v>
      </c>
      <c r="K109" s="24" t="str">
        <f t="shared" si="5"/>
        <v>2025</v>
      </c>
      <c r="L109" s="24" t="str">
        <f t="shared" si="6"/>
        <v>MARZO</v>
      </c>
      <c r="M109" s="224">
        <v>45722</v>
      </c>
      <c r="N109" s="24" t="str">
        <f t="shared" si="7"/>
        <v>JUEVES</v>
      </c>
      <c r="O109" s="171">
        <v>0.35416666666666669</v>
      </c>
      <c r="P109" s="178" t="s">
        <v>445</v>
      </c>
      <c r="Q109" s="178" t="s">
        <v>469</v>
      </c>
      <c r="R109" s="36">
        <f>COUNTIF(Tabla1[[#This Row],[VEHICULOS_ACCIDENTADOS]:[VEHICULOS_ACCIDENTADOS2]],"MOTOCICLETA")</f>
        <v>1</v>
      </c>
      <c r="S109" s="36">
        <f>COUNTIF(Tabla1[[#This Row],[VEHICULOS_ACCIDENTADOS]:[VEHICULOS_ACCIDENTADOS2]],"MOTOCARRO")</f>
        <v>0</v>
      </c>
      <c r="T109" s="36">
        <f>COUNTIF(Tabla1[[#This Row],[VEHICULOS_ACCIDENTADOS]:[VEHICULOS_ACCIDENTADOS2]],"AUTOMOVIL")</f>
        <v>0</v>
      </c>
      <c r="U109" s="36">
        <f>COUNTIF(Tabla1[[#This Row],[VEHICULOS_ACCIDENTADOS]:[VEHICULOS_ACCIDENTADOS2]],"CAMPERO")</f>
        <v>0</v>
      </c>
      <c r="V109" s="36">
        <f>COUNTIF(Tabla1[[#This Row],[VEHICULOS_ACCIDENTADOS]:[VEHICULOS_ACCIDENTADOS2]],"CAMIONETA")</f>
        <v>1</v>
      </c>
      <c r="W109" s="36">
        <f>COUNTIF(Tabla1[[#This Row],[VEHICULOS_ACCIDENTADOS]:[VEHICULOS_ACCIDENTADOS2]],"MICROBUS")</f>
        <v>0</v>
      </c>
      <c r="X109" s="36">
        <f>COUNTIF(Tabla1[[#This Row],[VEHICULOS_ACCIDENTADOS]:[VEHICULOS_ACCIDENTADOS2]],"BUS")</f>
        <v>0</v>
      </c>
      <c r="Y109" s="36">
        <f>COUNTIF(Tabla1[[#This Row],[VEHICULOS_ACCIDENTADOS]:[VEHICULOS_ACCIDENTADOS2]],"BUSETA")</f>
        <v>0</v>
      </c>
      <c r="Z109" s="36">
        <f>COUNTIF(Tabla1[[#This Row],[VEHICULOS_ACCIDENTADOS]:[VEHICULOS_ACCIDENTADOS2]],"CAMION")</f>
        <v>0</v>
      </c>
      <c r="AA109" s="36">
        <f>COUNTIF(Tabla1[[#This Row],[VEHICULOS_ACCIDENTADOS]:[VEHICULOS_ACCIDENTADOS2]],"TRACTOCAMION")</f>
        <v>0</v>
      </c>
      <c r="AB109" s="36">
        <f>COUNTIF(Tabla1[[#This Row],[VEHICULOS_ACCIDENTADOS]:[VEHICULOS_ACCIDENTADOS2]],"VOLQUETA")</f>
        <v>0</v>
      </c>
      <c r="AC109" s="36">
        <f>COUNTIF(Tabla1[[#This Row],[VEHICULOS_ACCIDENTADOS]:[VEHICULOS_ACCIDENTADOS2]],"BICICLETA")</f>
        <v>0</v>
      </c>
      <c r="AD109" s="136" t="s">
        <v>471</v>
      </c>
      <c r="AE109" s="136" t="s">
        <v>471</v>
      </c>
      <c r="AF109" s="136">
        <f>COUNTIF(Tabla1[[#This Row],[GENERO_MASCULINO]:[GENERO_FEMENINO]],"MASCULINO")</f>
        <v>2</v>
      </c>
      <c r="AG109" s="36">
        <f>COUNTIF(Tabla1[[#This Row],[GENERO_MASCULINO]:[GENERO_FEMENINO]],"FEMENINO")</f>
        <v>0</v>
      </c>
      <c r="AH109" s="85">
        <v>32</v>
      </c>
      <c r="AI109" s="85">
        <v>32</v>
      </c>
      <c r="AJ109" s="85"/>
      <c r="AK109" s="85"/>
      <c r="AL109" s="85"/>
      <c r="AM109" s="136"/>
      <c r="AN109" s="85">
        <v>122</v>
      </c>
      <c r="AO109" s="36" t="str">
        <f>IFERROR(((VLOOKUP(Tabla1[[#This Row],[HIPOTESIS_1]],listas!$D$1:$E$105,2,FALSE))),"SIN INFORMACIÓN")</f>
        <v>Girar bruscamente.</v>
      </c>
      <c r="AP109" s="136">
        <v>157</v>
      </c>
      <c r="AQ109" s="36" t="str">
        <f>IFERROR(((VLOOKUP(Tabla1[[#This Row],[HIPOTESIS_2]],listas!$D$1:$E$105,2,FALSE))),"")</f>
        <v>Otra</v>
      </c>
      <c r="AR109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10" spans="1:44" x14ac:dyDescent="0.25">
      <c r="A110" s="12">
        <v>186</v>
      </c>
      <c r="B110" s="36">
        <v>1</v>
      </c>
      <c r="C110" s="36">
        <v>0</v>
      </c>
      <c r="D110" s="36">
        <v>0</v>
      </c>
      <c r="E110" s="18" t="str">
        <f t="shared" si="4"/>
        <v>SOLO DAÑO</v>
      </c>
      <c r="F110" s="29" t="s">
        <v>364</v>
      </c>
      <c r="G110" s="17">
        <v>5.3148694444444446</v>
      </c>
      <c r="H110" s="17">
        <v>-72.396861111111122</v>
      </c>
      <c r="I110" s="93" t="s">
        <v>697</v>
      </c>
      <c r="J110" s="36" t="s">
        <v>717</v>
      </c>
      <c r="K110" s="24" t="str">
        <f t="shared" si="5"/>
        <v>2022</v>
      </c>
      <c r="L110" s="24" t="str">
        <f t="shared" si="6"/>
        <v>MAYO</v>
      </c>
      <c r="M110" s="225">
        <v>44697</v>
      </c>
      <c r="N110" s="24" t="str">
        <f t="shared" si="7"/>
        <v>LUNES</v>
      </c>
      <c r="O110" s="102">
        <v>0.26388888888888901</v>
      </c>
      <c r="P110" s="53" t="s">
        <v>469</v>
      </c>
      <c r="Q110" s="53" t="s">
        <v>447</v>
      </c>
      <c r="R110" s="36">
        <f>COUNTIF(Tabla1[[#This Row],[VEHICULOS_ACCIDENTADOS]:[VEHICULOS_ACCIDENTADOS2]],"MOTOCICLETA")</f>
        <v>1</v>
      </c>
      <c r="S110" s="36">
        <f>COUNTIF(Tabla1[[#This Row],[VEHICULOS_ACCIDENTADOS]:[VEHICULOS_ACCIDENTADOS2]],"MOTOCARRO")</f>
        <v>0</v>
      </c>
      <c r="T110" s="36">
        <f>COUNTIF(Tabla1[[#This Row],[VEHICULOS_ACCIDENTADOS]:[VEHICULOS_ACCIDENTADOS2]],"AUTOMOVIL")</f>
        <v>1</v>
      </c>
      <c r="U110" s="36">
        <f>COUNTIF(Tabla1[[#This Row],[VEHICULOS_ACCIDENTADOS]:[VEHICULOS_ACCIDENTADOS2]],"CAMPERO")</f>
        <v>0</v>
      </c>
      <c r="V110" s="36">
        <f>COUNTIF(Tabla1[[#This Row],[VEHICULOS_ACCIDENTADOS]:[VEHICULOS_ACCIDENTADOS2]],"CAMIONETA")</f>
        <v>0</v>
      </c>
      <c r="W110" s="36">
        <f>COUNTIF(Tabla1[[#This Row],[VEHICULOS_ACCIDENTADOS]:[VEHICULOS_ACCIDENTADOS2]],"MICROBUS")</f>
        <v>0</v>
      </c>
      <c r="X110" s="36">
        <f>COUNTIF(Tabla1[[#This Row],[VEHICULOS_ACCIDENTADOS]:[VEHICULOS_ACCIDENTADOS2]],"BUS")</f>
        <v>0</v>
      </c>
      <c r="Y110" s="36">
        <f>COUNTIF(Tabla1[[#This Row],[VEHICULOS_ACCIDENTADOS]:[VEHICULOS_ACCIDENTADOS2]],"BUSETA")</f>
        <v>0</v>
      </c>
      <c r="Z110" s="36">
        <f>COUNTIF(Tabla1[[#This Row],[VEHICULOS_ACCIDENTADOS]:[VEHICULOS_ACCIDENTADOS2]],"CAMION")</f>
        <v>0</v>
      </c>
      <c r="AA110" s="36">
        <f>COUNTIF(Tabla1[[#This Row],[VEHICULOS_ACCIDENTADOS]:[VEHICULOS_ACCIDENTADOS2]],"TRACTOCAMION")</f>
        <v>0</v>
      </c>
      <c r="AB110" s="36">
        <f>COUNTIF(Tabla1[[#This Row],[VEHICULOS_ACCIDENTADOS]:[VEHICULOS_ACCIDENTADOS2]],"VOLQUETA")</f>
        <v>0</v>
      </c>
      <c r="AC110" s="36">
        <f>COUNTIF(Tabla1[[#This Row],[VEHICULOS_ACCIDENTADOS]:[VEHICULOS_ACCIDENTADOS2]],"BICICLETA")</f>
        <v>0</v>
      </c>
      <c r="AD110" s="36" t="s">
        <v>471</v>
      </c>
      <c r="AE110" s="36" t="s">
        <v>472</v>
      </c>
      <c r="AF110" s="36">
        <f>COUNTIF(Tabla1[[#This Row],[GENERO_MASCULINO]:[GENERO_FEMENINO]],"MASCULINO")</f>
        <v>1</v>
      </c>
      <c r="AG110" s="36">
        <f>COUNTIF(Tabla1[[#This Row],[GENERO_MASCULINO]:[GENERO_FEMENINO]],"FEMENINO")</f>
        <v>1</v>
      </c>
      <c r="AH110" s="61"/>
      <c r="AI110" s="61"/>
      <c r="AJ110" s="61"/>
      <c r="AK110" s="61"/>
      <c r="AL110" s="61"/>
      <c r="AM110" s="36"/>
      <c r="AN110" s="61">
        <v>112</v>
      </c>
      <c r="AO110" s="36" t="str">
        <f>IFERROR(((VLOOKUP(Tabla1[[#This Row],[HIPOTESIS_1]],listas!$D$1:$E$105,2,FALSE))),"SIN INFORMACIÓN")</f>
        <v>Desobedecer señales o normas de tránsito.</v>
      </c>
      <c r="AP110" s="36">
        <v>157</v>
      </c>
      <c r="AQ110" s="36" t="str">
        <f>IFERROR(((VLOOKUP(Tabla1[[#This Row],[HIPOTESIS_2]],listas!$D$1:$E$105,2,FALSE))),"")</f>
        <v>Otra</v>
      </c>
      <c r="AR110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11" spans="1:44" x14ac:dyDescent="0.25">
      <c r="A111" s="12">
        <v>107</v>
      </c>
      <c r="B111" s="36">
        <v>0</v>
      </c>
      <c r="C111" s="36">
        <v>0</v>
      </c>
      <c r="D111" s="36">
        <v>1</v>
      </c>
      <c r="E111" s="18" t="str">
        <f t="shared" si="4"/>
        <v>FALLECIDO</v>
      </c>
      <c r="F111" s="36" t="s">
        <v>1011</v>
      </c>
      <c r="G111" s="17">
        <v>5.3393861111111107</v>
      </c>
      <c r="H111" s="17">
        <v>-72.398141666666675</v>
      </c>
      <c r="I111" s="93" t="s">
        <v>697</v>
      </c>
      <c r="J111" s="36" t="s">
        <v>717</v>
      </c>
      <c r="K111" s="24" t="str">
        <f t="shared" si="5"/>
        <v>2022</v>
      </c>
      <c r="L111" s="24" t="str">
        <f t="shared" si="6"/>
        <v>MARZO</v>
      </c>
      <c r="M111" s="225">
        <v>44651</v>
      </c>
      <c r="N111" s="24" t="str">
        <f t="shared" si="7"/>
        <v>JUEVES</v>
      </c>
      <c r="O111" s="101">
        <v>0.104166666666667</v>
      </c>
      <c r="P111" s="63" t="s">
        <v>469</v>
      </c>
      <c r="Q111" s="63"/>
      <c r="R111" s="36">
        <f>COUNTIF(Tabla1[[#This Row],[VEHICULOS_ACCIDENTADOS]:[VEHICULOS_ACCIDENTADOS2]],"MOTOCICLETA")</f>
        <v>1</v>
      </c>
      <c r="S111" s="36">
        <f>COUNTIF(Tabla1[[#This Row],[VEHICULOS_ACCIDENTADOS]:[VEHICULOS_ACCIDENTADOS2]],"MOTOCARRO")</f>
        <v>0</v>
      </c>
      <c r="T111" s="36">
        <f>COUNTIF(Tabla1[[#This Row],[VEHICULOS_ACCIDENTADOS]:[VEHICULOS_ACCIDENTADOS2]],"AUTOMOVIL")</f>
        <v>0</v>
      </c>
      <c r="U111" s="36">
        <f>COUNTIF(Tabla1[[#This Row],[VEHICULOS_ACCIDENTADOS]:[VEHICULOS_ACCIDENTADOS2]],"CAMPERO")</f>
        <v>0</v>
      </c>
      <c r="V111" s="36">
        <f>COUNTIF(Tabla1[[#This Row],[VEHICULOS_ACCIDENTADOS]:[VEHICULOS_ACCIDENTADOS2]],"CAMIONETA")</f>
        <v>0</v>
      </c>
      <c r="W111" s="36">
        <f>COUNTIF(Tabla1[[#This Row],[VEHICULOS_ACCIDENTADOS]:[VEHICULOS_ACCIDENTADOS2]],"MICROBUS")</f>
        <v>0</v>
      </c>
      <c r="X111" s="36">
        <f>COUNTIF(Tabla1[[#This Row],[VEHICULOS_ACCIDENTADOS]:[VEHICULOS_ACCIDENTADOS2]],"BUS")</f>
        <v>0</v>
      </c>
      <c r="Y111" s="36">
        <f>COUNTIF(Tabla1[[#This Row],[VEHICULOS_ACCIDENTADOS]:[VEHICULOS_ACCIDENTADOS2]],"BUSETA")</f>
        <v>0</v>
      </c>
      <c r="Z111" s="36">
        <f>COUNTIF(Tabla1[[#This Row],[VEHICULOS_ACCIDENTADOS]:[VEHICULOS_ACCIDENTADOS2]],"CAMION")</f>
        <v>0</v>
      </c>
      <c r="AA111" s="36">
        <f>COUNTIF(Tabla1[[#This Row],[VEHICULOS_ACCIDENTADOS]:[VEHICULOS_ACCIDENTADOS2]],"TRACTOCAMION")</f>
        <v>0</v>
      </c>
      <c r="AB111" s="36">
        <f>COUNTIF(Tabla1[[#This Row],[VEHICULOS_ACCIDENTADOS]:[VEHICULOS_ACCIDENTADOS2]],"VOLQUETA")</f>
        <v>0</v>
      </c>
      <c r="AC111" s="36">
        <f>COUNTIF(Tabla1[[#This Row],[VEHICULOS_ACCIDENTADOS]:[VEHICULOS_ACCIDENTADOS2]],"BICICLETA")</f>
        <v>0</v>
      </c>
      <c r="AD111" s="36" t="s">
        <v>471</v>
      </c>
      <c r="AE111" s="36"/>
      <c r="AF111" s="36">
        <f>COUNTIF(Tabla1[[#This Row],[GENERO_MASCULINO]:[GENERO_FEMENINO]],"MASCULINO")</f>
        <v>1</v>
      </c>
      <c r="AG111" s="36">
        <f>COUNTIF(Tabla1[[#This Row],[GENERO_MASCULINO]:[GENERO_FEMENINO]],"FEMENINO")</f>
        <v>0</v>
      </c>
      <c r="AH111" s="61"/>
      <c r="AI111" s="61"/>
      <c r="AJ111" s="78"/>
      <c r="AK111" s="61"/>
      <c r="AL111" s="61"/>
      <c r="AM111" s="36">
        <v>22</v>
      </c>
      <c r="AN111" s="61">
        <v>139</v>
      </c>
      <c r="AO111" s="36" t="str">
        <f>IFERROR(((VLOOKUP(Tabla1[[#This Row],[HIPOTESIS_1]],listas!$D$1:$E$105,2,FALSE))),"SIN INFORMACIÓN")</f>
        <v>Impericia en el manejo.</v>
      </c>
      <c r="AP111" s="36">
        <v>157</v>
      </c>
      <c r="AQ111" s="36" t="str">
        <f>IFERROR(((VLOOKUP(Tabla1[[#This Row],[HIPOTESIS_2]],listas!$D$1:$E$105,2,FALSE))),"")</f>
        <v>Otra</v>
      </c>
      <c r="AR111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12" spans="1:44" x14ac:dyDescent="0.25">
      <c r="A112" s="12">
        <v>882</v>
      </c>
      <c r="B112" s="136">
        <v>0</v>
      </c>
      <c r="C112" s="136">
        <v>0</v>
      </c>
      <c r="D112" s="141">
        <v>1</v>
      </c>
      <c r="E112" s="18" t="str">
        <f t="shared" si="4"/>
        <v>FALLECIDO</v>
      </c>
      <c r="F112" s="26" t="s">
        <v>1104</v>
      </c>
      <c r="G112" s="21">
        <v>5.3192944444444441</v>
      </c>
      <c r="H112" s="21">
        <v>-72.389711111111112</v>
      </c>
      <c r="I112" s="93" t="s">
        <v>697</v>
      </c>
      <c r="J112" s="167" t="s">
        <v>717</v>
      </c>
      <c r="K112" s="24" t="str">
        <f t="shared" si="5"/>
        <v>2025</v>
      </c>
      <c r="L112" s="24" t="str">
        <f t="shared" si="6"/>
        <v>FEBRERO</v>
      </c>
      <c r="M112" s="224">
        <v>45709</v>
      </c>
      <c r="N112" s="24" t="str">
        <f t="shared" si="7"/>
        <v>VIERNES</v>
      </c>
      <c r="O112" s="171">
        <v>0.8125</v>
      </c>
      <c r="P112" s="178" t="s">
        <v>445</v>
      </c>
      <c r="Q112" s="178" t="s">
        <v>469</v>
      </c>
      <c r="R112" s="36">
        <f>COUNTIF(Tabla1[[#This Row],[VEHICULOS_ACCIDENTADOS]:[VEHICULOS_ACCIDENTADOS2]],"MOTOCICLETA")</f>
        <v>1</v>
      </c>
      <c r="S112" s="36">
        <f>COUNTIF(Tabla1[[#This Row],[VEHICULOS_ACCIDENTADOS]:[VEHICULOS_ACCIDENTADOS2]],"MOTOCARRO")</f>
        <v>0</v>
      </c>
      <c r="T112" s="36">
        <f>COUNTIF(Tabla1[[#This Row],[VEHICULOS_ACCIDENTADOS]:[VEHICULOS_ACCIDENTADOS2]],"AUTOMOVIL")</f>
        <v>0</v>
      </c>
      <c r="U112" s="36">
        <f>COUNTIF(Tabla1[[#This Row],[VEHICULOS_ACCIDENTADOS]:[VEHICULOS_ACCIDENTADOS2]],"CAMPERO")</f>
        <v>0</v>
      </c>
      <c r="V112" s="36">
        <f>COUNTIF(Tabla1[[#This Row],[VEHICULOS_ACCIDENTADOS]:[VEHICULOS_ACCIDENTADOS2]],"CAMIONETA")</f>
        <v>1</v>
      </c>
      <c r="W112" s="36">
        <f>COUNTIF(Tabla1[[#This Row],[VEHICULOS_ACCIDENTADOS]:[VEHICULOS_ACCIDENTADOS2]],"MICROBUS")</f>
        <v>0</v>
      </c>
      <c r="X112" s="36">
        <f>COUNTIF(Tabla1[[#This Row],[VEHICULOS_ACCIDENTADOS]:[VEHICULOS_ACCIDENTADOS2]],"BUS")</f>
        <v>0</v>
      </c>
      <c r="Y112" s="36">
        <f>COUNTIF(Tabla1[[#This Row],[VEHICULOS_ACCIDENTADOS]:[VEHICULOS_ACCIDENTADOS2]],"BUSETA")</f>
        <v>0</v>
      </c>
      <c r="Z112" s="36">
        <f>COUNTIF(Tabla1[[#This Row],[VEHICULOS_ACCIDENTADOS]:[VEHICULOS_ACCIDENTADOS2]],"CAMION")</f>
        <v>0</v>
      </c>
      <c r="AA112" s="36">
        <f>COUNTIF(Tabla1[[#This Row],[VEHICULOS_ACCIDENTADOS]:[VEHICULOS_ACCIDENTADOS2]],"TRACTOCAMION")</f>
        <v>0</v>
      </c>
      <c r="AB112" s="36">
        <f>COUNTIF(Tabla1[[#This Row],[VEHICULOS_ACCIDENTADOS]:[VEHICULOS_ACCIDENTADOS2]],"VOLQUETA")</f>
        <v>0</v>
      </c>
      <c r="AC112" s="36">
        <f>COUNTIF(Tabla1[[#This Row],[VEHICULOS_ACCIDENTADOS]:[VEHICULOS_ACCIDENTADOS2]],"BICICLETA")</f>
        <v>0</v>
      </c>
      <c r="AD112" s="136" t="s">
        <v>471</v>
      </c>
      <c r="AE112" s="136" t="s">
        <v>471</v>
      </c>
      <c r="AF112" s="136">
        <f>COUNTIF(Tabla1[[#This Row],[GENERO_MASCULINO]:[GENERO_FEMENINO]],"MASCULINO")</f>
        <v>2</v>
      </c>
      <c r="AG112" s="36">
        <f>COUNTIF(Tabla1[[#This Row],[GENERO_MASCULINO]:[GENERO_FEMENINO]],"FEMENINO")</f>
        <v>0</v>
      </c>
      <c r="AH112" s="85">
        <v>31</v>
      </c>
      <c r="AI112" s="85">
        <v>20</v>
      </c>
      <c r="AJ112" s="85"/>
      <c r="AK112" s="85"/>
      <c r="AL112" s="85"/>
      <c r="AM112" s="136">
        <v>31</v>
      </c>
      <c r="AN112" s="85">
        <v>112</v>
      </c>
      <c r="AO112" s="36" t="str">
        <f>IFERROR(((VLOOKUP(Tabla1[[#This Row],[HIPOTESIS_1]],listas!$D$1:$E$105,2,FALSE))),"SIN INFORMACIÓN")</f>
        <v>Desobedecer señales o normas de tránsito.</v>
      </c>
      <c r="AP112" s="136">
        <v>157</v>
      </c>
      <c r="AQ112" s="36" t="str">
        <f>IFERROR(((VLOOKUP(Tabla1[[#This Row],[HIPOTESIS_2]],listas!$D$1:$E$105,2,FALSE))),"")</f>
        <v>Otra</v>
      </c>
      <c r="AR112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13" spans="1:44" x14ac:dyDescent="0.25">
      <c r="A113" s="12">
        <v>884</v>
      </c>
      <c r="B113" s="135">
        <v>0</v>
      </c>
      <c r="C113" s="136">
        <v>1</v>
      </c>
      <c r="D113" s="136">
        <v>0</v>
      </c>
      <c r="E113" s="18" t="str">
        <f t="shared" si="4"/>
        <v>LESIONADO</v>
      </c>
      <c r="F113" s="26" t="s">
        <v>68</v>
      </c>
      <c r="G113" s="21">
        <v>5.3186439999999999</v>
      </c>
      <c r="H113" s="21">
        <v>-72.390163000000001</v>
      </c>
      <c r="I113" s="93" t="s">
        <v>697</v>
      </c>
      <c r="J113" s="167" t="s">
        <v>717</v>
      </c>
      <c r="K113" s="24" t="str">
        <f t="shared" si="5"/>
        <v>2025</v>
      </c>
      <c r="L113" s="24" t="str">
        <f t="shared" si="6"/>
        <v>FEBRERO</v>
      </c>
      <c r="M113" s="224">
        <v>45715</v>
      </c>
      <c r="N113" s="24" t="str">
        <f t="shared" si="7"/>
        <v>JUEVES</v>
      </c>
      <c r="O113" s="171">
        <v>0.85416666666666663</v>
      </c>
      <c r="P113" s="178" t="s">
        <v>469</v>
      </c>
      <c r="Q113" s="178"/>
      <c r="R113" s="36">
        <f>COUNTIF(Tabla1[[#This Row],[VEHICULOS_ACCIDENTADOS]:[VEHICULOS_ACCIDENTADOS2]],"MOTOCICLETA")</f>
        <v>1</v>
      </c>
      <c r="S113" s="36">
        <f>COUNTIF(Tabla1[[#This Row],[VEHICULOS_ACCIDENTADOS]:[VEHICULOS_ACCIDENTADOS2]],"MOTOCARRO")</f>
        <v>0</v>
      </c>
      <c r="T113" s="36">
        <f>COUNTIF(Tabla1[[#This Row],[VEHICULOS_ACCIDENTADOS]:[VEHICULOS_ACCIDENTADOS2]],"AUTOMOVIL")</f>
        <v>0</v>
      </c>
      <c r="U113" s="36">
        <f>COUNTIF(Tabla1[[#This Row],[VEHICULOS_ACCIDENTADOS]:[VEHICULOS_ACCIDENTADOS2]],"CAMPERO")</f>
        <v>0</v>
      </c>
      <c r="V113" s="36">
        <f>COUNTIF(Tabla1[[#This Row],[VEHICULOS_ACCIDENTADOS]:[VEHICULOS_ACCIDENTADOS2]],"CAMIONETA")</f>
        <v>0</v>
      </c>
      <c r="W113" s="36">
        <f>COUNTIF(Tabla1[[#This Row],[VEHICULOS_ACCIDENTADOS]:[VEHICULOS_ACCIDENTADOS2]],"MICROBUS")</f>
        <v>0</v>
      </c>
      <c r="X113" s="36">
        <f>COUNTIF(Tabla1[[#This Row],[VEHICULOS_ACCIDENTADOS]:[VEHICULOS_ACCIDENTADOS2]],"BUS")</f>
        <v>0</v>
      </c>
      <c r="Y113" s="36">
        <f>COUNTIF(Tabla1[[#This Row],[VEHICULOS_ACCIDENTADOS]:[VEHICULOS_ACCIDENTADOS2]],"BUSETA")</f>
        <v>0</v>
      </c>
      <c r="Z113" s="36">
        <f>COUNTIF(Tabla1[[#This Row],[VEHICULOS_ACCIDENTADOS]:[VEHICULOS_ACCIDENTADOS2]],"CAMION")</f>
        <v>0</v>
      </c>
      <c r="AA113" s="36">
        <f>COUNTIF(Tabla1[[#This Row],[VEHICULOS_ACCIDENTADOS]:[VEHICULOS_ACCIDENTADOS2]],"TRACTOCAMION")</f>
        <v>0</v>
      </c>
      <c r="AB113" s="36">
        <f>COUNTIF(Tabla1[[#This Row],[VEHICULOS_ACCIDENTADOS]:[VEHICULOS_ACCIDENTADOS2]],"VOLQUETA")</f>
        <v>0</v>
      </c>
      <c r="AC113" s="36">
        <f>COUNTIF(Tabla1[[#This Row],[VEHICULOS_ACCIDENTADOS]:[VEHICULOS_ACCIDENTADOS2]],"BICICLETA")</f>
        <v>0</v>
      </c>
      <c r="AD113" s="136" t="s">
        <v>471</v>
      </c>
      <c r="AE113" s="136"/>
      <c r="AF113" s="136">
        <f>COUNTIF(Tabla1[[#This Row],[GENERO_MASCULINO]:[GENERO_FEMENINO]],"MASCULINO")</f>
        <v>1</v>
      </c>
      <c r="AG113" s="36">
        <f>COUNTIF(Tabla1[[#This Row],[GENERO_MASCULINO]:[GENERO_FEMENINO]],"FEMENINO")</f>
        <v>0</v>
      </c>
      <c r="AH113" s="85">
        <v>33</v>
      </c>
      <c r="AI113" s="85"/>
      <c r="AJ113" s="85"/>
      <c r="AK113" s="85"/>
      <c r="AL113" s="85"/>
      <c r="AM113" s="136"/>
      <c r="AN113" s="85">
        <v>139</v>
      </c>
      <c r="AO113" s="36" t="str">
        <f>IFERROR(((VLOOKUP(Tabla1[[#This Row],[HIPOTESIS_1]],listas!$D$1:$E$105,2,FALSE))),"SIN INFORMACIÓN")</f>
        <v>Impericia en el manejo.</v>
      </c>
      <c r="AP113" s="136">
        <v>157</v>
      </c>
      <c r="AQ113" s="36" t="str">
        <f>IFERROR(((VLOOKUP(Tabla1[[#This Row],[HIPOTESIS_2]],listas!$D$1:$E$105,2,FALSE))),"")</f>
        <v>Otra</v>
      </c>
      <c r="AR113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14" spans="1:44" x14ac:dyDescent="0.25">
      <c r="A114" s="12">
        <v>373</v>
      </c>
      <c r="B114" s="36">
        <v>0</v>
      </c>
      <c r="C114" s="36">
        <v>1</v>
      </c>
      <c r="D114" s="36">
        <v>0</v>
      </c>
      <c r="E114" s="18" t="str">
        <f t="shared" si="4"/>
        <v>LESIONADO</v>
      </c>
      <c r="F114" s="29" t="s">
        <v>298</v>
      </c>
      <c r="G114" s="17">
        <v>5.1268849999999997</v>
      </c>
      <c r="H114" s="17">
        <v>-72.180439444444445</v>
      </c>
      <c r="I114" s="93" t="s">
        <v>697</v>
      </c>
      <c r="J114" s="36" t="s">
        <v>1</v>
      </c>
      <c r="K114" s="24" t="str">
        <f t="shared" si="5"/>
        <v>2022</v>
      </c>
      <c r="L114" s="24" t="str">
        <f t="shared" si="6"/>
        <v>DICIEMBRE</v>
      </c>
      <c r="M114" s="225">
        <v>44911</v>
      </c>
      <c r="N114" s="24" t="str">
        <f t="shared" si="7"/>
        <v>VIERNES</v>
      </c>
      <c r="O114" s="102">
        <v>0.61458333333333304</v>
      </c>
      <c r="P114" s="53" t="s">
        <v>442</v>
      </c>
      <c r="Q114" s="53" t="s">
        <v>439</v>
      </c>
      <c r="R114" s="36">
        <f>COUNTIF(Tabla1[[#This Row],[VEHICULOS_ACCIDENTADOS]:[VEHICULOS_ACCIDENTADOS2]],"MOTOCICLETA")</f>
        <v>0</v>
      </c>
      <c r="S114" s="36">
        <f>COUNTIF(Tabla1[[#This Row],[VEHICULOS_ACCIDENTADOS]:[VEHICULOS_ACCIDENTADOS2]],"MOTOCARRO")</f>
        <v>0</v>
      </c>
      <c r="T114" s="36">
        <f>COUNTIF(Tabla1[[#This Row],[VEHICULOS_ACCIDENTADOS]:[VEHICULOS_ACCIDENTADOS2]],"AUTOMOVIL")</f>
        <v>0</v>
      </c>
      <c r="U114" s="36">
        <f>COUNTIF(Tabla1[[#This Row],[VEHICULOS_ACCIDENTADOS]:[VEHICULOS_ACCIDENTADOS2]],"CAMPERO")</f>
        <v>0</v>
      </c>
      <c r="V114" s="36">
        <f>COUNTIF(Tabla1[[#This Row],[VEHICULOS_ACCIDENTADOS]:[VEHICULOS_ACCIDENTADOS2]],"CAMIONETA")</f>
        <v>0</v>
      </c>
      <c r="W114" s="36">
        <f>COUNTIF(Tabla1[[#This Row],[VEHICULOS_ACCIDENTADOS]:[VEHICULOS_ACCIDENTADOS2]],"MICROBUS")</f>
        <v>0</v>
      </c>
      <c r="X114" s="36">
        <f>COUNTIF(Tabla1[[#This Row],[VEHICULOS_ACCIDENTADOS]:[VEHICULOS_ACCIDENTADOS2]],"BUS")</f>
        <v>0</v>
      </c>
      <c r="Y114" s="36">
        <f>COUNTIF(Tabla1[[#This Row],[VEHICULOS_ACCIDENTADOS]:[VEHICULOS_ACCIDENTADOS2]],"BUSETA")</f>
        <v>1</v>
      </c>
      <c r="Z114" s="36">
        <f>COUNTIF(Tabla1[[#This Row],[VEHICULOS_ACCIDENTADOS]:[VEHICULOS_ACCIDENTADOS2]],"CAMION")</f>
        <v>0</v>
      </c>
      <c r="AA114" s="36">
        <f>COUNTIF(Tabla1[[#This Row],[VEHICULOS_ACCIDENTADOS]:[VEHICULOS_ACCIDENTADOS2]],"TRACTOCAMION")</f>
        <v>0</v>
      </c>
      <c r="AB114" s="36">
        <f>COUNTIF(Tabla1[[#This Row],[VEHICULOS_ACCIDENTADOS]:[VEHICULOS_ACCIDENTADOS2]],"VOLQUETA")</f>
        <v>1</v>
      </c>
      <c r="AC114" s="36">
        <f>COUNTIF(Tabla1[[#This Row],[VEHICULOS_ACCIDENTADOS]:[VEHICULOS_ACCIDENTADOS2]],"BICICLETA")</f>
        <v>0</v>
      </c>
      <c r="AD114" s="36" t="s">
        <v>471</v>
      </c>
      <c r="AE114" s="36"/>
      <c r="AF114" s="36">
        <f>COUNTIF(Tabla1[[#This Row],[GENERO_MASCULINO]:[GENERO_FEMENINO]],"MASCULINO")</f>
        <v>1</v>
      </c>
      <c r="AG114" s="36">
        <f>COUNTIF(Tabla1[[#This Row],[GENERO_MASCULINO]:[GENERO_FEMENINO]],"FEMENINO")</f>
        <v>0</v>
      </c>
      <c r="AH114" s="61">
        <v>35</v>
      </c>
      <c r="AI114" s="61"/>
      <c r="AJ114" s="78"/>
      <c r="AK114" s="61"/>
      <c r="AL114" s="61"/>
      <c r="AM114" s="36"/>
      <c r="AN114" s="61">
        <v>139</v>
      </c>
      <c r="AO114" s="36" t="str">
        <f>IFERROR(((VLOOKUP(Tabla1[[#This Row],[HIPOTESIS_1]],listas!$D$1:$E$105,2,FALSE))),"SIN INFORMACIÓN")</f>
        <v>Impericia en el manejo.</v>
      </c>
      <c r="AP114" s="36">
        <v>157</v>
      </c>
      <c r="AQ114" s="36" t="str">
        <f>IFERROR(((VLOOKUP(Tabla1[[#This Row],[HIPOTESIS_2]],listas!$D$1:$E$105,2,FALSE))),"")</f>
        <v>Otra</v>
      </c>
      <c r="AR114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15" spans="1:44" x14ac:dyDescent="0.25">
      <c r="A115" s="12">
        <v>318</v>
      </c>
      <c r="B115" s="36">
        <v>0</v>
      </c>
      <c r="C115" s="36">
        <v>1</v>
      </c>
      <c r="D115" s="36">
        <v>0</v>
      </c>
      <c r="E115" s="18" t="str">
        <f t="shared" si="4"/>
        <v>LESIONADO</v>
      </c>
      <c r="F115" s="154" t="s">
        <v>316</v>
      </c>
      <c r="G115" s="17">
        <v>5.3395169444444441</v>
      </c>
      <c r="H115" s="17">
        <v>-72.361400277777776</v>
      </c>
      <c r="I115" s="93" t="s">
        <v>697</v>
      </c>
      <c r="J115" s="36" t="s">
        <v>1</v>
      </c>
      <c r="K115" s="24" t="str">
        <f t="shared" si="5"/>
        <v>2022</v>
      </c>
      <c r="L115" s="24" t="str">
        <f t="shared" si="6"/>
        <v>SEPTIEMBRE</v>
      </c>
      <c r="M115" s="225">
        <v>44831</v>
      </c>
      <c r="N115" s="24" t="str">
        <f t="shared" si="7"/>
        <v>MARTES</v>
      </c>
      <c r="O115" s="102">
        <v>0.98611111111111105</v>
      </c>
      <c r="P115" s="53" t="s">
        <v>469</v>
      </c>
      <c r="Q115" s="53"/>
      <c r="R115" s="36">
        <f>COUNTIF(Tabla1[[#This Row],[VEHICULOS_ACCIDENTADOS]:[VEHICULOS_ACCIDENTADOS2]],"MOTOCICLETA")</f>
        <v>1</v>
      </c>
      <c r="S115" s="36">
        <f>COUNTIF(Tabla1[[#This Row],[VEHICULOS_ACCIDENTADOS]:[VEHICULOS_ACCIDENTADOS2]],"MOTOCARRO")</f>
        <v>0</v>
      </c>
      <c r="T115" s="36">
        <f>COUNTIF(Tabla1[[#This Row],[VEHICULOS_ACCIDENTADOS]:[VEHICULOS_ACCIDENTADOS2]],"AUTOMOVIL")</f>
        <v>0</v>
      </c>
      <c r="U115" s="36">
        <f>COUNTIF(Tabla1[[#This Row],[VEHICULOS_ACCIDENTADOS]:[VEHICULOS_ACCIDENTADOS2]],"CAMPERO")</f>
        <v>0</v>
      </c>
      <c r="V115" s="36">
        <f>COUNTIF(Tabla1[[#This Row],[VEHICULOS_ACCIDENTADOS]:[VEHICULOS_ACCIDENTADOS2]],"CAMIONETA")</f>
        <v>0</v>
      </c>
      <c r="W115" s="36">
        <f>COUNTIF(Tabla1[[#This Row],[VEHICULOS_ACCIDENTADOS]:[VEHICULOS_ACCIDENTADOS2]],"MICROBUS")</f>
        <v>0</v>
      </c>
      <c r="X115" s="36">
        <f>COUNTIF(Tabla1[[#This Row],[VEHICULOS_ACCIDENTADOS]:[VEHICULOS_ACCIDENTADOS2]],"BUS")</f>
        <v>0</v>
      </c>
      <c r="Y115" s="36">
        <f>COUNTIF(Tabla1[[#This Row],[VEHICULOS_ACCIDENTADOS]:[VEHICULOS_ACCIDENTADOS2]],"BUSETA")</f>
        <v>0</v>
      </c>
      <c r="Z115" s="36">
        <f>COUNTIF(Tabla1[[#This Row],[VEHICULOS_ACCIDENTADOS]:[VEHICULOS_ACCIDENTADOS2]],"CAMION")</f>
        <v>0</v>
      </c>
      <c r="AA115" s="36">
        <f>COUNTIF(Tabla1[[#This Row],[VEHICULOS_ACCIDENTADOS]:[VEHICULOS_ACCIDENTADOS2]],"TRACTOCAMION")</f>
        <v>0</v>
      </c>
      <c r="AB115" s="36">
        <f>COUNTIF(Tabla1[[#This Row],[VEHICULOS_ACCIDENTADOS]:[VEHICULOS_ACCIDENTADOS2]],"VOLQUETA")</f>
        <v>0</v>
      </c>
      <c r="AC115" s="36">
        <f>COUNTIF(Tabla1[[#This Row],[VEHICULOS_ACCIDENTADOS]:[VEHICULOS_ACCIDENTADOS2]],"BICICLETA")</f>
        <v>0</v>
      </c>
      <c r="AD115" s="36"/>
      <c r="AE115" s="36" t="s">
        <v>472</v>
      </c>
      <c r="AF115" s="36">
        <f>COUNTIF(Tabla1[[#This Row],[GENERO_MASCULINO]:[GENERO_FEMENINO]],"MASCULINO")</f>
        <v>0</v>
      </c>
      <c r="AG115" s="36">
        <f>COUNTIF(Tabla1[[#This Row],[GENERO_MASCULINO]:[GENERO_FEMENINO]],"FEMENINO")</f>
        <v>1</v>
      </c>
      <c r="AH115" s="61">
        <v>21</v>
      </c>
      <c r="AI115" s="61"/>
      <c r="AJ115" s="78"/>
      <c r="AK115" s="61"/>
      <c r="AL115" s="61"/>
      <c r="AM115" s="36"/>
      <c r="AN115" s="61">
        <v>139</v>
      </c>
      <c r="AO115" s="36" t="str">
        <f>IFERROR(((VLOOKUP(Tabla1[[#This Row],[HIPOTESIS_1]],listas!$D$1:$E$105,2,FALSE))),"SIN INFORMACIÓN")</f>
        <v>Impericia en el manejo.</v>
      </c>
      <c r="AP115" s="36">
        <v>157</v>
      </c>
      <c r="AQ115" s="36" t="str">
        <f>IFERROR(((VLOOKUP(Tabla1[[#This Row],[HIPOTESIS_2]],listas!$D$1:$E$105,2,FALSE))),"")</f>
        <v>Otra</v>
      </c>
      <c r="AR115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16" spans="1:44" x14ac:dyDescent="0.25">
      <c r="A116" s="12">
        <v>835</v>
      </c>
      <c r="B116" s="136">
        <v>0</v>
      </c>
      <c r="C116" s="136">
        <v>0</v>
      </c>
      <c r="D116" s="141">
        <v>1</v>
      </c>
      <c r="E116" s="18" t="str">
        <f t="shared" si="4"/>
        <v>FALLECIDO</v>
      </c>
      <c r="F116" s="26" t="s">
        <v>343</v>
      </c>
      <c r="G116" s="21">
        <v>5.3383841666666667</v>
      </c>
      <c r="H116" s="21">
        <v>-72.356564166666658</v>
      </c>
      <c r="I116" s="93" t="s">
        <v>697</v>
      </c>
      <c r="J116" s="36" t="s">
        <v>1</v>
      </c>
      <c r="K116" s="24" t="str">
        <f t="shared" si="5"/>
        <v>2024</v>
      </c>
      <c r="L116" s="24" t="str">
        <f t="shared" si="6"/>
        <v>DICIEMBRE</v>
      </c>
      <c r="M116" s="224">
        <v>45641</v>
      </c>
      <c r="N116" s="24" t="str">
        <f t="shared" si="7"/>
        <v>DOMINGO</v>
      </c>
      <c r="O116" s="171">
        <v>0.76736111111111116</v>
      </c>
      <c r="P116" s="178" t="s">
        <v>469</v>
      </c>
      <c r="Q116" s="178" t="s">
        <v>441</v>
      </c>
      <c r="R116" s="36">
        <f>COUNTIF(Tabla1[[#This Row],[VEHICULOS_ACCIDENTADOS]:[VEHICULOS_ACCIDENTADOS2]],"MOTOCICLETA")</f>
        <v>1</v>
      </c>
      <c r="S116" s="36">
        <f>COUNTIF(Tabla1[[#This Row],[VEHICULOS_ACCIDENTADOS]:[VEHICULOS_ACCIDENTADOS2]],"MOTOCARRO")</f>
        <v>0</v>
      </c>
      <c r="T116" s="36">
        <f>COUNTIF(Tabla1[[#This Row],[VEHICULOS_ACCIDENTADOS]:[VEHICULOS_ACCIDENTADOS2]],"AUTOMOVIL")</f>
        <v>0</v>
      </c>
      <c r="U116" s="36">
        <f>COUNTIF(Tabla1[[#This Row],[VEHICULOS_ACCIDENTADOS]:[VEHICULOS_ACCIDENTADOS2]],"CAMPERO")</f>
        <v>0</v>
      </c>
      <c r="V116" s="36">
        <f>COUNTIF(Tabla1[[#This Row],[VEHICULOS_ACCIDENTADOS]:[VEHICULOS_ACCIDENTADOS2]],"CAMIONETA")</f>
        <v>0</v>
      </c>
      <c r="W116" s="36">
        <f>COUNTIF(Tabla1[[#This Row],[VEHICULOS_ACCIDENTADOS]:[VEHICULOS_ACCIDENTADOS2]],"MICROBUS")</f>
        <v>0</v>
      </c>
      <c r="X116" s="36">
        <f>COUNTIF(Tabla1[[#This Row],[VEHICULOS_ACCIDENTADOS]:[VEHICULOS_ACCIDENTADOS2]],"BUS")</f>
        <v>0</v>
      </c>
      <c r="Y116" s="36">
        <f>COUNTIF(Tabla1[[#This Row],[VEHICULOS_ACCIDENTADOS]:[VEHICULOS_ACCIDENTADOS2]],"BUSETA")</f>
        <v>0</v>
      </c>
      <c r="Z116" s="36">
        <f>COUNTIF(Tabla1[[#This Row],[VEHICULOS_ACCIDENTADOS]:[VEHICULOS_ACCIDENTADOS2]],"CAMION")</f>
        <v>1</v>
      </c>
      <c r="AA116" s="36">
        <f>COUNTIF(Tabla1[[#This Row],[VEHICULOS_ACCIDENTADOS]:[VEHICULOS_ACCIDENTADOS2]],"TRACTOCAMION")</f>
        <v>0</v>
      </c>
      <c r="AB116" s="36">
        <f>COUNTIF(Tabla1[[#This Row],[VEHICULOS_ACCIDENTADOS]:[VEHICULOS_ACCIDENTADOS2]],"VOLQUETA")</f>
        <v>0</v>
      </c>
      <c r="AC116" s="36">
        <f>COUNTIF(Tabla1[[#This Row],[VEHICULOS_ACCIDENTADOS]:[VEHICULOS_ACCIDENTADOS2]],"BICICLETA")</f>
        <v>0</v>
      </c>
      <c r="AD116" s="136" t="s">
        <v>471</v>
      </c>
      <c r="AE116" s="136"/>
      <c r="AF116" s="136">
        <f>COUNTIF(Tabla1[[#This Row],[GENERO_MASCULINO]:[GENERO_FEMENINO]],"MASCULINO")</f>
        <v>1</v>
      </c>
      <c r="AG116" s="36">
        <f>COUNTIF(Tabla1[[#This Row],[GENERO_MASCULINO]:[GENERO_FEMENINO]],"FEMENINO")</f>
        <v>0</v>
      </c>
      <c r="AH116" s="85"/>
      <c r="AI116" s="85">
        <v>52</v>
      </c>
      <c r="AJ116" s="85"/>
      <c r="AK116" s="85"/>
      <c r="AL116" s="85"/>
      <c r="AM116" s="136">
        <v>63</v>
      </c>
      <c r="AN116" s="85">
        <v>114</v>
      </c>
      <c r="AO116" s="36" t="str">
        <f>IFERROR(((VLOOKUP(Tabla1[[#This Row],[HIPOTESIS_1]],listas!$D$1:$E$105,2,FALSE))),"SIN INFORMACIÓN")</f>
        <v>Embriaguez aparente.</v>
      </c>
      <c r="AP116" s="136">
        <v>157</v>
      </c>
      <c r="AQ116" s="36" t="str">
        <f>IFERROR(((VLOOKUP(Tabla1[[#This Row],[HIPOTESIS_2]],listas!$D$1:$E$105,2,FALSE))),"")</f>
        <v>Otra</v>
      </c>
      <c r="AR116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17" spans="1:44" ht="15" x14ac:dyDescent="0.25">
      <c r="A117" s="12">
        <v>86</v>
      </c>
      <c r="B117" s="36">
        <v>1</v>
      </c>
      <c r="C117" s="36">
        <v>0</v>
      </c>
      <c r="D117" s="36">
        <v>0</v>
      </c>
      <c r="E117" s="18" t="str">
        <f t="shared" si="4"/>
        <v>SOLO DAÑO</v>
      </c>
      <c r="F117" s="153" t="s">
        <v>408</v>
      </c>
      <c r="G117" s="17">
        <v>5.2147269999999999</v>
      </c>
      <c r="H117" s="17">
        <v>-72.511959000000004</v>
      </c>
      <c r="I117" s="93" t="s">
        <v>697</v>
      </c>
      <c r="J117" s="36" t="s">
        <v>1</v>
      </c>
      <c r="K117" s="24" t="str">
        <f t="shared" si="5"/>
        <v>2022</v>
      </c>
      <c r="L117" s="24" t="str">
        <f t="shared" si="6"/>
        <v>MARZO</v>
      </c>
      <c r="M117" s="225">
        <v>44635</v>
      </c>
      <c r="N117" s="24" t="str">
        <f t="shared" si="7"/>
        <v>MARTES</v>
      </c>
      <c r="O117" s="101">
        <v>0.69791666666666696</v>
      </c>
      <c r="P117" s="63" t="s">
        <v>445</v>
      </c>
      <c r="Q117" s="63" t="s">
        <v>441</v>
      </c>
      <c r="R117" s="36">
        <f>COUNTIF(Tabla1[[#This Row],[VEHICULOS_ACCIDENTADOS]:[VEHICULOS_ACCIDENTADOS2]],"MOTOCICLETA")</f>
        <v>0</v>
      </c>
      <c r="S117" s="36">
        <f>COUNTIF(Tabla1[[#This Row],[VEHICULOS_ACCIDENTADOS]:[VEHICULOS_ACCIDENTADOS2]],"MOTOCARRO")</f>
        <v>0</v>
      </c>
      <c r="T117" s="36">
        <f>COUNTIF(Tabla1[[#This Row],[VEHICULOS_ACCIDENTADOS]:[VEHICULOS_ACCIDENTADOS2]],"AUTOMOVIL")</f>
        <v>0</v>
      </c>
      <c r="U117" s="36">
        <f>COUNTIF(Tabla1[[#This Row],[VEHICULOS_ACCIDENTADOS]:[VEHICULOS_ACCIDENTADOS2]],"CAMPERO")</f>
        <v>0</v>
      </c>
      <c r="V117" s="36">
        <f>COUNTIF(Tabla1[[#This Row],[VEHICULOS_ACCIDENTADOS]:[VEHICULOS_ACCIDENTADOS2]],"CAMIONETA")</f>
        <v>1</v>
      </c>
      <c r="W117" s="36">
        <f>COUNTIF(Tabla1[[#This Row],[VEHICULOS_ACCIDENTADOS]:[VEHICULOS_ACCIDENTADOS2]],"MICROBUS")</f>
        <v>0</v>
      </c>
      <c r="X117" s="36">
        <f>COUNTIF(Tabla1[[#This Row],[VEHICULOS_ACCIDENTADOS]:[VEHICULOS_ACCIDENTADOS2]],"BUS")</f>
        <v>0</v>
      </c>
      <c r="Y117" s="36">
        <f>COUNTIF(Tabla1[[#This Row],[VEHICULOS_ACCIDENTADOS]:[VEHICULOS_ACCIDENTADOS2]],"BUSETA")</f>
        <v>0</v>
      </c>
      <c r="Z117" s="36">
        <f>COUNTIF(Tabla1[[#This Row],[VEHICULOS_ACCIDENTADOS]:[VEHICULOS_ACCIDENTADOS2]],"CAMION")</f>
        <v>1</v>
      </c>
      <c r="AA117" s="36">
        <f>COUNTIF(Tabla1[[#This Row],[VEHICULOS_ACCIDENTADOS]:[VEHICULOS_ACCIDENTADOS2]],"TRACTOCAMION")</f>
        <v>0</v>
      </c>
      <c r="AB117" s="36">
        <f>COUNTIF(Tabla1[[#This Row],[VEHICULOS_ACCIDENTADOS]:[VEHICULOS_ACCIDENTADOS2]],"VOLQUETA")</f>
        <v>0</v>
      </c>
      <c r="AC117" s="36">
        <f>COUNTIF(Tabla1[[#This Row],[VEHICULOS_ACCIDENTADOS]:[VEHICULOS_ACCIDENTADOS2]],"BICICLETA")</f>
        <v>0</v>
      </c>
      <c r="AD117" s="36" t="s">
        <v>471</v>
      </c>
      <c r="AE117" s="36"/>
      <c r="AF117" s="36">
        <f>COUNTIF(Tabla1[[#This Row],[GENERO_MASCULINO]:[GENERO_FEMENINO]],"MASCULINO")</f>
        <v>1</v>
      </c>
      <c r="AG117" s="36">
        <f>COUNTIF(Tabla1[[#This Row],[GENERO_MASCULINO]:[GENERO_FEMENINO]],"FEMENINO")</f>
        <v>0</v>
      </c>
      <c r="AH117" s="61"/>
      <c r="AI117" s="61"/>
      <c r="AJ117" s="61"/>
      <c r="AK117" s="61"/>
      <c r="AL117" s="61"/>
      <c r="AM117" s="36"/>
      <c r="AN117" s="61">
        <v>103</v>
      </c>
      <c r="AO117" s="36" t="str">
        <f>IFERROR(((VLOOKUP(Tabla1[[#This Row],[HIPOTESIS_1]],listas!$D$1:$E$105,2,FALSE))),"SIN INFORMACIÓN")</f>
        <v>Adelantar cerrando.</v>
      </c>
      <c r="AP117" s="36">
        <v>157</v>
      </c>
      <c r="AQ117" s="36" t="str">
        <f>IFERROR(((VLOOKUP(Tabla1[[#This Row],[HIPOTESIS_2]],listas!$D$1:$E$105,2,FALSE))),"")</f>
        <v>Otra</v>
      </c>
      <c r="AR117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18" spans="1:44" x14ac:dyDescent="0.25">
      <c r="A118" s="12">
        <v>615</v>
      </c>
      <c r="B118" s="36">
        <v>0</v>
      </c>
      <c r="C118" s="36">
        <v>1</v>
      </c>
      <c r="D118" s="36">
        <v>0</v>
      </c>
      <c r="E118" s="18" t="str">
        <f t="shared" si="4"/>
        <v>LESIONADO</v>
      </c>
      <c r="F118" s="29" t="s">
        <v>782</v>
      </c>
      <c r="G118" s="21">
        <v>5.3550763888888886</v>
      </c>
      <c r="H118" s="21">
        <v>-72.271244999999993</v>
      </c>
      <c r="I118" s="93" t="s">
        <v>697</v>
      </c>
      <c r="J118" s="36" t="s">
        <v>717</v>
      </c>
      <c r="K118" s="24" t="str">
        <f t="shared" si="5"/>
        <v>2023</v>
      </c>
      <c r="L118" s="24" t="str">
        <f t="shared" si="6"/>
        <v>NOVIEMBRE</v>
      </c>
      <c r="M118" s="225">
        <v>45249</v>
      </c>
      <c r="N118" s="24" t="str">
        <f t="shared" si="7"/>
        <v>DOMINGO</v>
      </c>
      <c r="O118" s="101">
        <v>0.76388888888888884</v>
      </c>
      <c r="P118" s="57" t="s">
        <v>447</v>
      </c>
      <c r="Q118" s="57" t="s">
        <v>445</v>
      </c>
      <c r="R118" s="36">
        <f>COUNTIF(Tabla1[[#This Row],[VEHICULOS_ACCIDENTADOS]:[VEHICULOS_ACCIDENTADOS2]],"MOTOCICLETA")</f>
        <v>0</v>
      </c>
      <c r="S118" s="36">
        <f>COUNTIF(Tabla1[[#This Row],[VEHICULOS_ACCIDENTADOS]:[VEHICULOS_ACCIDENTADOS2]],"MOTOCARRO")</f>
        <v>0</v>
      </c>
      <c r="T118" s="36">
        <f>COUNTIF(Tabla1[[#This Row],[VEHICULOS_ACCIDENTADOS]:[VEHICULOS_ACCIDENTADOS2]],"AUTOMOVIL")</f>
        <v>1</v>
      </c>
      <c r="U118" s="36">
        <f>COUNTIF(Tabla1[[#This Row],[VEHICULOS_ACCIDENTADOS]:[VEHICULOS_ACCIDENTADOS2]],"CAMPERO")</f>
        <v>0</v>
      </c>
      <c r="V118" s="36">
        <f>COUNTIF(Tabla1[[#This Row],[VEHICULOS_ACCIDENTADOS]:[VEHICULOS_ACCIDENTADOS2]],"CAMIONETA")</f>
        <v>1</v>
      </c>
      <c r="W118" s="36">
        <f>COUNTIF(Tabla1[[#This Row],[VEHICULOS_ACCIDENTADOS]:[VEHICULOS_ACCIDENTADOS2]],"MICROBUS")</f>
        <v>0</v>
      </c>
      <c r="X118" s="36">
        <f>COUNTIF(Tabla1[[#This Row],[VEHICULOS_ACCIDENTADOS]:[VEHICULOS_ACCIDENTADOS2]],"BUS")</f>
        <v>0</v>
      </c>
      <c r="Y118" s="36">
        <f>COUNTIF(Tabla1[[#This Row],[VEHICULOS_ACCIDENTADOS]:[VEHICULOS_ACCIDENTADOS2]],"BUSETA")</f>
        <v>0</v>
      </c>
      <c r="Z118" s="36">
        <f>COUNTIF(Tabla1[[#This Row],[VEHICULOS_ACCIDENTADOS]:[VEHICULOS_ACCIDENTADOS2]],"CAMION")</f>
        <v>0</v>
      </c>
      <c r="AA118" s="36">
        <f>COUNTIF(Tabla1[[#This Row],[VEHICULOS_ACCIDENTADOS]:[VEHICULOS_ACCIDENTADOS2]],"TRACTOCAMION")</f>
        <v>0</v>
      </c>
      <c r="AB118" s="36">
        <f>COUNTIF(Tabla1[[#This Row],[VEHICULOS_ACCIDENTADOS]:[VEHICULOS_ACCIDENTADOS2]],"VOLQUETA")</f>
        <v>0</v>
      </c>
      <c r="AC118" s="36">
        <f>COUNTIF(Tabla1[[#This Row],[VEHICULOS_ACCIDENTADOS]:[VEHICULOS_ACCIDENTADOS2]],"BICICLETA")</f>
        <v>0</v>
      </c>
      <c r="AD118" s="36" t="s">
        <v>471</v>
      </c>
      <c r="AE118" s="36"/>
      <c r="AF118" s="36">
        <f>COUNTIF(Tabla1[[#This Row],[GENERO_MASCULINO]:[GENERO_FEMENINO]],"MASCULINO")</f>
        <v>1</v>
      </c>
      <c r="AG118" s="36">
        <f>COUNTIF(Tabla1[[#This Row],[GENERO_MASCULINO]:[GENERO_FEMENINO]],"FEMENINO")</f>
        <v>0</v>
      </c>
      <c r="AH118" s="61"/>
      <c r="AI118" s="61"/>
      <c r="AJ118" s="61"/>
      <c r="AK118" s="61"/>
      <c r="AL118" s="61">
        <v>32</v>
      </c>
      <c r="AM118" s="36"/>
      <c r="AN118" s="61">
        <v>157</v>
      </c>
      <c r="AO118" s="36" t="str">
        <f>IFERROR(((VLOOKUP(Tabla1[[#This Row],[HIPOTESIS_1]],listas!$D$1:$E$105,2,FALSE))),"SIN INFORMACIÓN")</f>
        <v>Otra</v>
      </c>
      <c r="AP118" s="36">
        <v>157</v>
      </c>
      <c r="AQ118" s="36" t="str">
        <f>IFERROR(((VLOOKUP(Tabla1[[#This Row],[HIPOTESIS_2]],listas!$D$1:$E$105,2,FALSE))),"")</f>
        <v>Otra</v>
      </c>
      <c r="AR118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19" spans="1:44" x14ac:dyDescent="0.25">
      <c r="A119" s="12">
        <v>748</v>
      </c>
      <c r="B119" s="135">
        <v>0</v>
      </c>
      <c r="C119" s="36">
        <v>1</v>
      </c>
      <c r="D119" s="36">
        <v>0</v>
      </c>
      <c r="E119" s="18" t="str">
        <f t="shared" si="4"/>
        <v>LESIONADO</v>
      </c>
      <c r="F119" s="29" t="s">
        <v>765</v>
      </c>
      <c r="G119" s="21">
        <v>5.3369972222222222</v>
      </c>
      <c r="H119" s="21">
        <v>-72.347780555555545</v>
      </c>
      <c r="I119" s="93" t="s">
        <v>697</v>
      </c>
      <c r="J119" s="136" t="s">
        <v>1</v>
      </c>
      <c r="K119" s="24" t="str">
        <f t="shared" si="5"/>
        <v>2024</v>
      </c>
      <c r="L119" s="24" t="str">
        <f t="shared" si="6"/>
        <v>JULIO</v>
      </c>
      <c r="M119" s="225">
        <v>45493</v>
      </c>
      <c r="N119" s="24" t="str">
        <f t="shared" si="7"/>
        <v>SÁBADO</v>
      </c>
      <c r="O119" s="101">
        <v>0.6</v>
      </c>
      <c r="P119" s="57" t="s">
        <v>469</v>
      </c>
      <c r="Q119" s="57" t="s">
        <v>444</v>
      </c>
      <c r="R119" s="36">
        <f>COUNTIF(Tabla1[[#This Row],[VEHICULOS_ACCIDENTADOS]:[VEHICULOS_ACCIDENTADOS2]],"MOTOCICLETA")</f>
        <v>1</v>
      </c>
      <c r="S119" s="36">
        <f>COUNTIF(Tabla1[[#This Row],[VEHICULOS_ACCIDENTADOS]:[VEHICULOS_ACCIDENTADOS2]],"MOTOCARRO")</f>
        <v>0</v>
      </c>
      <c r="T119" s="36">
        <f>COUNTIF(Tabla1[[#This Row],[VEHICULOS_ACCIDENTADOS]:[VEHICULOS_ACCIDENTADOS2]],"AUTOMOVIL")</f>
        <v>0</v>
      </c>
      <c r="U119" s="36">
        <f>COUNTIF(Tabla1[[#This Row],[VEHICULOS_ACCIDENTADOS]:[VEHICULOS_ACCIDENTADOS2]],"CAMPERO")</f>
        <v>0</v>
      </c>
      <c r="V119" s="36">
        <f>COUNTIF(Tabla1[[#This Row],[VEHICULOS_ACCIDENTADOS]:[VEHICULOS_ACCIDENTADOS2]],"CAMIONETA")</f>
        <v>0</v>
      </c>
      <c r="W119" s="36">
        <f>COUNTIF(Tabla1[[#This Row],[VEHICULOS_ACCIDENTADOS]:[VEHICULOS_ACCIDENTADOS2]],"MICROBUS")</f>
        <v>1</v>
      </c>
      <c r="X119" s="36">
        <f>COUNTIF(Tabla1[[#This Row],[VEHICULOS_ACCIDENTADOS]:[VEHICULOS_ACCIDENTADOS2]],"BUS")</f>
        <v>0</v>
      </c>
      <c r="Y119" s="36">
        <f>COUNTIF(Tabla1[[#This Row],[VEHICULOS_ACCIDENTADOS]:[VEHICULOS_ACCIDENTADOS2]],"BUSETA")</f>
        <v>0</v>
      </c>
      <c r="Z119" s="36">
        <f>COUNTIF(Tabla1[[#This Row],[VEHICULOS_ACCIDENTADOS]:[VEHICULOS_ACCIDENTADOS2]],"CAMION")</f>
        <v>0</v>
      </c>
      <c r="AA119" s="36">
        <f>COUNTIF(Tabla1[[#This Row],[VEHICULOS_ACCIDENTADOS]:[VEHICULOS_ACCIDENTADOS2]],"TRACTOCAMION")</f>
        <v>0</v>
      </c>
      <c r="AB119" s="36">
        <f>COUNTIF(Tabla1[[#This Row],[VEHICULOS_ACCIDENTADOS]:[VEHICULOS_ACCIDENTADOS2]],"VOLQUETA")</f>
        <v>0</v>
      </c>
      <c r="AC119" s="36">
        <f>COUNTIF(Tabla1[[#This Row],[VEHICULOS_ACCIDENTADOS]:[VEHICULOS_ACCIDENTADOS2]],"BICICLETA")</f>
        <v>0</v>
      </c>
      <c r="AD119" s="36" t="s">
        <v>471</v>
      </c>
      <c r="AE119" s="36"/>
      <c r="AF119" s="36">
        <f>COUNTIF(Tabla1[[#This Row],[GENERO_MASCULINO]:[GENERO_FEMENINO]],"MASCULINO")</f>
        <v>1</v>
      </c>
      <c r="AG119" s="36">
        <f>COUNTIF(Tabla1[[#This Row],[GENERO_MASCULINO]:[GENERO_FEMENINO]],"FEMENINO")</f>
        <v>0</v>
      </c>
      <c r="AH119" s="61">
        <v>22</v>
      </c>
      <c r="AI119" s="61">
        <v>43</v>
      </c>
      <c r="AJ119" s="61"/>
      <c r="AK119" s="61"/>
      <c r="AL119" s="61"/>
      <c r="AM119" s="36"/>
      <c r="AN119" s="61">
        <v>139</v>
      </c>
      <c r="AO119" s="36" t="str">
        <f>IFERROR(((VLOOKUP(Tabla1[[#This Row],[HIPOTESIS_1]],listas!$D$1:$E$105,2,FALSE))),"SIN INFORMACIÓN")</f>
        <v>Impericia en el manejo.</v>
      </c>
      <c r="AP119" s="36">
        <v>157</v>
      </c>
      <c r="AQ119" s="36" t="str">
        <f>IFERROR(((VLOOKUP(Tabla1[[#This Row],[HIPOTESIS_2]],listas!$D$1:$E$105,2,FALSE))),"")</f>
        <v>Otra</v>
      </c>
      <c r="AR119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20" spans="1:44" ht="15" x14ac:dyDescent="0.25">
      <c r="A120" s="12">
        <v>72</v>
      </c>
      <c r="B120" s="36">
        <v>0</v>
      </c>
      <c r="C120" s="36">
        <v>3</v>
      </c>
      <c r="D120" s="36">
        <v>0</v>
      </c>
      <c r="E120" s="18" t="str">
        <f t="shared" si="4"/>
        <v>LESIONADO</v>
      </c>
      <c r="F120" s="153" t="s">
        <v>415</v>
      </c>
      <c r="G120" s="17">
        <v>5.3966666666666674</v>
      </c>
      <c r="H120" s="17">
        <v>-72.430297222222222</v>
      </c>
      <c r="I120" s="93" t="s">
        <v>697</v>
      </c>
      <c r="J120" s="36" t="s">
        <v>1</v>
      </c>
      <c r="K120" s="24" t="str">
        <f t="shared" si="5"/>
        <v>2022</v>
      </c>
      <c r="L120" s="24" t="str">
        <f t="shared" si="6"/>
        <v>MARZO</v>
      </c>
      <c r="M120" s="225">
        <v>44624</v>
      </c>
      <c r="N120" s="24" t="str">
        <f t="shared" si="7"/>
        <v>VIERNES</v>
      </c>
      <c r="O120" s="101">
        <v>0.81527777777777799</v>
      </c>
      <c r="P120" s="63" t="s">
        <v>469</v>
      </c>
      <c r="Q120" s="63" t="s">
        <v>469</v>
      </c>
      <c r="R120" s="36">
        <f>COUNTIF(Tabla1[[#This Row],[VEHICULOS_ACCIDENTADOS]:[VEHICULOS_ACCIDENTADOS2]],"MOTOCICLETA")</f>
        <v>2</v>
      </c>
      <c r="S120" s="36">
        <f>COUNTIF(Tabla1[[#This Row],[VEHICULOS_ACCIDENTADOS]:[VEHICULOS_ACCIDENTADOS2]],"MOTOCARRO")</f>
        <v>0</v>
      </c>
      <c r="T120" s="36">
        <f>COUNTIF(Tabla1[[#This Row],[VEHICULOS_ACCIDENTADOS]:[VEHICULOS_ACCIDENTADOS2]],"AUTOMOVIL")</f>
        <v>0</v>
      </c>
      <c r="U120" s="36">
        <f>COUNTIF(Tabla1[[#This Row],[VEHICULOS_ACCIDENTADOS]:[VEHICULOS_ACCIDENTADOS2]],"CAMPERO")</f>
        <v>0</v>
      </c>
      <c r="V120" s="36">
        <f>COUNTIF(Tabla1[[#This Row],[VEHICULOS_ACCIDENTADOS]:[VEHICULOS_ACCIDENTADOS2]],"CAMIONETA")</f>
        <v>0</v>
      </c>
      <c r="W120" s="36">
        <f>COUNTIF(Tabla1[[#This Row],[VEHICULOS_ACCIDENTADOS]:[VEHICULOS_ACCIDENTADOS2]],"MICROBUS")</f>
        <v>0</v>
      </c>
      <c r="X120" s="36">
        <f>COUNTIF(Tabla1[[#This Row],[VEHICULOS_ACCIDENTADOS]:[VEHICULOS_ACCIDENTADOS2]],"BUS")</f>
        <v>0</v>
      </c>
      <c r="Y120" s="36">
        <f>COUNTIF(Tabla1[[#This Row],[VEHICULOS_ACCIDENTADOS]:[VEHICULOS_ACCIDENTADOS2]],"BUSETA")</f>
        <v>0</v>
      </c>
      <c r="Z120" s="36">
        <f>COUNTIF(Tabla1[[#This Row],[VEHICULOS_ACCIDENTADOS]:[VEHICULOS_ACCIDENTADOS2]],"CAMION")</f>
        <v>0</v>
      </c>
      <c r="AA120" s="36">
        <f>COUNTIF(Tabla1[[#This Row],[VEHICULOS_ACCIDENTADOS]:[VEHICULOS_ACCIDENTADOS2]],"TRACTOCAMION")</f>
        <v>0</v>
      </c>
      <c r="AB120" s="36">
        <f>COUNTIF(Tabla1[[#This Row],[VEHICULOS_ACCIDENTADOS]:[VEHICULOS_ACCIDENTADOS2]],"VOLQUETA")</f>
        <v>0</v>
      </c>
      <c r="AC120" s="36">
        <f>COUNTIF(Tabla1[[#This Row],[VEHICULOS_ACCIDENTADOS]:[VEHICULOS_ACCIDENTADOS2]],"BICICLETA")</f>
        <v>0</v>
      </c>
      <c r="AD120" s="36" t="s">
        <v>471</v>
      </c>
      <c r="AE120" s="36" t="s">
        <v>472</v>
      </c>
      <c r="AF120" s="36">
        <f>COUNTIF(Tabla1[[#This Row],[GENERO_MASCULINO]:[GENERO_FEMENINO]],"MASCULINO")</f>
        <v>1</v>
      </c>
      <c r="AG120" s="36">
        <f>COUNTIF(Tabla1[[#This Row],[GENERO_MASCULINO]:[GENERO_FEMENINO]],"FEMENINO")</f>
        <v>1</v>
      </c>
      <c r="AH120" s="61">
        <v>57</v>
      </c>
      <c r="AI120" s="61">
        <v>40</v>
      </c>
      <c r="AJ120" s="61"/>
      <c r="AK120" s="61"/>
      <c r="AL120" s="61">
        <v>49</v>
      </c>
      <c r="AM120" s="36"/>
      <c r="AN120" s="61">
        <v>139</v>
      </c>
      <c r="AO120" s="36" t="str">
        <f>IFERROR(((VLOOKUP(Tabla1[[#This Row],[HIPOTESIS_1]],listas!$D$1:$E$105,2,FALSE))),"SIN INFORMACIÓN")</f>
        <v>Impericia en el manejo.</v>
      </c>
      <c r="AP120" s="36">
        <v>157</v>
      </c>
      <c r="AQ120" s="36" t="str">
        <f>IFERROR(((VLOOKUP(Tabla1[[#This Row],[HIPOTESIS_2]],listas!$D$1:$E$105,2,FALSE))),"")</f>
        <v>Otra</v>
      </c>
      <c r="AR120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21" spans="1:44" x14ac:dyDescent="0.25">
      <c r="A121" s="12">
        <v>742</v>
      </c>
      <c r="B121" s="135">
        <v>0</v>
      </c>
      <c r="C121" s="36">
        <v>3</v>
      </c>
      <c r="D121" s="36">
        <v>0</v>
      </c>
      <c r="E121" s="18" t="str">
        <f t="shared" si="4"/>
        <v>LESIONADO</v>
      </c>
      <c r="F121" s="29" t="s">
        <v>759</v>
      </c>
      <c r="G121" s="21">
        <v>5.0987047222222222</v>
      </c>
      <c r="H121" s="21">
        <v>-72.1818913888889</v>
      </c>
      <c r="I121" s="93" t="s">
        <v>697</v>
      </c>
      <c r="J121" s="136" t="s">
        <v>1</v>
      </c>
      <c r="K121" s="24" t="str">
        <f t="shared" si="5"/>
        <v>2024</v>
      </c>
      <c r="L121" s="24" t="str">
        <f t="shared" si="6"/>
        <v>JULIO</v>
      </c>
      <c r="M121" s="225">
        <v>45480</v>
      </c>
      <c r="N121" s="24" t="str">
        <f t="shared" si="7"/>
        <v>DOMINGO</v>
      </c>
      <c r="O121" s="101">
        <v>0.6875</v>
      </c>
      <c r="P121" s="57" t="s">
        <v>469</v>
      </c>
      <c r="Q121" s="57" t="s">
        <v>469</v>
      </c>
      <c r="R121" s="36">
        <f>COUNTIF(Tabla1[[#This Row],[VEHICULOS_ACCIDENTADOS]:[VEHICULOS_ACCIDENTADOS2]],"MOTOCICLETA")</f>
        <v>2</v>
      </c>
      <c r="S121" s="36">
        <f>COUNTIF(Tabla1[[#This Row],[VEHICULOS_ACCIDENTADOS]:[VEHICULOS_ACCIDENTADOS2]],"MOTOCARRO")</f>
        <v>0</v>
      </c>
      <c r="T121" s="36">
        <f>COUNTIF(Tabla1[[#This Row],[VEHICULOS_ACCIDENTADOS]:[VEHICULOS_ACCIDENTADOS2]],"AUTOMOVIL")</f>
        <v>0</v>
      </c>
      <c r="U121" s="36">
        <f>COUNTIF(Tabla1[[#This Row],[VEHICULOS_ACCIDENTADOS]:[VEHICULOS_ACCIDENTADOS2]],"CAMPERO")</f>
        <v>0</v>
      </c>
      <c r="V121" s="36">
        <f>COUNTIF(Tabla1[[#This Row],[VEHICULOS_ACCIDENTADOS]:[VEHICULOS_ACCIDENTADOS2]],"CAMIONETA")</f>
        <v>0</v>
      </c>
      <c r="W121" s="36">
        <f>COUNTIF(Tabla1[[#This Row],[VEHICULOS_ACCIDENTADOS]:[VEHICULOS_ACCIDENTADOS2]],"MICROBUS")</f>
        <v>0</v>
      </c>
      <c r="X121" s="36">
        <f>COUNTIF(Tabla1[[#This Row],[VEHICULOS_ACCIDENTADOS]:[VEHICULOS_ACCIDENTADOS2]],"BUS")</f>
        <v>0</v>
      </c>
      <c r="Y121" s="36">
        <f>COUNTIF(Tabla1[[#This Row],[VEHICULOS_ACCIDENTADOS]:[VEHICULOS_ACCIDENTADOS2]],"BUSETA")</f>
        <v>0</v>
      </c>
      <c r="Z121" s="36">
        <f>COUNTIF(Tabla1[[#This Row],[VEHICULOS_ACCIDENTADOS]:[VEHICULOS_ACCIDENTADOS2]],"CAMION")</f>
        <v>0</v>
      </c>
      <c r="AA121" s="36">
        <f>COUNTIF(Tabla1[[#This Row],[VEHICULOS_ACCIDENTADOS]:[VEHICULOS_ACCIDENTADOS2]],"TRACTOCAMION")</f>
        <v>0</v>
      </c>
      <c r="AB121" s="36">
        <f>COUNTIF(Tabla1[[#This Row],[VEHICULOS_ACCIDENTADOS]:[VEHICULOS_ACCIDENTADOS2]],"VOLQUETA")</f>
        <v>0</v>
      </c>
      <c r="AC121" s="36">
        <f>COUNTIF(Tabla1[[#This Row],[VEHICULOS_ACCIDENTADOS]:[VEHICULOS_ACCIDENTADOS2]],"BICICLETA")</f>
        <v>0</v>
      </c>
      <c r="AD121" s="36" t="s">
        <v>471</v>
      </c>
      <c r="AE121" s="36" t="s">
        <v>472</v>
      </c>
      <c r="AF121" s="36">
        <f>COUNTIF(Tabla1[[#This Row],[GENERO_MASCULINO]:[GENERO_FEMENINO]],"MASCULINO")</f>
        <v>1</v>
      </c>
      <c r="AG121" s="36">
        <f>COUNTIF(Tabla1[[#This Row],[GENERO_MASCULINO]:[GENERO_FEMENINO]],"FEMENINO")</f>
        <v>1</v>
      </c>
      <c r="AH121" s="61">
        <v>22</v>
      </c>
      <c r="AI121" s="61">
        <v>24</v>
      </c>
      <c r="AJ121" s="61">
        <v>22</v>
      </c>
      <c r="AK121" s="61"/>
      <c r="AL121" s="61"/>
      <c r="AM121" s="36"/>
      <c r="AN121" s="61">
        <v>115</v>
      </c>
      <c r="AO121" s="36" t="str">
        <f>IFERROR(((VLOOKUP(Tabla1[[#This Row],[HIPOTESIS_1]],listas!$D$1:$E$105,2,FALSE))),"SIN INFORMACIÓN")</f>
        <v>Embriaguez o Sustancias alucinogenas</v>
      </c>
      <c r="AP121" s="36">
        <v>157</v>
      </c>
      <c r="AQ121" s="36" t="str">
        <f>IFERROR(((VLOOKUP(Tabla1[[#This Row],[HIPOTESIS_2]],listas!$D$1:$E$105,2,FALSE))),"")</f>
        <v>Otra</v>
      </c>
      <c r="AR121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22" spans="1:44" x14ac:dyDescent="0.25">
      <c r="A122" s="12">
        <v>770</v>
      </c>
      <c r="B122" s="136">
        <v>0</v>
      </c>
      <c r="C122" s="136">
        <v>0</v>
      </c>
      <c r="D122" s="141">
        <v>1</v>
      </c>
      <c r="E122" s="18" t="str">
        <f t="shared" si="4"/>
        <v>FALLECIDO</v>
      </c>
      <c r="F122" s="26" t="s">
        <v>774</v>
      </c>
      <c r="G122" s="21">
        <v>5.4287729999999996</v>
      </c>
      <c r="H122" s="21">
        <v>-72.449529999999996</v>
      </c>
      <c r="I122" s="93" t="s">
        <v>697</v>
      </c>
      <c r="J122" s="136" t="s">
        <v>1</v>
      </c>
      <c r="K122" s="24" t="str">
        <f t="shared" si="5"/>
        <v>2024</v>
      </c>
      <c r="L122" s="24" t="str">
        <f t="shared" si="6"/>
        <v>AGOSTO</v>
      </c>
      <c r="M122" s="224">
        <v>45530</v>
      </c>
      <c r="N122" s="24" t="str">
        <f t="shared" si="7"/>
        <v>LUNES</v>
      </c>
      <c r="O122" s="171">
        <v>0.61805555555555558</v>
      </c>
      <c r="P122" s="178" t="s">
        <v>469</v>
      </c>
      <c r="Q122" s="178"/>
      <c r="R122" s="36">
        <f>COUNTIF(Tabla1[[#This Row],[VEHICULOS_ACCIDENTADOS]:[VEHICULOS_ACCIDENTADOS2]],"MOTOCICLETA")</f>
        <v>1</v>
      </c>
      <c r="S122" s="36">
        <f>COUNTIF(Tabla1[[#This Row],[VEHICULOS_ACCIDENTADOS]:[VEHICULOS_ACCIDENTADOS2]],"MOTOCARRO")</f>
        <v>0</v>
      </c>
      <c r="T122" s="36">
        <f>COUNTIF(Tabla1[[#This Row],[VEHICULOS_ACCIDENTADOS]:[VEHICULOS_ACCIDENTADOS2]],"AUTOMOVIL")</f>
        <v>0</v>
      </c>
      <c r="U122" s="36">
        <f>COUNTIF(Tabla1[[#This Row],[VEHICULOS_ACCIDENTADOS]:[VEHICULOS_ACCIDENTADOS2]],"CAMPERO")</f>
        <v>0</v>
      </c>
      <c r="V122" s="36">
        <f>COUNTIF(Tabla1[[#This Row],[VEHICULOS_ACCIDENTADOS]:[VEHICULOS_ACCIDENTADOS2]],"CAMIONETA")</f>
        <v>0</v>
      </c>
      <c r="W122" s="36">
        <f>COUNTIF(Tabla1[[#This Row],[VEHICULOS_ACCIDENTADOS]:[VEHICULOS_ACCIDENTADOS2]],"MICROBUS")</f>
        <v>0</v>
      </c>
      <c r="X122" s="36">
        <f>COUNTIF(Tabla1[[#This Row],[VEHICULOS_ACCIDENTADOS]:[VEHICULOS_ACCIDENTADOS2]],"BUS")</f>
        <v>0</v>
      </c>
      <c r="Y122" s="36">
        <f>COUNTIF(Tabla1[[#This Row],[VEHICULOS_ACCIDENTADOS]:[VEHICULOS_ACCIDENTADOS2]],"BUSETA")</f>
        <v>0</v>
      </c>
      <c r="Z122" s="36">
        <f>COUNTIF(Tabla1[[#This Row],[VEHICULOS_ACCIDENTADOS]:[VEHICULOS_ACCIDENTADOS2]],"CAMION")</f>
        <v>0</v>
      </c>
      <c r="AA122" s="36">
        <f>COUNTIF(Tabla1[[#This Row],[VEHICULOS_ACCIDENTADOS]:[VEHICULOS_ACCIDENTADOS2]],"TRACTOCAMION")</f>
        <v>0</v>
      </c>
      <c r="AB122" s="36">
        <f>COUNTIF(Tabla1[[#This Row],[VEHICULOS_ACCIDENTADOS]:[VEHICULOS_ACCIDENTADOS2]],"VOLQUETA")</f>
        <v>0</v>
      </c>
      <c r="AC122" s="36">
        <f>COUNTIF(Tabla1[[#This Row],[VEHICULOS_ACCIDENTADOS]:[VEHICULOS_ACCIDENTADOS2]],"BICICLETA")</f>
        <v>0</v>
      </c>
      <c r="AD122" s="136" t="s">
        <v>471</v>
      </c>
      <c r="AE122" s="136"/>
      <c r="AF122" s="136">
        <f>COUNTIF(Tabla1[[#This Row],[GENERO_MASCULINO]:[GENERO_FEMENINO]],"MASCULINO")</f>
        <v>1</v>
      </c>
      <c r="AG122" s="36">
        <f>COUNTIF(Tabla1[[#This Row],[GENERO_MASCULINO]:[GENERO_FEMENINO]],"FEMENINO")</f>
        <v>0</v>
      </c>
      <c r="AH122" s="85"/>
      <c r="AI122" s="85"/>
      <c r="AJ122" s="85"/>
      <c r="AK122" s="85"/>
      <c r="AL122" s="85"/>
      <c r="AM122" s="136">
        <v>26</v>
      </c>
      <c r="AN122" s="85">
        <v>139</v>
      </c>
      <c r="AO122" s="36" t="str">
        <f>IFERROR(((VLOOKUP(Tabla1[[#This Row],[HIPOTESIS_1]],listas!$D$1:$E$105,2,FALSE))),"SIN INFORMACIÓN")</f>
        <v>Impericia en el manejo.</v>
      </c>
      <c r="AP122" s="136">
        <v>157</v>
      </c>
      <c r="AQ122" s="36" t="str">
        <f>IFERROR(((VLOOKUP(Tabla1[[#This Row],[HIPOTESIS_2]],listas!$D$1:$E$105,2,FALSE))),"")</f>
        <v>Otra</v>
      </c>
      <c r="AR122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23" spans="1:44" x14ac:dyDescent="0.25">
      <c r="A123" s="12">
        <v>692</v>
      </c>
      <c r="B123" s="135">
        <v>0</v>
      </c>
      <c r="C123" s="136">
        <v>2</v>
      </c>
      <c r="D123" s="136">
        <v>0</v>
      </c>
      <c r="E123" s="18" t="str">
        <f t="shared" si="4"/>
        <v>LESIONADO</v>
      </c>
      <c r="F123" s="26" t="s">
        <v>747</v>
      </c>
      <c r="G123" s="21">
        <v>5.354622222222222</v>
      </c>
      <c r="H123" s="21">
        <v>-72.340006388888881</v>
      </c>
      <c r="I123" s="93" t="s">
        <v>697</v>
      </c>
      <c r="J123" s="136" t="s">
        <v>717</v>
      </c>
      <c r="K123" s="24" t="str">
        <f t="shared" si="5"/>
        <v>2024</v>
      </c>
      <c r="L123" s="24" t="str">
        <f t="shared" si="6"/>
        <v>ABRIL</v>
      </c>
      <c r="M123" s="224">
        <v>45396</v>
      </c>
      <c r="N123" s="24" t="str">
        <f t="shared" si="7"/>
        <v>DOMINGO</v>
      </c>
      <c r="O123" s="171">
        <v>0.35416666666666669</v>
      </c>
      <c r="P123" s="178" t="s">
        <v>469</v>
      </c>
      <c r="Q123" s="178" t="s">
        <v>445</v>
      </c>
      <c r="R123" s="36">
        <f>COUNTIF(Tabla1[[#This Row],[VEHICULOS_ACCIDENTADOS]:[VEHICULOS_ACCIDENTADOS2]],"MOTOCICLETA")</f>
        <v>1</v>
      </c>
      <c r="S123" s="36">
        <f>COUNTIF(Tabla1[[#This Row],[VEHICULOS_ACCIDENTADOS]:[VEHICULOS_ACCIDENTADOS2]],"MOTOCARRO")</f>
        <v>0</v>
      </c>
      <c r="T123" s="36">
        <f>COUNTIF(Tabla1[[#This Row],[VEHICULOS_ACCIDENTADOS]:[VEHICULOS_ACCIDENTADOS2]],"AUTOMOVIL")</f>
        <v>0</v>
      </c>
      <c r="U123" s="36">
        <f>COUNTIF(Tabla1[[#This Row],[VEHICULOS_ACCIDENTADOS]:[VEHICULOS_ACCIDENTADOS2]],"CAMPERO")</f>
        <v>0</v>
      </c>
      <c r="V123" s="36">
        <f>COUNTIF(Tabla1[[#This Row],[VEHICULOS_ACCIDENTADOS]:[VEHICULOS_ACCIDENTADOS2]],"CAMIONETA")</f>
        <v>1</v>
      </c>
      <c r="W123" s="36">
        <f>COUNTIF(Tabla1[[#This Row],[VEHICULOS_ACCIDENTADOS]:[VEHICULOS_ACCIDENTADOS2]],"MICROBUS")</f>
        <v>0</v>
      </c>
      <c r="X123" s="36">
        <f>COUNTIF(Tabla1[[#This Row],[VEHICULOS_ACCIDENTADOS]:[VEHICULOS_ACCIDENTADOS2]],"BUS")</f>
        <v>0</v>
      </c>
      <c r="Y123" s="36">
        <f>COUNTIF(Tabla1[[#This Row],[VEHICULOS_ACCIDENTADOS]:[VEHICULOS_ACCIDENTADOS2]],"BUSETA")</f>
        <v>0</v>
      </c>
      <c r="Z123" s="36">
        <f>COUNTIF(Tabla1[[#This Row],[VEHICULOS_ACCIDENTADOS]:[VEHICULOS_ACCIDENTADOS2]],"CAMION")</f>
        <v>0</v>
      </c>
      <c r="AA123" s="36">
        <f>COUNTIF(Tabla1[[#This Row],[VEHICULOS_ACCIDENTADOS]:[VEHICULOS_ACCIDENTADOS2]],"TRACTOCAMION")</f>
        <v>0</v>
      </c>
      <c r="AB123" s="36">
        <f>COUNTIF(Tabla1[[#This Row],[VEHICULOS_ACCIDENTADOS]:[VEHICULOS_ACCIDENTADOS2]],"VOLQUETA")</f>
        <v>0</v>
      </c>
      <c r="AC123" s="36">
        <f>COUNTIF(Tabla1[[#This Row],[VEHICULOS_ACCIDENTADOS]:[VEHICULOS_ACCIDENTADOS2]],"BICICLETA")</f>
        <v>0</v>
      </c>
      <c r="AD123" s="136" t="s">
        <v>471</v>
      </c>
      <c r="AE123" s="136"/>
      <c r="AF123" s="136">
        <f>COUNTIF(Tabla1[[#This Row],[GENERO_MASCULINO]:[GENERO_FEMENINO]],"MASCULINO")</f>
        <v>1</v>
      </c>
      <c r="AG123" s="36">
        <f>COUNTIF(Tabla1[[#This Row],[GENERO_MASCULINO]:[GENERO_FEMENINO]],"FEMENINO")</f>
        <v>0</v>
      </c>
      <c r="AH123" s="85">
        <v>29</v>
      </c>
      <c r="AI123" s="85">
        <v>26</v>
      </c>
      <c r="AJ123" s="85">
        <v>25</v>
      </c>
      <c r="AK123" s="85"/>
      <c r="AL123" s="85"/>
      <c r="AM123" s="136"/>
      <c r="AN123" s="85">
        <v>112</v>
      </c>
      <c r="AO123" s="36" t="str">
        <f>IFERROR(((VLOOKUP(Tabla1[[#This Row],[HIPOTESIS_1]],listas!$D$1:$E$105,2,FALSE))),"SIN INFORMACIÓN")</f>
        <v>Desobedecer señales o normas de tránsito.</v>
      </c>
      <c r="AP123" s="136">
        <v>157</v>
      </c>
      <c r="AQ123" s="36" t="str">
        <f>IFERROR(((VLOOKUP(Tabla1[[#This Row],[HIPOTESIS_2]],listas!$D$1:$E$105,2,FALSE))),"")</f>
        <v>Otra</v>
      </c>
      <c r="AR123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24" spans="1:44" ht="15" x14ac:dyDescent="0.25">
      <c r="A124" s="12">
        <v>92</v>
      </c>
      <c r="B124" s="36">
        <v>0</v>
      </c>
      <c r="C124" s="36">
        <v>0</v>
      </c>
      <c r="D124" s="36">
        <v>1</v>
      </c>
      <c r="E124" s="18" t="str">
        <f t="shared" si="4"/>
        <v>FALLECIDO</v>
      </c>
      <c r="F124" s="153" t="s">
        <v>404</v>
      </c>
      <c r="G124" s="17">
        <v>5.3322522222222224</v>
      </c>
      <c r="H124" s="17">
        <v>-72.302777777777777</v>
      </c>
      <c r="I124" s="93" t="s">
        <v>697</v>
      </c>
      <c r="J124" s="36" t="s">
        <v>1</v>
      </c>
      <c r="K124" s="24" t="str">
        <f t="shared" si="5"/>
        <v>2022</v>
      </c>
      <c r="L124" s="24" t="str">
        <f t="shared" si="6"/>
        <v>MARZO</v>
      </c>
      <c r="M124" s="225">
        <v>44639</v>
      </c>
      <c r="N124" s="24" t="str">
        <f t="shared" si="7"/>
        <v>SÁBADO</v>
      </c>
      <c r="O124" s="101">
        <v>0.81944444444444497</v>
      </c>
      <c r="P124" s="63" t="s">
        <v>447</v>
      </c>
      <c r="Q124" s="63"/>
      <c r="R124" s="36">
        <f>COUNTIF(Tabla1[[#This Row],[VEHICULOS_ACCIDENTADOS]:[VEHICULOS_ACCIDENTADOS2]],"MOTOCICLETA")</f>
        <v>0</v>
      </c>
      <c r="S124" s="36">
        <f>COUNTIF(Tabla1[[#This Row],[VEHICULOS_ACCIDENTADOS]:[VEHICULOS_ACCIDENTADOS2]],"MOTOCARRO")</f>
        <v>0</v>
      </c>
      <c r="T124" s="36">
        <f>COUNTIF(Tabla1[[#This Row],[VEHICULOS_ACCIDENTADOS]:[VEHICULOS_ACCIDENTADOS2]],"AUTOMOVIL")</f>
        <v>1</v>
      </c>
      <c r="U124" s="36">
        <f>COUNTIF(Tabla1[[#This Row],[VEHICULOS_ACCIDENTADOS]:[VEHICULOS_ACCIDENTADOS2]],"CAMPERO")</f>
        <v>0</v>
      </c>
      <c r="V124" s="36">
        <f>COUNTIF(Tabla1[[#This Row],[VEHICULOS_ACCIDENTADOS]:[VEHICULOS_ACCIDENTADOS2]],"CAMIONETA")</f>
        <v>0</v>
      </c>
      <c r="W124" s="36">
        <f>COUNTIF(Tabla1[[#This Row],[VEHICULOS_ACCIDENTADOS]:[VEHICULOS_ACCIDENTADOS2]],"MICROBUS")</f>
        <v>0</v>
      </c>
      <c r="X124" s="36">
        <f>COUNTIF(Tabla1[[#This Row],[VEHICULOS_ACCIDENTADOS]:[VEHICULOS_ACCIDENTADOS2]],"BUS")</f>
        <v>0</v>
      </c>
      <c r="Y124" s="36">
        <f>COUNTIF(Tabla1[[#This Row],[VEHICULOS_ACCIDENTADOS]:[VEHICULOS_ACCIDENTADOS2]],"BUSETA")</f>
        <v>0</v>
      </c>
      <c r="Z124" s="36">
        <f>COUNTIF(Tabla1[[#This Row],[VEHICULOS_ACCIDENTADOS]:[VEHICULOS_ACCIDENTADOS2]],"CAMION")</f>
        <v>0</v>
      </c>
      <c r="AA124" s="36">
        <f>COUNTIF(Tabla1[[#This Row],[VEHICULOS_ACCIDENTADOS]:[VEHICULOS_ACCIDENTADOS2]],"TRACTOCAMION")</f>
        <v>0</v>
      </c>
      <c r="AB124" s="36">
        <f>COUNTIF(Tabla1[[#This Row],[VEHICULOS_ACCIDENTADOS]:[VEHICULOS_ACCIDENTADOS2]],"VOLQUETA")</f>
        <v>0</v>
      </c>
      <c r="AC124" s="36">
        <f>COUNTIF(Tabla1[[#This Row],[VEHICULOS_ACCIDENTADOS]:[VEHICULOS_ACCIDENTADOS2]],"BICICLETA")</f>
        <v>0</v>
      </c>
      <c r="AD124" s="36" t="s">
        <v>471</v>
      </c>
      <c r="AE124" s="36"/>
      <c r="AF124" s="36">
        <f>COUNTIF(Tabla1[[#This Row],[GENERO_MASCULINO]:[GENERO_FEMENINO]],"MASCULINO")</f>
        <v>1</v>
      </c>
      <c r="AG124" s="36">
        <f>COUNTIF(Tabla1[[#This Row],[GENERO_MASCULINO]:[GENERO_FEMENINO]],"FEMENINO")</f>
        <v>0</v>
      </c>
      <c r="AH124" s="61"/>
      <c r="AI124" s="61"/>
      <c r="AJ124" s="61"/>
      <c r="AK124" s="61"/>
      <c r="AL124" s="61"/>
      <c r="AM124" s="36">
        <v>45</v>
      </c>
      <c r="AN124" s="61">
        <v>404</v>
      </c>
      <c r="AO124" s="36" t="str">
        <f>IFERROR(((VLOOKUP(Tabla1[[#This Row],[HIPOTESIS_1]],listas!$D$1:$E$105,2,FALSE))),"SIN INFORMACIÓN")</f>
        <v>Transitar por la calzada.</v>
      </c>
      <c r="AP124" s="36">
        <v>157</v>
      </c>
      <c r="AQ124" s="36" t="str">
        <f>IFERROR(((VLOOKUP(Tabla1[[#This Row],[HIPOTESIS_2]],listas!$D$1:$E$105,2,FALSE))),"")</f>
        <v>Otra</v>
      </c>
      <c r="AR124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25" spans="1:44" x14ac:dyDescent="0.25">
      <c r="A125" s="12">
        <v>608</v>
      </c>
      <c r="B125" s="36">
        <v>0</v>
      </c>
      <c r="C125" s="36">
        <v>2</v>
      </c>
      <c r="D125" s="36">
        <v>0</v>
      </c>
      <c r="E125" s="18" t="str">
        <f t="shared" si="4"/>
        <v>LESIONADO</v>
      </c>
      <c r="F125" s="29" t="s">
        <v>770</v>
      </c>
      <c r="G125" s="21">
        <v>5.2641272222222222</v>
      </c>
      <c r="H125" s="21">
        <v>-72.399416111111123</v>
      </c>
      <c r="I125" s="93" t="s">
        <v>697</v>
      </c>
      <c r="J125" s="36" t="s">
        <v>1</v>
      </c>
      <c r="K125" s="24" t="str">
        <f t="shared" si="5"/>
        <v>2023</v>
      </c>
      <c r="L125" s="24" t="str">
        <f t="shared" si="6"/>
        <v>NOVIEMBRE</v>
      </c>
      <c r="M125" s="225">
        <v>45244</v>
      </c>
      <c r="N125" s="24" t="str">
        <f t="shared" si="7"/>
        <v>MARTES</v>
      </c>
      <c r="O125" s="101">
        <v>0.79166666666666663</v>
      </c>
      <c r="P125" s="57" t="s">
        <v>469</v>
      </c>
      <c r="Q125" s="57" t="s">
        <v>469</v>
      </c>
      <c r="R125" s="36">
        <f>COUNTIF(Tabla1[[#This Row],[VEHICULOS_ACCIDENTADOS]:[VEHICULOS_ACCIDENTADOS2]],"MOTOCICLETA")</f>
        <v>2</v>
      </c>
      <c r="S125" s="36">
        <f>COUNTIF(Tabla1[[#This Row],[VEHICULOS_ACCIDENTADOS]:[VEHICULOS_ACCIDENTADOS2]],"MOTOCARRO")</f>
        <v>0</v>
      </c>
      <c r="T125" s="36">
        <f>COUNTIF(Tabla1[[#This Row],[VEHICULOS_ACCIDENTADOS]:[VEHICULOS_ACCIDENTADOS2]],"AUTOMOVIL")</f>
        <v>0</v>
      </c>
      <c r="U125" s="36">
        <f>COUNTIF(Tabla1[[#This Row],[VEHICULOS_ACCIDENTADOS]:[VEHICULOS_ACCIDENTADOS2]],"CAMPERO")</f>
        <v>0</v>
      </c>
      <c r="V125" s="36">
        <f>COUNTIF(Tabla1[[#This Row],[VEHICULOS_ACCIDENTADOS]:[VEHICULOS_ACCIDENTADOS2]],"CAMIONETA")</f>
        <v>0</v>
      </c>
      <c r="W125" s="36">
        <f>COUNTIF(Tabla1[[#This Row],[VEHICULOS_ACCIDENTADOS]:[VEHICULOS_ACCIDENTADOS2]],"MICROBUS")</f>
        <v>0</v>
      </c>
      <c r="X125" s="36">
        <f>COUNTIF(Tabla1[[#This Row],[VEHICULOS_ACCIDENTADOS]:[VEHICULOS_ACCIDENTADOS2]],"BUS")</f>
        <v>0</v>
      </c>
      <c r="Y125" s="36">
        <f>COUNTIF(Tabla1[[#This Row],[VEHICULOS_ACCIDENTADOS]:[VEHICULOS_ACCIDENTADOS2]],"BUSETA")</f>
        <v>0</v>
      </c>
      <c r="Z125" s="36">
        <f>COUNTIF(Tabla1[[#This Row],[VEHICULOS_ACCIDENTADOS]:[VEHICULOS_ACCIDENTADOS2]],"CAMION")</f>
        <v>0</v>
      </c>
      <c r="AA125" s="36">
        <f>COUNTIF(Tabla1[[#This Row],[VEHICULOS_ACCIDENTADOS]:[VEHICULOS_ACCIDENTADOS2]],"TRACTOCAMION")</f>
        <v>0</v>
      </c>
      <c r="AB125" s="36">
        <f>COUNTIF(Tabla1[[#This Row],[VEHICULOS_ACCIDENTADOS]:[VEHICULOS_ACCIDENTADOS2]],"VOLQUETA")</f>
        <v>0</v>
      </c>
      <c r="AC125" s="36">
        <f>COUNTIF(Tabla1[[#This Row],[VEHICULOS_ACCIDENTADOS]:[VEHICULOS_ACCIDENTADOS2]],"BICICLETA")</f>
        <v>0</v>
      </c>
      <c r="AD125" s="36" t="s">
        <v>471</v>
      </c>
      <c r="AE125" s="36"/>
      <c r="AF125" s="36">
        <f>COUNTIF(Tabla1[[#This Row],[GENERO_MASCULINO]:[GENERO_FEMENINO]],"MASCULINO")</f>
        <v>1</v>
      </c>
      <c r="AG125" s="36">
        <f>COUNTIF(Tabla1[[#This Row],[GENERO_MASCULINO]:[GENERO_FEMENINO]],"FEMENINO")</f>
        <v>0</v>
      </c>
      <c r="AH125" s="61">
        <v>22</v>
      </c>
      <c r="AI125" s="61">
        <v>17</v>
      </c>
      <c r="AJ125" s="61"/>
      <c r="AK125" s="61"/>
      <c r="AL125" s="61"/>
      <c r="AM125" s="36"/>
      <c r="AN125" s="61">
        <v>139</v>
      </c>
      <c r="AO125" s="36" t="str">
        <f>IFERROR(((VLOOKUP(Tabla1[[#This Row],[HIPOTESIS_1]],listas!$D$1:$E$105,2,FALSE))),"SIN INFORMACIÓN")</f>
        <v>Impericia en el manejo.</v>
      </c>
      <c r="AP125" s="36">
        <v>157</v>
      </c>
      <c r="AQ125" s="36" t="str">
        <f>IFERROR(((VLOOKUP(Tabla1[[#This Row],[HIPOTESIS_2]],listas!$D$1:$E$105,2,FALSE))),"")</f>
        <v>Otra</v>
      </c>
      <c r="AR125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26" spans="1:44" x14ac:dyDescent="0.25">
      <c r="A126" s="12">
        <v>410</v>
      </c>
      <c r="B126" s="36">
        <v>0</v>
      </c>
      <c r="C126" s="36">
        <v>2</v>
      </c>
      <c r="D126" s="36">
        <v>0</v>
      </c>
      <c r="E126" s="18" t="str">
        <f t="shared" si="4"/>
        <v>LESIONADO</v>
      </c>
      <c r="F126" s="29" t="s">
        <v>1032</v>
      </c>
      <c r="G126" s="21">
        <v>5.3267538888888888</v>
      </c>
      <c r="H126" s="21">
        <v>-72.411795555555557</v>
      </c>
      <c r="I126" s="93" t="s">
        <v>697</v>
      </c>
      <c r="J126" s="36" t="s">
        <v>717</v>
      </c>
      <c r="K126" s="24" t="str">
        <f t="shared" si="5"/>
        <v>2023</v>
      </c>
      <c r="L126" s="24" t="str">
        <f t="shared" si="6"/>
        <v>FEBRERO</v>
      </c>
      <c r="M126" s="225">
        <v>44974</v>
      </c>
      <c r="N126" s="24" t="str">
        <f t="shared" si="7"/>
        <v>VIERNES</v>
      </c>
      <c r="O126" s="101">
        <v>0.420833333333333</v>
      </c>
      <c r="P126" s="57" t="s">
        <v>447</v>
      </c>
      <c r="Q126" s="57" t="s">
        <v>446</v>
      </c>
      <c r="R126" s="36">
        <f>COUNTIF(Tabla1[[#This Row],[VEHICULOS_ACCIDENTADOS]:[VEHICULOS_ACCIDENTADOS2]],"MOTOCICLETA")</f>
        <v>0</v>
      </c>
      <c r="S126" s="36">
        <f>COUNTIF(Tabla1[[#This Row],[VEHICULOS_ACCIDENTADOS]:[VEHICULOS_ACCIDENTADOS2]],"MOTOCARRO")</f>
        <v>0</v>
      </c>
      <c r="T126" s="36">
        <f>COUNTIF(Tabla1[[#This Row],[VEHICULOS_ACCIDENTADOS]:[VEHICULOS_ACCIDENTADOS2]],"AUTOMOVIL")</f>
        <v>1</v>
      </c>
      <c r="U126" s="36">
        <f>COUNTIF(Tabla1[[#This Row],[VEHICULOS_ACCIDENTADOS]:[VEHICULOS_ACCIDENTADOS2]],"CAMPERO")</f>
        <v>1</v>
      </c>
      <c r="V126" s="36">
        <f>COUNTIF(Tabla1[[#This Row],[VEHICULOS_ACCIDENTADOS]:[VEHICULOS_ACCIDENTADOS2]],"CAMIONETA")</f>
        <v>0</v>
      </c>
      <c r="W126" s="36">
        <f>COUNTIF(Tabla1[[#This Row],[VEHICULOS_ACCIDENTADOS]:[VEHICULOS_ACCIDENTADOS2]],"MICROBUS")</f>
        <v>0</v>
      </c>
      <c r="X126" s="36">
        <f>COUNTIF(Tabla1[[#This Row],[VEHICULOS_ACCIDENTADOS]:[VEHICULOS_ACCIDENTADOS2]],"BUS")</f>
        <v>0</v>
      </c>
      <c r="Y126" s="36">
        <f>COUNTIF(Tabla1[[#This Row],[VEHICULOS_ACCIDENTADOS]:[VEHICULOS_ACCIDENTADOS2]],"BUSETA")</f>
        <v>0</v>
      </c>
      <c r="Z126" s="36">
        <f>COUNTIF(Tabla1[[#This Row],[VEHICULOS_ACCIDENTADOS]:[VEHICULOS_ACCIDENTADOS2]],"CAMION")</f>
        <v>0</v>
      </c>
      <c r="AA126" s="36">
        <f>COUNTIF(Tabla1[[#This Row],[VEHICULOS_ACCIDENTADOS]:[VEHICULOS_ACCIDENTADOS2]],"TRACTOCAMION")</f>
        <v>0</v>
      </c>
      <c r="AB126" s="36">
        <f>COUNTIF(Tabla1[[#This Row],[VEHICULOS_ACCIDENTADOS]:[VEHICULOS_ACCIDENTADOS2]],"VOLQUETA")</f>
        <v>0</v>
      </c>
      <c r="AC126" s="36">
        <f>COUNTIF(Tabla1[[#This Row],[VEHICULOS_ACCIDENTADOS]:[VEHICULOS_ACCIDENTADOS2]],"BICICLETA")</f>
        <v>0</v>
      </c>
      <c r="AD126" s="36" t="s">
        <v>471</v>
      </c>
      <c r="AE126" s="36"/>
      <c r="AF126" s="36">
        <f>COUNTIF(Tabla1[[#This Row],[GENERO_MASCULINO]:[GENERO_FEMENINO]],"MASCULINO")</f>
        <v>1</v>
      </c>
      <c r="AG126" s="36">
        <f>COUNTIF(Tabla1[[#This Row],[GENERO_MASCULINO]:[GENERO_FEMENINO]],"FEMENINO")</f>
        <v>0</v>
      </c>
      <c r="AH126" s="61">
        <v>39</v>
      </c>
      <c r="AI126" s="61"/>
      <c r="AJ126" s="61"/>
      <c r="AK126" s="61"/>
      <c r="AL126" s="61"/>
      <c r="AM126" s="36"/>
      <c r="AN126" s="61">
        <v>157</v>
      </c>
      <c r="AO126" s="36" t="str">
        <f>IFERROR(((VLOOKUP(Tabla1[[#This Row],[HIPOTESIS_1]],listas!$D$1:$E$105,2,FALSE))),"SIN INFORMACIÓN")</f>
        <v>Otra</v>
      </c>
      <c r="AP126" s="36">
        <v>157</v>
      </c>
      <c r="AQ126" s="36" t="str">
        <f>IFERROR(((VLOOKUP(Tabla1[[#This Row],[HIPOTESIS_2]],listas!$D$1:$E$105,2,FALSE))),"")</f>
        <v>Otra</v>
      </c>
      <c r="AR126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27" spans="1:44" x14ac:dyDescent="0.25">
      <c r="A127" s="12">
        <v>1078</v>
      </c>
      <c r="B127" s="139">
        <v>0</v>
      </c>
      <c r="C127" s="139">
        <v>1</v>
      </c>
      <c r="D127" s="139">
        <v>0</v>
      </c>
      <c r="E127" s="24" t="str">
        <f t="shared" si="4"/>
        <v>LESIONADO</v>
      </c>
      <c r="F127" s="158" t="s">
        <v>1033</v>
      </c>
      <c r="G127" s="30">
        <v>5.3411418419999999</v>
      </c>
      <c r="H127" s="30">
        <v>-72.404873050000006</v>
      </c>
      <c r="I127" s="165" t="s">
        <v>697</v>
      </c>
      <c r="J127" s="36" t="s">
        <v>717</v>
      </c>
      <c r="K127" s="24" t="str">
        <f t="shared" si="5"/>
        <v>2025</v>
      </c>
      <c r="L127" s="24" t="str">
        <f t="shared" si="6"/>
        <v>SEPTIEMBRE</v>
      </c>
      <c r="M127" s="225">
        <v>45917</v>
      </c>
      <c r="N127" s="24" t="str">
        <f t="shared" si="7"/>
        <v>MIÉRCOLES</v>
      </c>
      <c r="O127" s="101">
        <v>0.3263888888888889</v>
      </c>
      <c r="P127" s="63" t="s">
        <v>445</v>
      </c>
      <c r="Q127" s="63" t="s">
        <v>469</v>
      </c>
      <c r="R127" s="36">
        <f>COUNTIF(Tabla1[[#This Row],[VEHICULOS_ACCIDENTADOS]:[VEHICULOS_ACCIDENTADOS2]],"MOTOCICLETA")</f>
        <v>1</v>
      </c>
      <c r="S127" s="36">
        <f>COUNTIF(Tabla1[[#This Row],[VEHICULOS_ACCIDENTADOS]:[VEHICULOS_ACCIDENTADOS2]],"MOTOCARRO")</f>
        <v>0</v>
      </c>
      <c r="T127" s="36">
        <f>COUNTIF(Tabla1[[#This Row],[VEHICULOS_ACCIDENTADOS]:[VEHICULOS_ACCIDENTADOS2]],"AUTOMOVIL")</f>
        <v>0</v>
      </c>
      <c r="U127" s="36">
        <f>COUNTIF(Tabla1[[#This Row],[VEHICULOS_ACCIDENTADOS]:[VEHICULOS_ACCIDENTADOS2]],"CAMPERO")</f>
        <v>0</v>
      </c>
      <c r="V127" s="36">
        <f>COUNTIF(Tabla1[[#This Row],[VEHICULOS_ACCIDENTADOS]:[VEHICULOS_ACCIDENTADOS2]],"CAMIONETA")</f>
        <v>1</v>
      </c>
      <c r="W127" s="36">
        <f>COUNTIF(Tabla1[[#This Row],[VEHICULOS_ACCIDENTADOS]:[VEHICULOS_ACCIDENTADOS2]],"MICROBUS")</f>
        <v>0</v>
      </c>
      <c r="X127" s="36">
        <f>COUNTIF(Tabla1[[#This Row],[VEHICULOS_ACCIDENTADOS]:[VEHICULOS_ACCIDENTADOS2]],"BUS")</f>
        <v>0</v>
      </c>
      <c r="Y127" s="36">
        <f>COUNTIF(Tabla1[[#This Row],[VEHICULOS_ACCIDENTADOS]:[VEHICULOS_ACCIDENTADOS2]],"BUSETA")</f>
        <v>0</v>
      </c>
      <c r="Z127" s="36">
        <f>COUNTIF(Tabla1[[#This Row],[VEHICULOS_ACCIDENTADOS]:[VEHICULOS_ACCIDENTADOS2]],"CAMION")</f>
        <v>0</v>
      </c>
      <c r="AA127" s="36">
        <f>COUNTIF(Tabla1[[#This Row],[VEHICULOS_ACCIDENTADOS]:[VEHICULOS_ACCIDENTADOS2]],"TRACTOCAMION")</f>
        <v>0</v>
      </c>
      <c r="AB127" s="36">
        <f>COUNTIF(Tabla1[[#This Row],[VEHICULOS_ACCIDENTADOS]:[VEHICULOS_ACCIDENTADOS2]],"VOLQUETA")</f>
        <v>0</v>
      </c>
      <c r="AC127" s="36">
        <f>COUNTIF(Tabla1[[#This Row],[VEHICULOS_ACCIDENTADOS]:[VEHICULOS_ACCIDENTADOS2]],"BICICLETA")</f>
        <v>0</v>
      </c>
      <c r="AD127" s="61" t="s">
        <v>471</v>
      </c>
      <c r="AE127" s="61" t="s">
        <v>472</v>
      </c>
      <c r="AF127" s="36">
        <f>COUNTIF(Tabla1[[#This Row],[GENERO_MASCULINO]:[GENERO_FEMENINO]],"MASCULINO")</f>
        <v>1</v>
      </c>
      <c r="AG127" s="36">
        <f>COUNTIF(Tabla1[[#This Row],[GENERO_MASCULINO]:[GENERO_FEMENINO]],"FEMENINO")</f>
        <v>1</v>
      </c>
      <c r="AH127" s="85">
        <v>57</v>
      </c>
      <c r="AI127" s="85">
        <v>59</v>
      </c>
      <c r="AJ127" s="85"/>
      <c r="AK127" s="78"/>
      <c r="AL127" s="78"/>
      <c r="AM127" s="59"/>
      <c r="AN127" s="61">
        <v>123</v>
      </c>
      <c r="AO127" s="59" t="str">
        <f>IFERROR(((VLOOKUP(Tabla1[[#This Row],[HIPOTESIS_1]],listas!$D$1:$E$105,2,FALSE))),"SIN INFORMACIÓN")</f>
        <v>No respetar prelación de intersecciones o giros.</v>
      </c>
      <c r="AP127" s="36">
        <v>157</v>
      </c>
      <c r="AQ127" s="36" t="str">
        <f>IFERROR(((VLOOKUP(Tabla1[[#This Row],[HIPOTESIS_2]],listas!$D$1:$E$105,2,FALSE))),"")</f>
        <v>Otra</v>
      </c>
      <c r="AR127" s="2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28" spans="1:44" x14ac:dyDescent="0.25">
      <c r="A128" s="12">
        <v>767</v>
      </c>
      <c r="B128" s="135">
        <v>0</v>
      </c>
      <c r="C128" s="136">
        <v>1</v>
      </c>
      <c r="D128" s="136">
        <v>0</v>
      </c>
      <c r="E128" s="18" t="str">
        <f t="shared" si="4"/>
        <v>LESIONADO</v>
      </c>
      <c r="F128" s="26" t="s">
        <v>119</v>
      </c>
      <c r="G128" s="21">
        <v>5.3211972222222217</v>
      </c>
      <c r="H128" s="21">
        <v>-72.402666666666676</v>
      </c>
      <c r="I128" s="93" t="s">
        <v>697</v>
      </c>
      <c r="J128" s="136" t="s">
        <v>717</v>
      </c>
      <c r="K128" s="24" t="str">
        <f t="shared" si="5"/>
        <v>2024</v>
      </c>
      <c r="L128" s="24" t="str">
        <f t="shared" si="6"/>
        <v>AGOSTO</v>
      </c>
      <c r="M128" s="224">
        <v>45526</v>
      </c>
      <c r="N128" s="24" t="str">
        <f t="shared" si="7"/>
        <v>JUEVES</v>
      </c>
      <c r="O128" s="171">
        <v>0.86458333333333337</v>
      </c>
      <c r="P128" s="178" t="s">
        <v>469</v>
      </c>
      <c r="Q128" s="178" t="s">
        <v>447</v>
      </c>
      <c r="R128" s="36">
        <f>COUNTIF(Tabla1[[#This Row],[VEHICULOS_ACCIDENTADOS]:[VEHICULOS_ACCIDENTADOS2]],"MOTOCICLETA")</f>
        <v>1</v>
      </c>
      <c r="S128" s="36">
        <f>COUNTIF(Tabla1[[#This Row],[VEHICULOS_ACCIDENTADOS]:[VEHICULOS_ACCIDENTADOS2]],"MOTOCARRO")</f>
        <v>0</v>
      </c>
      <c r="T128" s="36">
        <f>COUNTIF(Tabla1[[#This Row],[VEHICULOS_ACCIDENTADOS]:[VEHICULOS_ACCIDENTADOS2]],"AUTOMOVIL")</f>
        <v>1</v>
      </c>
      <c r="U128" s="36">
        <f>COUNTIF(Tabla1[[#This Row],[VEHICULOS_ACCIDENTADOS]:[VEHICULOS_ACCIDENTADOS2]],"CAMPERO")</f>
        <v>0</v>
      </c>
      <c r="V128" s="36">
        <f>COUNTIF(Tabla1[[#This Row],[VEHICULOS_ACCIDENTADOS]:[VEHICULOS_ACCIDENTADOS2]],"CAMIONETA")</f>
        <v>0</v>
      </c>
      <c r="W128" s="36">
        <f>COUNTIF(Tabla1[[#This Row],[VEHICULOS_ACCIDENTADOS]:[VEHICULOS_ACCIDENTADOS2]],"MICROBUS")</f>
        <v>0</v>
      </c>
      <c r="X128" s="36">
        <f>COUNTIF(Tabla1[[#This Row],[VEHICULOS_ACCIDENTADOS]:[VEHICULOS_ACCIDENTADOS2]],"BUS")</f>
        <v>0</v>
      </c>
      <c r="Y128" s="36">
        <f>COUNTIF(Tabla1[[#This Row],[VEHICULOS_ACCIDENTADOS]:[VEHICULOS_ACCIDENTADOS2]],"BUSETA")</f>
        <v>0</v>
      </c>
      <c r="Z128" s="36">
        <f>COUNTIF(Tabla1[[#This Row],[VEHICULOS_ACCIDENTADOS]:[VEHICULOS_ACCIDENTADOS2]],"CAMION")</f>
        <v>0</v>
      </c>
      <c r="AA128" s="36">
        <f>COUNTIF(Tabla1[[#This Row],[VEHICULOS_ACCIDENTADOS]:[VEHICULOS_ACCIDENTADOS2]],"TRACTOCAMION")</f>
        <v>0</v>
      </c>
      <c r="AB128" s="36">
        <f>COUNTIF(Tabla1[[#This Row],[VEHICULOS_ACCIDENTADOS]:[VEHICULOS_ACCIDENTADOS2]],"VOLQUETA")</f>
        <v>0</v>
      </c>
      <c r="AC128" s="36">
        <f>COUNTIF(Tabla1[[#This Row],[VEHICULOS_ACCIDENTADOS]:[VEHICULOS_ACCIDENTADOS2]],"BICICLETA")</f>
        <v>0</v>
      </c>
      <c r="AD128" s="136" t="s">
        <v>471</v>
      </c>
      <c r="AE128" s="136" t="s">
        <v>472</v>
      </c>
      <c r="AF128" s="136">
        <f>COUNTIF(Tabla1[[#This Row],[GENERO_MASCULINO]:[GENERO_FEMENINO]],"MASCULINO")</f>
        <v>1</v>
      </c>
      <c r="AG128" s="36">
        <f>COUNTIF(Tabla1[[#This Row],[GENERO_MASCULINO]:[GENERO_FEMENINO]],"FEMENINO")</f>
        <v>1</v>
      </c>
      <c r="AH128" s="85">
        <v>16</v>
      </c>
      <c r="AI128" s="85">
        <v>48</v>
      </c>
      <c r="AJ128" s="85"/>
      <c r="AK128" s="85"/>
      <c r="AL128" s="85"/>
      <c r="AM128" s="136"/>
      <c r="AN128" s="85">
        <v>134</v>
      </c>
      <c r="AO128" s="36" t="str">
        <f>IFERROR(((VLOOKUP(Tabla1[[#This Row],[HIPOTESIS_1]],listas!$D$1:$E$105,2,FALSE))),"SIN INFORMACIÓN")</f>
        <v>Reverso imprudente.</v>
      </c>
      <c r="AP128" s="136">
        <v>157</v>
      </c>
      <c r="AQ128" s="36" t="str">
        <f>IFERROR(((VLOOKUP(Tabla1[[#This Row],[HIPOTESIS_2]],listas!$D$1:$E$105,2,FALSE))),"")</f>
        <v>Otra</v>
      </c>
      <c r="AR128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29" spans="1:44" x14ac:dyDescent="0.25">
      <c r="A129" s="12">
        <v>1023</v>
      </c>
      <c r="B129" s="137">
        <v>0</v>
      </c>
      <c r="C129" s="137">
        <v>1</v>
      </c>
      <c r="D129" s="137">
        <v>1</v>
      </c>
      <c r="E129" s="18" t="str">
        <f t="shared" si="4"/>
        <v>FALLECIDO</v>
      </c>
      <c r="F129" s="152" t="s">
        <v>1043</v>
      </c>
      <c r="G129" s="30">
        <v>5.3091569999999999</v>
      </c>
      <c r="H129" s="30">
        <v>-72.385914</v>
      </c>
      <c r="I129" s="93" t="s">
        <v>697</v>
      </c>
      <c r="J129" s="36" t="s">
        <v>1</v>
      </c>
      <c r="K129" s="24" t="str">
        <f t="shared" si="5"/>
        <v>2025</v>
      </c>
      <c r="L129" s="24" t="str">
        <f t="shared" si="6"/>
        <v>JULIO</v>
      </c>
      <c r="M129" s="225">
        <v>45865</v>
      </c>
      <c r="N129" s="24" t="str">
        <f t="shared" si="7"/>
        <v>DOMINGO</v>
      </c>
      <c r="O129" s="101">
        <v>0.4375</v>
      </c>
      <c r="P129" s="63" t="s">
        <v>469</v>
      </c>
      <c r="Q129" s="63"/>
      <c r="R129" s="36">
        <f>COUNTIF(Tabla1[[#This Row],[VEHICULOS_ACCIDENTADOS]:[VEHICULOS_ACCIDENTADOS2]],"MOTOCICLETA")</f>
        <v>1</v>
      </c>
      <c r="S129" s="36">
        <f>COUNTIF(Tabla1[[#This Row],[VEHICULOS_ACCIDENTADOS]:[VEHICULOS_ACCIDENTADOS2]],"MOTOCARRO")</f>
        <v>0</v>
      </c>
      <c r="T129" s="36">
        <f>COUNTIF(Tabla1[[#This Row],[VEHICULOS_ACCIDENTADOS]:[VEHICULOS_ACCIDENTADOS2]],"AUTOMOVIL")</f>
        <v>0</v>
      </c>
      <c r="U129" s="36">
        <f>COUNTIF(Tabla1[[#This Row],[VEHICULOS_ACCIDENTADOS]:[VEHICULOS_ACCIDENTADOS2]],"CAMPERO")</f>
        <v>0</v>
      </c>
      <c r="V129" s="36">
        <f>COUNTIF(Tabla1[[#This Row],[VEHICULOS_ACCIDENTADOS]:[VEHICULOS_ACCIDENTADOS2]],"CAMIONETA")</f>
        <v>0</v>
      </c>
      <c r="W129" s="36">
        <f>COUNTIF(Tabla1[[#This Row],[VEHICULOS_ACCIDENTADOS]:[VEHICULOS_ACCIDENTADOS2]],"MICROBUS")</f>
        <v>0</v>
      </c>
      <c r="X129" s="36">
        <f>COUNTIF(Tabla1[[#This Row],[VEHICULOS_ACCIDENTADOS]:[VEHICULOS_ACCIDENTADOS2]],"BUS")</f>
        <v>0</v>
      </c>
      <c r="Y129" s="36">
        <f>COUNTIF(Tabla1[[#This Row],[VEHICULOS_ACCIDENTADOS]:[VEHICULOS_ACCIDENTADOS2]],"BUSETA")</f>
        <v>0</v>
      </c>
      <c r="Z129" s="36">
        <f>COUNTIF(Tabla1[[#This Row],[VEHICULOS_ACCIDENTADOS]:[VEHICULOS_ACCIDENTADOS2]],"CAMION")</f>
        <v>0</v>
      </c>
      <c r="AA129" s="36">
        <f>COUNTIF(Tabla1[[#This Row],[VEHICULOS_ACCIDENTADOS]:[VEHICULOS_ACCIDENTADOS2]],"TRACTOCAMION")</f>
        <v>0</v>
      </c>
      <c r="AB129" s="36">
        <f>COUNTIF(Tabla1[[#This Row],[VEHICULOS_ACCIDENTADOS]:[VEHICULOS_ACCIDENTADOS2]],"VOLQUETA")</f>
        <v>0</v>
      </c>
      <c r="AC129" s="36">
        <f>COUNTIF(Tabla1[[#This Row],[VEHICULOS_ACCIDENTADOS]:[VEHICULOS_ACCIDENTADOS2]],"BICICLETA")</f>
        <v>0</v>
      </c>
      <c r="AD129" s="36" t="s">
        <v>471</v>
      </c>
      <c r="AE129" s="36" t="s">
        <v>471</v>
      </c>
      <c r="AF129" s="36">
        <f>COUNTIF(Tabla1[[#This Row],[GENERO_MASCULINO]:[GENERO_FEMENINO]],"MASCULINO")</f>
        <v>2</v>
      </c>
      <c r="AG129" s="36">
        <f>COUNTIF(Tabla1[[#This Row],[GENERO_MASCULINO]:[GENERO_FEMENINO]],"FEMENINO")</f>
        <v>0</v>
      </c>
      <c r="AH129" s="85">
        <v>47</v>
      </c>
      <c r="AI129" s="85">
        <v>59</v>
      </c>
      <c r="AJ129" s="85"/>
      <c r="AK129" s="78"/>
      <c r="AL129" s="78"/>
      <c r="AM129" s="59"/>
      <c r="AN129" s="61">
        <v>139</v>
      </c>
      <c r="AO129" s="36" t="str">
        <f>IFERROR(((VLOOKUP(Tabla1[[#This Row],[HIPOTESIS_1]],listas!$D$1:$E$105,2,FALSE))),"SIN INFORMACIÓN")</f>
        <v>Impericia en el manejo.</v>
      </c>
      <c r="AP129" s="36">
        <v>157</v>
      </c>
      <c r="AQ129" s="36" t="str">
        <f>IFERROR(((VLOOKUP(Tabla1[[#This Row],[HIPOTESIS_2]],listas!$D$1:$E$105,2,FALSE))),"")</f>
        <v>Otra</v>
      </c>
      <c r="AR129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30" spans="1:44" x14ac:dyDescent="0.25">
      <c r="A130" s="12">
        <v>466</v>
      </c>
      <c r="B130" s="36">
        <v>0</v>
      </c>
      <c r="C130" s="36">
        <v>1</v>
      </c>
      <c r="D130" s="36">
        <v>0</v>
      </c>
      <c r="E130" s="18" t="str">
        <f t="shared" ref="E130:E193" si="8">IF(D130&gt;=1,"FALLECIDO",IF(C130&gt;=1,"LESIONADO",IF(B130&gt;=1,"SOLO DAÑO","")))</f>
        <v>LESIONADO</v>
      </c>
      <c r="F130" s="29" t="s">
        <v>252</v>
      </c>
      <c r="G130" s="21">
        <v>5.3254361111111113</v>
      </c>
      <c r="H130" s="21">
        <v>-72.398400000000009</v>
      </c>
      <c r="I130" s="93" t="s">
        <v>697</v>
      </c>
      <c r="J130" s="36" t="s">
        <v>717</v>
      </c>
      <c r="K130" s="24" t="str">
        <f t="shared" ref="K130:K193" si="9">UPPER(TEXT(M130,"YYYY"))</f>
        <v>2023</v>
      </c>
      <c r="L130" s="24" t="str">
        <f t="shared" ref="L130:L193" si="10">UPPER(TEXT(M130,"MMMM"))</f>
        <v>MAYO</v>
      </c>
      <c r="M130" s="225">
        <v>45048</v>
      </c>
      <c r="N130" s="24" t="str">
        <f t="shared" ref="N130:N193" si="11">UPPER(TEXT(M130,"DDDD"))</f>
        <v>MARTES</v>
      </c>
      <c r="O130" s="101">
        <v>0.88541666666666663</v>
      </c>
      <c r="P130" s="57" t="s">
        <v>469</v>
      </c>
      <c r="Q130" s="57" t="s">
        <v>469</v>
      </c>
      <c r="R130" s="36">
        <f>COUNTIF(Tabla1[[#This Row],[VEHICULOS_ACCIDENTADOS]:[VEHICULOS_ACCIDENTADOS2]],"MOTOCICLETA")</f>
        <v>2</v>
      </c>
      <c r="S130" s="36">
        <f>COUNTIF(Tabla1[[#This Row],[VEHICULOS_ACCIDENTADOS]:[VEHICULOS_ACCIDENTADOS2]],"MOTOCARRO")</f>
        <v>0</v>
      </c>
      <c r="T130" s="36">
        <f>COUNTIF(Tabla1[[#This Row],[VEHICULOS_ACCIDENTADOS]:[VEHICULOS_ACCIDENTADOS2]],"AUTOMOVIL")</f>
        <v>0</v>
      </c>
      <c r="U130" s="36">
        <f>COUNTIF(Tabla1[[#This Row],[VEHICULOS_ACCIDENTADOS]:[VEHICULOS_ACCIDENTADOS2]],"CAMPERO")</f>
        <v>0</v>
      </c>
      <c r="V130" s="36">
        <f>COUNTIF(Tabla1[[#This Row],[VEHICULOS_ACCIDENTADOS]:[VEHICULOS_ACCIDENTADOS2]],"CAMIONETA")</f>
        <v>0</v>
      </c>
      <c r="W130" s="36">
        <f>COUNTIF(Tabla1[[#This Row],[VEHICULOS_ACCIDENTADOS]:[VEHICULOS_ACCIDENTADOS2]],"MICROBUS")</f>
        <v>0</v>
      </c>
      <c r="X130" s="36">
        <f>COUNTIF(Tabla1[[#This Row],[VEHICULOS_ACCIDENTADOS]:[VEHICULOS_ACCIDENTADOS2]],"BUS")</f>
        <v>0</v>
      </c>
      <c r="Y130" s="36">
        <f>COUNTIF(Tabla1[[#This Row],[VEHICULOS_ACCIDENTADOS]:[VEHICULOS_ACCIDENTADOS2]],"BUSETA")</f>
        <v>0</v>
      </c>
      <c r="Z130" s="36">
        <f>COUNTIF(Tabla1[[#This Row],[VEHICULOS_ACCIDENTADOS]:[VEHICULOS_ACCIDENTADOS2]],"CAMION")</f>
        <v>0</v>
      </c>
      <c r="AA130" s="36">
        <f>COUNTIF(Tabla1[[#This Row],[VEHICULOS_ACCIDENTADOS]:[VEHICULOS_ACCIDENTADOS2]],"TRACTOCAMION")</f>
        <v>0</v>
      </c>
      <c r="AB130" s="36">
        <f>COUNTIF(Tabla1[[#This Row],[VEHICULOS_ACCIDENTADOS]:[VEHICULOS_ACCIDENTADOS2]],"VOLQUETA")</f>
        <v>0</v>
      </c>
      <c r="AC130" s="36">
        <f>COUNTIF(Tabla1[[#This Row],[VEHICULOS_ACCIDENTADOS]:[VEHICULOS_ACCIDENTADOS2]],"BICICLETA")</f>
        <v>0</v>
      </c>
      <c r="AD130" s="36"/>
      <c r="AE130" s="36" t="s">
        <v>472</v>
      </c>
      <c r="AF130" s="36">
        <f>COUNTIF(Tabla1[[#This Row],[GENERO_MASCULINO]:[GENERO_FEMENINO]],"MASCULINO")</f>
        <v>0</v>
      </c>
      <c r="AG130" s="36">
        <f>COUNTIF(Tabla1[[#This Row],[GENERO_MASCULINO]:[GENERO_FEMENINO]],"FEMENINO")</f>
        <v>1</v>
      </c>
      <c r="AH130" s="61">
        <v>18</v>
      </c>
      <c r="AI130" s="61"/>
      <c r="AJ130" s="61"/>
      <c r="AK130" s="61"/>
      <c r="AL130" s="61"/>
      <c r="AM130" s="36"/>
      <c r="AN130" s="61">
        <v>139</v>
      </c>
      <c r="AO130" s="36" t="str">
        <f>IFERROR(((VLOOKUP(Tabla1[[#This Row],[HIPOTESIS_1]],listas!$D$1:$E$105,2,FALSE))),"SIN INFORMACIÓN")</f>
        <v>Impericia en el manejo.</v>
      </c>
      <c r="AP130" s="36">
        <v>132</v>
      </c>
      <c r="AQ130" s="36" t="str">
        <f>IFERROR(((VLOOKUP(Tabla1[[#This Row],[HIPOTESIS_2]],listas!$D$1:$E$105,2,FALSE))),"")</f>
        <v>No respetar prelación.</v>
      </c>
      <c r="AR130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31" spans="1:44" x14ac:dyDescent="0.25">
      <c r="A131" s="12">
        <v>114</v>
      </c>
      <c r="B131" s="36">
        <v>0</v>
      </c>
      <c r="C131" s="36">
        <v>1</v>
      </c>
      <c r="D131" s="36">
        <v>0</v>
      </c>
      <c r="E131" s="18" t="str">
        <f t="shared" si="8"/>
        <v>LESIONADO</v>
      </c>
      <c r="F131" s="29" t="s">
        <v>1160</v>
      </c>
      <c r="G131" s="17">
        <v>5.3331722222222222</v>
      </c>
      <c r="H131" s="17">
        <v>-72.394813888888891</v>
      </c>
      <c r="I131" s="93" t="s">
        <v>697</v>
      </c>
      <c r="J131" s="36" t="s">
        <v>717</v>
      </c>
      <c r="K131" s="24" t="str">
        <f t="shared" si="9"/>
        <v>2022</v>
      </c>
      <c r="L131" s="24" t="str">
        <f t="shared" si="10"/>
        <v>ABRIL</v>
      </c>
      <c r="M131" s="225">
        <v>44656</v>
      </c>
      <c r="N131" s="24" t="str">
        <f t="shared" si="11"/>
        <v>MARTES</v>
      </c>
      <c r="O131" s="101">
        <v>0.55555555555555602</v>
      </c>
      <c r="P131" s="63" t="s">
        <v>469</v>
      </c>
      <c r="Q131" s="63" t="s">
        <v>445</v>
      </c>
      <c r="R131" s="36">
        <f>COUNTIF(Tabla1[[#This Row],[VEHICULOS_ACCIDENTADOS]:[VEHICULOS_ACCIDENTADOS2]],"MOTOCICLETA")</f>
        <v>1</v>
      </c>
      <c r="S131" s="36">
        <f>COUNTIF(Tabla1[[#This Row],[VEHICULOS_ACCIDENTADOS]:[VEHICULOS_ACCIDENTADOS2]],"MOTOCARRO")</f>
        <v>0</v>
      </c>
      <c r="T131" s="36">
        <f>COUNTIF(Tabla1[[#This Row],[VEHICULOS_ACCIDENTADOS]:[VEHICULOS_ACCIDENTADOS2]],"AUTOMOVIL")</f>
        <v>0</v>
      </c>
      <c r="U131" s="36">
        <f>COUNTIF(Tabla1[[#This Row],[VEHICULOS_ACCIDENTADOS]:[VEHICULOS_ACCIDENTADOS2]],"CAMPERO")</f>
        <v>0</v>
      </c>
      <c r="V131" s="36">
        <f>COUNTIF(Tabla1[[#This Row],[VEHICULOS_ACCIDENTADOS]:[VEHICULOS_ACCIDENTADOS2]],"CAMIONETA")</f>
        <v>1</v>
      </c>
      <c r="W131" s="36">
        <f>COUNTIF(Tabla1[[#This Row],[VEHICULOS_ACCIDENTADOS]:[VEHICULOS_ACCIDENTADOS2]],"MICROBUS")</f>
        <v>0</v>
      </c>
      <c r="X131" s="36">
        <f>COUNTIF(Tabla1[[#This Row],[VEHICULOS_ACCIDENTADOS]:[VEHICULOS_ACCIDENTADOS2]],"BUS")</f>
        <v>0</v>
      </c>
      <c r="Y131" s="36">
        <f>COUNTIF(Tabla1[[#This Row],[VEHICULOS_ACCIDENTADOS]:[VEHICULOS_ACCIDENTADOS2]],"BUSETA")</f>
        <v>0</v>
      </c>
      <c r="Z131" s="36">
        <f>COUNTIF(Tabla1[[#This Row],[VEHICULOS_ACCIDENTADOS]:[VEHICULOS_ACCIDENTADOS2]],"CAMION")</f>
        <v>0</v>
      </c>
      <c r="AA131" s="36">
        <f>COUNTIF(Tabla1[[#This Row],[VEHICULOS_ACCIDENTADOS]:[VEHICULOS_ACCIDENTADOS2]],"TRACTOCAMION")</f>
        <v>0</v>
      </c>
      <c r="AB131" s="36">
        <f>COUNTIF(Tabla1[[#This Row],[VEHICULOS_ACCIDENTADOS]:[VEHICULOS_ACCIDENTADOS2]],"VOLQUETA")</f>
        <v>0</v>
      </c>
      <c r="AC131" s="36">
        <f>COUNTIF(Tabla1[[#This Row],[VEHICULOS_ACCIDENTADOS]:[VEHICULOS_ACCIDENTADOS2]],"BICICLETA")</f>
        <v>0</v>
      </c>
      <c r="AD131" s="36" t="s">
        <v>471</v>
      </c>
      <c r="AE131" s="36"/>
      <c r="AF131" s="36">
        <f>COUNTIF(Tabla1[[#This Row],[GENERO_MASCULINO]:[GENERO_FEMENINO]],"MASCULINO")</f>
        <v>1</v>
      </c>
      <c r="AG131" s="36">
        <f>COUNTIF(Tabla1[[#This Row],[GENERO_MASCULINO]:[GENERO_FEMENINO]],"FEMENINO")</f>
        <v>0</v>
      </c>
      <c r="AH131" s="79">
        <v>16</v>
      </c>
      <c r="AI131" s="79"/>
      <c r="AJ131" s="80"/>
      <c r="AK131" s="79"/>
      <c r="AL131" s="79"/>
      <c r="AM131" s="55"/>
      <c r="AN131" s="79">
        <v>139</v>
      </c>
      <c r="AO131" s="36" t="str">
        <f>IFERROR(((VLOOKUP(Tabla1[[#This Row],[HIPOTESIS_1]],listas!$D$1:$E$105,2,FALSE))),"SIN INFORMACIÓN")</f>
        <v>Impericia en el manejo.</v>
      </c>
      <c r="AP131" s="55">
        <v>132</v>
      </c>
      <c r="AQ131" s="36" t="str">
        <f>IFERROR(((VLOOKUP(Tabla1[[#This Row],[HIPOTESIS_2]],listas!$D$1:$E$105,2,FALSE))),"")</f>
        <v>No respetar prelación.</v>
      </c>
      <c r="AR131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32" spans="1:44" x14ac:dyDescent="0.25">
      <c r="A132" s="12">
        <v>745</v>
      </c>
      <c r="B132" s="136">
        <v>0</v>
      </c>
      <c r="C132" s="36">
        <v>1</v>
      </c>
      <c r="D132" s="36">
        <v>0</v>
      </c>
      <c r="E132" s="18" t="str">
        <f t="shared" si="8"/>
        <v>LESIONADO</v>
      </c>
      <c r="F132" s="29" t="s">
        <v>130</v>
      </c>
      <c r="G132" s="21">
        <v>5.3223549999999999</v>
      </c>
      <c r="H132" s="21">
        <v>-72.386674722222224</v>
      </c>
      <c r="I132" s="93" t="s">
        <v>697</v>
      </c>
      <c r="J132" s="136" t="s">
        <v>717</v>
      </c>
      <c r="K132" s="24" t="str">
        <f t="shared" si="9"/>
        <v>2024</v>
      </c>
      <c r="L132" s="24" t="str">
        <f t="shared" si="10"/>
        <v>JULIO</v>
      </c>
      <c r="M132" s="225">
        <v>45490</v>
      </c>
      <c r="N132" s="24" t="str">
        <f t="shared" si="11"/>
        <v>MIÉRCOLES</v>
      </c>
      <c r="O132" s="101">
        <v>0.6166666666666667</v>
      </c>
      <c r="P132" s="57" t="s">
        <v>469</v>
      </c>
      <c r="Q132" s="57" t="s">
        <v>447</v>
      </c>
      <c r="R132" s="36">
        <f>COUNTIF(Tabla1[[#This Row],[VEHICULOS_ACCIDENTADOS]:[VEHICULOS_ACCIDENTADOS2]],"MOTOCICLETA")</f>
        <v>1</v>
      </c>
      <c r="S132" s="36">
        <f>COUNTIF(Tabla1[[#This Row],[VEHICULOS_ACCIDENTADOS]:[VEHICULOS_ACCIDENTADOS2]],"MOTOCARRO")</f>
        <v>0</v>
      </c>
      <c r="T132" s="36">
        <f>COUNTIF(Tabla1[[#This Row],[VEHICULOS_ACCIDENTADOS]:[VEHICULOS_ACCIDENTADOS2]],"AUTOMOVIL")</f>
        <v>1</v>
      </c>
      <c r="U132" s="36">
        <f>COUNTIF(Tabla1[[#This Row],[VEHICULOS_ACCIDENTADOS]:[VEHICULOS_ACCIDENTADOS2]],"CAMPERO")</f>
        <v>0</v>
      </c>
      <c r="V132" s="36">
        <f>COUNTIF(Tabla1[[#This Row],[VEHICULOS_ACCIDENTADOS]:[VEHICULOS_ACCIDENTADOS2]],"CAMIONETA")</f>
        <v>0</v>
      </c>
      <c r="W132" s="36">
        <f>COUNTIF(Tabla1[[#This Row],[VEHICULOS_ACCIDENTADOS]:[VEHICULOS_ACCIDENTADOS2]],"MICROBUS")</f>
        <v>0</v>
      </c>
      <c r="X132" s="36">
        <f>COUNTIF(Tabla1[[#This Row],[VEHICULOS_ACCIDENTADOS]:[VEHICULOS_ACCIDENTADOS2]],"BUS")</f>
        <v>0</v>
      </c>
      <c r="Y132" s="36">
        <f>COUNTIF(Tabla1[[#This Row],[VEHICULOS_ACCIDENTADOS]:[VEHICULOS_ACCIDENTADOS2]],"BUSETA")</f>
        <v>0</v>
      </c>
      <c r="Z132" s="36">
        <f>COUNTIF(Tabla1[[#This Row],[VEHICULOS_ACCIDENTADOS]:[VEHICULOS_ACCIDENTADOS2]],"CAMION")</f>
        <v>0</v>
      </c>
      <c r="AA132" s="36">
        <f>COUNTIF(Tabla1[[#This Row],[VEHICULOS_ACCIDENTADOS]:[VEHICULOS_ACCIDENTADOS2]],"TRACTOCAMION")</f>
        <v>0</v>
      </c>
      <c r="AB132" s="36">
        <f>COUNTIF(Tabla1[[#This Row],[VEHICULOS_ACCIDENTADOS]:[VEHICULOS_ACCIDENTADOS2]],"VOLQUETA")</f>
        <v>0</v>
      </c>
      <c r="AC132" s="36">
        <f>COUNTIF(Tabla1[[#This Row],[VEHICULOS_ACCIDENTADOS]:[VEHICULOS_ACCIDENTADOS2]],"BICICLETA")</f>
        <v>0</v>
      </c>
      <c r="AD132" s="36" t="s">
        <v>471</v>
      </c>
      <c r="AE132" s="36"/>
      <c r="AF132" s="36">
        <f>COUNTIF(Tabla1[[#This Row],[GENERO_MASCULINO]:[GENERO_FEMENINO]],"MASCULINO")</f>
        <v>1</v>
      </c>
      <c r="AG132" s="36">
        <f>COUNTIF(Tabla1[[#This Row],[GENERO_MASCULINO]:[GENERO_FEMENINO]],"FEMENINO")</f>
        <v>0</v>
      </c>
      <c r="AH132" s="61">
        <v>27</v>
      </c>
      <c r="AI132" s="61">
        <v>46</v>
      </c>
      <c r="AJ132" s="61"/>
      <c r="AK132" s="61"/>
      <c r="AL132" s="61"/>
      <c r="AM132" s="36"/>
      <c r="AN132" s="61">
        <v>112</v>
      </c>
      <c r="AO132" s="36" t="str">
        <f>IFERROR(((VLOOKUP(Tabla1[[#This Row],[HIPOTESIS_1]],listas!$D$1:$E$105,2,FALSE))),"SIN INFORMACIÓN")</f>
        <v>Desobedecer señales o normas de tránsito.</v>
      </c>
      <c r="AP132" s="36">
        <v>132</v>
      </c>
      <c r="AQ132" s="36" t="str">
        <f>IFERROR(((VLOOKUP(Tabla1[[#This Row],[HIPOTESIS_2]],listas!$D$1:$E$105,2,FALSE))),"")</f>
        <v>No respetar prelación.</v>
      </c>
      <c r="AR132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33" spans="1:44" x14ac:dyDescent="0.25">
      <c r="A133" s="12">
        <v>940</v>
      </c>
      <c r="B133" s="142">
        <v>0</v>
      </c>
      <c r="C133" s="142">
        <v>2</v>
      </c>
      <c r="D133" s="141">
        <v>1</v>
      </c>
      <c r="E133" s="18" t="str">
        <f t="shared" si="8"/>
        <v>FALLECIDO</v>
      </c>
      <c r="F133" s="23" t="s">
        <v>41</v>
      </c>
      <c r="G133" s="22">
        <v>5.3345510000000003</v>
      </c>
      <c r="H133" s="22">
        <v>-72.392212000000001</v>
      </c>
      <c r="I133" s="93" t="s">
        <v>697</v>
      </c>
      <c r="J133" s="141" t="s">
        <v>717</v>
      </c>
      <c r="K133" s="24" t="str">
        <f t="shared" si="9"/>
        <v>2025</v>
      </c>
      <c r="L133" s="24" t="str">
        <f t="shared" si="10"/>
        <v>ABRIL</v>
      </c>
      <c r="M133" s="229">
        <v>45767</v>
      </c>
      <c r="N133" s="24" t="str">
        <f t="shared" si="11"/>
        <v>DOMINGO</v>
      </c>
      <c r="O133" s="171">
        <v>2.7777777777777776E-2</v>
      </c>
      <c r="P133" s="136" t="s">
        <v>469</v>
      </c>
      <c r="Q133" s="136" t="s">
        <v>469</v>
      </c>
      <c r="R133" s="36">
        <f>COUNTIF(Tabla1[[#This Row],[VEHICULOS_ACCIDENTADOS]:[VEHICULOS_ACCIDENTADOS2]],"MOTOCICLETA")</f>
        <v>2</v>
      </c>
      <c r="S133" s="36">
        <f>COUNTIF(Tabla1[[#This Row],[VEHICULOS_ACCIDENTADOS]:[VEHICULOS_ACCIDENTADOS2]],"MOTOCARRO")</f>
        <v>0</v>
      </c>
      <c r="T133" s="36">
        <f>COUNTIF(Tabla1[[#This Row],[VEHICULOS_ACCIDENTADOS]:[VEHICULOS_ACCIDENTADOS2]],"AUTOMOVIL")</f>
        <v>0</v>
      </c>
      <c r="U133" s="36">
        <f>COUNTIF(Tabla1[[#This Row],[VEHICULOS_ACCIDENTADOS]:[VEHICULOS_ACCIDENTADOS2]],"CAMPERO")</f>
        <v>0</v>
      </c>
      <c r="V133" s="36">
        <f>COUNTIF(Tabla1[[#This Row],[VEHICULOS_ACCIDENTADOS]:[VEHICULOS_ACCIDENTADOS2]],"CAMIONETA")</f>
        <v>0</v>
      </c>
      <c r="W133" s="36">
        <f>COUNTIF(Tabla1[[#This Row],[VEHICULOS_ACCIDENTADOS]:[VEHICULOS_ACCIDENTADOS2]],"MICROBUS")</f>
        <v>0</v>
      </c>
      <c r="X133" s="36">
        <f>COUNTIF(Tabla1[[#This Row],[VEHICULOS_ACCIDENTADOS]:[VEHICULOS_ACCIDENTADOS2]],"BUS")</f>
        <v>0</v>
      </c>
      <c r="Y133" s="36">
        <f>COUNTIF(Tabla1[[#This Row],[VEHICULOS_ACCIDENTADOS]:[VEHICULOS_ACCIDENTADOS2]],"BUSETA")</f>
        <v>0</v>
      </c>
      <c r="Z133" s="36">
        <f>COUNTIF(Tabla1[[#This Row],[VEHICULOS_ACCIDENTADOS]:[VEHICULOS_ACCIDENTADOS2]],"CAMION")</f>
        <v>0</v>
      </c>
      <c r="AA133" s="36">
        <f>COUNTIF(Tabla1[[#This Row],[VEHICULOS_ACCIDENTADOS]:[VEHICULOS_ACCIDENTADOS2]],"TRACTOCAMION")</f>
        <v>0</v>
      </c>
      <c r="AB133" s="36">
        <f>COUNTIF(Tabla1[[#This Row],[VEHICULOS_ACCIDENTADOS]:[VEHICULOS_ACCIDENTADOS2]],"VOLQUETA")</f>
        <v>0</v>
      </c>
      <c r="AC133" s="36">
        <f>COUNTIF(Tabla1[[#This Row],[VEHICULOS_ACCIDENTADOS]:[VEHICULOS_ACCIDENTADOS2]],"BICICLETA")</f>
        <v>0</v>
      </c>
      <c r="AD133" s="36" t="s">
        <v>471</v>
      </c>
      <c r="AE133" s="36" t="s">
        <v>471</v>
      </c>
      <c r="AF133" s="36">
        <f>COUNTIF(Tabla1[[#This Row],[GENERO_MASCULINO]:[GENERO_FEMENINO]],"MASCULINO")</f>
        <v>2</v>
      </c>
      <c r="AG133" s="36">
        <f>COUNTIF(Tabla1[[#This Row],[GENERO_MASCULINO]:[GENERO_FEMENINO]],"FEMENINO")</f>
        <v>0</v>
      </c>
      <c r="AH133" s="85">
        <v>25</v>
      </c>
      <c r="AI133" s="85">
        <v>46</v>
      </c>
      <c r="AJ133" s="85">
        <v>37</v>
      </c>
      <c r="AK133" s="78"/>
      <c r="AL133" s="78"/>
      <c r="AM133" s="59"/>
      <c r="AN133" s="85">
        <v>157</v>
      </c>
      <c r="AO133" s="36" t="str">
        <f>IFERROR(((VLOOKUP(Tabla1[[#This Row],[HIPOTESIS_1]],listas!$D$1:$E$105,2,FALSE))),"SIN INFORMACIÓN")</f>
        <v>Otra</v>
      </c>
      <c r="AP133" s="36">
        <v>132</v>
      </c>
      <c r="AQ133" s="36" t="str">
        <f>IFERROR(((VLOOKUP(Tabla1[[#This Row],[HIPOTESIS_2]],listas!$D$1:$E$105,2,FALSE))),"")</f>
        <v>No respetar prelación.</v>
      </c>
      <c r="AR133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34" spans="1:44" x14ac:dyDescent="0.25">
      <c r="A134" s="12">
        <v>400</v>
      </c>
      <c r="B134" s="36">
        <v>0</v>
      </c>
      <c r="C134" s="36">
        <v>2</v>
      </c>
      <c r="D134" s="36">
        <v>0</v>
      </c>
      <c r="E134" s="18" t="str">
        <f t="shared" si="8"/>
        <v>LESIONADO</v>
      </c>
      <c r="F134" s="29" t="s">
        <v>1143</v>
      </c>
      <c r="G134" s="17">
        <v>5.3412638888888884</v>
      </c>
      <c r="H134" s="17">
        <v>-72.393175000000014</v>
      </c>
      <c r="I134" s="93" t="s">
        <v>697</v>
      </c>
      <c r="J134" s="36" t="s">
        <v>717</v>
      </c>
      <c r="K134" s="24" t="str">
        <f t="shared" si="9"/>
        <v>2023</v>
      </c>
      <c r="L134" s="24" t="str">
        <f t="shared" si="10"/>
        <v>FEBRERO</v>
      </c>
      <c r="M134" s="225">
        <v>44958</v>
      </c>
      <c r="N134" s="24" t="str">
        <f t="shared" si="11"/>
        <v>MIÉRCOLES</v>
      </c>
      <c r="O134" s="101">
        <v>0.45</v>
      </c>
      <c r="P134" s="57" t="s">
        <v>469</v>
      </c>
      <c r="Q134" s="57" t="s">
        <v>447</v>
      </c>
      <c r="R134" s="36">
        <f>COUNTIF(Tabla1[[#This Row],[VEHICULOS_ACCIDENTADOS]:[VEHICULOS_ACCIDENTADOS2]],"MOTOCICLETA")</f>
        <v>1</v>
      </c>
      <c r="S134" s="36">
        <f>COUNTIF(Tabla1[[#This Row],[VEHICULOS_ACCIDENTADOS]:[VEHICULOS_ACCIDENTADOS2]],"MOTOCARRO")</f>
        <v>0</v>
      </c>
      <c r="T134" s="36">
        <f>COUNTIF(Tabla1[[#This Row],[VEHICULOS_ACCIDENTADOS]:[VEHICULOS_ACCIDENTADOS2]],"AUTOMOVIL")</f>
        <v>1</v>
      </c>
      <c r="U134" s="36">
        <f>COUNTIF(Tabla1[[#This Row],[VEHICULOS_ACCIDENTADOS]:[VEHICULOS_ACCIDENTADOS2]],"CAMPERO")</f>
        <v>0</v>
      </c>
      <c r="V134" s="36">
        <f>COUNTIF(Tabla1[[#This Row],[VEHICULOS_ACCIDENTADOS]:[VEHICULOS_ACCIDENTADOS2]],"CAMIONETA")</f>
        <v>0</v>
      </c>
      <c r="W134" s="36">
        <f>COUNTIF(Tabla1[[#This Row],[VEHICULOS_ACCIDENTADOS]:[VEHICULOS_ACCIDENTADOS2]],"MICROBUS")</f>
        <v>0</v>
      </c>
      <c r="X134" s="36">
        <f>COUNTIF(Tabla1[[#This Row],[VEHICULOS_ACCIDENTADOS]:[VEHICULOS_ACCIDENTADOS2]],"BUS")</f>
        <v>0</v>
      </c>
      <c r="Y134" s="36">
        <f>COUNTIF(Tabla1[[#This Row],[VEHICULOS_ACCIDENTADOS]:[VEHICULOS_ACCIDENTADOS2]],"BUSETA")</f>
        <v>0</v>
      </c>
      <c r="Z134" s="36">
        <f>COUNTIF(Tabla1[[#This Row],[VEHICULOS_ACCIDENTADOS]:[VEHICULOS_ACCIDENTADOS2]],"CAMION")</f>
        <v>0</v>
      </c>
      <c r="AA134" s="36">
        <f>COUNTIF(Tabla1[[#This Row],[VEHICULOS_ACCIDENTADOS]:[VEHICULOS_ACCIDENTADOS2]],"TRACTOCAMION")</f>
        <v>0</v>
      </c>
      <c r="AB134" s="36">
        <f>COUNTIF(Tabla1[[#This Row],[VEHICULOS_ACCIDENTADOS]:[VEHICULOS_ACCIDENTADOS2]],"VOLQUETA")</f>
        <v>0</v>
      </c>
      <c r="AC134" s="36">
        <f>COUNTIF(Tabla1[[#This Row],[VEHICULOS_ACCIDENTADOS]:[VEHICULOS_ACCIDENTADOS2]],"BICICLETA")</f>
        <v>0</v>
      </c>
      <c r="AD134" s="36" t="s">
        <v>471</v>
      </c>
      <c r="AE134" s="36" t="s">
        <v>472</v>
      </c>
      <c r="AF134" s="36">
        <f>COUNTIF(Tabla1[[#This Row],[GENERO_MASCULINO]:[GENERO_FEMENINO]],"MASCULINO")</f>
        <v>1</v>
      </c>
      <c r="AG134" s="36">
        <f>COUNTIF(Tabla1[[#This Row],[GENERO_MASCULINO]:[GENERO_FEMENINO]],"FEMENINO")</f>
        <v>1</v>
      </c>
      <c r="AH134" s="61">
        <v>18</v>
      </c>
      <c r="AI134" s="61"/>
      <c r="AJ134" s="61"/>
      <c r="AK134" s="61"/>
      <c r="AL134" s="61">
        <v>34</v>
      </c>
      <c r="AM134" s="36"/>
      <c r="AN134" s="61">
        <v>139</v>
      </c>
      <c r="AO134" s="36" t="str">
        <f>IFERROR(((VLOOKUP(Tabla1[[#This Row],[HIPOTESIS_1]],listas!$D$1:$E$105,2,FALSE))),"SIN INFORMACIÓN")</f>
        <v>Impericia en el manejo.</v>
      </c>
      <c r="AP134" s="36">
        <v>132</v>
      </c>
      <c r="AQ134" s="36" t="str">
        <f>IFERROR(((VLOOKUP(Tabla1[[#This Row],[HIPOTESIS_2]],listas!$D$1:$E$105,2,FALSE))),"")</f>
        <v>No respetar prelación.</v>
      </c>
      <c r="AR134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35" spans="1:44" x14ac:dyDescent="0.25">
      <c r="A135" s="12">
        <v>1009</v>
      </c>
      <c r="B135" s="137">
        <v>0</v>
      </c>
      <c r="C135" s="137">
        <v>2</v>
      </c>
      <c r="D135" s="137">
        <v>0</v>
      </c>
      <c r="E135" s="18" t="str">
        <f t="shared" si="8"/>
        <v>LESIONADO</v>
      </c>
      <c r="F135" s="152" t="s">
        <v>952</v>
      </c>
      <c r="G135" s="30">
        <v>5.3362819999999997</v>
      </c>
      <c r="H135" s="30">
        <v>-72.387293</v>
      </c>
      <c r="I135" s="93" t="s">
        <v>697</v>
      </c>
      <c r="J135" s="36" t="s">
        <v>717</v>
      </c>
      <c r="K135" s="24" t="str">
        <f t="shared" si="9"/>
        <v>2025</v>
      </c>
      <c r="L135" s="24" t="str">
        <f t="shared" si="10"/>
        <v>JULIO</v>
      </c>
      <c r="M135" s="225">
        <v>45847</v>
      </c>
      <c r="N135" s="24" t="str">
        <f t="shared" si="11"/>
        <v>MIÉRCOLES</v>
      </c>
      <c r="O135" s="101">
        <v>0.65277777777777779</v>
      </c>
      <c r="P135" s="63" t="s">
        <v>445</v>
      </c>
      <c r="Q135" s="63" t="s">
        <v>469</v>
      </c>
      <c r="R135" s="36">
        <f>COUNTIF(Tabla1[[#This Row],[VEHICULOS_ACCIDENTADOS]:[VEHICULOS_ACCIDENTADOS2]],"MOTOCICLETA")</f>
        <v>1</v>
      </c>
      <c r="S135" s="36">
        <f>COUNTIF(Tabla1[[#This Row],[VEHICULOS_ACCIDENTADOS]:[VEHICULOS_ACCIDENTADOS2]],"MOTOCARRO")</f>
        <v>0</v>
      </c>
      <c r="T135" s="36">
        <f>COUNTIF(Tabla1[[#This Row],[VEHICULOS_ACCIDENTADOS]:[VEHICULOS_ACCIDENTADOS2]],"AUTOMOVIL")</f>
        <v>0</v>
      </c>
      <c r="U135" s="36">
        <f>COUNTIF(Tabla1[[#This Row],[VEHICULOS_ACCIDENTADOS]:[VEHICULOS_ACCIDENTADOS2]],"CAMPERO")</f>
        <v>0</v>
      </c>
      <c r="V135" s="36">
        <f>COUNTIF(Tabla1[[#This Row],[VEHICULOS_ACCIDENTADOS]:[VEHICULOS_ACCIDENTADOS2]],"CAMIONETA")</f>
        <v>1</v>
      </c>
      <c r="W135" s="36">
        <f>COUNTIF(Tabla1[[#This Row],[VEHICULOS_ACCIDENTADOS]:[VEHICULOS_ACCIDENTADOS2]],"MICROBUS")</f>
        <v>0</v>
      </c>
      <c r="X135" s="36">
        <f>COUNTIF(Tabla1[[#This Row],[VEHICULOS_ACCIDENTADOS]:[VEHICULOS_ACCIDENTADOS2]],"BUS")</f>
        <v>0</v>
      </c>
      <c r="Y135" s="36">
        <f>COUNTIF(Tabla1[[#This Row],[VEHICULOS_ACCIDENTADOS]:[VEHICULOS_ACCIDENTADOS2]],"BUSETA")</f>
        <v>0</v>
      </c>
      <c r="Z135" s="36">
        <f>COUNTIF(Tabla1[[#This Row],[VEHICULOS_ACCIDENTADOS]:[VEHICULOS_ACCIDENTADOS2]],"CAMION")</f>
        <v>0</v>
      </c>
      <c r="AA135" s="36">
        <f>COUNTIF(Tabla1[[#This Row],[VEHICULOS_ACCIDENTADOS]:[VEHICULOS_ACCIDENTADOS2]],"TRACTOCAMION")</f>
        <v>0</v>
      </c>
      <c r="AB135" s="36">
        <f>COUNTIF(Tabla1[[#This Row],[VEHICULOS_ACCIDENTADOS]:[VEHICULOS_ACCIDENTADOS2]],"VOLQUETA")</f>
        <v>0</v>
      </c>
      <c r="AC135" s="36">
        <f>COUNTIF(Tabla1[[#This Row],[VEHICULOS_ACCIDENTADOS]:[VEHICULOS_ACCIDENTADOS2]],"BICICLETA")</f>
        <v>0</v>
      </c>
      <c r="AD135" s="36" t="s">
        <v>471</v>
      </c>
      <c r="AE135" s="36" t="s">
        <v>472</v>
      </c>
      <c r="AF135" s="36">
        <f>COUNTIF(Tabla1[[#This Row],[GENERO_MASCULINO]:[GENERO_FEMENINO]],"MASCULINO")</f>
        <v>1</v>
      </c>
      <c r="AG135" s="36">
        <f>COUNTIF(Tabla1[[#This Row],[GENERO_MASCULINO]:[GENERO_FEMENINO]],"FEMENINO")</f>
        <v>1</v>
      </c>
      <c r="AH135" s="85">
        <v>18</v>
      </c>
      <c r="AI135" s="85">
        <v>39</v>
      </c>
      <c r="AJ135" s="85">
        <v>5</v>
      </c>
      <c r="AK135" s="78"/>
      <c r="AL135" s="78"/>
      <c r="AM135" s="59"/>
      <c r="AN135" s="61">
        <v>112</v>
      </c>
      <c r="AO135" s="36" t="str">
        <f>IFERROR(((VLOOKUP(Tabla1[[#This Row],[HIPOTESIS_1]],listas!$D$1:$E$105,2,FALSE))),"SIN INFORMACIÓN")</f>
        <v>Desobedecer señales o normas de tránsito.</v>
      </c>
      <c r="AP135" s="36">
        <v>132</v>
      </c>
      <c r="AQ135" s="36" t="str">
        <f>IFERROR(((VLOOKUP(Tabla1[[#This Row],[HIPOTESIS_2]],listas!$D$1:$E$105,2,FALSE))),"")</f>
        <v>No respetar prelación.</v>
      </c>
      <c r="AR135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36" spans="1:44" x14ac:dyDescent="0.25">
      <c r="A136" s="12">
        <v>375</v>
      </c>
      <c r="B136" s="36">
        <v>0</v>
      </c>
      <c r="C136" s="36">
        <v>1</v>
      </c>
      <c r="D136" s="36">
        <v>0</v>
      </c>
      <c r="E136" s="18" t="str">
        <f t="shared" si="8"/>
        <v>LESIONADO</v>
      </c>
      <c r="F136" s="29" t="s">
        <v>962</v>
      </c>
      <c r="G136" s="17">
        <v>5.3391222222222217</v>
      </c>
      <c r="H136" s="17">
        <v>-72.387786111111112</v>
      </c>
      <c r="I136" s="93" t="s">
        <v>697</v>
      </c>
      <c r="J136" s="36" t="s">
        <v>717</v>
      </c>
      <c r="K136" s="24" t="str">
        <f t="shared" si="9"/>
        <v>2022</v>
      </c>
      <c r="L136" s="24" t="str">
        <f t="shared" si="10"/>
        <v>DICIEMBRE</v>
      </c>
      <c r="M136" s="225">
        <v>44915</v>
      </c>
      <c r="N136" s="24" t="str">
        <f t="shared" si="11"/>
        <v>MARTES</v>
      </c>
      <c r="O136" s="102">
        <v>0.35416666666666702</v>
      </c>
      <c r="P136" s="53" t="s">
        <v>442</v>
      </c>
      <c r="Q136" s="53" t="s">
        <v>439</v>
      </c>
      <c r="R136" s="36">
        <f>COUNTIF(Tabla1[[#This Row],[VEHICULOS_ACCIDENTADOS]:[VEHICULOS_ACCIDENTADOS2]],"MOTOCICLETA")</f>
        <v>0</v>
      </c>
      <c r="S136" s="36">
        <f>COUNTIF(Tabla1[[#This Row],[VEHICULOS_ACCIDENTADOS]:[VEHICULOS_ACCIDENTADOS2]],"MOTOCARRO")</f>
        <v>0</v>
      </c>
      <c r="T136" s="36">
        <f>COUNTIF(Tabla1[[#This Row],[VEHICULOS_ACCIDENTADOS]:[VEHICULOS_ACCIDENTADOS2]],"AUTOMOVIL")</f>
        <v>0</v>
      </c>
      <c r="U136" s="36">
        <f>COUNTIF(Tabla1[[#This Row],[VEHICULOS_ACCIDENTADOS]:[VEHICULOS_ACCIDENTADOS2]],"CAMPERO")</f>
        <v>0</v>
      </c>
      <c r="V136" s="36">
        <f>COUNTIF(Tabla1[[#This Row],[VEHICULOS_ACCIDENTADOS]:[VEHICULOS_ACCIDENTADOS2]],"CAMIONETA")</f>
        <v>0</v>
      </c>
      <c r="W136" s="36">
        <f>COUNTIF(Tabla1[[#This Row],[VEHICULOS_ACCIDENTADOS]:[VEHICULOS_ACCIDENTADOS2]],"MICROBUS")</f>
        <v>0</v>
      </c>
      <c r="X136" s="36">
        <f>COUNTIF(Tabla1[[#This Row],[VEHICULOS_ACCIDENTADOS]:[VEHICULOS_ACCIDENTADOS2]],"BUS")</f>
        <v>0</v>
      </c>
      <c r="Y136" s="36">
        <f>COUNTIF(Tabla1[[#This Row],[VEHICULOS_ACCIDENTADOS]:[VEHICULOS_ACCIDENTADOS2]],"BUSETA")</f>
        <v>1</v>
      </c>
      <c r="Z136" s="36">
        <f>COUNTIF(Tabla1[[#This Row],[VEHICULOS_ACCIDENTADOS]:[VEHICULOS_ACCIDENTADOS2]],"CAMION")</f>
        <v>0</v>
      </c>
      <c r="AA136" s="36">
        <f>COUNTIF(Tabla1[[#This Row],[VEHICULOS_ACCIDENTADOS]:[VEHICULOS_ACCIDENTADOS2]],"TRACTOCAMION")</f>
        <v>0</v>
      </c>
      <c r="AB136" s="36">
        <f>COUNTIF(Tabla1[[#This Row],[VEHICULOS_ACCIDENTADOS]:[VEHICULOS_ACCIDENTADOS2]],"VOLQUETA")</f>
        <v>1</v>
      </c>
      <c r="AC136" s="36">
        <f>COUNTIF(Tabla1[[#This Row],[VEHICULOS_ACCIDENTADOS]:[VEHICULOS_ACCIDENTADOS2]],"BICICLETA")</f>
        <v>0</v>
      </c>
      <c r="AD136" s="36" t="s">
        <v>471</v>
      </c>
      <c r="AE136" s="36"/>
      <c r="AF136" s="36">
        <f>COUNTIF(Tabla1[[#This Row],[GENERO_MASCULINO]:[GENERO_FEMENINO]],"MASCULINO")</f>
        <v>1</v>
      </c>
      <c r="AG136" s="36">
        <f>COUNTIF(Tabla1[[#This Row],[GENERO_MASCULINO]:[GENERO_FEMENINO]],"FEMENINO")</f>
        <v>0</v>
      </c>
      <c r="AH136" s="61">
        <v>19</v>
      </c>
      <c r="AI136" s="61">
        <v>55</v>
      </c>
      <c r="AJ136" s="78"/>
      <c r="AK136" s="61"/>
      <c r="AL136" s="61"/>
      <c r="AM136" s="36"/>
      <c r="AN136" s="61">
        <v>122</v>
      </c>
      <c r="AO136" s="36" t="str">
        <f>IFERROR(((VLOOKUP(Tabla1[[#This Row],[HIPOTESIS_1]],listas!$D$1:$E$105,2,FALSE))),"SIN INFORMACIÓN")</f>
        <v>Girar bruscamente.</v>
      </c>
      <c r="AP136" s="36">
        <v>132</v>
      </c>
      <c r="AQ136" s="36" t="str">
        <f>IFERROR(((VLOOKUP(Tabla1[[#This Row],[HIPOTESIS_2]],listas!$D$1:$E$105,2,FALSE))),"")</f>
        <v>No respetar prelación.</v>
      </c>
      <c r="AR136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37" spans="1:44" x14ac:dyDescent="0.25">
      <c r="A137" s="12">
        <v>925</v>
      </c>
      <c r="B137" s="135">
        <v>0</v>
      </c>
      <c r="C137" s="36">
        <v>3</v>
      </c>
      <c r="D137" s="136">
        <v>0</v>
      </c>
      <c r="E137" s="18" t="str">
        <f t="shared" si="8"/>
        <v>LESIONADO</v>
      </c>
      <c r="F137" s="29" t="s">
        <v>1090</v>
      </c>
      <c r="G137" s="7">
        <v>5.3336888888888883</v>
      </c>
      <c r="H137" s="30">
        <v>-72.374499999999998</v>
      </c>
      <c r="I137" s="93" t="s">
        <v>697</v>
      </c>
      <c r="J137" s="36" t="s">
        <v>717</v>
      </c>
      <c r="K137" s="24" t="str">
        <f t="shared" si="9"/>
        <v>2025</v>
      </c>
      <c r="L137" s="24" t="str">
        <f t="shared" si="10"/>
        <v>ABRIL</v>
      </c>
      <c r="M137" s="225">
        <v>45751</v>
      </c>
      <c r="N137" s="24" t="str">
        <f t="shared" si="11"/>
        <v>VIERNES</v>
      </c>
      <c r="O137" s="101">
        <v>0.71527777777777779</v>
      </c>
      <c r="P137" s="36" t="s">
        <v>469</v>
      </c>
      <c r="Q137" s="36" t="s">
        <v>469</v>
      </c>
      <c r="R137" s="36">
        <f>COUNTIF(Tabla1[[#This Row],[VEHICULOS_ACCIDENTADOS]:[VEHICULOS_ACCIDENTADOS2]],"MOTOCICLETA")</f>
        <v>2</v>
      </c>
      <c r="S137" s="36">
        <f>COUNTIF(Tabla1[[#This Row],[VEHICULOS_ACCIDENTADOS]:[VEHICULOS_ACCIDENTADOS2]],"MOTOCARRO")</f>
        <v>0</v>
      </c>
      <c r="T137" s="36">
        <f>COUNTIF(Tabla1[[#This Row],[VEHICULOS_ACCIDENTADOS]:[VEHICULOS_ACCIDENTADOS2]],"AUTOMOVIL")</f>
        <v>0</v>
      </c>
      <c r="U137" s="36">
        <f>COUNTIF(Tabla1[[#This Row],[VEHICULOS_ACCIDENTADOS]:[VEHICULOS_ACCIDENTADOS2]],"CAMPERO")</f>
        <v>0</v>
      </c>
      <c r="V137" s="36">
        <f>COUNTIF(Tabla1[[#This Row],[VEHICULOS_ACCIDENTADOS]:[VEHICULOS_ACCIDENTADOS2]],"CAMIONETA")</f>
        <v>0</v>
      </c>
      <c r="W137" s="36">
        <f>COUNTIF(Tabla1[[#This Row],[VEHICULOS_ACCIDENTADOS]:[VEHICULOS_ACCIDENTADOS2]],"MICROBUS")</f>
        <v>0</v>
      </c>
      <c r="X137" s="36">
        <f>COUNTIF(Tabla1[[#This Row],[VEHICULOS_ACCIDENTADOS]:[VEHICULOS_ACCIDENTADOS2]],"BUS")</f>
        <v>0</v>
      </c>
      <c r="Y137" s="36">
        <f>COUNTIF(Tabla1[[#This Row],[VEHICULOS_ACCIDENTADOS]:[VEHICULOS_ACCIDENTADOS2]],"BUSETA")</f>
        <v>0</v>
      </c>
      <c r="Z137" s="36">
        <f>COUNTIF(Tabla1[[#This Row],[VEHICULOS_ACCIDENTADOS]:[VEHICULOS_ACCIDENTADOS2]],"CAMION")</f>
        <v>0</v>
      </c>
      <c r="AA137" s="36">
        <f>COUNTIF(Tabla1[[#This Row],[VEHICULOS_ACCIDENTADOS]:[VEHICULOS_ACCIDENTADOS2]],"TRACTOCAMION")</f>
        <v>0</v>
      </c>
      <c r="AB137" s="36">
        <f>COUNTIF(Tabla1[[#This Row],[VEHICULOS_ACCIDENTADOS]:[VEHICULOS_ACCIDENTADOS2]],"VOLQUETA")</f>
        <v>0</v>
      </c>
      <c r="AC137" s="36">
        <f>COUNTIF(Tabla1[[#This Row],[VEHICULOS_ACCIDENTADOS]:[VEHICULOS_ACCIDENTADOS2]],"BICICLETA")</f>
        <v>0</v>
      </c>
      <c r="AD137" s="36" t="s">
        <v>471</v>
      </c>
      <c r="AE137" s="36" t="s">
        <v>471</v>
      </c>
      <c r="AF137" s="36">
        <f>COUNTIF(Tabla1[[#This Row],[GENERO_MASCULINO]:[GENERO_FEMENINO]],"MASCULINO")</f>
        <v>2</v>
      </c>
      <c r="AG137" s="36">
        <f>COUNTIF(Tabla1[[#This Row],[GENERO_MASCULINO]:[GENERO_FEMENINO]],"FEMENINO")</f>
        <v>0</v>
      </c>
      <c r="AH137" s="85">
        <v>42</v>
      </c>
      <c r="AI137" s="85">
        <v>54</v>
      </c>
      <c r="AJ137" s="85"/>
      <c r="AK137" s="78"/>
      <c r="AL137" s="78"/>
      <c r="AM137" s="59"/>
      <c r="AN137" s="61">
        <v>139</v>
      </c>
      <c r="AO137" s="36" t="str">
        <f>IFERROR(((VLOOKUP(Tabla1[[#This Row],[HIPOTESIS_1]],listas!$D$1:$E$105,2,FALSE))),"SIN INFORMACIÓN")</f>
        <v>Impericia en el manejo.</v>
      </c>
      <c r="AP137" s="36">
        <v>132</v>
      </c>
      <c r="AQ137" s="36" t="str">
        <f>IFERROR(((VLOOKUP(Tabla1[[#This Row],[HIPOTESIS_2]],listas!$D$1:$E$105,2,FALSE))),"")</f>
        <v>No respetar prelación.</v>
      </c>
      <c r="AR137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38" spans="1:44" x14ac:dyDescent="0.25">
      <c r="A138" s="12">
        <v>30</v>
      </c>
      <c r="B138" s="36">
        <v>1</v>
      </c>
      <c r="C138" s="36">
        <v>0</v>
      </c>
      <c r="D138" s="36">
        <v>0</v>
      </c>
      <c r="E138" s="18" t="str">
        <f t="shared" si="8"/>
        <v>SOLO DAÑO</v>
      </c>
      <c r="F138" s="29" t="s">
        <v>1102</v>
      </c>
      <c r="G138" s="17">
        <v>5.316613888888889</v>
      </c>
      <c r="H138" s="17">
        <v>-72.402241666666669</v>
      </c>
      <c r="I138" s="93" t="s">
        <v>697</v>
      </c>
      <c r="J138" s="36" t="s">
        <v>717</v>
      </c>
      <c r="K138" s="24" t="str">
        <f t="shared" si="9"/>
        <v>2022</v>
      </c>
      <c r="L138" s="24" t="str">
        <f t="shared" si="10"/>
        <v>ENERO</v>
      </c>
      <c r="M138" s="225">
        <v>44590</v>
      </c>
      <c r="N138" s="24" t="str">
        <f t="shared" si="11"/>
        <v>SÁBADO</v>
      </c>
      <c r="O138" s="101">
        <v>0.99305555555555503</v>
      </c>
      <c r="P138" s="63" t="s">
        <v>469</v>
      </c>
      <c r="Q138" s="63" t="s">
        <v>447</v>
      </c>
      <c r="R138" s="36">
        <f>COUNTIF(Tabla1[[#This Row],[VEHICULOS_ACCIDENTADOS]:[VEHICULOS_ACCIDENTADOS2]],"MOTOCICLETA")</f>
        <v>1</v>
      </c>
      <c r="S138" s="36">
        <f>COUNTIF(Tabla1[[#This Row],[VEHICULOS_ACCIDENTADOS]:[VEHICULOS_ACCIDENTADOS2]],"MOTOCARRO")</f>
        <v>0</v>
      </c>
      <c r="T138" s="36">
        <f>COUNTIF(Tabla1[[#This Row],[VEHICULOS_ACCIDENTADOS]:[VEHICULOS_ACCIDENTADOS2]],"AUTOMOVIL")</f>
        <v>1</v>
      </c>
      <c r="U138" s="36">
        <f>COUNTIF(Tabla1[[#This Row],[VEHICULOS_ACCIDENTADOS]:[VEHICULOS_ACCIDENTADOS2]],"CAMPERO")</f>
        <v>0</v>
      </c>
      <c r="V138" s="36">
        <f>COUNTIF(Tabla1[[#This Row],[VEHICULOS_ACCIDENTADOS]:[VEHICULOS_ACCIDENTADOS2]],"CAMIONETA")</f>
        <v>0</v>
      </c>
      <c r="W138" s="36">
        <f>COUNTIF(Tabla1[[#This Row],[VEHICULOS_ACCIDENTADOS]:[VEHICULOS_ACCIDENTADOS2]],"MICROBUS")</f>
        <v>0</v>
      </c>
      <c r="X138" s="36">
        <f>COUNTIF(Tabla1[[#This Row],[VEHICULOS_ACCIDENTADOS]:[VEHICULOS_ACCIDENTADOS2]],"BUS")</f>
        <v>0</v>
      </c>
      <c r="Y138" s="36">
        <f>COUNTIF(Tabla1[[#This Row],[VEHICULOS_ACCIDENTADOS]:[VEHICULOS_ACCIDENTADOS2]],"BUSETA")</f>
        <v>0</v>
      </c>
      <c r="Z138" s="36">
        <f>COUNTIF(Tabla1[[#This Row],[VEHICULOS_ACCIDENTADOS]:[VEHICULOS_ACCIDENTADOS2]],"CAMION")</f>
        <v>0</v>
      </c>
      <c r="AA138" s="36">
        <f>COUNTIF(Tabla1[[#This Row],[VEHICULOS_ACCIDENTADOS]:[VEHICULOS_ACCIDENTADOS2]],"TRACTOCAMION")</f>
        <v>0</v>
      </c>
      <c r="AB138" s="36">
        <f>COUNTIF(Tabla1[[#This Row],[VEHICULOS_ACCIDENTADOS]:[VEHICULOS_ACCIDENTADOS2]],"VOLQUETA")</f>
        <v>0</v>
      </c>
      <c r="AC138" s="36">
        <f>COUNTIF(Tabla1[[#This Row],[VEHICULOS_ACCIDENTADOS]:[VEHICULOS_ACCIDENTADOS2]],"BICICLETA")</f>
        <v>0</v>
      </c>
      <c r="AD138" s="36" t="s">
        <v>471</v>
      </c>
      <c r="AE138" s="36"/>
      <c r="AF138" s="36">
        <f>COUNTIF(Tabla1[[#This Row],[GENERO_MASCULINO]:[GENERO_FEMENINO]],"MASCULINO")</f>
        <v>1</v>
      </c>
      <c r="AG138" s="36">
        <f>COUNTIF(Tabla1[[#This Row],[GENERO_MASCULINO]:[GENERO_FEMENINO]],"FEMENINO")</f>
        <v>0</v>
      </c>
      <c r="AH138" s="61"/>
      <c r="AI138" s="61"/>
      <c r="AJ138" s="61"/>
      <c r="AK138" s="61"/>
      <c r="AL138" s="61"/>
      <c r="AM138" s="36"/>
      <c r="AN138" s="61">
        <v>115</v>
      </c>
      <c r="AO138" s="36" t="str">
        <f>IFERROR(((VLOOKUP(Tabla1[[#This Row],[HIPOTESIS_1]],listas!$D$1:$E$105,2,FALSE))),"SIN INFORMACIÓN")</f>
        <v>Embriaguez o Sustancias alucinogenas</v>
      </c>
      <c r="AP138" s="36">
        <v>132</v>
      </c>
      <c r="AQ138" s="36" t="str">
        <f>IFERROR(((VLOOKUP(Tabla1[[#This Row],[HIPOTESIS_2]],listas!$D$1:$E$105,2,FALSE))),"")</f>
        <v>No respetar prelación.</v>
      </c>
      <c r="AR138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39" spans="1:44" x14ac:dyDescent="0.25">
      <c r="A139" s="12">
        <v>1081</v>
      </c>
      <c r="B139" s="249">
        <v>0</v>
      </c>
      <c r="C139" s="249">
        <v>3</v>
      </c>
      <c r="D139" s="249">
        <v>0</v>
      </c>
      <c r="E139" s="24" t="str">
        <f t="shared" si="8"/>
        <v>LESIONADO</v>
      </c>
      <c r="F139" s="155" t="s">
        <v>1017</v>
      </c>
      <c r="G139" s="30">
        <v>5.3165824920000002</v>
      </c>
      <c r="H139" s="30">
        <v>-72.392322719999996</v>
      </c>
      <c r="I139" s="165" t="s">
        <v>697</v>
      </c>
      <c r="J139" s="36" t="s">
        <v>717</v>
      </c>
      <c r="K139" s="24" t="str">
        <f t="shared" si="9"/>
        <v>2025</v>
      </c>
      <c r="L139" s="24" t="str">
        <f t="shared" si="10"/>
        <v>SEPTIEMBRE</v>
      </c>
      <c r="M139" s="225">
        <v>45928</v>
      </c>
      <c r="N139" s="24" t="str">
        <f t="shared" si="11"/>
        <v>DOMINGO</v>
      </c>
      <c r="O139" s="101">
        <v>0.58333333333333337</v>
      </c>
      <c r="P139" s="63" t="s">
        <v>469</v>
      </c>
      <c r="Q139" s="63" t="s">
        <v>469</v>
      </c>
      <c r="R139" s="36">
        <f>COUNTIF(Tabla1[[#This Row],[VEHICULOS_ACCIDENTADOS]:[VEHICULOS_ACCIDENTADOS2]],"MOTOCICLETA")</f>
        <v>2</v>
      </c>
      <c r="S139" s="36">
        <f>COUNTIF(Tabla1[[#This Row],[VEHICULOS_ACCIDENTADOS]:[VEHICULOS_ACCIDENTADOS2]],"MOTOCARRO")</f>
        <v>0</v>
      </c>
      <c r="T139" s="36">
        <f>COUNTIF(Tabla1[[#This Row],[VEHICULOS_ACCIDENTADOS]:[VEHICULOS_ACCIDENTADOS2]],"AUTOMOVIL")</f>
        <v>0</v>
      </c>
      <c r="U139" s="36">
        <f>COUNTIF(Tabla1[[#This Row],[VEHICULOS_ACCIDENTADOS]:[VEHICULOS_ACCIDENTADOS2]],"CAMPERO")</f>
        <v>0</v>
      </c>
      <c r="V139" s="36">
        <f>COUNTIF(Tabla1[[#This Row],[VEHICULOS_ACCIDENTADOS]:[VEHICULOS_ACCIDENTADOS2]],"CAMIONETA")</f>
        <v>0</v>
      </c>
      <c r="W139" s="36">
        <f>COUNTIF(Tabla1[[#This Row],[VEHICULOS_ACCIDENTADOS]:[VEHICULOS_ACCIDENTADOS2]],"MICROBUS")</f>
        <v>0</v>
      </c>
      <c r="X139" s="36">
        <f>COUNTIF(Tabla1[[#This Row],[VEHICULOS_ACCIDENTADOS]:[VEHICULOS_ACCIDENTADOS2]],"BUS")</f>
        <v>0</v>
      </c>
      <c r="Y139" s="36">
        <f>COUNTIF(Tabla1[[#This Row],[VEHICULOS_ACCIDENTADOS]:[VEHICULOS_ACCIDENTADOS2]],"BUSETA")</f>
        <v>0</v>
      </c>
      <c r="Z139" s="36">
        <f>COUNTIF(Tabla1[[#This Row],[VEHICULOS_ACCIDENTADOS]:[VEHICULOS_ACCIDENTADOS2]],"CAMION")</f>
        <v>0</v>
      </c>
      <c r="AA139" s="36">
        <f>COUNTIF(Tabla1[[#This Row],[VEHICULOS_ACCIDENTADOS]:[VEHICULOS_ACCIDENTADOS2]],"TRACTOCAMION")</f>
        <v>0</v>
      </c>
      <c r="AB139" s="36">
        <f>COUNTIF(Tabla1[[#This Row],[VEHICULOS_ACCIDENTADOS]:[VEHICULOS_ACCIDENTADOS2]],"VOLQUETA")</f>
        <v>0</v>
      </c>
      <c r="AC139" s="36">
        <f>COUNTIF(Tabla1[[#This Row],[VEHICULOS_ACCIDENTADOS]:[VEHICULOS_ACCIDENTADOS2]],"BICICLETA")</f>
        <v>0</v>
      </c>
      <c r="AD139" s="61" t="s">
        <v>471</v>
      </c>
      <c r="AE139" s="61" t="s">
        <v>472</v>
      </c>
      <c r="AF139" s="36">
        <f>COUNTIF(Tabla1[[#This Row],[GENERO_MASCULINO]:[GENERO_FEMENINO]],"MASCULINO")</f>
        <v>1</v>
      </c>
      <c r="AG139" s="36">
        <f>COUNTIF(Tabla1[[#This Row],[GENERO_MASCULINO]:[GENERO_FEMENINO]],"FEMENINO")</f>
        <v>1</v>
      </c>
      <c r="AH139" s="85">
        <v>17</v>
      </c>
      <c r="AI139" s="85">
        <v>48</v>
      </c>
      <c r="AJ139" s="85"/>
      <c r="AK139" s="78"/>
      <c r="AL139" s="78"/>
      <c r="AM139" s="59"/>
      <c r="AN139" s="61">
        <v>139</v>
      </c>
      <c r="AO139" s="59" t="str">
        <f>IFERROR(((VLOOKUP(Tabla1[[#This Row],[HIPOTESIS_1]],listas!$D$1:$E$105,2,FALSE))),"SIN INFORMACIÓN")</f>
        <v>Impericia en el manejo.</v>
      </c>
      <c r="AP139" s="36">
        <v>132</v>
      </c>
      <c r="AQ139" s="36" t="str">
        <f>IFERROR(((VLOOKUP(Tabla1[[#This Row],[HIPOTESIS_2]],listas!$D$1:$E$105,2,FALSE))),"")</f>
        <v>No respetar prelación.</v>
      </c>
      <c r="AR139" s="2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40" spans="1:44" x14ac:dyDescent="0.25">
      <c r="A140" s="12">
        <v>727</v>
      </c>
      <c r="B140" s="36">
        <v>0</v>
      </c>
      <c r="C140" s="36">
        <v>1</v>
      </c>
      <c r="D140" s="36">
        <v>0</v>
      </c>
      <c r="E140" s="18" t="str">
        <f t="shared" si="8"/>
        <v>LESIONADO</v>
      </c>
      <c r="F140" s="29" t="s">
        <v>137</v>
      </c>
      <c r="G140" s="21">
        <v>5.3363452777777773</v>
      </c>
      <c r="H140" s="21">
        <v>-72.40715055555556</v>
      </c>
      <c r="I140" s="93" t="s">
        <v>697</v>
      </c>
      <c r="J140" s="136" t="s">
        <v>717</v>
      </c>
      <c r="K140" s="24" t="str">
        <f t="shared" si="9"/>
        <v>2024</v>
      </c>
      <c r="L140" s="24" t="str">
        <f t="shared" si="10"/>
        <v>JUNIO</v>
      </c>
      <c r="M140" s="225">
        <v>45451</v>
      </c>
      <c r="N140" s="24" t="str">
        <f t="shared" si="11"/>
        <v>SÁBADO</v>
      </c>
      <c r="O140" s="101">
        <v>0.5</v>
      </c>
      <c r="P140" s="57" t="s">
        <v>469</v>
      </c>
      <c r="Q140" s="57" t="s">
        <v>447</v>
      </c>
      <c r="R140" s="36">
        <f>COUNTIF(Tabla1[[#This Row],[VEHICULOS_ACCIDENTADOS]:[VEHICULOS_ACCIDENTADOS2]],"MOTOCICLETA")</f>
        <v>1</v>
      </c>
      <c r="S140" s="36">
        <f>COUNTIF(Tabla1[[#This Row],[VEHICULOS_ACCIDENTADOS]:[VEHICULOS_ACCIDENTADOS2]],"MOTOCARRO")</f>
        <v>0</v>
      </c>
      <c r="T140" s="36">
        <f>COUNTIF(Tabla1[[#This Row],[VEHICULOS_ACCIDENTADOS]:[VEHICULOS_ACCIDENTADOS2]],"AUTOMOVIL")</f>
        <v>1</v>
      </c>
      <c r="U140" s="36">
        <f>COUNTIF(Tabla1[[#This Row],[VEHICULOS_ACCIDENTADOS]:[VEHICULOS_ACCIDENTADOS2]],"CAMPERO")</f>
        <v>0</v>
      </c>
      <c r="V140" s="36">
        <f>COUNTIF(Tabla1[[#This Row],[VEHICULOS_ACCIDENTADOS]:[VEHICULOS_ACCIDENTADOS2]],"CAMIONETA")</f>
        <v>0</v>
      </c>
      <c r="W140" s="36">
        <f>COUNTIF(Tabla1[[#This Row],[VEHICULOS_ACCIDENTADOS]:[VEHICULOS_ACCIDENTADOS2]],"MICROBUS")</f>
        <v>0</v>
      </c>
      <c r="X140" s="36">
        <f>COUNTIF(Tabla1[[#This Row],[VEHICULOS_ACCIDENTADOS]:[VEHICULOS_ACCIDENTADOS2]],"BUS")</f>
        <v>0</v>
      </c>
      <c r="Y140" s="36">
        <f>COUNTIF(Tabla1[[#This Row],[VEHICULOS_ACCIDENTADOS]:[VEHICULOS_ACCIDENTADOS2]],"BUSETA")</f>
        <v>0</v>
      </c>
      <c r="Z140" s="36">
        <f>COUNTIF(Tabla1[[#This Row],[VEHICULOS_ACCIDENTADOS]:[VEHICULOS_ACCIDENTADOS2]],"CAMION")</f>
        <v>0</v>
      </c>
      <c r="AA140" s="36">
        <f>COUNTIF(Tabla1[[#This Row],[VEHICULOS_ACCIDENTADOS]:[VEHICULOS_ACCIDENTADOS2]],"TRACTOCAMION")</f>
        <v>0</v>
      </c>
      <c r="AB140" s="36">
        <f>COUNTIF(Tabla1[[#This Row],[VEHICULOS_ACCIDENTADOS]:[VEHICULOS_ACCIDENTADOS2]],"VOLQUETA")</f>
        <v>0</v>
      </c>
      <c r="AC140" s="36">
        <f>COUNTIF(Tabla1[[#This Row],[VEHICULOS_ACCIDENTADOS]:[VEHICULOS_ACCIDENTADOS2]],"BICICLETA")</f>
        <v>0</v>
      </c>
      <c r="AD140" s="36" t="s">
        <v>471</v>
      </c>
      <c r="AE140" s="36"/>
      <c r="AF140" s="36">
        <f>COUNTIF(Tabla1[[#This Row],[GENERO_MASCULINO]:[GENERO_FEMENINO]],"MASCULINO")</f>
        <v>1</v>
      </c>
      <c r="AG140" s="36">
        <f>COUNTIF(Tabla1[[#This Row],[GENERO_MASCULINO]:[GENERO_FEMENINO]],"FEMENINO")</f>
        <v>0</v>
      </c>
      <c r="AH140" s="61">
        <v>32</v>
      </c>
      <c r="AI140" s="61">
        <v>17</v>
      </c>
      <c r="AJ140" s="61"/>
      <c r="AK140" s="61"/>
      <c r="AL140" s="61"/>
      <c r="AM140" s="36"/>
      <c r="AN140" s="61">
        <v>157</v>
      </c>
      <c r="AO140" s="36" t="str">
        <f>IFERROR(((VLOOKUP(Tabla1[[#This Row],[HIPOTESIS_1]],listas!$D$1:$E$105,2,FALSE))),"SIN INFORMACIÓN")</f>
        <v>Otra</v>
      </c>
      <c r="AP140" s="36">
        <v>132</v>
      </c>
      <c r="AQ140" s="36" t="str">
        <f>IFERROR(((VLOOKUP(Tabla1[[#This Row],[HIPOTESIS_2]],listas!$D$1:$E$105,2,FALSE))),"")</f>
        <v>No respetar prelación.</v>
      </c>
      <c r="AR140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41" spans="1:44" x14ac:dyDescent="0.25">
      <c r="A141" s="12">
        <v>1043</v>
      </c>
      <c r="B141" s="137">
        <v>0</v>
      </c>
      <c r="C141" s="137">
        <v>1</v>
      </c>
      <c r="D141" s="137">
        <v>1</v>
      </c>
      <c r="E141" s="18" t="str">
        <f t="shared" si="8"/>
        <v>FALLECIDO</v>
      </c>
      <c r="F141" s="152" t="s">
        <v>675</v>
      </c>
      <c r="G141" s="30">
        <v>5.341558</v>
      </c>
      <c r="H141" s="30">
        <v>-72.404658999999995</v>
      </c>
      <c r="I141" s="93" t="s">
        <v>697</v>
      </c>
      <c r="J141" s="36" t="s">
        <v>717</v>
      </c>
      <c r="K141" s="24" t="str">
        <f t="shared" si="9"/>
        <v>2025</v>
      </c>
      <c r="L141" s="24" t="str">
        <f t="shared" si="10"/>
        <v>AGOSTO</v>
      </c>
      <c r="M141" s="225">
        <v>45883</v>
      </c>
      <c r="N141" s="24" t="str">
        <f t="shared" si="11"/>
        <v>JUEVES</v>
      </c>
      <c r="O141" s="101">
        <v>0.76388888888888884</v>
      </c>
      <c r="P141" s="181" t="s">
        <v>469</v>
      </c>
      <c r="Q141" s="181" t="s">
        <v>440</v>
      </c>
      <c r="R141" s="36">
        <f>COUNTIF(Tabla1[[#This Row],[VEHICULOS_ACCIDENTADOS]:[VEHICULOS_ACCIDENTADOS2]],"MOTOCICLETA")</f>
        <v>1</v>
      </c>
      <c r="S141" s="36">
        <f>COUNTIF(Tabla1[[#This Row],[VEHICULOS_ACCIDENTADOS]:[VEHICULOS_ACCIDENTADOS2]],"MOTOCARRO")</f>
        <v>0</v>
      </c>
      <c r="T141" s="36">
        <f>COUNTIF(Tabla1[[#This Row],[VEHICULOS_ACCIDENTADOS]:[VEHICULOS_ACCIDENTADOS2]],"AUTOMOVIL")</f>
        <v>0</v>
      </c>
      <c r="U141" s="36">
        <f>COUNTIF(Tabla1[[#This Row],[VEHICULOS_ACCIDENTADOS]:[VEHICULOS_ACCIDENTADOS2]],"CAMPERO")</f>
        <v>0</v>
      </c>
      <c r="V141" s="36">
        <f>COUNTIF(Tabla1[[#This Row],[VEHICULOS_ACCIDENTADOS]:[VEHICULOS_ACCIDENTADOS2]],"CAMIONETA")</f>
        <v>0</v>
      </c>
      <c r="W141" s="36">
        <f>COUNTIF(Tabla1[[#This Row],[VEHICULOS_ACCIDENTADOS]:[VEHICULOS_ACCIDENTADOS2]],"MICROBUS")</f>
        <v>0</v>
      </c>
      <c r="X141" s="36">
        <f>COUNTIF(Tabla1[[#This Row],[VEHICULOS_ACCIDENTADOS]:[VEHICULOS_ACCIDENTADOS2]],"BUS")</f>
        <v>0</v>
      </c>
      <c r="Y141" s="36">
        <f>COUNTIF(Tabla1[[#This Row],[VEHICULOS_ACCIDENTADOS]:[VEHICULOS_ACCIDENTADOS2]],"BUSETA")</f>
        <v>0</v>
      </c>
      <c r="Z141" s="36">
        <f>COUNTIF(Tabla1[[#This Row],[VEHICULOS_ACCIDENTADOS]:[VEHICULOS_ACCIDENTADOS2]],"CAMION")</f>
        <v>0</v>
      </c>
      <c r="AA141" s="36">
        <f>COUNTIF(Tabla1[[#This Row],[VEHICULOS_ACCIDENTADOS]:[VEHICULOS_ACCIDENTADOS2]],"TRACTOCAMION")</f>
        <v>1</v>
      </c>
      <c r="AB141" s="36">
        <f>COUNTIF(Tabla1[[#This Row],[VEHICULOS_ACCIDENTADOS]:[VEHICULOS_ACCIDENTADOS2]],"VOLQUETA")</f>
        <v>0</v>
      </c>
      <c r="AC141" s="36">
        <f>COUNTIF(Tabla1[[#This Row],[VEHICULOS_ACCIDENTADOS]:[VEHICULOS_ACCIDENTADOS2]],"BICICLETA")</f>
        <v>0</v>
      </c>
      <c r="AD141" s="61" t="s">
        <v>472</v>
      </c>
      <c r="AE141" s="61" t="s">
        <v>471</v>
      </c>
      <c r="AF141" s="36">
        <f>COUNTIF(Tabla1[[#This Row],[GENERO_MASCULINO]:[GENERO_FEMENINO]],"MASCULINO")</f>
        <v>1</v>
      </c>
      <c r="AG141" s="36">
        <f>COUNTIF(Tabla1[[#This Row],[GENERO_MASCULINO]:[GENERO_FEMENINO]],"FEMENINO")</f>
        <v>1</v>
      </c>
      <c r="AH141" s="85">
        <v>10</v>
      </c>
      <c r="AI141" s="85">
        <v>32</v>
      </c>
      <c r="AJ141" s="85"/>
      <c r="AK141" s="78"/>
      <c r="AL141" s="78"/>
      <c r="AM141" s="59"/>
      <c r="AN141" s="204">
        <v>139</v>
      </c>
      <c r="AO141" s="59" t="str">
        <f>IFERROR(((VLOOKUP(Tabla1[[#This Row],[HIPOTESIS_1]],listas!$D$1:$E$105,2,FALSE))),"SIN INFORMACIÓN")</f>
        <v>Impericia en el manejo.</v>
      </c>
      <c r="AP141" s="36">
        <v>132</v>
      </c>
      <c r="AQ141" s="36" t="str">
        <f>IFERROR(((VLOOKUP(Tabla1[[#This Row],[HIPOTESIS_2]],listas!$D$1:$E$105,2,FALSE))),"")</f>
        <v>No respetar prelación.</v>
      </c>
      <c r="AR141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42" spans="1:44" x14ac:dyDescent="0.25">
      <c r="A142" s="12">
        <v>614</v>
      </c>
      <c r="B142" s="36">
        <v>0</v>
      </c>
      <c r="C142" s="36">
        <v>2</v>
      </c>
      <c r="D142" s="36">
        <v>0</v>
      </c>
      <c r="E142" s="18" t="str">
        <f t="shared" si="8"/>
        <v>LESIONADO</v>
      </c>
      <c r="F142" s="29" t="s">
        <v>1044</v>
      </c>
      <c r="G142" s="17">
        <v>5.3327833333333334</v>
      </c>
      <c r="H142" s="17">
        <v>-72.403641666666672</v>
      </c>
      <c r="I142" s="93" t="s">
        <v>697</v>
      </c>
      <c r="J142" s="36" t="s">
        <v>717</v>
      </c>
      <c r="K142" s="24" t="str">
        <f t="shared" si="9"/>
        <v>2023</v>
      </c>
      <c r="L142" s="24" t="str">
        <f t="shared" si="10"/>
        <v>NOVIEMBRE</v>
      </c>
      <c r="M142" s="225">
        <v>45250</v>
      </c>
      <c r="N142" s="24" t="str">
        <f t="shared" si="11"/>
        <v>LUNES</v>
      </c>
      <c r="O142" s="101">
        <v>0.52986111111111112</v>
      </c>
      <c r="P142" s="57" t="s">
        <v>469</v>
      </c>
      <c r="Q142" s="57" t="s">
        <v>469</v>
      </c>
      <c r="R142" s="36">
        <f>COUNTIF(Tabla1[[#This Row],[VEHICULOS_ACCIDENTADOS]:[VEHICULOS_ACCIDENTADOS2]],"MOTOCICLETA")</f>
        <v>2</v>
      </c>
      <c r="S142" s="36">
        <f>COUNTIF(Tabla1[[#This Row],[VEHICULOS_ACCIDENTADOS]:[VEHICULOS_ACCIDENTADOS2]],"MOTOCARRO")</f>
        <v>0</v>
      </c>
      <c r="T142" s="36">
        <f>COUNTIF(Tabla1[[#This Row],[VEHICULOS_ACCIDENTADOS]:[VEHICULOS_ACCIDENTADOS2]],"AUTOMOVIL")</f>
        <v>0</v>
      </c>
      <c r="U142" s="36">
        <f>COUNTIF(Tabla1[[#This Row],[VEHICULOS_ACCIDENTADOS]:[VEHICULOS_ACCIDENTADOS2]],"CAMPERO")</f>
        <v>0</v>
      </c>
      <c r="V142" s="36">
        <f>COUNTIF(Tabla1[[#This Row],[VEHICULOS_ACCIDENTADOS]:[VEHICULOS_ACCIDENTADOS2]],"CAMIONETA")</f>
        <v>0</v>
      </c>
      <c r="W142" s="36">
        <f>COUNTIF(Tabla1[[#This Row],[VEHICULOS_ACCIDENTADOS]:[VEHICULOS_ACCIDENTADOS2]],"MICROBUS")</f>
        <v>0</v>
      </c>
      <c r="X142" s="36">
        <f>COUNTIF(Tabla1[[#This Row],[VEHICULOS_ACCIDENTADOS]:[VEHICULOS_ACCIDENTADOS2]],"BUS")</f>
        <v>0</v>
      </c>
      <c r="Y142" s="36">
        <f>COUNTIF(Tabla1[[#This Row],[VEHICULOS_ACCIDENTADOS]:[VEHICULOS_ACCIDENTADOS2]],"BUSETA")</f>
        <v>0</v>
      </c>
      <c r="Z142" s="36">
        <f>COUNTIF(Tabla1[[#This Row],[VEHICULOS_ACCIDENTADOS]:[VEHICULOS_ACCIDENTADOS2]],"CAMION")</f>
        <v>0</v>
      </c>
      <c r="AA142" s="36">
        <f>COUNTIF(Tabla1[[#This Row],[VEHICULOS_ACCIDENTADOS]:[VEHICULOS_ACCIDENTADOS2]],"TRACTOCAMION")</f>
        <v>0</v>
      </c>
      <c r="AB142" s="36">
        <f>COUNTIF(Tabla1[[#This Row],[VEHICULOS_ACCIDENTADOS]:[VEHICULOS_ACCIDENTADOS2]],"VOLQUETA")</f>
        <v>0</v>
      </c>
      <c r="AC142" s="36">
        <f>COUNTIF(Tabla1[[#This Row],[VEHICULOS_ACCIDENTADOS]:[VEHICULOS_ACCIDENTADOS2]],"BICICLETA")</f>
        <v>0</v>
      </c>
      <c r="AD142" s="36" t="s">
        <v>471</v>
      </c>
      <c r="AE142" s="36" t="s">
        <v>472</v>
      </c>
      <c r="AF142" s="36">
        <f>COUNTIF(Tabla1[[#This Row],[GENERO_MASCULINO]:[GENERO_FEMENINO]],"MASCULINO")</f>
        <v>1</v>
      </c>
      <c r="AG142" s="36">
        <f>COUNTIF(Tabla1[[#This Row],[GENERO_MASCULINO]:[GENERO_FEMENINO]],"FEMENINO")</f>
        <v>1</v>
      </c>
      <c r="AH142" s="61">
        <v>20</v>
      </c>
      <c r="AI142" s="61">
        <v>48</v>
      </c>
      <c r="AJ142" s="61"/>
      <c r="AK142" s="61"/>
      <c r="AL142" s="61"/>
      <c r="AM142" s="36"/>
      <c r="AN142" s="61">
        <v>157</v>
      </c>
      <c r="AO142" s="36" t="str">
        <f>IFERROR(((VLOOKUP(Tabla1[[#This Row],[HIPOTESIS_1]],listas!$D$1:$E$105,2,FALSE))),"SIN INFORMACIÓN")</f>
        <v>Otra</v>
      </c>
      <c r="AP142" s="36">
        <v>123</v>
      </c>
      <c r="AQ142" s="36" t="str">
        <f>IFERROR(((VLOOKUP(Tabla1[[#This Row],[HIPOTESIS_2]],listas!$D$1:$E$105,2,FALSE))),"")</f>
        <v>No respetar prelación de intersecciones o giros.</v>
      </c>
      <c r="AR142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43" spans="1:44" x14ac:dyDescent="0.25">
      <c r="A143" s="12">
        <v>701</v>
      </c>
      <c r="B143" s="135">
        <v>0</v>
      </c>
      <c r="C143" s="36">
        <v>2</v>
      </c>
      <c r="D143" s="36">
        <v>0</v>
      </c>
      <c r="E143" s="18" t="str">
        <f t="shared" si="8"/>
        <v>LESIONADO</v>
      </c>
      <c r="F143" s="26" t="s">
        <v>1052</v>
      </c>
      <c r="G143" s="17">
        <v>5.3499786111111112</v>
      </c>
      <c r="H143" s="17">
        <v>-72.391285000000011</v>
      </c>
      <c r="I143" s="93" t="s">
        <v>697</v>
      </c>
      <c r="J143" s="136" t="s">
        <v>717</v>
      </c>
      <c r="K143" s="24" t="str">
        <f t="shared" si="9"/>
        <v>2024</v>
      </c>
      <c r="L143" s="24" t="str">
        <f t="shared" si="10"/>
        <v>MAYO</v>
      </c>
      <c r="M143" s="225">
        <v>45413</v>
      </c>
      <c r="N143" s="24" t="str">
        <f t="shared" si="11"/>
        <v>MIÉRCOLES</v>
      </c>
      <c r="O143" s="101">
        <v>0.85416666666666663</v>
      </c>
      <c r="P143" s="57" t="s">
        <v>469</v>
      </c>
      <c r="Q143" s="57"/>
      <c r="R143" s="36">
        <f>COUNTIF(Tabla1[[#This Row],[VEHICULOS_ACCIDENTADOS]:[VEHICULOS_ACCIDENTADOS2]],"MOTOCICLETA")</f>
        <v>1</v>
      </c>
      <c r="S143" s="36">
        <f>COUNTIF(Tabla1[[#This Row],[VEHICULOS_ACCIDENTADOS]:[VEHICULOS_ACCIDENTADOS2]],"MOTOCARRO")</f>
        <v>0</v>
      </c>
      <c r="T143" s="36">
        <f>COUNTIF(Tabla1[[#This Row],[VEHICULOS_ACCIDENTADOS]:[VEHICULOS_ACCIDENTADOS2]],"AUTOMOVIL")</f>
        <v>0</v>
      </c>
      <c r="U143" s="36">
        <f>COUNTIF(Tabla1[[#This Row],[VEHICULOS_ACCIDENTADOS]:[VEHICULOS_ACCIDENTADOS2]],"CAMPERO")</f>
        <v>0</v>
      </c>
      <c r="V143" s="36">
        <f>COUNTIF(Tabla1[[#This Row],[VEHICULOS_ACCIDENTADOS]:[VEHICULOS_ACCIDENTADOS2]],"CAMIONETA")</f>
        <v>0</v>
      </c>
      <c r="W143" s="36">
        <f>COUNTIF(Tabla1[[#This Row],[VEHICULOS_ACCIDENTADOS]:[VEHICULOS_ACCIDENTADOS2]],"MICROBUS")</f>
        <v>0</v>
      </c>
      <c r="X143" s="36">
        <f>COUNTIF(Tabla1[[#This Row],[VEHICULOS_ACCIDENTADOS]:[VEHICULOS_ACCIDENTADOS2]],"BUS")</f>
        <v>0</v>
      </c>
      <c r="Y143" s="36">
        <f>COUNTIF(Tabla1[[#This Row],[VEHICULOS_ACCIDENTADOS]:[VEHICULOS_ACCIDENTADOS2]],"BUSETA")</f>
        <v>0</v>
      </c>
      <c r="Z143" s="36">
        <f>COUNTIF(Tabla1[[#This Row],[VEHICULOS_ACCIDENTADOS]:[VEHICULOS_ACCIDENTADOS2]],"CAMION")</f>
        <v>0</v>
      </c>
      <c r="AA143" s="36">
        <f>COUNTIF(Tabla1[[#This Row],[VEHICULOS_ACCIDENTADOS]:[VEHICULOS_ACCIDENTADOS2]],"TRACTOCAMION")</f>
        <v>0</v>
      </c>
      <c r="AB143" s="36">
        <f>COUNTIF(Tabla1[[#This Row],[VEHICULOS_ACCIDENTADOS]:[VEHICULOS_ACCIDENTADOS2]],"VOLQUETA")</f>
        <v>0</v>
      </c>
      <c r="AC143" s="36">
        <f>COUNTIF(Tabla1[[#This Row],[VEHICULOS_ACCIDENTADOS]:[VEHICULOS_ACCIDENTADOS2]],"BICICLETA")</f>
        <v>0</v>
      </c>
      <c r="AD143" s="36" t="s">
        <v>471</v>
      </c>
      <c r="AE143" s="36"/>
      <c r="AF143" s="36">
        <f>COUNTIF(Tabla1[[#This Row],[GENERO_MASCULINO]:[GENERO_FEMENINO]],"MASCULINO")</f>
        <v>1</v>
      </c>
      <c r="AG143" s="36">
        <f>COUNTIF(Tabla1[[#This Row],[GENERO_MASCULINO]:[GENERO_FEMENINO]],"FEMENINO")</f>
        <v>0</v>
      </c>
      <c r="AH143" s="61">
        <v>18</v>
      </c>
      <c r="AI143" s="61">
        <v>16</v>
      </c>
      <c r="AJ143" s="61"/>
      <c r="AK143" s="61"/>
      <c r="AL143" s="61"/>
      <c r="AM143" s="36"/>
      <c r="AN143" s="61">
        <v>139</v>
      </c>
      <c r="AO143" s="36" t="str">
        <f>IFERROR(((VLOOKUP(Tabla1[[#This Row],[HIPOTESIS_1]],listas!$D$1:$E$105,2,FALSE))),"SIN INFORMACIÓN")</f>
        <v>Impericia en el manejo.</v>
      </c>
      <c r="AP143" s="36">
        <v>123</v>
      </c>
      <c r="AQ143" s="36" t="str">
        <f>IFERROR(((VLOOKUP(Tabla1[[#This Row],[HIPOTESIS_2]],listas!$D$1:$E$105,2,FALSE))),"")</f>
        <v>No respetar prelación de intersecciones o giros.</v>
      </c>
      <c r="AR143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44" spans="1:44" x14ac:dyDescent="0.25">
      <c r="A144" s="12">
        <v>69</v>
      </c>
      <c r="B144" s="36">
        <v>0</v>
      </c>
      <c r="C144" s="36">
        <v>2</v>
      </c>
      <c r="D144" s="36">
        <v>0</v>
      </c>
      <c r="E144" s="18" t="str">
        <f t="shared" si="8"/>
        <v>LESIONADO</v>
      </c>
      <c r="F144" s="29" t="s">
        <v>417</v>
      </c>
      <c r="G144" s="17">
        <v>5.3420666666666667</v>
      </c>
      <c r="H144" s="17">
        <v>-72.397308333333342</v>
      </c>
      <c r="I144" s="93" t="s">
        <v>697</v>
      </c>
      <c r="J144" s="36" t="s">
        <v>717</v>
      </c>
      <c r="K144" s="24" t="str">
        <f t="shared" si="9"/>
        <v>2022</v>
      </c>
      <c r="L144" s="24" t="str">
        <f t="shared" si="10"/>
        <v>FEBRERO</v>
      </c>
      <c r="M144" s="225">
        <v>44620</v>
      </c>
      <c r="N144" s="24" t="str">
        <f t="shared" si="11"/>
        <v>LUNES</v>
      </c>
      <c r="O144" s="101">
        <v>0.79861111111111105</v>
      </c>
      <c r="P144" s="63" t="s">
        <v>469</v>
      </c>
      <c r="Q144" s="63" t="s">
        <v>445</v>
      </c>
      <c r="R144" s="36">
        <f>COUNTIF(Tabla1[[#This Row],[VEHICULOS_ACCIDENTADOS]:[VEHICULOS_ACCIDENTADOS2]],"MOTOCICLETA")</f>
        <v>1</v>
      </c>
      <c r="S144" s="36">
        <f>COUNTIF(Tabla1[[#This Row],[VEHICULOS_ACCIDENTADOS]:[VEHICULOS_ACCIDENTADOS2]],"MOTOCARRO")</f>
        <v>0</v>
      </c>
      <c r="T144" s="36">
        <f>COUNTIF(Tabla1[[#This Row],[VEHICULOS_ACCIDENTADOS]:[VEHICULOS_ACCIDENTADOS2]],"AUTOMOVIL")</f>
        <v>0</v>
      </c>
      <c r="U144" s="36">
        <f>COUNTIF(Tabla1[[#This Row],[VEHICULOS_ACCIDENTADOS]:[VEHICULOS_ACCIDENTADOS2]],"CAMPERO")</f>
        <v>0</v>
      </c>
      <c r="V144" s="36">
        <f>COUNTIF(Tabla1[[#This Row],[VEHICULOS_ACCIDENTADOS]:[VEHICULOS_ACCIDENTADOS2]],"CAMIONETA")</f>
        <v>1</v>
      </c>
      <c r="W144" s="36">
        <f>COUNTIF(Tabla1[[#This Row],[VEHICULOS_ACCIDENTADOS]:[VEHICULOS_ACCIDENTADOS2]],"MICROBUS")</f>
        <v>0</v>
      </c>
      <c r="X144" s="36">
        <f>COUNTIF(Tabla1[[#This Row],[VEHICULOS_ACCIDENTADOS]:[VEHICULOS_ACCIDENTADOS2]],"BUS")</f>
        <v>0</v>
      </c>
      <c r="Y144" s="36">
        <f>COUNTIF(Tabla1[[#This Row],[VEHICULOS_ACCIDENTADOS]:[VEHICULOS_ACCIDENTADOS2]],"BUSETA")</f>
        <v>0</v>
      </c>
      <c r="Z144" s="36">
        <f>COUNTIF(Tabla1[[#This Row],[VEHICULOS_ACCIDENTADOS]:[VEHICULOS_ACCIDENTADOS2]],"CAMION")</f>
        <v>0</v>
      </c>
      <c r="AA144" s="36">
        <f>COUNTIF(Tabla1[[#This Row],[VEHICULOS_ACCIDENTADOS]:[VEHICULOS_ACCIDENTADOS2]],"TRACTOCAMION")</f>
        <v>0</v>
      </c>
      <c r="AB144" s="36">
        <f>COUNTIF(Tabla1[[#This Row],[VEHICULOS_ACCIDENTADOS]:[VEHICULOS_ACCIDENTADOS2]],"VOLQUETA")</f>
        <v>0</v>
      </c>
      <c r="AC144" s="36">
        <f>COUNTIF(Tabla1[[#This Row],[VEHICULOS_ACCIDENTADOS]:[VEHICULOS_ACCIDENTADOS2]],"BICICLETA")</f>
        <v>0</v>
      </c>
      <c r="AD144" s="36" t="s">
        <v>471</v>
      </c>
      <c r="AE144" s="36"/>
      <c r="AF144" s="36">
        <f>COUNTIF(Tabla1[[#This Row],[GENERO_MASCULINO]:[GENERO_FEMENINO]],"MASCULINO")</f>
        <v>1</v>
      </c>
      <c r="AG144" s="36">
        <f>COUNTIF(Tabla1[[#This Row],[GENERO_MASCULINO]:[GENERO_FEMENINO]],"FEMENINO")</f>
        <v>0</v>
      </c>
      <c r="AH144" s="61">
        <v>16</v>
      </c>
      <c r="AI144" s="61"/>
      <c r="AJ144" s="61"/>
      <c r="AK144" s="61"/>
      <c r="AL144" s="61">
        <v>26</v>
      </c>
      <c r="AM144" s="36"/>
      <c r="AN144" s="61">
        <v>139</v>
      </c>
      <c r="AO144" s="36" t="str">
        <f>IFERROR(((VLOOKUP(Tabla1[[#This Row],[HIPOTESIS_1]],listas!$D$1:$E$105,2,FALSE))),"SIN INFORMACIÓN")</f>
        <v>Impericia en el manejo.</v>
      </c>
      <c r="AP144" s="36">
        <v>123</v>
      </c>
      <c r="AQ144" s="36" t="str">
        <f>IFERROR(((VLOOKUP(Tabla1[[#This Row],[HIPOTESIS_2]],listas!$D$1:$E$105,2,FALSE))),"")</f>
        <v>No respetar prelación de intersecciones o giros.</v>
      </c>
      <c r="AR144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45" spans="1:44" x14ac:dyDescent="0.25">
      <c r="A145" s="12">
        <v>809</v>
      </c>
      <c r="B145" s="135">
        <v>0</v>
      </c>
      <c r="C145" s="136">
        <v>2</v>
      </c>
      <c r="D145" s="141">
        <v>0</v>
      </c>
      <c r="E145" s="18" t="str">
        <f t="shared" si="8"/>
        <v>LESIONADO</v>
      </c>
      <c r="F145" s="26" t="s">
        <v>1155</v>
      </c>
      <c r="G145" s="17">
        <v>5.3377679999999996</v>
      </c>
      <c r="H145" s="17">
        <v>-72.390201000000005</v>
      </c>
      <c r="I145" s="93" t="s">
        <v>697</v>
      </c>
      <c r="J145" s="36" t="s">
        <v>717</v>
      </c>
      <c r="K145" s="24" t="str">
        <f t="shared" si="9"/>
        <v>2024</v>
      </c>
      <c r="L145" s="24" t="str">
        <f t="shared" si="10"/>
        <v>NOVIEMBRE</v>
      </c>
      <c r="M145" s="224">
        <v>45605</v>
      </c>
      <c r="N145" s="24" t="str">
        <f t="shared" si="11"/>
        <v>SÁBADO</v>
      </c>
      <c r="O145" s="171">
        <v>0.35416666666666669</v>
      </c>
      <c r="P145" s="178" t="s">
        <v>469</v>
      </c>
      <c r="Q145" s="178" t="s">
        <v>469</v>
      </c>
      <c r="R145" s="36">
        <f>COUNTIF(Tabla1[[#This Row],[VEHICULOS_ACCIDENTADOS]:[VEHICULOS_ACCIDENTADOS2]],"MOTOCICLETA")</f>
        <v>2</v>
      </c>
      <c r="S145" s="36">
        <f>COUNTIF(Tabla1[[#This Row],[VEHICULOS_ACCIDENTADOS]:[VEHICULOS_ACCIDENTADOS2]],"MOTOCARRO")</f>
        <v>0</v>
      </c>
      <c r="T145" s="36">
        <f>COUNTIF(Tabla1[[#This Row],[VEHICULOS_ACCIDENTADOS]:[VEHICULOS_ACCIDENTADOS2]],"AUTOMOVIL")</f>
        <v>0</v>
      </c>
      <c r="U145" s="36">
        <f>COUNTIF(Tabla1[[#This Row],[VEHICULOS_ACCIDENTADOS]:[VEHICULOS_ACCIDENTADOS2]],"CAMPERO")</f>
        <v>0</v>
      </c>
      <c r="V145" s="36">
        <f>COUNTIF(Tabla1[[#This Row],[VEHICULOS_ACCIDENTADOS]:[VEHICULOS_ACCIDENTADOS2]],"CAMIONETA")</f>
        <v>0</v>
      </c>
      <c r="W145" s="36">
        <f>COUNTIF(Tabla1[[#This Row],[VEHICULOS_ACCIDENTADOS]:[VEHICULOS_ACCIDENTADOS2]],"MICROBUS")</f>
        <v>0</v>
      </c>
      <c r="X145" s="36">
        <f>COUNTIF(Tabla1[[#This Row],[VEHICULOS_ACCIDENTADOS]:[VEHICULOS_ACCIDENTADOS2]],"BUS")</f>
        <v>0</v>
      </c>
      <c r="Y145" s="36">
        <f>COUNTIF(Tabla1[[#This Row],[VEHICULOS_ACCIDENTADOS]:[VEHICULOS_ACCIDENTADOS2]],"BUSETA")</f>
        <v>0</v>
      </c>
      <c r="Z145" s="36">
        <f>COUNTIF(Tabla1[[#This Row],[VEHICULOS_ACCIDENTADOS]:[VEHICULOS_ACCIDENTADOS2]],"CAMION")</f>
        <v>0</v>
      </c>
      <c r="AA145" s="36">
        <f>COUNTIF(Tabla1[[#This Row],[VEHICULOS_ACCIDENTADOS]:[VEHICULOS_ACCIDENTADOS2]],"TRACTOCAMION")</f>
        <v>0</v>
      </c>
      <c r="AB145" s="36">
        <f>COUNTIF(Tabla1[[#This Row],[VEHICULOS_ACCIDENTADOS]:[VEHICULOS_ACCIDENTADOS2]],"VOLQUETA")</f>
        <v>0</v>
      </c>
      <c r="AC145" s="36">
        <f>COUNTIF(Tabla1[[#This Row],[VEHICULOS_ACCIDENTADOS]:[VEHICULOS_ACCIDENTADOS2]],"BICICLETA")</f>
        <v>0</v>
      </c>
      <c r="AD145" s="136" t="s">
        <v>471</v>
      </c>
      <c r="AE145" s="136"/>
      <c r="AF145" s="136">
        <f>COUNTIF(Tabla1[[#This Row],[GENERO_MASCULINO]:[GENERO_FEMENINO]],"MASCULINO")</f>
        <v>1</v>
      </c>
      <c r="AG145" s="36">
        <f>COUNTIF(Tabla1[[#This Row],[GENERO_MASCULINO]:[GENERO_FEMENINO]],"FEMENINO")</f>
        <v>0</v>
      </c>
      <c r="AH145" s="85">
        <v>20</v>
      </c>
      <c r="AI145" s="85">
        <v>69</v>
      </c>
      <c r="AJ145" s="85"/>
      <c r="AK145" s="85"/>
      <c r="AL145" s="85"/>
      <c r="AM145" s="136"/>
      <c r="AN145" s="85">
        <v>112</v>
      </c>
      <c r="AO145" s="36" t="str">
        <f>IFERROR(((VLOOKUP(Tabla1[[#This Row],[HIPOTESIS_1]],listas!$D$1:$E$105,2,FALSE))),"SIN INFORMACIÓN")</f>
        <v>Desobedecer señales o normas de tránsito.</v>
      </c>
      <c r="AP145" s="136">
        <v>123</v>
      </c>
      <c r="AQ145" s="36" t="str">
        <f>IFERROR(((VLOOKUP(Tabla1[[#This Row],[HIPOTESIS_2]],listas!$D$1:$E$105,2,FALSE))),"")</f>
        <v>No respetar prelación de intersecciones o giros.</v>
      </c>
      <c r="AR145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46" spans="1:44" x14ac:dyDescent="0.25">
      <c r="A146" s="12">
        <v>685</v>
      </c>
      <c r="B146" s="136">
        <v>0</v>
      </c>
      <c r="C146" s="136">
        <v>1</v>
      </c>
      <c r="D146" s="136">
        <v>0</v>
      </c>
      <c r="E146" s="18" t="str">
        <f t="shared" si="8"/>
        <v>LESIONADO</v>
      </c>
      <c r="F146" s="26" t="s">
        <v>1065</v>
      </c>
      <c r="G146" s="17">
        <v>5.3386388888888883</v>
      </c>
      <c r="H146" s="17">
        <v>-72.388586111111124</v>
      </c>
      <c r="I146" s="93" t="s">
        <v>697</v>
      </c>
      <c r="J146" s="136" t="s">
        <v>717</v>
      </c>
      <c r="K146" s="24" t="str">
        <f t="shared" si="9"/>
        <v>2024</v>
      </c>
      <c r="L146" s="24" t="str">
        <f t="shared" si="10"/>
        <v>MARZO</v>
      </c>
      <c r="M146" s="224">
        <v>45379</v>
      </c>
      <c r="N146" s="24" t="str">
        <f t="shared" si="11"/>
        <v>JUEVES</v>
      </c>
      <c r="O146" s="171">
        <v>0.12152777777777778</v>
      </c>
      <c r="P146" s="178" t="s">
        <v>469</v>
      </c>
      <c r="Q146" s="178" t="s">
        <v>469</v>
      </c>
      <c r="R146" s="36">
        <f>COUNTIF(Tabla1[[#This Row],[VEHICULOS_ACCIDENTADOS]:[VEHICULOS_ACCIDENTADOS2]],"MOTOCICLETA")</f>
        <v>2</v>
      </c>
      <c r="S146" s="36">
        <f>COUNTIF(Tabla1[[#This Row],[VEHICULOS_ACCIDENTADOS]:[VEHICULOS_ACCIDENTADOS2]],"MOTOCARRO")</f>
        <v>0</v>
      </c>
      <c r="T146" s="36">
        <f>COUNTIF(Tabla1[[#This Row],[VEHICULOS_ACCIDENTADOS]:[VEHICULOS_ACCIDENTADOS2]],"AUTOMOVIL")</f>
        <v>0</v>
      </c>
      <c r="U146" s="36">
        <f>COUNTIF(Tabla1[[#This Row],[VEHICULOS_ACCIDENTADOS]:[VEHICULOS_ACCIDENTADOS2]],"CAMPERO")</f>
        <v>0</v>
      </c>
      <c r="V146" s="36">
        <f>COUNTIF(Tabla1[[#This Row],[VEHICULOS_ACCIDENTADOS]:[VEHICULOS_ACCIDENTADOS2]],"CAMIONETA")</f>
        <v>0</v>
      </c>
      <c r="W146" s="36">
        <f>COUNTIF(Tabla1[[#This Row],[VEHICULOS_ACCIDENTADOS]:[VEHICULOS_ACCIDENTADOS2]],"MICROBUS")</f>
        <v>0</v>
      </c>
      <c r="X146" s="36">
        <f>COUNTIF(Tabla1[[#This Row],[VEHICULOS_ACCIDENTADOS]:[VEHICULOS_ACCIDENTADOS2]],"BUS")</f>
        <v>0</v>
      </c>
      <c r="Y146" s="36">
        <f>COUNTIF(Tabla1[[#This Row],[VEHICULOS_ACCIDENTADOS]:[VEHICULOS_ACCIDENTADOS2]],"BUSETA")</f>
        <v>0</v>
      </c>
      <c r="Z146" s="36">
        <f>COUNTIF(Tabla1[[#This Row],[VEHICULOS_ACCIDENTADOS]:[VEHICULOS_ACCIDENTADOS2]],"CAMION")</f>
        <v>0</v>
      </c>
      <c r="AA146" s="36">
        <f>COUNTIF(Tabla1[[#This Row],[VEHICULOS_ACCIDENTADOS]:[VEHICULOS_ACCIDENTADOS2]],"TRACTOCAMION")</f>
        <v>0</v>
      </c>
      <c r="AB146" s="36">
        <f>COUNTIF(Tabla1[[#This Row],[VEHICULOS_ACCIDENTADOS]:[VEHICULOS_ACCIDENTADOS2]],"VOLQUETA")</f>
        <v>0</v>
      </c>
      <c r="AC146" s="36">
        <f>COUNTIF(Tabla1[[#This Row],[VEHICULOS_ACCIDENTADOS]:[VEHICULOS_ACCIDENTADOS2]],"BICICLETA")</f>
        <v>0</v>
      </c>
      <c r="AD146" s="136" t="s">
        <v>471</v>
      </c>
      <c r="AE146" s="136" t="s">
        <v>472</v>
      </c>
      <c r="AF146" s="136">
        <f>COUNTIF(Tabla1[[#This Row],[GENERO_MASCULINO]:[GENERO_FEMENINO]],"MASCULINO")</f>
        <v>1</v>
      </c>
      <c r="AG146" s="36">
        <f>COUNTIF(Tabla1[[#This Row],[GENERO_MASCULINO]:[GENERO_FEMENINO]],"FEMENINO")</f>
        <v>1</v>
      </c>
      <c r="AH146" s="85">
        <v>39</v>
      </c>
      <c r="AI146" s="85">
        <v>34</v>
      </c>
      <c r="AJ146" s="85"/>
      <c r="AK146" s="85"/>
      <c r="AL146" s="85"/>
      <c r="AM146" s="136"/>
      <c r="AN146" s="85">
        <v>115</v>
      </c>
      <c r="AO146" s="36" t="str">
        <f>IFERROR(((VLOOKUP(Tabla1[[#This Row],[HIPOTESIS_1]],listas!$D$1:$E$105,2,FALSE))),"SIN INFORMACIÓN")</f>
        <v>Embriaguez o Sustancias alucinogenas</v>
      </c>
      <c r="AP146" s="136">
        <v>123</v>
      </c>
      <c r="AQ146" s="36" t="str">
        <f>IFERROR(((VLOOKUP(Tabla1[[#This Row],[HIPOTESIS_2]],listas!$D$1:$E$105,2,FALSE))),"")</f>
        <v>No respetar prelación de intersecciones o giros.</v>
      </c>
      <c r="AR146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47" spans="1:44" x14ac:dyDescent="0.25">
      <c r="A147" s="12">
        <v>669</v>
      </c>
      <c r="B147" s="135">
        <v>0</v>
      </c>
      <c r="C147" s="136">
        <v>1</v>
      </c>
      <c r="D147" s="136">
        <v>0</v>
      </c>
      <c r="E147" s="18" t="str">
        <f t="shared" si="8"/>
        <v>LESIONADO</v>
      </c>
      <c r="F147" s="26" t="s">
        <v>160</v>
      </c>
      <c r="G147" s="21">
        <v>5.3266583333333335</v>
      </c>
      <c r="H147" s="21">
        <v>-72.405302777777777</v>
      </c>
      <c r="I147" s="93" t="s">
        <v>697</v>
      </c>
      <c r="J147" s="136" t="s">
        <v>717</v>
      </c>
      <c r="K147" s="24" t="str">
        <f t="shared" si="9"/>
        <v>2024</v>
      </c>
      <c r="L147" s="24" t="str">
        <f t="shared" si="10"/>
        <v>MARZO</v>
      </c>
      <c r="M147" s="224">
        <v>45353</v>
      </c>
      <c r="N147" s="24" t="str">
        <f t="shared" si="11"/>
        <v>SÁBADO</v>
      </c>
      <c r="O147" s="171">
        <v>0.86805555555555547</v>
      </c>
      <c r="P147" s="178" t="s">
        <v>469</v>
      </c>
      <c r="Q147" s="178" t="s">
        <v>446</v>
      </c>
      <c r="R147" s="36">
        <f>COUNTIF(Tabla1[[#This Row],[VEHICULOS_ACCIDENTADOS]:[VEHICULOS_ACCIDENTADOS2]],"MOTOCICLETA")</f>
        <v>1</v>
      </c>
      <c r="S147" s="36">
        <f>COUNTIF(Tabla1[[#This Row],[VEHICULOS_ACCIDENTADOS]:[VEHICULOS_ACCIDENTADOS2]],"MOTOCARRO")</f>
        <v>0</v>
      </c>
      <c r="T147" s="36">
        <f>COUNTIF(Tabla1[[#This Row],[VEHICULOS_ACCIDENTADOS]:[VEHICULOS_ACCIDENTADOS2]],"AUTOMOVIL")</f>
        <v>0</v>
      </c>
      <c r="U147" s="36">
        <f>COUNTIF(Tabla1[[#This Row],[VEHICULOS_ACCIDENTADOS]:[VEHICULOS_ACCIDENTADOS2]],"CAMPERO")</f>
        <v>1</v>
      </c>
      <c r="V147" s="36">
        <f>COUNTIF(Tabla1[[#This Row],[VEHICULOS_ACCIDENTADOS]:[VEHICULOS_ACCIDENTADOS2]],"CAMIONETA")</f>
        <v>0</v>
      </c>
      <c r="W147" s="36">
        <f>COUNTIF(Tabla1[[#This Row],[VEHICULOS_ACCIDENTADOS]:[VEHICULOS_ACCIDENTADOS2]],"MICROBUS")</f>
        <v>0</v>
      </c>
      <c r="X147" s="36">
        <f>COUNTIF(Tabla1[[#This Row],[VEHICULOS_ACCIDENTADOS]:[VEHICULOS_ACCIDENTADOS2]],"BUS")</f>
        <v>0</v>
      </c>
      <c r="Y147" s="36">
        <f>COUNTIF(Tabla1[[#This Row],[VEHICULOS_ACCIDENTADOS]:[VEHICULOS_ACCIDENTADOS2]],"BUSETA")</f>
        <v>0</v>
      </c>
      <c r="Z147" s="36">
        <f>COUNTIF(Tabla1[[#This Row],[VEHICULOS_ACCIDENTADOS]:[VEHICULOS_ACCIDENTADOS2]],"CAMION")</f>
        <v>0</v>
      </c>
      <c r="AA147" s="36">
        <f>COUNTIF(Tabla1[[#This Row],[VEHICULOS_ACCIDENTADOS]:[VEHICULOS_ACCIDENTADOS2]],"TRACTOCAMION")</f>
        <v>0</v>
      </c>
      <c r="AB147" s="36">
        <f>COUNTIF(Tabla1[[#This Row],[VEHICULOS_ACCIDENTADOS]:[VEHICULOS_ACCIDENTADOS2]],"VOLQUETA")</f>
        <v>0</v>
      </c>
      <c r="AC147" s="36">
        <f>COUNTIF(Tabla1[[#This Row],[VEHICULOS_ACCIDENTADOS]:[VEHICULOS_ACCIDENTADOS2]],"BICICLETA")</f>
        <v>0</v>
      </c>
      <c r="AD147" s="136" t="s">
        <v>471</v>
      </c>
      <c r="AE147" s="136"/>
      <c r="AF147" s="136">
        <f>COUNTIF(Tabla1[[#This Row],[GENERO_MASCULINO]:[GENERO_FEMENINO]],"MASCULINO")</f>
        <v>1</v>
      </c>
      <c r="AG147" s="36">
        <f>COUNTIF(Tabla1[[#This Row],[GENERO_MASCULINO]:[GENERO_FEMENINO]],"FEMENINO")</f>
        <v>0</v>
      </c>
      <c r="AH147" s="85">
        <v>42</v>
      </c>
      <c r="AI147" s="85">
        <v>61</v>
      </c>
      <c r="AJ147" s="85"/>
      <c r="AK147" s="85"/>
      <c r="AL147" s="85"/>
      <c r="AM147" s="136"/>
      <c r="AN147" s="85">
        <v>139</v>
      </c>
      <c r="AO147" s="36" t="str">
        <f>IFERROR(((VLOOKUP(Tabla1[[#This Row],[HIPOTESIS_1]],listas!$D$1:$E$105,2,FALSE))),"SIN INFORMACIÓN")</f>
        <v>Impericia en el manejo.</v>
      </c>
      <c r="AP147" s="136">
        <v>123</v>
      </c>
      <c r="AQ147" s="36" t="str">
        <f>IFERROR(((VLOOKUP(Tabla1[[#This Row],[HIPOTESIS_2]],listas!$D$1:$E$105,2,FALSE))),"")</f>
        <v>No respetar prelación de intersecciones o giros.</v>
      </c>
      <c r="AR147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48" spans="1:44" x14ac:dyDescent="0.25">
      <c r="A148" s="12">
        <v>151</v>
      </c>
      <c r="B148" s="36">
        <v>0</v>
      </c>
      <c r="C148" s="36">
        <v>1</v>
      </c>
      <c r="D148" s="36">
        <v>0</v>
      </c>
      <c r="E148" s="18" t="str">
        <f t="shared" si="8"/>
        <v>LESIONADO</v>
      </c>
      <c r="F148" s="29" t="s">
        <v>380</v>
      </c>
      <c r="G148" s="17">
        <v>5.3095083333333335</v>
      </c>
      <c r="H148" s="17">
        <v>-72.4025888888889</v>
      </c>
      <c r="I148" s="93" t="s">
        <v>697</v>
      </c>
      <c r="J148" s="36" t="s">
        <v>717</v>
      </c>
      <c r="K148" s="24" t="str">
        <f t="shared" si="9"/>
        <v>2022</v>
      </c>
      <c r="L148" s="24" t="str">
        <f t="shared" si="10"/>
        <v>ABRIL</v>
      </c>
      <c r="M148" s="225">
        <v>44678</v>
      </c>
      <c r="N148" s="24" t="str">
        <f t="shared" si="11"/>
        <v>MIÉRCOLES</v>
      </c>
      <c r="O148" s="101">
        <v>0.63194444444444398</v>
      </c>
      <c r="P148" s="63" t="s">
        <v>469</v>
      </c>
      <c r="Q148" s="63" t="s">
        <v>447</v>
      </c>
      <c r="R148" s="36">
        <f>COUNTIF(Tabla1[[#This Row],[VEHICULOS_ACCIDENTADOS]:[VEHICULOS_ACCIDENTADOS2]],"MOTOCICLETA")</f>
        <v>1</v>
      </c>
      <c r="S148" s="36">
        <f>COUNTIF(Tabla1[[#This Row],[VEHICULOS_ACCIDENTADOS]:[VEHICULOS_ACCIDENTADOS2]],"MOTOCARRO")</f>
        <v>0</v>
      </c>
      <c r="T148" s="36">
        <f>COUNTIF(Tabla1[[#This Row],[VEHICULOS_ACCIDENTADOS]:[VEHICULOS_ACCIDENTADOS2]],"AUTOMOVIL")</f>
        <v>1</v>
      </c>
      <c r="U148" s="36">
        <f>COUNTIF(Tabla1[[#This Row],[VEHICULOS_ACCIDENTADOS]:[VEHICULOS_ACCIDENTADOS2]],"CAMPERO")</f>
        <v>0</v>
      </c>
      <c r="V148" s="36">
        <f>COUNTIF(Tabla1[[#This Row],[VEHICULOS_ACCIDENTADOS]:[VEHICULOS_ACCIDENTADOS2]],"CAMIONETA")</f>
        <v>0</v>
      </c>
      <c r="W148" s="36">
        <f>COUNTIF(Tabla1[[#This Row],[VEHICULOS_ACCIDENTADOS]:[VEHICULOS_ACCIDENTADOS2]],"MICROBUS")</f>
        <v>0</v>
      </c>
      <c r="X148" s="36">
        <f>COUNTIF(Tabla1[[#This Row],[VEHICULOS_ACCIDENTADOS]:[VEHICULOS_ACCIDENTADOS2]],"BUS")</f>
        <v>0</v>
      </c>
      <c r="Y148" s="36">
        <f>COUNTIF(Tabla1[[#This Row],[VEHICULOS_ACCIDENTADOS]:[VEHICULOS_ACCIDENTADOS2]],"BUSETA")</f>
        <v>0</v>
      </c>
      <c r="Z148" s="36">
        <f>COUNTIF(Tabla1[[#This Row],[VEHICULOS_ACCIDENTADOS]:[VEHICULOS_ACCIDENTADOS2]],"CAMION")</f>
        <v>0</v>
      </c>
      <c r="AA148" s="36">
        <f>COUNTIF(Tabla1[[#This Row],[VEHICULOS_ACCIDENTADOS]:[VEHICULOS_ACCIDENTADOS2]],"TRACTOCAMION")</f>
        <v>0</v>
      </c>
      <c r="AB148" s="36">
        <f>COUNTIF(Tabla1[[#This Row],[VEHICULOS_ACCIDENTADOS]:[VEHICULOS_ACCIDENTADOS2]],"VOLQUETA")</f>
        <v>0</v>
      </c>
      <c r="AC148" s="36">
        <f>COUNTIF(Tabla1[[#This Row],[VEHICULOS_ACCIDENTADOS]:[VEHICULOS_ACCIDENTADOS2]],"BICICLETA")</f>
        <v>0</v>
      </c>
      <c r="AD148" s="36" t="s">
        <v>471</v>
      </c>
      <c r="AE148" s="36"/>
      <c r="AF148" s="36">
        <f>COUNTIF(Tabla1[[#This Row],[GENERO_MASCULINO]:[GENERO_FEMENINO]],"MASCULINO")</f>
        <v>1</v>
      </c>
      <c r="AG148" s="36">
        <f>COUNTIF(Tabla1[[#This Row],[GENERO_MASCULINO]:[GENERO_FEMENINO]],"FEMENINO")</f>
        <v>0</v>
      </c>
      <c r="AH148" s="61">
        <v>38</v>
      </c>
      <c r="AI148" s="61"/>
      <c r="AJ148" s="61"/>
      <c r="AK148" s="61"/>
      <c r="AL148" s="61"/>
      <c r="AM148" s="36"/>
      <c r="AN148" s="61">
        <v>139</v>
      </c>
      <c r="AO148" s="36" t="str">
        <f>IFERROR(((VLOOKUP(Tabla1[[#This Row],[HIPOTESIS_1]],listas!$D$1:$E$105,2,FALSE))),"SIN INFORMACIÓN")</f>
        <v>Impericia en el manejo.</v>
      </c>
      <c r="AP148" s="36">
        <v>123</v>
      </c>
      <c r="AQ148" s="36" t="str">
        <f>IFERROR(((VLOOKUP(Tabla1[[#This Row],[HIPOTESIS_2]],listas!$D$1:$E$105,2,FALSE))),"")</f>
        <v>No respetar prelación de intersecciones o giros.</v>
      </c>
      <c r="AR148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49" spans="1:44" x14ac:dyDescent="0.25">
      <c r="A149" s="12">
        <v>272</v>
      </c>
      <c r="B149" s="36">
        <v>0</v>
      </c>
      <c r="C149" s="36">
        <v>1</v>
      </c>
      <c r="D149" s="36">
        <v>0</v>
      </c>
      <c r="E149" s="18" t="str">
        <f t="shared" si="8"/>
        <v>LESIONADO</v>
      </c>
      <c r="F149" s="154" t="s">
        <v>333</v>
      </c>
      <c r="G149" s="17">
        <v>5.3370527777777772</v>
      </c>
      <c r="H149" s="17">
        <v>-72.340469722222224</v>
      </c>
      <c r="I149" s="93" t="s">
        <v>697</v>
      </c>
      <c r="J149" s="36" t="s">
        <v>717</v>
      </c>
      <c r="K149" s="24" t="str">
        <f t="shared" si="9"/>
        <v>2022</v>
      </c>
      <c r="L149" s="24" t="str">
        <f t="shared" si="10"/>
        <v>AGOSTO</v>
      </c>
      <c r="M149" s="225">
        <v>44780</v>
      </c>
      <c r="N149" s="24" t="str">
        <f t="shared" si="11"/>
        <v>DOMINGO</v>
      </c>
      <c r="O149" s="102">
        <v>0.625</v>
      </c>
      <c r="P149" s="53" t="s">
        <v>469</v>
      </c>
      <c r="Q149" s="53" t="s">
        <v>469</v>
      </c>
      <c r="R149" s="36">
        <f>COUNTIF(Tabla1[[#This Row],[VEHICULOS_ACCIDENTADOS]:[VEHICULOS_ACCIDENTADOS2]],"MOTOCICLETA")</f>
        <v>2</v>
      </c>
      <c r="S149" s="36">
        <f>COUNTIF(Tabla1[[#This Row],[VEHICULOS_ACCIDENTADOS]:[VEHICULOS_ACCIDENTADOS2]],"MOTOCARRO")</f>
        <v>0</v>
      </c>
      <c r="T149" s="36">
        <f>COUNTIF(Tabla1[[#This Row],[VEHICULOS_ACCIDENTADOS]:[VEHICULOS_ACCIDENTADOS2]],"AUTOMOVIL")</f>
        <v>0</v>
      </c>
      <c r="U149" s="36">
        <f>COUNTIF(Tabla1[[#This Row],[VEHICULOS_ACCIDENTADOS]:[VEHICULOS_ACCIDENTADOS2]],"CAMPERO")</f>
        <v>0</v>
      </c>
      <c r="V149" s="36">
        <f>COUNTIF(Tabla1[[#This Row],[VEHICULOS_ACCIDENTADOS]:[VEHICULOS_ACCIDENTADOS2]],"CAMIONETA")</f>
        <v>0</v>
      </c>
      <c r="W149" s="36">
        <f>COUNTIF(Tabla1[[#This Row],[VEHICULOS_ACCIDENTADOS]:[VEHICULOS_ACCIDENTADOS2]],"MICROBUS")</f>
        <v>0</v>
      </c>
      <c r="X149" s="36">
        <f>COUNTIF(Tabla1[[#This Row],[VEHICULOS_ACCIDENTADOS]:[VEHICULOS_ACCIDENTADOS2]],"BUS")</f>
        <v>0</v>
      </c>
      <c r="Y149" s="36">
        <f>COUNTIF(Tabla1[[#This Row],[VEHICULOS_ACCIDENTADOS]:[VEHICULOS_ACCIDENTADOS2]],"BUSETA")</f>
        <v>0</v>
      </c>
      <c r="Z149" s="36">
        <f>COUNTIF(Tabla1[[#This Row],[VEHICULOS_ACCIDENTADOS]:[VEHICULOS_ACCIDENTADOS2]],"CAMION")</f>
        <v>0</v>
      </c>
      <c r="AA149" s="36">
        <f>COUNTIF(Tabla1[[#This Row],[VEHICULOS_ACCIDENTADOS]:[VEHICULOS_ACCIDENTADOS2]],"TRACTOCAMION")</f>
        <v>0</v>
      </c>
      <c r="AB149" s="36">
        <f>COUNTIF(Tabla1[[#This Row],[VEHICULOS_ACCIDENTADOS]:[VEHICULOS_ACCIDENTADOS2]],"VOLQUETA")</f>
        <v>0</v>
      </c>
      <c r="AC149" s="36">
        <f>COUNTIF(Tabla1[[#This Row],[VEHICULOS_ACCIDENTADOS]:[VEHICULOS_ACCIDENTADOS2]],"BICICLETA")</f>
        <v>0</v>
      </c>
      <c r="AD149" s="36" t="s">
        <v>471</v>
      </c>
      <c r="AE149" s="36"/>
      <c r="AF149" s="36">
        <f>COUNTIF(Tabla1[[#This Row],[GENERO_MASCULINO]:[GENERO_FEMENINO]],"MASCULINO")</f>
        <v>1</v>
      </c>
      <c r="AG149" s="36">
        <f>COUNTIF(Tabla1[[#This Row],[GENERO_MASCULINO]:[GENERO_FEMENINO]],"FEMENINO")</f>
        <v>0</v>
      </c>
      <c r="AH149" s="61">
        <v>56</v>
      </c>
      <c r="AI149" s="61"/>
      <c r="AJ149" s="61"/>
      <c r="AK149" s="61"/>
      <c r="AL149" s="61"/>
      <c r="AM149" s="36"/>
      <c r="AN149" s="61">
        <v>115</v>
      </c>
      <c r="AO149" s="36" t="str">
        <f>IFERROR(((VLOOKUP(Tabla1[[#This Row],[HIPOTESIS_1]],listas!$D$1:$E$105,2,FALSE))),"SIN INFORMACIÓN")</f>
        <v>Embriaguez o Sustancias alucinogenas</v>
      </c>
      <c r="AP149" s="36">
        <v>123</v>
      </c>
      <c r="AQ149" s="36" t="str">
        <f>IFERROR(((VLOOKUP(Tabla1[[#This Row],[HIPOTESIS_2]],listas!$D$1:$E$105,2,FALSE))),"")</f>
        <v>No respetar prelación de intersecciones o giros.</v>
      </c>
      <c r="AR149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50" spans="1:44" x14ac:dyDescent="0.25">
      <c r="A150" s="12">
        <v>836</v>
      </c>
      <c r="B150" s="136">
        <v>1</v>
      </c>
      <c r="C150" s="136">
        <v>0</v>
      </c>
      <c r="D150" s="141">
        <v>0</v>
      </c>
      <c r="E150" s="18" t="str">
        <f t="shared" si="8"/>
        <v>SOLO DAÑO</v>
      </c>
      <c r="F150" s="29" t="s">
        <v>836</v>
      </c>
      <c r="G150" s="17">
        <v>5.340325</v>
      </c>
      <c r="H150" s="17">
        <v>-72.385502777777788</v>
      </c>
      <c r="I150" s="93" t="s">
        <v>697</v>
      </c>
      <c r="J150" s="36" t="s">
        <v>717</v>
      </c>
      <c r="K150" s="24" t="str">
        <f t="shared" si="9"/>
        <v>2024</v>
      </c>
      <c r="L150" s="24" t="str">
        <f t="shared" si="10"/>
        <v>DICIEMBRE</v>
      </c>
      <c r="M150" s="224">
        <v>45641</v>
      </c>
      <c r="N150" s="24" t="str">
        <f t="shared" si="11"/>
        <v>DOMINGO</v>
      </c>
      <c r="O150" s="171">
        <v>0.10416666666666667</v>
      </c>
      <c r="P150" s="178" t="s">
        <v>447</v>
      </c>
      <c r="Q150" s="178" t="s">
        <v>447</v>
      </c>
      <c r="R150" s="36">
        <f>COUNTIF(Tabla1[[#This Row],[VEHICULOS_ACCIDENTADOS]:[VEHICULOS_ACCIDENTADOS2]],"MOTOCICLETA")</f>
        <v>0</v>
      </c>
      <c r="S150" s="36">
        <f>COUNTIF(Tabla1[[#This Row],[VEHICULOS_ACCIDENTADOS]:[VEHICULOS_ACCIDENTADOS2]],"MOTOCARRO")</f>
        <v>0</v>
      </c>
      <c r="T150" s="36">
        <f>COUNTIF(Tabla1[[#This Row],[VEHICULOS_ACCIDENTADOS]:[VEHICULOS_ACCIDENTADOS2]],"AUTOMOVIL")</f>
        <v>2</v>
      </c>
      <c r="U150" s="36">
        <f>COUNTIF(Tabla1[[#This Row],[VEHICULOS_ACCIDENTADOS]:[VEHICULOS_ACCIDENTADOS2]],"CAMPERO")</f>
        <v>0</v>
      </c>
      <c r="V150" s="36">
        <f>COUNTIF(Tabla1[[#This Row],[VEHICULOS_ACCIDENTADOS]:[VEHICULOS_ACCIDENTADOS2]],"CAMIONETA")</f>
        <v>0</v>
      </c>
      <c r="W150" s="36">
        <f>COUNTIF(Tabla1[[#This Row],[VEHICULOS_ACCIDENTADOS]:[VEHICULOS_ACCIDENTADOS2]],"MICROBUS")</f>
        <v>0</v>
      </c>
      <c r="X150" s="36">
        <f>COUNTIF(Tabla1[[#This Row],[VEHICULOS_ACCIDENTADOS]:[VEHICULOS_ACCIDENTADOS2]],"BUS")</f>
        <v>0</v>
      </c>
      <c r="Y150" s="36">
        <f>COUNTIF(Tabla1[[#This Row],[VEHICULOS_ACCIDENTADOS]:[VEHICULOS_ACCIDENTADOS2]],"BUSETA")</f>
        <v>0</v>
      </c>
      <c r="Z150" s="36">
        <f>COUNTIF(Tabla1[[#This Row],[VEHICULOS_ACCIDENTADOS]:[VEHICULOS_ACCIDENTADOS2]],"CAMION")</f>
        <v>0</v>
      </c>
      <c r="AA150" s="36">
        <f>COUNTIF(Tabla1[[#This Row],[VEHICULOS_ACCIDENTADOS]:[VEHICULOS_ACCIDENTADOS2]],"TRACTOCAMION")</f>
        <v>0</v>
      </c>
      <c r="AB150" s="36">
        <f>COUNTIF(Tabla1[[#This Row],[VEHICULOS_ACCIDENTADOS]:[VEHICULOS_ACCIDENTADOS2]],"VOLQUETA")</f>
        <v>0</v>
      </c>
      <c r="AC150" s="36">
        <f>COUNTIF(Tabla1[[#This Row],[VEHICULOS_ACCIDENTADOS]:[VEHICULOS_ACCIDENTADOS2]],"BICICLETA")</f>
        <v>0</v>
      </c>
      <c r="AD150" s="136" t="s">
        <v>471</v>
      </c>
      <c r="AE150" s="136"/>
      <c r="AF150" s="136">
        <f>COUNTIF(Tabla1[[#This Row],[GENERO_MASCULINO]:[GENERO_FEMENINO]],"MASCULINO")</f>
        <v>1</v>
      </c>
      <c r="AG150" s="36">
        <f>COUNTIF(Tabla1[[#This Row],[GENERO_MASCULINO]:[GENERO_FEMENINO]],"FEMENINO")</f>
        <v>0</v>
      </c>
      <c r="AH150" s="85">
        <v>41</v>
      </c>
      <c r="AI150" s="85">
        <v>19</v>
      </c>
      <c r="AJ150" s="85">
        <v>31</v>
      </c>
      <c r="AK150" s="85"/>
      <c r="AL150" s="85"/>
      <c r="AM150" s="136"/>
      <c r="AN150" s="85">
        <v>115</v>
      </c>
      <c r="AO150" s="36" t="str">
        <f>IFERROR(((VLOOKUP(Tabla1[[#This Row],[HIPOTESIS_1]],listas!$D$1:$E$105,2,FALSE))),"SIN INFORMACIÓN")</f>
        <v>Embriaguez o Sustancias alucinogenas</v>
      </c>
      <c r="AP150" s="136">
        <v>121</v>
      </c>
      <c r="AQ150" s="36" t="str">
        <f>IFERROR(((VLOOKUP(Tabla1[[#This Row],[HIPOTESIS_2]],listas!$D$1:$E$105,2,FALSE))),"")</f>
        <v>No mantener distancia de seguridad.</v>
      </c>
      <c r="AR150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51" spans="1:44" x14ac:dyDescent="0.25">
      <c r="A151" s="12">
        <v>735</v>
      </c>
      <c r="B151" s="135">
        <v>0</v>
      </c>
      <c r="C151" s="36">
        <v>1</v>
      </c>
      <c r="D151" s="36">
        <v>0</v>
      </c>
      <c r="E151" s="18" t="str">
        <f t="shared" si="8"/>
        <v>LESIONADO</v>
      </c>
      <c r="F151" s="29" t="s">
        <v>135</v>
      </c>
      <c r="G151" s="21">
        <v>5.340716944444444</v>
      </c>
      <c r="H151" s="21">
        <v>-72.374431111111107</v>
      </c>
      <c r="I151" s="93" t="s">
        <v>697</v>
      </c>
      <c r="J151" s="136" t="s">
        <v>717</v>
      </c>
      <c r="K151" s="24" t="str">
        <f t="shared" si="9"/>
        <v>2024</v>
      </c>
      <c r="L151" s="24" t="str">
        <f t="shared" si="10"/>
        <v>JUNIO</v>
      </c>
      <c r="M151" s="225">
        <v>45468</v>
      </c>
      <c r="N151" s="24" t="str">
        <f t="shared" si="11"/>
        <v>MARTES</v>
      </c>
      <c r="O151" s="101">
        <v>0.45833333333333331</v>
      </c>
      <c r="P151" s="57" t="s">
        <v>469</v>
      </c>
      <c r="Q151" s="57" t="s">
        <v>445</v>
      </c>
      <c r="R151" s="36">
        <f>COUNTIF(Tabla1[[#This Row],[VEHICULOS_ACCIDENTADOS]:[VEHICULOS_ACCIDENTADOS2]],"MOTOCICLETA")</f>
        <v>1</v>
      </c>
      <c r="S151" s="36">
        <f>COUNTIF(Tabla1[[#This Row],[VEHICULOS_ACCIDENTADOS]:[VEHICULOS_ACCIDENTADOS2]],"MOTOCARRO")</f>
        <v>0</v>
      </c>
      <c r="T151" s="36">
        <f>COUNTIF(Tabla1[[#This Row],[VEHICULOS_ACCIDENTADOS]:[VEHICULOS_ACCIDENTADOS2]],"AUTOMOVIL")</f>
        <v>0</v>
      </c>
      <c r="U151" s="36">
        <f>COUNTIF(Tabla1[[#This Row],[VEHICULOS_ACCIDENTADOS]:[VEHICULOS_ACCIDENTADOS2]],"CAMPERO")</f>
        <v>0</v>
      </c>
      <c r="V151" s="36">
        <f>COUNTIF(Tabla1[[#This Row],[VEHICULOS_ACCIDENTADOS]:[VEHICULOS_ACCIDENTADOS2]],"CAMIONETA")</f>
        <v>1</v>
      </c>
      <c r="W151" s="36">
        <f>COUNTIF(Tabla1[[#This Row],[VEHICULOS_ACCIDENTADOS]:[VEHICULOS_ACCIDENTADOS2]],"MICROBUS")</f>
        <v>0</v>
      </c>
      <c r="X151" s="36">
        <f>COUNTIF(Tabla1[[#This Row],[VEHICULOS_ACCIDENTADOS]:[VEHICULOS_ACCIDENTADOS2]],"BUS")</f>
        <v>0</v>
      </c>
      <c r="Y151" s="36">
        <f>COUNTIF(Tabla1[[#This Row],[VEHICULOS_ACCIDENTADOS]:[VEHICULOS_ACCIDENTADOS2]],"BUSETA")</f>
        <v>0</v>
      </c>
      <c r="Z151" s="36">
        <f>COUNTIF(Tabla1[[#This Row],[VEHICULOS_ACCIDENTADOS]:[VEHICULOS_ACCIDENTADOS2]],"CAMION")</f>
        <v>0</v>
      </c>
      <c r="AA151" s="36">
        <f>COUNTIF(Tabla1[[#This Row],[VEHICULOS_ACCIDENTADOS]:[VEHICULOS_ACCIDENTADOS2]],"TRACTOCAMION")</f>
        <v>0</v>
      </c>
      <c r="AB151" s="36">
        <f>COUNTIF(Tabla1[[#This Row],[VEHICULOS_ACCIDENTADOS]:[VEHICULOS_ACCIDENTADOS2]],"VOLQUETA")</f>
        <v>0</v>
      </c>
      <c r="AC151" s="36">
        <f>COUNTIF(Tabla1[[#This Row],[VEHICULOS_ACCIDENTADOS]:[VEHICULOS_ACCIDENTADOS2]],"BICICLETA")</f>
        <v>0</v>
      </c>
      <c r="AD151" s="36" t="s">
        <v>471</v>
      </c>
      <c r="AE151" s="36"/>
      <c r="AF151" s="36">
        <f>COUNTIF(Tabla1[[#This Row],[GENERO_MASCULINO]:[GENERO_FEMENINO]],"MASCULINO")</f>
        <v>1</v>
      </c>
      <c r="AG151" s="36">
        <f>COUNTIF(Tabla1[[#This Row],[GENERO_MASCULINO]:[GENERO_FEMENINO]],"FEMENINO")</f>
        <v>0</v>
      </c>
      <c r="AH151" s="61">
        <v>65</v>
      </c>
      <c r="AI151" s="61">
        <v>19</v>
      </c>
      <c r="AJ151" s="61"/>
      <c r="AK151" s="61"/>
      <c r="AL151" s="61"/>
      <c r="AM151" s="36"/>
      <c r="AN151" s="61">
        <v>139</v>
      </c>
      <c r="AO151" s="36" t="str">
        <f>IFERROR(((VLOOKUP(Tabla1[[#This Row],[HIPOTESIS_1]],listas!$D$1:$E$105,2,FALSE))),"SIN INFORMACIÓN")</f>
        <v>Impericia en el manejo.</v>
      </c>
      <c r="AP151" s="36">
        <v>121</v>
      </c>
      <c r="AQ151" s="36" t="str">
        <f>IFERROR(((VLOOKUP(Tabla1[[#This Row],[HIPOTESIS_2]],listas!$D$1:$E$105,2,FALSE))),"")</f>
        <v>No mantener distancia de seguridad.</v>
      </c>
      <c r="AR151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52" spans="1:44" x14ac:dyDescent="0.25">
      <c r="A152" s="12">
        <v>762</v>
      </c>
      <c r="B152" s="135">
        <v>0</v>
      </c>
      <c r="C152" s="136">
        <v>2</v>
      </c>
      <c r="D152" s="136">
        <v>0</v>
      </c>
      <c r="E152" s="18" t="str">
        <f t="shared" si="8"/>
        <v>LESIONADO</v>
      </c>
      <c r="F152" s="26" t="s">
        <v>121</v>
      </c>
      <c r="G152" s="21">
        <v>5.3235861111111111</v>
      </c>
      <c r="H152" s="21">
        <v>-72.38537222222223</v>
      </c>
      <c r="I152" s="93" t="s">
        <v>697</v>
      </c>
      <c r="J152" s="136" t="s">
        <v>717</v>
      </c>
      <c r="K152" s="24" t="str">
        <f t="shared" si="9"/>
        <v>2024</v>
      </c>
      <c r="L152" s="24" t="str">
        <f t="shared" si="10"/>
        <v>AGOSTO</v>
      </c>
      <c r="M152" s="224">
        <v>45516</v>
      </c>
      <c r="N152" s="24" t="str">
        <f t="shared" si="11"/>
        <v>LUNES</v>
      </c>
      <c r="O152" s="171">
        <v>0.71875</v>
      </c>
      <c r="P152" s="178" t="s">
        <v>469</v>
      </c>
      <c r="Q152" s="178" t="s">
        <v>469</v>
      </c>
      <c r="R152" s="36">
        <f>COUNTIF(Tabla1[[#This Row],[VEHICULOS_ACCIDENTADOS]:[VEHICULOS_ACCIDENTADOS2]],"MOTOCICLETA")</f>
        <v>2</v>
      </c>
      <c r="S152" s="36">
        <f>COUNTIF(Tabla1[[#This Row],[VEHICULOS_ACCIDENTADOS]:[VEHICULOS_ACCIDENTADOS2]],"MOTOCARRO")</f>
        <v>0</v>
      </c>
      <c r="T152" s="36">
        <f>COUNTIF(Tabla1[[#This Row],[VEHICULOS_ACCIDENTADOS]:[VEHICULOS_ACCIDENTADOS2]],"AUTOMOVIL")</f>
        <v>0</v>
      </c>
      <c r="U152" s="36">
        <f>COUNTIF(Tabla1[[#This Row],[VEHICULOS_ACCIDENTADOS]:[VEHICULOS_ACCIDENTADOS2]],"CAMPERO")</f>
        <v>0</v>
      </c>
      <c r="V152" s="36">
        <f>COUNTIF(Tabla1[[#This Row],[VEHICULOS_ACCIDENTADOS]:[VEHICULOS_ACCIDENTADOS2]],"CAMIONETA")</f>
        <v>0</v>
      </c>
      <c r="W152" s="36">
        <f>COUNTIF(Tabla1[[#This Row],[VEHICULOS_ACCIDENTADOS]:[VEHICULOS_ACCIDENTADOS2]],"MICROBUS")</f>
        <v>0</v>
      </c>
      <c r="X152" s="36">
        <f>COUNTIF(Tabla1[[#This Row],[VEHICULOS_ACCIDENTADOS]:[VEHICULOS_ACCIDENTADOS2]],"BUS")</f>
        <v>0</v>
      </c>
      <c r="Y152" s="36">
        <f>COUNTIF(Tabla1[[#This Row],[VEHICULOS_ACCIDENTADOS]:[VEHICULOS_ACCIDENTADOS2]],"BUSETA")</f>
        <v>0</v>
      </c>
      <c r="Z152" s="36">
        <f>COUNTIF(Tabla1[[#This Row],[VEHICULOS_ACCIDENTADOS]:[VEHICULOS_ACCIDENTADOS2]],"CAMION")</f>
        <v>0</v>
      </c>
      <c r="AA152" s="36">
        <f>COUNTIF(Tabla1[[#This Row],[VEHICULOS_ACCIDENTADOS]:[VEHICULOS_ACCIDENTADOS2]],"TRACTOCAMION")</f>
        <v>0</v>
      </c>
      <c r="AB152" s="36">
        <f>COUNTIF(Tabla1[[#This Row],[VEHICULOS_ACCIDENTADOS]:[VEHICULOS_ACCIDENTADOS2]],"VOLQUETA")</f>
        <v>0</v>
      </c>
      <c r="AC152" s="36">
        <f>COUNTIF(Tabla1[[#This Row],[VEHICULOS_ACCIDENTADOS]:[VEHICULOS_ACCIDENTADOS2]],"BICICLETA")</f>
        <v>0</v>
      </c>
      <c r="AD152" s="136" t="s">
        <v>471</v>
      </c>
      <c r="AE152" s="136" t="s">
        <v>472</v>
      </c>
      <c r="AF152" s="136">
        <f>COUNTIF(Tabla1[[#This Row],[GENERO_MASCULINO]:[GENERO_FEMENINO]],"MASCULINO")</f>
        <v>1</v>
      </c>
      <c r="AG152" s="36">
        <f>COUNTIF(Tabla1[[#This Row],[GENERO_MASCULINO]:[GENERO_FEMENINO]],"FEMENINO")</f>
        <v>1</v>
      </c>
      <c r="AH152" s="85">
        <v>29</v>
      </c>
      <c r="AI152" s="85">
        <v>19</v>
      </c>
      <c r="AJ152" s="85">
        <v>29</v>
      </c>
      <c r="AK152" s="85"/>
      <c r="AL152" s="85"/>
      <c r="AM152" s="136"/>
      <c r="AN152" s="85">
        <v>139</v>
      </c>
      <c r="AO152" s="36" t="str">
        <f>IFERROR(((VLOOKUP(Tabla1[[#This Row],[HIPOTESIS_1]],listas!$D$1:$E$105,2,FALSE))),"SIN INFORMACIÓN")</f>
        <v>Impericia en el manejo.</v>
      </c>
      <c r="AP152" s="136">
        <v>121</v>
      </c>
      <c r="AQ152" s="36" t="str">
        <f>IFERROR(((VLOOKUP(Tabla1[[#This Row],[HIPOTESIS_2]],listas!$D$1:$E$105,2,FALSE))),"")</f>
        <v>No mantener distancia de seguridad.</v>
      </c>
      <c r="AR152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53" spans="1:44" x14ac:dyDescent="0.25">
      <c r="A153" s="12">
        <v>56</v>
      </c>
      <c r="B153" s="36">
        <v>0</v>
      </c>
      <c r="C153" s="36">
        <v>1</v>
      </c>
      <c r="D153" s="36">
        <v>0</v>
      </c>
      <c r="E153" s="18" t="str">
        <f t="shared" si="8"/>
        <v>LESIONADO</v>
      </c>
      <c r="F153" s="29" t="s">
        <v>419</v>
      </c>
      <c r="G153" s="17">
        <v>5.3022083333333327</v>
      </c>
      <c r="H153" s="17">
        <v>-72.411988888888899</v>
      </c>
      <c r="I153" s="93" t="s">
        <v>697</v>
      </c>
      <c r="J153" s="36" t="s">
        <v>717</v>
      </c>
      <c r="K153" s="24" t="str">
        <f t="shared" si="9"/>
        <v>2022</v>
      </c>
      <c r="L153" s="24" t="str">
        <f t="shared" si="10"/>
        <v>FEBRERO</v>
      </c>
      <c r="M153" s="225">
        <v>44607</v>
      </c>
      <c r="N153" s="24" t="str">
        <f t="shared" si="11"/>
        <v>MARTES</v>
      </c>
      <c r="O153" s="101">
        <v>0.3125</v>
      </c>
      <c r="P153" s="63" t="s">
        <v>469</v>
      </c>
      <c r="Q153" s="63" t="s">
        <v>447</v>
      </c>
      <c r="R153" s="36">
        <f>COUNTIF(Tabla1[[#This Row],[VEHICULOS_ACCIDENTADOS]:[VEHICULOS_ACCIDENTADOS2]],"MOTOCICLETA")</f>
        <v>1</v>
      </c>
      <c r="S153" s="36">
        <f>COUNTIF(Tabla1[[#This Row],[VEHICULOS_ACCIDENTADOS]:[VEHICULOS_ACCIDENTADOS2]],"MOTOCARRO")</f>
        <v>0</v>
      </c>
      <c r="T153" s="36">
        <f>COUNTIF(Tabla1[[#This Row],[VEHICULOS_ACCIDENTADOS]:[VEHICULOS_ACCIDENTADOS2]],"AUTOMOVIL")</f>
        <v>1</v>
      </c>
      <c r="U153" s="36">
        <f>COUNTIF(Tabla1[[#This Row],[VEHICULOS_ACCIDENTADOS]:[VEHICULOS_ACCIDENTADOS2]],"CAMPERO")</f>
        <v>0</v>
      </c>
      <c r="V153" s="36">
        <f>COUNTIF(Tabla1[[#This Row],[VEHICULOS_ACCIDENTADOS]:[VEHICULOS_ACCIDENTADOS2]],"CAMIONETA")</f>
        <v>0</v>
      </c>
      <c r="W153" s="36">
        <f>COUNTIF(Tabla1[[#This Row],[VEHICULOS_ACCIDENTADOS]:[VEHICULOS_ACCIDENTADOS2]],"MICROBUS")</f>
        <v>0</v>
      </c>
      <c r="X153" s="36">
        <f>COUNTIF(Tabla1[[#This Row],[VEHICULOS_ACCIDENTADOS]:[VEHICULOS_ACCIDENTADOS2]],"BUS")</f>
        <v>0</v>
      </c>
      <c r="Y153" s="36">
        <f>COUNTIF(Tabla1[[#This Row],[VEHICULOS_ACCIDENTADOS]:[VEHICULOS_ACCIDENTADOS2]],"BUSETA")</f>
        <v>0</v>
      </c>
      <c r="Z153" s="36">
        <f>COUNTIF(Tabla1[[#This Row],[VEHICULOS_ACCIDENTADOS]:[VEHICULOS_ACCIDENTADOS2]],"CAMION")</f>
        <v>0</v>
      </c>
      <c r="AA153" s="36">
        <f>COUNTIF(Tabla1[[#This Row],[VEHICULOS_ACCIDENTADOS]:[VEHICULOS_ACCIDENTADOS2]],"TRACTOCAMION")</f>
        <v>0</v>
      </c>
      <c r="AB153" s="36">
        <f>COUNTIF(Tabla1[[#This Row],[VEHICULOS_ACCIDENTADOS]:[VEHICULOS_ACCIDENTADOS2]],"VOLQUETA")</f>
        <v>0</v>
      </c>
      <c r="AC153" s="36">
        <f>COUNTIF(Tabla1[[#This Row],[VEHICULOS_ACCIDENTADOS]:[VEHICULOS_ACCIDENTADOS2]],"BICICLETA")</f>
        <v>0</v>
      </c>
      <c r="AD153" s="36" t="s">
        <v>471</v>
      </c>
      <c r="AE153" s="36" t="s">
        <v>472</v>
      </c>
      <c r="AF153" s="36">
        <f>COUNTIF(Tabla1[[#This Row],[GENERO_MASCULINO]:[GENERO_FEMENINO]],"MASCULINO")</f>
        <v>1</v>
      </c>
      <c r="AG153" s="36">
        <f>COUNTIF(Tabla1[[#This Row],[GENERO_MASCULINO]:[GENERO_FEMENINO]],"FEMENINO")</f>
        <v>1</v>
      </c>
      <c r="AH153" s="61">
        <v>17</v>
      </c>
      <c r="AI153" s="61"/>
      <c r="AJ153" s="61"/>
      <c r="AK153" s="61"/>
      <c r="AL153" s="61"/>
      <c r="AM153" s="36"/>
      <c r="AN153" s="61">
        <v>139</v>
      </c>
      <c r="AO153" s="36" t="str">
        <f>IFERROR(((VLOOKUP(Tabla1[[#This Row],[HIPOTESIS_1]],listas!$D$1:$E$105,2,FALSE))),"SIN INFORMACIÓN")</f>
        <v>Impericia en el manejo.</v>
      </c>
      <c r="AP153" s="36">
        <v>121</v>
      </c>
      <c r="AQ153" s="36" t="str">
        <f>IFERROR(((VLOOKUP(Tabla1[[#This Row],[HIPOTESIS_2]],listas!$D$1:$E$105,2,FALSE))),"")</f>
        <v>No mantener distancia de seguridad.</v>
      </c>
      <c r="AR153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54" spans="1:44" x14ac:dyDescent="0.25">
      <c r="A154" s="12">
        <v>372</v>
      </c>
      <c r="B154" s="36">
        <v>0</v>
      </c>
      <c r="C154" s="36">
        <v>2</v>
      </c>
      <c r="D154" s="36">
        <v>0</v>
      </c>
      <c r="E154" s="18" t="str">
        <f t="shared" si="8"/>
        <v>LESIONADO</v>
      </c>
      <c r="F154" s="29" t="s">
        <v>912</v>
      </c>
      <c r="G154" s="17">
        <v>5.3250388888888889</v>
      </c>
      <c r="H154" s="17">
        <v>-72.389369444444455</v>
      </c>
      <c r="I154" s="93" t="s">
        <v>697</v>
      </c>
      <c r="J154" s="36" t="s">
        <v>717</v>
      </c>
      <c r="K154" s="24" t="str">
        <f t="shared" si="9"/>
        <v>2022</v>
      </c>
      <c r="L154" s="24" t="str">
        <f t="shared" si="10"/>
        <v>DICIEMBRE</v>
      </c>
      <c r="M154" s="225">
        <v>44908</v>
      </c>
      <c r="N154" s="24" t="str">
        <f t="shared" si="11"/>
        <v>MARTES</v>
      </c>
      <c r="O154" s="102">
        <v>0.93055555555555503</v>
      </c>
      <c r="P154" s="53" t="s">
        <v>469</v>
      </c>
      <c r="Q154" s="53" t="s">
        <v>445</v>
      </c>
      <c r="R154" s="36">
        <f>COUNTIF(Tabla1[[#This Row],[VEHICULOS_ACCIDENTADOS]:[VEHICULOS_ACCIDENTADOS2]],"MOTOCICLETA")</f>
        <v>1</v>
      </c>
      <c r="S154" s="36">
        <f>COUNTIF(Tabla1[[#This Row],[VEHICULOS_ACCIDENTADOS]:[VEHICULOS_ACCIDENTADOS2]],"MOTOCARRO")</f>
        <v>0</v>
      </c>
      <c r="T154" s="36">
        <f>COUNTIF(Tabla1[[#This Row],[VEHICULOS_ACCIDENTADOS]:[VEHICULOS_ACCIDENTADOS2]],"AUTOMOVIL")</f>
        <v>0</v>
      </c>
      <c r="U154" s="36">
        <f>COUNTIF(Tabla1[[#This Row],[VEHICULOS_ACCIDENTADOS]:[VEHICULOS_ACCIDENTADOS2]],"CAMPERO")</f>
        <v>0</v>
      </c>
      <c r="V154" s="36">
        <f>COUNTIF(Tabla1[[#This Row],[VEHICULOS_ACCIDENTADOS]:[VEHICULOS_ACCIDENTADOS2]],"CAMIONETA")</f>
        <v>1</v>
      </c>
      <c r="W154" s="36">
        <f>COUNTIF(Tabla1[[#This Row],[VEHICULOS_ACCIDENTADOS]:[VEHICULOS_ACCIDENTADOS2]],"MICROBUS")</f>
        <v>0</v>
      </c>
      <c r="X154" s="36">
        <f>COUNTIF(Tabla1[[#This Row],[VEHICULOS_ACCIDENTADOS]:[VEHICULOS_ACCIDENTADOS2]],"BUS")</f>
        <v>0</v>
      </c>
      <c r="Y154" s="36">
        <f>COUNTIF(Tabla1[[#This Row],[VEHICULOS_ACCIDENTADOS]:[VEHICULOS_ACCIDENTADOS2]],"BUSETA")</f>
        <v>0</v>
      </c>
      <c r="Z154" s="36">
        <f>COUNTIF(Tabla1[[#This Row],[VEHICULOS_ACCIDENTADOS]:[VEHICULOS_ACCIDENTADOS2]],"CAMION")</f>
        <v>0</v>
      </c>
      <c r="AA154" s="36">
        <f>COUNTIF(Tabla1[[#This Row],[VEHICULOS_ACCIDENTADOS]:[VEHICULOS_ACCIDENTADOS2]],"TRACTOCAMION")</f>
        <v>0</v>
      </c>
      <c r="AB154" s="36">
        <f>COUNTIF(Tabla1[[#This Row],[VEHICULOS_ACCIDENTADOS]:[VEHICULOS_ACCIDENTADOS2]],"VOLQUETA")</f>
        <v>0</v>
      </c>
      <c r="AC154" s="36">
        <f>COUNTIF(Tabla1[[#This Row],[VEHICULOS_ACCIDENTADOS]:[VEHICULOS_ACCIDENTADOS2]],"BICICLETA")</f>
        <v>0</v>
      </c>
      <c r="AD154" s="36" t="s">
        <v>471</v>
      </c>
      <c r="AE154" s="36"/>
      <c r="AF154" s="36">
        <f>COUNTIF(Tabla1[[#This Row],[GENERO_MASCULINO]:[GENERO_FEMENINO]],"MASCULINO")</f>
        <v>1</v>
      </c>
      <c r="AG154" s="36">
        <f>COUNTIF(Tabla1[[#This Row],[GENERO_MASCULINO]:[GENERO_FEMENINO]],"FEMENINO")</f>
        <v>0</v>
      </c>
      <c r="AH154" s="61">
        <v>18</v>
      </c>
      <c r="AI154" s="61"/>
      <c r="AJ154" s="78"/>
      <c r="AK154" s="61"/>
      <c r="AL154" s="61">
        <v>29</v>
      </c>
      <c r="AM154" s="36"/>
      <c r="AN154" s="61">
        <v>116</v>
      </c>
      <c r="AO154" s="36" t="str">
        <f>IFERROR(((VLOOKUP(Tabla1[[#This Row],[HIPOTESIS_1]],listas!$D$1:$E$105,2,FALSE))),"SIN INFORMACIÓN")</f>
        <v>Exceso de velocidad</v>
      </c>
      <c r="AP154" s="36">
        <v>121</v>
      </c>
      <c r="AQ154" s="36" t="str">
        <f>IFERROR(((VLOOKUP(Tabla1[[#This Row],[HIPOTESIS_2]],listas!$D$1:$E$105,2,FALSE))),"")</f>
        <v>No mantener distancia de seguridad.</v>
      </c>
      <c r="AR154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55" spans="1:44" x14ac:dyDescent="0.25">
      <c r="A155" s="12">
        <v>329</v>
      </c>
      <c r="B155" s="36">
        <v>0</v>
      </c>
      <c r="C155" s="36">
        <v>2</v>
      </c>
      <c r="D155" s="36">
        <v>0</v>
      </c>
      <c r="E155" s="18" t="str">
        <f t="shared" si="8"/>
        <v>LESIONADO</v>
      </c>
      <c r="F155" s="36" t="s">
        <v>1066</v>
      </c>
      <c r="G155" s="17">
        <v>5.3378524999999994</v>
      </c>
      <c r="H155" s="17">
        <v>-72.388125000000002</v>
      </c>
      <c r="I155" s="93" t="s">
        <v>697</v>
      </c>
      <c r="J155" s="36" t="s">
        <v>717</v>
      </c>
      <c r="K155" s="24" t="str">
        <f t="shared" si="9"/>
        <v>2022</v>
      </c>
      <c r="L155" s="24" t="str">
        <f t="shared" si="10"/>
        <v>OCTUBRE</v>
      </c>
      <c r="M155" s="224">
        <v>44843</v>
      </c>
      <c r="N155" s="24" t="str">
        <f t="shared" si="11"/>
        <v>DOMINGO</v>
      </c>
      <c r="O155" s="102">
        <v>0.76041666666666696</v>
      </c>
      <c r="P155" s="53" t="s">
        <v>469</v>
      </c>
      <c r="Q155" s="53" t="s">
        <v>469</v>
      </c>
      <c r="R155" s="36">
        <f>COUNTIF(Tabla1[[#This Row],[VEHICULOS_ACCIDENTADOS]:[VEHICULOS_ACCIDENTADOS2]],"MOTOCICLETA")</f>
        <v>2</v>
      </c>
      <c r="S155" s="36">
        <f>COUNTIF(Tabla1[[#This Row],[VEHICULOS_ACCIDENTADOS]:[VEHICULOS_ACCIDENTADOS2]],"MOTOCARRO")</f>
        <v>0</v>
      </c>
      <c r="T155" s="36">
        <f>COUNTIF(Tabla1[[#This Row],[VEHICULOS_ACCIDENTADOS]:[VEHICULOS_ACCIDENTADOS2]],"AUTOMOVIL")</f>
        <v>0</v>
      </c>
      <c r="U155" s="36">
        <f>COUNTIF(Tabla1[[#This Row],[VEHICULOS_ACCIDENTADOS]:[VEHICULOS_ACCIDENTADOS2]],"CAMPERO")</f>
        <v>0</v>
      </c>
      <c r="V155" s="36">
        <f>COUNTIF(Tabla1[[#This Row],[VEHICULOS_ACCIDENTADOS]:[VEHICULOS_ACCIDENTADOS2]],"CAMIONETA")</f>
        <v>0</v>
      </c>
      <c r="W155" s="36">
        <f>COUNTIF(Tabla1[[#This Row],[VEHICULOS_ACCIDENTADOS]:[VEHICULOS_ACCIDENTADOS2]],"MICROBUS")</f>
        <v>0</v>
      </c>
      <c r="X155" s="36">
        <f>COUNTIF(Tabla1[[#This Row],[VEHICULOS_ACCIDENTADOS]:[VEHICULOS_ACCIDENTADOS2]],"BUS")</f>
        <v>0</v>
      </c>
      <c r="Y155" s="36">
        <f>COUNTIF(Tabla1[[#This Row],[VEHICULOS_ACCIDENTADOS]:[VEHICULOS_ACCIDENTADOS2]],"BUSETA")</f>
        <v>0</v>
      </c>
      <c r="Z155" s="36">
        <f>COUNTIF(Tabla1[[#This Row],[VEHICULOS_ACCIDENTADOS]:[VEHICULOS_ACCIDENTADOS2]],"CAMION")</f>
        <v>0</v>
      </c>
      <c r="AA155" s="36">
        <f>COUNTIF(Tabla1[[#This Row],[VEHICULOS_ACCIDENTADOS]:[VEHICULOS_ACCIDENTADOS2]],"TRACTOCAMION")</f>
        <v>0</v>
      </c>
      <c r="AB155" s="36">
        <f>COUNTIF(Tabla1[[#This Row],[VEHICULOS_ACCIDENTADOS]:[VEHICULOS_ACCIDENTADOS2]],"VOLQUETA")</f>
        <v>0</v>
      </c>
      <c r="AC155" s="36">
        <f>COUNTIF(Tabla1[[#This Row],[VEHICULOS_ACCIDENTADOS]:[VEHICULOS_ACCIDENTADOS2]],"BICICLETA")</f>
        <v>0</v>
      </c>
      <c r="AD155" s="36" t="s">
        <v>471</v>
      </c>
      <c r="AE155" s="36"/>
      <c r="AF155" s="36">
        <f>COUNTIF(Tabla1[[#This Row],[GENERO_MASCULINO]:[GENERO_FEMENINO]],"MASCULINO")</f>
        <v>1</v>
      </c>
      <c r="AG155" s="36">
        <f>COUNTIF(Tabla1[[#This Row],[GENERO_MASCULINO]:[GENERO_FEMENINO]],"FEMENINO")</f>
        <v>0</v>
      </c>
      <c r="AH155" s="61">
        <v>36</v>
      </c>
      <c r="AI155" s="61">
        <v>37</v>
      </c>
      <c r="AJ155" s="61"/>
      <c r="AK155" s="61"/>
      <c r="AL155" s="61"/>
      <c r="AM155" s="36"/>
      <c r="AN155" s="61">
        <v>115</v>
      </c>
      <c r="AO155" s="36" t="str">
        <f>IFERROR(((VLOOKUP(Tabla1[[#This Row],[HIPOTESIS_1]],listas!$D$1:$E$105,2,FALSE))),"SIN INFORMACIÓN")</f>
        <v>Embriaguez o Sustancias alucinogenas</v>
      </c>
      <c r="AP155" s="36">
        <v>121</v>
      </c>
      <c r="AQ155" s="36" t="str">
        <f>IFERROR(((VLOOKUP(Tabla1[[#This Row],[HIPOTESIS_2]],listas!$D$1:$E$105,2,FALSE))),"")</f>
        <v>No mantener distancia de seguridad.</v>
      </c>
      <c r="AR155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56" spans="1:44" x14ac:dyDescent="0.25">
      <c r="A156" s="12">
        <v>460</v>
      </c>
      <c r="B156" s="36">
        <v>0</v>
      </c>
      <c r="C156" s="36">
        <v>3</v>
      </c>
      <c r="D156" s="36">
        <v>0</v>
      </c>
      <c r="E156" s="18" t="str">
        <f t="shared" si="8"/>
        <v>LESIONADO</v>
      </c>
      <c r="F156" s="29" t="s">
        <v>991</v>
      </c>
      <c r="G156" s="21">
        <v>5.3306138888888883</v>
      </c>
      <c r="H156" s="21">
        <v>-72.409179166666675</v>
      </c>
      <c r="I156" s="93" t="s">
        <v>697</v>
      </c>
      <c r="J156" s="36" t="s">
        <v>717</v>
      </c>
      <c r="K156" s="24" t="str">
        <f t="shared" si="9"/>
        <v>2023</v>
      </c>
      <c r="L156" s="24" t="str">
        <f t="shared" si="10"/>
        <v>ABRIL</v>
      </c>
      <c r="M156" s="225">
        <v>45040</v>
      </c>
      <c r="N156" s="24" t="str">
        <f t="shared" si="11"/>
        <v>LUNES</v>
      </c>
      <c r="O156" s="101">
        <v>0.57291666666666663</v>
      </c>
      <c r="P156" s="57" t="s">
        <v>469</v>
      </c>
      <c r="Q156" s="57" t="s">
        <v>441</v>
      </c>
      <c r="R156" s="36">
        <f>COUNTIF(Tabla1[[#This Row],[VEHICULOS_ACCIDENTADOS]:[VEHICULOS_ACCIDENTADOS2]],"MOTOCICLETA")</f>
        <v>1</v>
      </c>
      <c r="S156" s="36">
        <f>COUNTIF(Tabla1[[#This Row],[VEHICULOS_ACCIDENTADOS]:[VEHICULOS_ACCIDENTADOS2]],"MOTOCARRO")</f>
        <v>0</v>
      </c>
      <c r="T156" s="36">
        <f>COUNTIF(Tabla1[[#This Row],[VEHICULOS_ACCIDENTADOS]:[VEHICULOS_ACCIDENTADOS2]],"AUTOMOVIL")</f>
        <v>0</v>
      </c>
      <c r="U156" s="36">
        <f>COUNTIF(Tabla1[[#This Row],[VEHICULOS_ACCIDENTADOS]:[VEHICULOS_ACCIDENTADOS2]],"CAMPERO")</f>
        <v>0</v>
      </c>
      <c r="V156" s="36">
        <f>COUNTIF(Tabla1[[#This Row],[VEHICULOS_ACCIDENTADOS]:[VEHICULOS_ACCIDENTADOS2]],"CAMIONETA")</f>
        <v>0</v>
      </c>
      <c r="W156" s="36">
        <f>COUNTIF(Tabla1[[#This Row],[VEHICULOS_ACCIDENTADOS]:[VEHICULOS_ACCIDENTADOS2]],"MICROBUS")</f>
        <v>0</v>
      </c>
      <c r="X156" s="36">
        <f>COUNTIF(Tabla1[[#This Row],[VEHICULOS_ACCIDENTADOS]:[VEHICULOS_ACCIDENTADOS2]],"BUS")</f>
        <v>0</v>
      </c>
      <c r="Y156" s="36">
        <f>COUNTIF(Tabla1[[#This Row],[VEHICULOS_ACCIDENTADOS]:[VEHICULOS_ACCIDENTADOS2]],"BUSETA")</f>
        <v>0</v>
      </c>
      <c r="Z156" s="36">
        <f>COUNTIF(Tabla1[[#This Row],[VEHICULOS_ACCIDENTADOS]:[VEHICULOS_ACCIDENTADOS2]],"CAMION")</f>
        <v>1</v>
      </c>
      <c r="AA156" s="36">
        <f>COUNTIF(Tabla1[[#This Row],[VEHICULOS_ACCIDENTADOS]:[VEHICULOS_ACCIDENTADOS2]],"TRACTOCAMION")</f>
        <v>0</v>
      </c>
      <c r="AB156" s="36">
        <f>COUNTIF(Tabla1[[#This Row],[VEHICULOS_ACCIDENTADOS]:[VEHICULOS_ACCIDENTADOS2]],"VOLQUETA")</f>
        <v>0</v>
      </c>
      <c r="AC156" s="36">
        <f>COUNTIF(Tabla1[[#This Row],[VEHICULOS_ACCIDENTADOS]:[VEHICULOS_ACCIDENTADOS2]],"BICICLETA")</f>
        <v>0</v>
      </c>
      <c r="AD156" s="36" t="s">
        <v>471</v>
      </c>
      <c r="AE156" s="36" t="s">
        <v>472</v>
      </c>
      <c r="AF156" s="36">
        <f>COUNTIF(Tabla1[[#This Row],[GENERO_MASCULINO]:[GENERO_FEMENINO]],"MASCULINO")</f>
        <v>1</v>
      </c>
      <c r="AG156" s="36">
        <f>COUNTIF(Tabla1[[#This Row],[GENERO_MASCULINO]:[GENERO_FEMENINO]],"FEMENINO")</f>
        <v>1</v>
      </c>
      <c r="AH156" s="61">
        <v>29</v>
      </c>
      <c r="AI156" s="61">
        <v>43</v>
      </c>
      <c r="AJ156" s="61"/>
      <c r="AK156" s="61"/>
      <c r="AL156" s="61">
        <v>19</v>
      </c>
      <c r="AM156" s="36"/>
      <c r="AN156" s="61">
        <v>139</v>
      </c>
      <c r="AO156" s="36" t="str">
        <f>IFERROR(((VLOOKUP(Tabla1[[#This Row],[HIPOTESIS_1]],listas!$D$1:$E$105,2,FALSE))),"SIN INFORMACIÓN")</f>
        <v>Impericia en el manejo.</v>
      </c>
      <c r="AP156" s="36">
        <v>121</v>
      </c>
      <c r="AQ156" s="36" t="str">
        <f>IFERROR(((VLOOKUP(Tabla1[[#This Row],[HIPOTESIS_2]],listas!$D$1:$E$105,2,FALSE))),"")</f>
        <v>No mantener distancia de seguridad.</v>
      </c>
      <c r="AR156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57" spans="1:44" x14ac:dyDescent="0.25">
      <c r="A157" s="12">
        <v>379</v>
      </c>
      <c r="B157" s="36">
        <v>0</v>
      </c>
      <c r="C157" s="36">
        <v>1</v>
      </c>
      <c r="D157" s="36">
        <v>0</v>
      </c>
      <c r="E157" s="18" t="str">
        <f t="shared" si="8"/>
        <v>LESIONADO</v>
      </c>
      <c r="F157" s="29" t="s">
        <v>1094</v>
      </c>
      <c r="G157" s="17">
        <v>5.3187444444444445</v>
      </c>
      <c r="H157" s="17">
        <v>-72.404452777777777</v>
      </c>
      <c r="I157" s="93" t="s">
        <v>697</v>
      </c>
      <c r="J157" s="36" t="s">
        <v>717</v>
      </c>
      <c r="K157" s="24" t="str">
        <f t="shared" si="9"/>
        <v>2022</v>
      </c>
      <c r="L157" s="24" t="str">
        <f t="shared" si="10"/>
        <v>DICIEMBRE</v>
      </c>
      <c r="M157" s="225">
        <v>44924</v>
      </c>
      <c r="N157" s="24" t="str">
        <f t="shared" si="11"/>
        <v>JUEVES</v>
      </c>
      <c r="O157" s="102">
        <v>0.71527777777777801</v>
      </c>
      <c r="P157" s="53" t="s">
        <v>469</v>
      </c>
      <c r="Q157" s="53" t="s">
        <v>447</v>
      </c>
      <c r="R157" s="36">
        <f>COUNTIF(Tabla1[[#This Row],[VEHICULOS_ACCIDENTADOS]:[VEHICULOS_ACCIDENTADOS2]],"MOTOCICLETA")</f>
        <v>1</v>
      </c>
      <c r="S157" s="36">
        <f>COUNTIF(Tabla1[[#This Row],[VEHICULOS_ACCIDENTADOS]:[VEHICULOS_ACCIDENTADOS2]],"MOTOCARRO")</f>
        <v>0</v>
      </c>
      <c r="T157" s="36">
        <f>COUNTIF(Tabla1[[#This Row],[VEHICULOS_ACCIDENTADOS]:[VEHICULOS_ACCIDENTADOS2]],"AUTOMOVIL")</f>
        <v>1</v>
      </c>
      <c r="U157" s="36">
        <f>COUNTIF(Tabla1[[#This Row],[VEHICULOS_ACCIDENTADOS]:[VEHICULOS_ACCIDENTADOS2]],"CAMPERO")</f>
        <v>0</v>
      </c>
      <c r="V157" s="36">
        <f>COUNTIF(Tabla1[[#This Row],[VEHICULOS_ACCIDENTADOS]:[VEHICULOS_ACCIDENTADOS2]],"CAMIONETA")</f>
        <v>0</v>
      </c>
      <c r="W157" s="36">
        <f>COUNTIF(Tabla1[[#This Row],[VEHICULOS_ACCIDENTADOS]:[VEHICULOS_ACCIDENTADOS2]],"MICROBUS")</f>
        <v>0</v>
      </c>
      <c r="X157" s="36">
        <f>COUNTIF(Tabla1[[#This Row],[VEHICULOS_ACCIDENTADOS]:[VEHICULOS_ACCIDENTADOS2]],"BUS")</f>
        <v>0</v>
      </c>
      <c r="Y157" s="36">
        <f>COUNTIF(Tabla1[[#This Row],[VEHICULOS_ACCIDENTADOS]:[VEHICULOS_ACCIDENTADOS2]],"BUSETA")</f>
        <v>0</v>
      </c>
      <c r="Z157" s="36">
        <f>COUNTIF(Tabla1[[#This Row],[VEHICULOS_ACCIDENTADOS]:[VEHICULOS_ACCIDENTADOS2]],"CAMION")</f>
        <v>0</v>
      </c>
      <c r="AA157" s="36">
        <f>COUNTIF(Tabla1[[#This Row],[VEHICULOS_ACCIDENTADOS]:[VEHICULOS_ACCIDENTADOS2]],"TRACTOCAMION")</f>
        <v>0</v>
      </c>
      <c r="AB157" s="36">
        <f>COUNTIF(Tabla1[[#This Row],[VEHICULOS_ACCIDENTADOS]:[VEHICULOS_ACCIDENTADOS2]],"VOLQUETA")</f>
        <v>0</v>
      </c>
      <c r="AC157" s="36">
        <f>COUNTIF(Tabla1[[#This Row],[VEHICULOS_ACCIDENTADOS]:[VEHICULOS_ACCIDENTADOS2]],"BICICLETA")</f>
        <v>0</v>
      </c>
      <c r="AD157" s="36" t="s">
        <v>471</v>
      </c>
      <c r="AE157" s="36" t="s">
        <v>472</v>
      </c>
      <c r="AF157" s="36">
        <f>COUNTIF(Tabla1[[#This Row],[GENERO_MASCULINO]:[GENERO_FEMENINO]],"MASCULINO")</f>
        <v>1</v>
      </c>
      <c r="AG157" s="36">
        <f>COUNTIF(Tabla1[[#This Row],[GENERO_MASCULINO]:[GENERO_FEMENINO]],"FEMENINO")</f>
        <v>1</v>
      </c>
      <c r="AH157" s="61">
        <v>38</v>
      </c>
      <c r="AI157" s="61">
        <v>40</v>
      </c>
      <c r="AJ157" s="61"/>
      <c r="AK157" s="61"/>
      <c r="AL157" s="61"/>
      <c r="AM157" s="36"/>
      <c r="AN157" s="61">
        <v>102</v>
      </c>
      <c r="AO157" s="36" t="str">
        <f>IFERROR(((VLOOKUP(Tabla1[[#This Row],[HIPOTESIS_1]],listas!$D$1:$E$105,2,FALSE))),"SIN INFORMACIÓN")</f>
        <v>Adelantar por la derecha.</v>
      </c>
      <c r="AP157" s="36">
        <v>121</v>
      </c>
      <c r="AQ157" s="36" t="str">
        <f>IFERROR(((VLOOKUP(Tabla1[[#This Row],[HIPOTESIS_2]],listas!$D$1:$E$105,2,FALSE))),"")</f>
        <v>No mantener distancia de seguridad.</v>
      </c>
      <c r="AR157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58" spans="1:44" x14ac:dyDescent="0.25">
      <c r="A158" s="12">
        <v>1014</v>
      </c>
      <c r="B158" s="137">
        <v>0</v>
      </c>
      <c r="C158" s="137">
        <v>2</v>
      </c>
      <c r="D158" s="137">
        <v>0</v>
      </c>
      <c r="E158" s="18" t="str">
        <f t="shared" si="8"/>
        <v>LESIONADO</v>
      </c>
      <c r="F158" s="152" t="s">
        <v>462</v>
      </c>
      <c r="G158" s="30">
        <v>5.3064369999999998</v>
      </c>
      <c r="H158" s="30">
        <v>-72.403498999999996</v>
      </c>
      <c r="I158" s="93" t="s">
        <v>697</v>
      </c>
      <c r="J158" s="36" t="s">
        <v>717</v>
      </c>
      <c r="K158" s="24" t="str">
        <f t="shared" si="9"/>
        <v>2025</v>
      </c>
      <c r="L158" s="24" t="str">
        <f t="shared" si="10"/>
        <v>JULIO</v>
      </c>
      <c r="M158" s="225">
        <v>45855</v>
      </c>
      <c r="N158" s="24" t="str">
        <f t="shared" si="11"/>
        <v>JUEVES</v>
      </c>
      <c r="O158" s="101">
        <v>0.72222222222222221</v>
      </c>
      <c r="P158" s="63" t="s">
        <v>447</v>
      </c>
      <c r="Q158" s="63" t="s">
        <v>440</v>
      </c>
      <c r="R158" s="36">
        <f>COUNTIF(Tabla1[[#This Row],[VEHICULOS_ACCIDENTADOS]:[VEHICULOS_ACCIDENTADOS2]],"MOTOCICLETA")</f>
        <v>0</v>
      </c>
      <c r="S158" s="36">
        <f>COUNTIF(Tabla1[[#This Row],[VEHICULOS_ACCIDENTADOS]:[VEHICULOS_ACCIDENTADOS2]],"MOTOCARRO")</f>
        <v>0</v>
      </c>
      <c r="T158" s="36">
        <f>COUNTIF(Tabla1[[#This Row],[VEHICULOS_ACCIDENTADOS]:[VEHICULOS_ACCIDENTADOS2]],"AUTOMOVIL")</f>
        <v>1</v>
      </c>
      <c r="U158" s="36">
        <f>COUNTIF(Tabla1[[#This Row],[VEHICULOS_ACCIDENTADOS]:[VEHICULOS_ACCIDENTADOS2]],"CAMPERO")</f>
        <v>0</v>
      </c>
      <c r="V158" s="36">
        <f>COUNTIF(Tabla1[[#This Row],[VEHICULOS_ACCIDENTADOS]:[VEHICULOS_ACCIDENTADOS2]],"CAMIONETA")</f>
        <v>0</v>
      </c>
      <c r="W158" s="36">
        <f>COUNTIF(Tabla1[[#This Row],[VEHICULOS_ACCIDENTADOS]:[VEHICULOS_ACCIDENTADOS2]],"MICROBUS")</f>
        <v>0</v>
      </c>
      <c r="X158" s="36">
        <f>COUNTIF(Tabla1[[#This Row],[VEHICULOS_ACCIDENTADOS]:[VEHICULOS_ACCIDENTADOS2]],"BUS")</f>
        <v>0</v>
      </c>
      <c r="Y158" s="36">
        <f>COUNTIF(Tabla1[[#This Row],[VEHICULOS_ACCIDENTADOS]:[VEHICULOS_ACCIDENTADOS2]],"BUSETA")</f>
        <v>0</v>
      </c>
      <c r="Z158" s="36">
        <f>COUNTIF(Tabla1[[#This Row],[VEHICULOS_ACCIDENTADOS]:[VEHICULOS_ACCIDENTADOS2]],"CAMION")</f>
        <v>0</v>
      </c>
      <c r="AA158" s="36">
        <f>COUNTIF(Tabla1[[#This Row],[VEHICULOS_ACCIDENTADOS]:[VEHICULOS_ACCIDENTADOS2]],"TRACTOCAMION")</f>
        <v>1</v>
      </c>
      <c r="AB158" s="36">
        <f>COUNTIF(Tabla1[[#This Row],[VEHICULOS_ACCIDENTADOS]:[VEHICULOS_ACCIDENTADOS2]],"VOLQUETA")</f>
        <v>0</v>
      </c>
      <c r="AC158" s="36">
        <f>COUNTIF(Tabla1[[#This Row],[VEHICULOS_ACCIDENTADOS]:[VEHICULOS_ACCIDENTADOS2]],"BICICLETA")</f>
        <v>0</v>
      </c>
      <c r="AD158" s="36" t="s">
        <v>471</v>
      </c>
      <c r="AE158" s="36" t="s">
        <v>471</v>
      </c>
      <c r="AF158" s="36">
        <f>COUNTIF(Tabla1[[#This Row],[GENERO_MASCULINO]:[GENERO_FEMENINO]],"MASCULINO")</f>
        <v>2</v>
      </c>
      <c r="AG158" s="36">
        <f>COUNTIF(Tabla1[[#This Row],[GENERO_MASCULINO]:[GENERO_FEMENINO]],"FEMENINO")</f>
        <v>0</v>
      </c>
      <c r="AH158" s="85">
        <v>22</v>
      </c>
      <c r="AI158" s="85">
        <v>44</v>
      </c>
      <c r="AJ158" s="85">
        <v>29</v>
      </c>
      <c r="AK158" s="78"/>
      <c r="AL158" s="78"/>
      <c r="AM158" s="59"/>
      <c r="AN158" s="61">
        <v>123</v>
      </c>
      <c r="AO158" s="36" t="str">
        <f>IFERROR(((VLOOKUP(Tabla1[[#This Row],[HIPOTESIS_1]],listas!$D$1:$E$105,2,FALSE))),"SIN INFORMACIÓN")</f>
        <v>No respetar prelación de intersecciones o giros.</v>
      </c>
      <c r="AP158" s="36">
        <v>121</v>
      </c>
      <c r="AQ158" s="36" t="str">
        <f>IFERROR(((VLOOKUP(Tabla1[[#This Row],[HIPOTESIS_2]],listas!$D$1:$E$105,2,FALSE))),"")</f>
        <v>No mantener distancia de seguridad.</v>
      </c>
      <c r="AR158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59" spans="1:44" x14ac:dyDescent="0.25">
      <c r="A159" s="12">
        <v>548</v>
      </c>
      <c r="B159" s="36">
        <v>0</v>
      </c>
      <c r="C159" s="36">
        <v>1</v>
      </c>
      <c r="D159" s="36">
        <v>0</v>
      </c>
      <c r="E159" s="18" t="str">
        <f t="shared" si="8"/>
        <v>LESIONADO</v>
      </c>
      <c r="F159" s="29" t="s">
        <v>209</v>
      </c>
      <c r="G159" s="21">
        <v>5.3197022222222223</v>
      </c>
      <c r="H159" s="21">
        <v>-72.404686388888891</v>
      </c>
      <c r="I159" s="93" t="s">
        <v>697</v>
      </c>
      <c r="J159" s="36" t="s">
        <v>717</v>
      </c>
      <c r="K159" s="24" t="str">
        <f t="shared" si="9"/>
        <v>2023</v>
      </c>
      <c r="L159" s="24" t="str">
        <f t="shared" si="10"/>
        <v>SEPTIEMBRE</v>
      </c>
      <c r="M159" s="225">
        <v>45171</v>
      </c>
      <c r="N159" s="24" t="str">
        <f t="shared" si="11"/>
        <v>SÁBADO</v>
      </c>
      <c r="O159" s="101">
        <v>0.52777777777777779</v>
      </c>
      <c r="P159" s="57" t="s">
        <v>469</v>
      </c>
      <c r="Q159" s="57" t="s">
        <v>440</v>
      </c>
      <c r="R159" s="36">
        <f>COUNTIF(Tabla1[[#This Row],[VEHICULOS_ACCIDENTADOS]:[VEHICULOS_ACCIDENTADOS2]],"MOTOCICLETA")</f>
        <v>1</v>
      </c>
      <c r="S159" s="36">
        <f>COUNTIF(Tabla1[[#This Row],[VEHICULOS_ACCIDENTADOS]:[VEHICULOS_ACCIDENTADOS2]],"MOTOCARRO")</f>
        <v>0</v>
      </c>
      <c r="T159" s="36">
        <f>COUNTIF(Tabla1[[#This Row],[VEHICULOS_ACCIDENTADOS]:[VEHICULOS_ACCIDENTADOS2]],"AUTOMOVIL")</f>
        <v>0</v>
      </c>
      <c r="U159" s="36">
        <f>COUNTIF(Tabla1[[#This Row],[VEHICULOS_ACCIDENTADOS]:[VEHICULOS_ACCIDENTADOS2]],"CAMPERO")</f>
        <v>0</v>
      </c>
      <c r="V159" s="36">
        <f>COUNTIF(Tabla1[[#This Row],[VEHICULOS_ACCIDENTADOS]:[VEHICULOS_ACCIDENTADOS2]],"CAMIONETA")</f>
        <v>0</v>
      </c>
      <c r="W159" s="36">
        <f>COUNTIF(Tabla1[[#This Row],[VEHICULOS_ACCIDENTADOS]:[VEHICULOS_ACCIDENTADOS2]],"MICROBUS")</f>
        <v>0</v>
      </c>
      <c r="X159" s="36">
        <f>COUNTIF(Tabla1[[#This Row],[VEHICULOS_ACCIDENTADOS]:[VEHICULOS_ACCIDENTADOS2]],"BUS")</f>
        <v>0</v>
      </c>
      <c r="Y159" s="36">
        <f>COUNTIF(Tabla1[[#This Row],[VEHICULOS_ACCIDENTADOS]:[VEHICULOS_ACCIDENTADOS2]],"BUSETA")</f>
        <v>0</v>
      </c>
      <c r="Z159" s="36">
        <f>COUNTIF(Tabla1[[#This Row],[VEHICULOS_ACCIDENTADOS]:[VEHICULOS_ACCIDENTADOS2]],"CAMION")</f>
        <v>0</v>
      </c>
      <c r="AA159" s="36">
        <f>COUNTIF(Tabla1[[#This Row],[VEHICULOS_ACCIDENTADOS]:[VEHICULOS_ACCIDENTADOS2]],"TRACTOCAMION")</f>
        <v>1</v>
      </c>
      <c r="AB159" s="36">
        <f>COUNTIF(Tabla1[[#This Row],[VEHICULOS_ACCIDENTADOS]:[VEHICULOS_ACCIDENTADOS2]],"VOLQUETA")</f>
        <v>0</v>
      </c>
      <c r="AC159" s="36">
        <f>COUNTIF(Tabla1[[#This Row],[VEHICULOS_ACCIDENTADOS]:[VEHICULOS_ACCIDENTADOS2]],"BICICLETA")</f>
        <v>0</v>
      </c>
      <c r="AD159" s="36" t="s">
        <v>471</v>
      </c>
      <c r="AE159" s="36"/>
      <c r="AF159" s="36">
        <f>COUNTIF(Tabla1[[#This Row],[GENERO_MASCULINO]:[GENERO_FEMENINO]],"MASCULINO")</f>
        <v>1</v>
      </c>
      <c r="AG159" s="36">
        <f>COUNTIF(Tabla1[[#This Row],[GENERO_MASCULINO]:[GENERO_FEMENINO]],"FEMENINO")</f>
        <v>0</v>
      </c>
      <c r="AH159" s="61">
        <v>21</v>
      </c>
      <c r="AI159" s="61"/>
      <c r="AJ159" s="61"/>
      <c r="AK159" s="61"/>
      <c r="AL159" s="61"/>
      <c r="AM159" s="36"/>
      <c r="AN159" s="61">
        <v>114</v>
      </c>
      <c r="AO159" s="36" t="str">
        <f>IFERROR(((VLOOKUP(Tabla1[[#This Row],[HIPOTESIS_1]],listas!$D$1:$E$105,2,FALSE))),"SIN INFORMACIÓN")</f>
        <v>Embriaguez aparente.</v>
      </c>
      <c r="AP159" s="36">
        <v>121</v>
      </c>
      <c r="AQ159" s="36" t="str">
        <f>IFERROR(((VLOOKUP(Tabla1[[#This Row],[HIPOTESIS_2]],listas!$D$1:$E$105,2,FALSE))),"")</f>
        <v>No mantener distancia de seguridad.</v>
      </c>
      <c r="AR159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60" spans="1:44" x14ac:dyDescent="0.25">
      <c r="A160" s="12">
        <v>289</v>
      </c>
      <c r="B160" s="36">
        <v>0</v>
      </c>
      <c r="C160" s="36">
        <v>2</v>
      </c>
      <c r="D160" s="36">
        <v>0</v>
      </c>
      <c r="E160" s="18" t="str">
        <f t="shared" si="8"/>
        <v>LESIONADO</v>
      </c>
      <c r="F160" s="154" t="s">
        <v>325</v>
      </c>
      <c r="G160" s="21">
        <v>5.3217091999999999</v>
      </c>
      <c r="H160" s="21">
        <v>-72.415532499999998</v>
      </c>
      <c r="I160" s="93" t="s">
        <v>697</v>
      </c>
      <c r="J160" s="36" t="s">
        <v>1</v>
      </c>
      <c r="K160" s="24" t="str">
        <f t="shared" si="9"/>
        <v>2022</v>
      </c>
      <c r="L160" s="24" t="str">
        <f t="shared" si="10"/>
        <v>AGOSTO</v>
      </c>
      <c r="M160" s="225">
        <v>44801</v>
      </c>
      <c r="N160" s="24" t="str">
        <f t="shared" si="11"/>
        <v>DOMINGO</v>
      </c>
      <c r="O160" s="102">
        <v>0.64583333333333304</v>
      </c>
      <c r="P160" s="53" t="s">
        <v>469</v>
      </c>
      <c r="Q160" s="53" t="s">
        <v>447</v>
      </c>
      <c r="R160" s="36">
        <f>COUNTIF(Tabla1[[#This Row],[VEHICULOS_ACCIDENTADOS]:[VEHICULOS_ACCIDENTADOS2]],"MOTOCICLETA")</f>
        <v>1</v>
      </c>
      <c r="S160" s="36">
        <f>COUNTIF(Tabla1[[#This Row],[VEHICULOS_ACCIDENTADOS]:[VEHICULOS_ACCIDENTADOS2]],"MOTOCARRO")</f>
        <v>0</v>
      </c>
      <c r="T160" s="36">
        <f>COUNTIF(Tabla1[[#This Row],[VEHICULOS_ACCIDENTADOS]:[VEHICULOS_ACCIDENTADOS2]],"AUTOMOVIL")</f>
        <v>1</v>
      </c>
      <c r="U160" s="36">
        <f>COUNTIF(Tabla1[[#This Row],[VEHICULOS_ACCIDENTADOS]:[VEHICULOS_ACCIDENTADOS2]],"CAMPERO")</f>
        <v>0</v>
      </c>
      <c r="V160" s="36">
        <f>COUNTIF(Tabla1[[#This Row],[VEHICULOS_ACCIDENTADOS]:[VEHICULOS_ACCIDENTADOS2]],"CAMIONETA")</f>
        <v>0</v>
      </c>
      <c r="W160" s="36">
        <f>COUNTIF(Tabla1[[#This Row],[VEHICULOS_ACCIDENTADOS]:[VEHICULOS_ACCIDENTADOS2]],"MICROBUS")</f>
        <v>0</v>
      </c>
      <c r="X160" s="36">
        <f>COUNTIF(Tabla1[[#This Row],[VEHICULOS_ACCIDENTADOS]:[VEHICULOS_ACCIDENTADOS2]],"BUS")</f>
        <v>0</v>
      </c>
      <c r="Y160" s="36">
        <f>COUNTIF(Tabla1[[#This Row],[VEHICULOS_ACCIDENTADOS]:[VEHICULOS_ACCIDENTADOS2]],"BUSETA")</f>
        <v>0</v>
      </c>
      <c r="Z160" s="36">
        <f>COUNTIF(Tabla1[[#This Row],[VEHICULOS_ACCIDENTADOS]:[VEHICULOS_ACCIDENTADOS2]],"CAMION")</f>
        <v>0</v>
      </c>
      <c r="AA160" s="36">
        <f>COUNTIF(Tabla1[[#This Row],[VEHICULOS_ACCIDENTADOS]:[VEHICULOS_ACCIDENTADOS2]],"TRACTOCAMION")</f>
        <v>0</v>
      </c>
      <c r="AB160" s="36">
        <f>COUNTIF(Tabla1[[#This Row],[VEHICULOS_ACCIDENTADOS]:[VEHICULOS_ACCIDENTADOS2]],"VOLQUETA")</f>
        <v>0</v>
      </c>
      <c r="AC160" s="36">
        <f>COUNTIF(Tabla1[[#This Row],[VEHICULOS_ACCIDENTADOS]:[VEHICULOS_ACCIDENTADOS2]],"BICICLETA")</f>
        <v>0</v>
      </c>
      <c r="AD160" s="36" t="s">
        <v>471</v>
      </c>
      <c r="AE160" s="36" t="s">
        <v>472</v>
      </c>
      <c r="AF160" s="36">
        <f>COUNTIF(Tabla1[[#This Row],[GENERO_MASCULINO]:[GENERO_FEMENINO]],"MASCULINO")</f>
        <v>1</v>
      </c>
      <c r="AG160" s="36">
        <f>COUNTIF(Tabla1[[#This Row],[GENERO_MASCULINO]:[GENERO_FEMENINO]],"FEMENINO")</f>
        <v>1</v>
      </c>
      <c r="AH160" s="61">
        <v>22</v>
      </c>
      <c r="AI160" s="61">
        <v>26</v>
      </c>
      <c r="AJ160" s="78"/>
      <c r="AK160" s="61"/>
      <c r="AL160" s="61"/>
      <c r="AM160" s="59"/>
      <c r="AN160" s="61">
        <v>116</v>
      </c>
      <c r="AO160" s="36" t="str">
        <f>IFERROR(((VLOOKUP(Tabla1[[#This Row],[HIPOTESIS_1]],listas!$D$1:$E$105,2,FALSE))),"SIN INFORMACIÓN")</f>
        <v>Exceso de velocidad</v>
      </c>
      <c r="AP160" s="36">
        <v>121</v>
      </c>
      <c r="AQ160" s="36" t="str">
        <f>IFERROR(((VLOOKUP(Tabla1[[#This Row],[HIPOTESIS_2]],listas!$D$1:$E$105,2,FALSE))),"")</f>
        <v>No mantener distancia de seguridad.</v>
      </c>
      <c r="AR160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61" spans="1:44" x14ac:dyDescent="0.25">
      <c r="A161" s="12">
        <v>1055</v>
      </c>
      <c r="B161" s="137">
        <v>0</v>
      </c>
      <c r="C161" s="137">
        <v>1</v>
      </c>
      <c r="D161" s="137">
        <v>0</v>
      </c>
      <c r="E161" s="18" t="str">
        <f t="shared" si="8"/>
        <v>LESIONADO</v>
      </c>
      <c r="F161" s="152" t="s">
        <v>754</v>
      </c>
      <c r="G161" s="37">
        <v>5.2538879999999999</v>
      </c>
      <c r="H161" s="37">
        <v>-72.397795599999995</v>
      </c>
      <c r="I161" s="93" t="s">
        <v>697</v>
      </c>
      <c r="J161" s="36" t="s">
        <v>1</v>
      </c>
      <c r="K161" s="24" t="str">
        <f t="shared" si="9"/>
        <v>2025</v>
      </c>
      <c r="L161" s="24" t="str">
        <f t="shared" si="10"/>
        <v>AGOSTO</v>
      </c>
      <c r="M161" s="225">
        <v>45899</v>
      </c>
      <c r="N161" s="24" t="str">
        <f t="shared" si="11"/>
        <v>SÁBADO</v>
      </c>
      <c r="O161" s="101">
        <v>0.14583333333333334</v>
      </c>
      <c r="P161" s="63" t="s">
        <v>680</v>
      </c>
      <c r="Q161" s="63" t="s">
        <v>469</v>
      </c>
      <c r="R161" s="36">
        <f>COUNTIF(Tabla1[[#This Row],[VEHICULOS_ACCIDENTADOS]:[VEHICULOS_ACCIDENTADOS2]],"MOTOCICLETA")</f>
        <v>1</v>
      </c>
      <c r="S161" s="36">
        <f>COUNTIF(Tabla1[[#This Row],[VEHICULOS_ACCIDENTADOS]:[VEHICULOS_ACCIDENTADOS2]],"MOTOCARRO")</f>
        <v>0</v>
      </c>
      <c r="T161" s="36">
        <f>COUNTIF(Tabla1[[#This Row],[VEHICULOS_ACCIDENTADOS]:[VEHICULOS_ACCIDENTADOS2]],"AUTOMOVIL")</f>
        <v>0</v>
      </c>
      <c r="U161" s="36">
        <f>COUNTIF(Tabla1[[#This Row],[VEHICULOS_ACCIDENTADOS]:[VEHICULOS_ACCIDENTADOS2]],"CAMPERO")</f>
        <v>0</v>
      </c>
      <c r="V161" s="36">
        <f>COUNTIF(Tabla1[[#This Row],[VEHICULOS_ACCIDENTADOS]:[VEHICULOS_ACCIDENTADOS2]],"CAMIONETA")</f>
        <v>0</v>
      </c>
      <c r="W161" s="36">
        <f>COUNTIF(Tabla1[[#This Row],[VEHICULOS_ACCIDENTADOS]:[VEHICULOS_ACCIDENTADOS2]],"MICROBUS")</f>
        <v>0</v>
      </c>
      <c r="X161" s="36">
        <f>COUNTIF(Tabla1[[#This Row],[VEHICULOS_ACCIDENTADOS]:[VEHICULOS_ACCIDENTADOS2]],"BUS")</f>
        <v>0</v>
      </c>
      <c r="Y161" s="36">
        <f>COUNTIF(Tabla1[[#This Row],[VEHICULOS_ACCIDENTADOS]:[VEHICULOS_ACCIDENTADOS2]],"BUSETA")</f>
        <v>0</v>
      </c>
      <c r="Z161" s="36">
        <f>COUNTIF(Tabla1[[#This Row],[VEHICULOS_ACCIDENTADOS]:[VEHICULOS_ACCIDENTADOS2]],"CAMION")</f>
        <v>0</v>
      </c>
      <c r="AA161" s="36">
        <f>COUNTIF(Tabla1[[#This Row],[VEHICULOS_ACCIDENTADOS]:[VEHICULOS_ACCIDENTADOS2]],"TRACTOCAMION")</f>
        <v>0</v>
      </c>
      <c r="AB161" s="36">
        <f>COUNTIF(Tabla1[[#This Row],[VEHICULOS_ACCIDENTADOS]:[VEHICULOS_ACCIDENTADOS2]],"VOLQUETA")</f>
        <v>0</v>
      </c>
      <c r="AC161" s="36">
        <f>COUNTIF(Tabla1[[#This Row],[VEHICULOS_ACCIDENTADOS]:[VEHICULOS_ACCIDENTADOS2]],"BICICLETA")</f>
        <v>0</v>
      </c>
      <c r="AD161" s="61" t="s">
        <v>471</v>
      </c>
      <c r="AE161" s="61" t="s">
        <v>471</v>
      </c>
      <c r="AF161" s="36">
        <f>COUNTIF(Tabla1[[#This Row],[GENERO_MASCULINO]:[GENERO_FEMENINO]],"MASCULINO")</f>
        <v>2</v>
      </c>
      <c r="AG161" s="36">
        <f>COUNTIF(Tabla1[[#This Row],[GENERO_MASCULINO]:[GENERO_FEMENINO]],"FEMENINO")</f>
        <v>0</v>
      </c>
      <c r="AH161" s="85">
        <v>46</v>
      </c>
      <c r="AI161" s="85">
        <v>21</v>
      </c>
      <c r="AJ161" s="85"/>
      <c r="AK161" s="78"/>
      <c r="AL161" s="78"/>
      <c r="AM161" s="59"/>
      <c r="AN161" s="61">
        <v>114</v>
      </c>
      <c r="AO161" s="59" t="str">
        <f>IFERROR(((VLOOKUP(Tabla1[[#This Row],[HIPOTESIS_1]],listas!$D$1:$E$105,2,FALSE))),"SIN INFORMACIÓN")</f>
        <v>Embriaguez aparente.</v>
      </c>
      <c r="AP161" s="36">
        <v>121</v>
      </c>
      <c r="AQ161" s="36" t="str">
        <f>IFERROR(((VLOOKUP(Tabla1[[#This Row],[HIPOTESIS_2]],listas!$D$1:$E$105,2,FALSE))),"")</f>
        <v>No mantener distancia de seguridad.</v>
      </c>
      <c r="AR161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62" spans="1:44" x14ac:dyDescent="0.25">
      <c r="A162" s="12">
        <v>324</v>
      </c>
      <c r="B162" s="36">
        <v>0</v>
      </c>
      <c r="C162" s="36">
        <v>3</v>
      </c>
      <c r="D162" s="36">
        <v>0</v>
      </c>
      <c r="E162" s="18" t="str">
        <f t="shared" si="8"/>
        <v>LESIONADO</v>
      </c>
      <c r="F162" s="154" t="s">
        <v>314</v>
      </c>
      <c r="G162" s="17">
        <v>5.3347852777777778</v>
      </c>
      <c r="H162" s="17">
        <v>-72.312307777777775</v>
      </c>
      <c r="I162" s="93" t="s">
        <v>697</v>
      </c>
      <c r="J162" s="36" t="s">
        <v>1</v>
      </c>
      <c r="K162" s="24" t="str">
        <f t="shared" si="9"/>
        <v>2022</v>
      </c>
      <c r="L162" s="24" t="str">
        <f t="shared" si="10"/>
        <v>OCTUBRE</v>
      </c>
      <c r="M162" s="225">
        <v>44837</v>
      </c>
      <c r="N162" s="24" t="str">
        <f t="shared" si="11"/>
        <v>LUNES</v>
      </c>
      <c r="O162" s="102">
        <v>0.29861111111111099</v>
      </c>
      <c r="P162" s="53" t="s">
        <v>469</v>
      </c>
      <c r="Q162" s="53" t="s">
        <v>469</v>
      </c>
      <c r="R162" s="36">
        <f>COUNTIF(Tabla1[[#This Row],[VEHICULOS_ACCIDENTADOS]:[VEHICULOS_ACCIDENTADOS2]],"MOTOCICLETA")</f>
        <v>2</v>
      </c>
      <c r="S162" s="36">
        <f>COUNTIF(Tabla1[[#This Row],[VEHICULOS_ACCIDENTADOS]:[VEHICULOS_ACCIDENTADOS2]],"MOTOCARRO")</f>
        <v>0</v>
      </c>
      <c r="T162" s="36">
        <f>COUNTIF(Tabla1[[#This Row],[VEHICULOS_ACCIDENTADOS]:[VEHICULOS_ACCIDENTADOS2]],"AUTOMOVIL")</f>
        <v>0</v>
      </c>
      <c r="U162" s="36">
        <f>COUNTIF(Tabla1[[#This Row],[VEHICULOS_ACCIDENTADOS]:[VEHICULOS_ACCIDENTADOS2]],"CAMPERO")</f>
        <v>0</v>
      </c>
      <c r="V162" s="36">
        <f>COUNTIF(Tabla1[[#This Row],[VEHICULOS_ACCIDENTADOS]:[VEHICULOS_ACCIDENTADOS2]],"CAMIONETA")</f>
        <v>0</v>
      </c>
      <c r="W162" s="36">
        <f>COUNTIF(Tabla1[[#This Row],[VEHICULOS_ACCIDENTADOS]:[VEHICULOS_ACCIDENTADOS2]],"MICROBUS")</f>
        <v>0</v>
      </c>
      <c r="X162" s="36">
        <f>COUNTIF(Tabla1[[#This Row],[VEHICULOS_ACCIDENTADOS]:[VEHICULOS_ACCIDENTADOS2]],"BUS")</f>
        <v>0</v>
      </c>
      <c r="Y162" s="36">
        <f>COUNTIF(Tabla1[[#This Row],[VEHICULOS_ACCIDENTADOS]:[VEHICULOS_ACCIDENTADOS2]],"BUSETA")</f>
        <v>0</v>
      </c>
      <c r="Z162" s="36">
        <f>COUNTIF(Tabla1[[#This Row],[VEHICULOS_ACCIDENTADOS]:[VEHICULOS_ACCIDENTADOS2]],"CAMION")</f>
        <v>0</v>
      </c>
      <c r="AA162" s="36">
        <f>COUNTIF(Tabla1[[#This Row],[VEHICULOS_ACCIDENTADOS]:[VEHICULOS_ACCIDENTADOS2]],"TRACTOCAMION")</f>
        <v>0</v>
      </c>
      <c r="AB162" s="36">
        <f>COUNTIF(Tabla1[[#This Row],[VEHICULOS_ACCIDENTADOS]:[VEHICULOS_ACCIDENTADOS2]],"VOLQUETA")</f>
        <v>0</v>
      </c>
      <c r="AC162" s="36">
        <f>COUNTIF(Tabla1[[#This Row],[VEHICULOS_ACCIDENTADOS]:[VEHICULOS_ACCIDENTADOS2]],"BICICLETA")</f>
        <v>0</v>
      </c>
      <c r="AD162" s="36" t="s">
        <v>471</v>
      </c>
      <c r="AE162" s="36"/>
      <c r="AF162" s="36">
        <f>COUNTIF(Tabla1[[#This Row],[GENERO_MASCULINO]:[GENERO_FEMENINO]],"MASCULINO")</f>
        <v>1</v>
      </c>
      <c r="AG162" s="36">
        <f>COUNTIF(Tabla1[[#This Row],[GENERO_MASCULINO]:[GENERO_FEMENINO]],"FEMENINO")</f>
        <v>0</v>
      </c>
      <c r="AH162" s="61">
        <v>29</v>
      </c>
      <c r="AI162" s="61">
        <v>20</v>
      </c>
      <c r="AJ162" s="61"/>
      <c r="AK162" s="61"/>
      <c r="AL162" s="61">
        <v>42</v>
      </c>
      <c r="AM162" s="36"/>
      <c r="AN162" s="61">
        <v>129</v>
      </c>
      <c r="AO162" s="36" t="str">
        <f>IFERROR(((VLOOKUP(Tabla1[[#This Row],[HIPOTESIS_1]],listas!$D$1:$E$105,2,FALSE))),"SIN INFORMACIÓN")</f>
        <v>Transportar pasajeros en parte exterior.</v>
      </c>
      <c r="AP162" s="36">
        <v>121</v>
      </c>
      <c r="AQ162" s="36" t="str">
        <f>IFERROR(((VLOOKUP(Tabla1[[#This Row],[HIPOTESIS_2]],listas!$D$1:$E$105,2,FALSE))),"")</f>
        <v>No mantener distancia de seguridad.</v>
      </c>
      <c r="AR162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63" spans="1:44" x14ac:dyDescent="0.25">
      <c r="A163" s="12">
        <v>873</v>
      </c>
      <c r="B163" s="135">
        <v>0</v>
      </c>
      <c r="C163" s="136">
        <v>1</v>
      </c>
      <c r="D163" s="136">
        <v>0</v>
      </c>
      <c r="E163" s="18" t="str">
        <f t="shared" si="8"/>
        <v>LESIONADO</v>
      </c>
      <c r="F163" s="136" t="s">
        <v>1025</v>
      </c>
      <c r="G163" s="21">
        <v>5.3363452777777773</v>
      </c>
      <c r="H163" s="21">
        <v>-72.40715055555556</v>
      </c>
      <c r="I163" s="93" t="s">
        <v>697</v>
      </c>
      <c r="J163" s="167" t="s">
        <v>717</v>
      </c>
      <c r="K163" s="24" t="str">
        <f t="shared" si="9"/>
        <v>2025</v>
      </c>
      <c r="L163" s="24" t="str">
        <f t="shared" si="10"/>
        <v>FEBRERO</v>
      </c>
      <c r="M163" s="224">
        <v>45701</v>
      </c>
      <c r="N163" s="24" t="str">
        <f t="shared" si="11"/>
        <v>JUEVES</v>
      </c>
      <c r="O163" s="171">
        <v>0.77083333333333337</v>
      </c>
      <c r="P163" s="178" t="s">
        <v>447</v>
      </c>
      <c r="Q163" s="178" t="s">
        <v>469</v>
      </c>
      <c r="R163" s="36">
        <f>COUNTIF(Tabla1[[#This Row],[VEHICULOS_ACCIDENTADOS]:[VEHICULOS_ACCIDENTADOS2]],"MOTOCICLETA")</f>
        <v>1</v>
      </c>
      <c r="S163" s="36">
        <f>COUNTIF(Tabla1[[#This Row],[VEHICULOS_ACCIDENTADOS]:[VEHICULOS_ACCIDENTADOS2]],"MOTOCARRO")</f>
        <v>0</v>
      </c>
      <c r="T163" s="36">
        <f>COUNTIF(Tabla1[[#This Row],[VEHICULOS_ACCIDENTADOS]:[VEHICULOS_ACCIDENTADOS2]],"AUTOMOVIL")</f>
        <v>1</v>
      </c>
      <c r="U163" s="36">
        <f>COUNTIF(Tabla1[[#This Row],[VEHICULOS_ACCIDENTADOS]:[VEHICULOS_ACCIDENTADOS2]],"CAMPERO")</f>
        <v>0</v>
      </c>
      <c r="V163" s="36">
        <f>COUNTIF(Tabla1[[#This Row],[VEHICULOS_ACCIDENTADOS]:[VEHICULOS_ACCIDENTADOS2]],"CAMIONETA")</f>
        <v>0</v>
      </c>
      <c r="W163" s="36">
        <f>COUNTIF(Tabla1[[#This Row],[VEHICULOS_ACCIDENTADOS]:[VEHICULOS_ACCIDENTADOS2]],"MICROBUS")</f>
        <v>0</v>
      </c>
      <c r="X163" s="36">
        <f>COUNTIF(Tabla1[[#This Row],[VEHICULOS_ACCIDENTADOS]:[VEHICULOS_ACCIDENTADOS2]],"BUS")</f>
        <v>0</v>
      </c>
      <c r="Y163" s="36">
        <f>COUNTIF(Tabla1[[#This Row],[VEHICULOS_ACCIDENTADOS]:[VEHICULOS_ACCIDENTADOS2]],"BUSETA")</f>
        <v>0</v>
      </c>
      <c r="Z163" s="36">
        <f>COUNTIF(Tabla1[[#This Row],[VEHICULOS_ACCIDENTADOS]:[VEHICULOS_ACCIDENTADOS2]],"CAMION")</f>
        <v>0</v>
      </c>
      <c r="AA163" s="36">
        <f>COUNTIF(Tabla1[[#This Row],[VEHICULOS_ACCIDENTADOS]:[VEHICULOS_ACCIDENTADOS2]],"TRACTOCAMION")</f>
        <v>0</v>
      </c>
      <c r="AB163" s="36">
        <f>COUNTIF(Tabla1[[#This Row],[VEHICULOS_ACCIDENTADOS]:[VEHICULOS_ACCIDENTADOS2]],"VOLQUETA")</f>
        <v>0</v>
      </c>
      <c r="AC163" s="36">
        <f>COUNTIF(Tabla1[[#This Row],[VEHICULOS_ACCIDENTADOS]:[VEHICULOS_ACCIDENTADOS2]],"BICICLETA")</f>
        <v>0</v>
      </c>
      <c r="AD163" s="136" t="s">
        <v>472</v>
      </c>
      <c r="AE163" s="136" t="s">
        <v>471</v>
      </c>
      <c r="AF163" s="136">
        <f>COUNTIF(Tabla1[[#This Row],[GENERO_MASCULINO]:[GENERO_FEMENINO]],"MASCULINO")</f>
        <v>1</v>
      </c>
      <c r="AG163" s="36">
        <f>COUNTIF(Tabla1[[#This Row],[GENERO_MASCULINO]:[GENERO_FEMENINO]],"FEMENINO")</f>
        <v>1</v>
      </c>
      <c r="AH163" s="85">
        <v>43</v>
      </c>
      <c r="AI163" s="85">
        <v>27</v>
      </c>
      <c r="AJ163" s="85"/>
      <c r="AK163" s="85"/>
      <c r="AL163" s="85"/>
      <c r="AM163" s="136"/>
      <c r="AN163" s="85">
        <v>139</v>
      </c>
      <c r="AO163" s="36" t="str">
        <f>IFERROR(((VLOOKUP(Tabla1[[#This Row],[HIPOTESIS_1]],listas!$D$1:$E$105,2,FALSE))),"SIN INFORMACIÓN")</f>
        <v>Impericia en el manejo.</v>
      </c>
      <c r="AP163" s="136">
        <v>121</v>
      </c>
      <c r="AQ163" s="36" t="str">
        <f>IFERROR(((VLOOKUP(Tabla1[[#This Row],[HIPOTESIS_2]],listas!$D$1:$E$105,2,FALSE))),"")</f>
        <v>No mantener distancia de seguridad.</v>
      </c>
      <c r="AR163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64" spans="1:44" x14ac:dyDescent="0.25">
      <c r="A164" s="12">
        <v>962</v>
      </c>
      <c r="B164" s="136">
        <v>0</v>
      </c>
      <c r="C164" s="136">
        <v>0</v>
      </c>
      <c r="D164" s="136">
        <v>1</v>
      </c>
      <c r="E164" s="18" t="str">
        <f t="shared" si="8"/>
        <v>FALLECIDO</v>
      </c>
      <c r="F164" s="26" t="s">
        <v>1084</v>
      </c>
      <c r="G164" s="17">
        <v>5.3092119999999996</v>
      </c>
      <c r="H164" s="17">
        <v>-72.410318000000004</v>
      </c>
      <c r="I164" s="93" t="s">
        <v>697</v>
      </c>
      <c r="J164" s="135" t="s">
        <v>717</v>
      </c>
      <c r="K164" s="24" t="str">
        <f t="shared" si="9"/>
        <v>2025</v>
      </c>
      <c r="L164" s="24" t="str">
        <f t="shared" si="10"/>
        <v>MAYO</v>
      </c>
      <c r="M164" s="224">
        <v>45788</v>
      </c>
      <c r="N164" s="24" t="str">
        <f t="shared" si="11"/>
        <v>DOMINGO</v>
      </c>
      <c r="O164" s="171">
        <v>0.80208333333333337</v>
      </c>
      <c r="P164" s="63" t="s">
        <v>438</v>
      </c>
      <c r="Q164" s="63"/>
      <c r="R164" s="36">
        <f>COUNTIF(Tabla1[[#This Row],[VEHICULOS_ACCIDENTADOS]:[VEHICULOS_ACCIDENTADOS2]],"MOTOCICLETA")</f>
        <v>0</v>
      </c>
      <c r="S164" s="36">
        <f>COUNTIF(Tabla1[[#This Row],[VEHICULOS_ACCIDENTADOS]:[VEHICULOS_ACCIDENTADOS2]],"MOTOCARRO")</f>
        <v>0</v>
      </c>
      <c r="T164" s="36">
        <f>COUNTIF(Tabla1[[#This Row],[VEHICULOS_ACCIDENTADOS]:[VEHICULOS_ACCIDENTADOS2]],"AUTOMOVIL")</f>
        <v>0</v>
      </c>
      <c r="U164" s="36">
        <f>COUNTIF(Tabla1[[#This Row],[VEHICULOS_ACCIDENTADOS]:[VEHICULOS_ACCIDENTADOS2]],"CAMPERO")</f>
        <v>0</v>
      </c>
      <c r="V164" s="36">
        <f>COUNTIF(Tabla1[[#This Row],[VEHICULOS_ACCIDENTADOS]:[VEHICULOS_ACCIDENTADOS2]],"CAMIONETA")</f>
        <v>0</v>
      </c>
      <c r="W164" s="36">
        <f>COUNTIF(Tabla1[[#This Row],[VEHICULOS_ACCIDENTADOS]:[VEHICULOS_ACCIDENTADOS2]],"MICROBUS")</f>
        <v>0</v>
      </c>
      <c r="X164" s="36">
        <f>COUNTIF(Tabla1[[#This Row],[VEHICULOS_ACCIDENTADOS]:[VEHICULOS_ACCIDENTADOS2]],"BUS")</f>
        <v>0</v>
      </c>
      <c r="Y164" s="36">
        <f>COUNTIF(Tabla1[[#This Row],[VEHICULOS_ACCIDENTADOS]:[VEHICULOS_ACCIDENTADOS2]],"BUSETA")</f>
        <v>0</v>
      </c>
      <c r="Z164" s="36">
        <f>COUNTIF(Tabla1[[#This Row],[VEHICULOS_ACCIDENTADOS]:[VEHICULOS_ACCIDENTADOS2]],"CAMION")</f>
        <v>0</v>
      </c>
      <c r="AA164" s="36">
        <f>COUNTIF(Tabla1[[#This Row],[VEHICULOS_ACCIDENTADOS]:[VEHICULOS_ACCIDENTADOS2]],"TRACTOCAMION")</f>
        <v>0</v>
      </c>
      <c r="AB164" s="36">
        <f>COUNTIF(Tabla1[[#This Row],[VEHICULOS_ACCIDENTADOS]:[VEHICULOS_ACCIDENTADOS2]],"VOLQUETA")</f>
        <v>0</v>
      </c>
      <c r="AC164" s="36">
        <f>COUNTIF(Tabla1[[#This Row],[VEHICULOS_ACCIDENTADOS]:[VEHICULOS_ACCIDENTADOS2]],"BICICLETA")</f>
        <v>1</v>
      </c>
      <c r="AD164" s="36" t="s">
        <v>471</v>
      </c>
      <c r="AE164" s="36"/>
      <c r="AF164" s="36">
        <f>COUNTIF(Tabla1[[#This Row],[GENERO_MASCULINO]:[GENERO_FEMENINO]],"MASCULINO")</f>
        <v>1</v>
      </c>
      <c r="AG164" s="36">
        <f>COUNTIF(Tabla1[[#This Row],[GENERO_MASCULINO]:[GENERO_FEMENINO]],"FEMENINO")</f>
        <v>0</v>
      </c>
      <c r="AH164" s="85">
        <v>65</v>
      </c>
      <c r="AI164" s="85"/>
      <c r="AJ164" s="85"/>
      <c r="AK164" s="85"/>
      <c r="AL164" s="78"/>
      <c r="AM164" s="59"/>
      <c r="AN164" s="85">
        <v>115</v>
      </c>
      <c r="AO164" s="36" t="str">
        <f>IFERROR(((VLOOKUP(Tabla1[[#This Row],[HIPOTESIS_1]],listas!$D$1:$E$105,2,FALSE))),"SIN INFORMACIÓN")</f>
        <v>Embriaguez o Sustancias alucinogenas</v>
      </c>
      <c r="AP164" s="36">
        <v>99</v>
      </c>
      <c r="AQ164" s="36" t="str">
        <f>IFERROR(((VLOOKUP(Tabla1[[#This Row],[HIPOTESIS_2]],listas!$D$1:$E$105,2,FALSE))),"")</f>
        <v>No hacer uso de señales reflectivas o luminosas.</v>
      </c>
      <c r="AR164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65" spans="1:44" x14ac:dyDescent="0.25">
      <c r="A165" s="12">
        <v>808</v>
      </c>
      <c r="B165" s="135">
        <v>0</v>
      </c>
      <c r="C165" s="136">
        <v>3</v>
      </c>
      <c r="D165" s="141">
        <v>0</v>
      </c>
      <c r="E165" s="18" t="str">
        <f t="shared" si="8"/>
        <v>LESIONADO</v>
      </c>
      <c r="F165" s="26" t="s">
        <v>104</v>
      </c>
      <c r="G165" s="21">
        <v>5.3276511111111109</v>
      </c>
      <c r="H165" s="21">
        <v>-72.375696666666656</v>
      </c>
      <c r="I165" s="93" t="s">
        <v>697</v>
      </c>
      <c r="J165" s="36" t="s">
        <v>717</v>
      </c>
      <c r="K165" s="24" t="str">
        <f t="shared" si="9"/>
        <v>2024</v>
      </c>
      <c r="L165" s="24" t="str">
        <f t="shared" si="10"/>
        <v>NOVIEMBRE</v>
      </c>
      <c r="M165" s="224">
        <v>45602</v>
      </c>
      <c r="N165" s="24" t="str">
        <f t="shared" si="11"/>
        <v>MIÉRCOLES</v>
      </c>
      <c r="O165" s="171">
        <v>0.81597222222222221</v>
      </c>
      <c r="P165" s="178" t="s">
        <v>469</v>
      </c>
      <c r="Q165" s="178" t="s">
        <v>438</v>
      </c>
      <c r="R165" s="36">
        <f>COUNTIF(Tabla1[[#This Row],[VEHICULOS_ACCIDENTADOS]:[VEHICULOS_ACCIDENTADOS2]],"MOTOCICLETA")</f>
        <v>1</v>
      </c>
      <c r="S165" s="36">
        <f>COUNTIF(Tabla1[[#This Row],[VEHICULOS_ACCIDENTADOS]:[VEHICULOS_ACCIDENTADOS2]],"MOTOCARRO")</f>
        <v>0</v>
      </c>
      <c r="T165" s="36">
        <f>COUNTIF(Tabla1[[#This Row],[VEHICULOS_ACCIDENTADOS]:[VEHICULOS_ACCIDENTADOS2]],"AUTOMOVIL")</f>
        <v>0</v>
      </c>
      <c r="U165" s="36">
        <f>COUNTIF(Tabla1[[#This Row],[VEHICULOS_ACCIDENTADOS]:[VEHICULOS_ACCIDENTADOS2]],"CAMPERO")</f>
        <v>0</v>
      </c>
      <c r="V165" s="36">
        <f>COUNTIF(Tabla1[[#This Row],[VEHICULOS_ACCIDENTADOS]:[VEHICULOS_ACCIDENTADOS2]],"CAMIONETA")</f>
        <v>0</v>
      </c>
      <c r="W165" s="36">
        <f>COUNTIF(Tabla1[[#This Row],[VEHICULOS_ACCIDENTADOS]:[VEHICULOS_ACCIDENTADOS2]],"MICROBUS")</f>
        <v>0</v>
      </c>
      <c r="X165" s="36">
        <f>COUNTIF(Tabla1[[#This Row],[VEHICULOS_ACCIDENTADOS]:[VEHICULOS_ACCIDENTADOS2]],"BUS")</f>
        <v>0</v>
      </c>
      <c r="Y165" s="36">
        <f>COUNTIF(Tabla1[[#This Row],[VEHICULOS_ACCIDENTADOS]:[VEHICULOS_ACCIDENTADOS2]],"BUSETA")</f>
        <v>0</v>
      </c>
      <c r="Z165" s="36">
        <f>COUNTIF(Tabla1[[#This Row],[VEHICULOS_ACCIDENTADOS]:[VEHICULOS_ACCIDENTADOS2]],"CAMION")</f>
        <v>0</v>
      </c>
      <c r="AA165" s="36">
        <f>COUNTIF(Tabla1[[#This Row],[VEHICULOS_ACCIDENTADOS]:[VEHICULOS_ACCIDENTADOS2]],"TRACTOCAMION")</f>
        <v>0</v>
      </c>
      <c r="AB165" s="36">
        <f>COUNTIF(Tabla1[[#This Row],[VEHICULOS_ACCIDENTADOS]:[VEHICULOS_ACCIDENTADOS2]],"VOLQUETA")</f>
        <v>0</v>
      </c>
      <c r="AC165" s="36">
        <f>COUNTIF(Tabla1[[#This Row],[VEHICULOS_ACCIDENTADOS]:[VEHICULOS_ACCIDENTADOS2]],"BICICLETA")</f>
        <v>1</v>
      </c>
      <c r="AD165" s="136" t="s">
        <v>471</v>
      </c>
      <c r="AE165" s="136" t="s">
        <v>472</v>
      </c>
      <c r="AF165" s="136">
        <f>COUNTIF(Tabla1[[#This Row],[GENERO_MASCULINO]:[GENERO_FEMENINO]],"MASCULINO")</f>
        <v>1</v>
      </c>
      <c r="AG165" s="36">
        <f>COUNTIF(Tabla1[[#This Row],[GENERO_MASCULINO]:[GENERO_FEMENINO]],"FEMENINO")</f>
        <v>1</v>
      </c>
      <c r="AH165" s="85">
        <v>18</v>
      </c>
      <c r="AI165" s="85">
        <v>33</v>
      </c>
      <c r="AJ165" s="85">
        <v>10</v>
      </c>
      <c r="AK165" s="85"/>
      <c r="AL165" s="85"/>
      <c r="AM165" s="136"/>
      <c r="AN165" s="85">
        <v>139</v>
      </c>
      <c r="AO165" s="36" t="str">
        <f>IFERROR(((VLOOKUP(Tabla1[[#This Row],[HIPOTESIS_1]],listas!$D$1:$E$105,2,FALSE))),"SIN INFORMACIÓN")</f>
        <v>Impericia en el manejo.</v>
      </c>
      <c r="AP165" s="136">
        <v>99</v>
      </c>
      <c r="AQ165" s="36" t="str">
        <f>IFERROR(((VLOOKUP(Tabla1[[#This Row],[HIPOTESIS_2]],listas!$D$1:$E$105,2,FALSE))),"")</f>
        <v>No hacer uso de señales reflectivas o luminosas.</v>
      </c>
      <c r="AR165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66" spans="1:44" x14ac:dyDescent="0.25">
      <c r="A166" s="12">
        <v>526</v>
      </c>
      <c r="B166" s="36">
        <v>0</v>
      </c>
      <c r="C166" s="36">
        <v>2</v>
      </c>
      <c r="D166" s="36">
        <v>0</v>
      </c>
      <c r="E166" s="18" t="str">
        <f t="shared" si="8"/>
        <v>LESIONADO</v>
      </c>
      <c r="F166" s="29" t="s">
        <v>220</v>
      </c>
      <c r="G166" s="17">
        <v>5.3015472222222222</v>
      </c>
      <c r="H166" s="17">
        <v>-72.40721111111111</v>
      </c>
      <c r="I166" s="93" t="s">
        <v>697</v>
      </c>
      <c r="J166" s="36" t="s">
        <v>717</v>
      </c>
      <c r="K166" s="24" t="str">
        <f t="shared" si="9"/>
        <v>2023</v>
      </c>
      <c r="L166" s="24" t="str">
        <f t="shared" si="10"/>
        <v>JULIO</v>
      </c>
      <c r="M166" s="225">
        <v>45136</v>
      </c>
      <c r="N166" s="24" t="str">
        <f t="shared" si="11"/>
        <v>SÁBADO</v>
      </c>
      <c r="O166" s="101">
        <v>0.91875000000000007</v>
      </c>
      <c r="P166" s="57" t="s">
        <v>469</v>
      </c>
      <c r="Q166" s="57" t="s">
        <v>469</v>
      </c>
      <c r="R166" s="36">
        <f>COUNTIF(Tabla1[[#This Row],[VEHICULOS_ACCIDENTADOS]:[VEHICULOS_ACCIDENTADOS2]],"MOTOCICLETA")</f>
        <v>2</v>
      </c>
      <c r="S166" s="36">
        <f>COUNTIF(Tabla1[[#This Row],[VEHICULOS_ACCIDENTADOS]:[VEHICULOS_ACCIDENTADOS2]],"MOTOCARRO")</f>
        <v>0</v>
      </c>
      <c r="T166" s="36">
        <f>COUNTIF(Tabla1[[#This Row],[VEHICULOS_ACCIDENTADOS]:[VEHICULOS_ACCIDENTADOS2]],"AUTOMOVIL")</f>
        <v>0</v>
      </c>
      <c r="U166" s="36">
        <f>COUNTIF(Tabla1[[#This Row],[VEHICULOS_ACCIDENTADOS]:[VEHICULOS_ACCIDENTADOS2]],"CAMPERO")</f>
        <v>0</v>
      </c>
      <c r="V166" s="36">
        <f>COUNTIF(Tabla1[[#This Row],[VEHICULOS_ACCIDENTADOS]:[VEHICULOS_ACCIDENTADOS2]],"CAMIONETA")</f>
        <v>0</v>
      </c>
      <c r="W166" s="36">
        <f>COUNTIF(Tabla1[[#This Row],[VEHICULOS_ACCIDENTADOS]:[VEHICULOS_ACCIDENTADOS2]],"MICROBUS")</f>
        <v>0</v>
      </c>
      <c r="X166" s="36">
        <f>COUNTIF(Tabla1[[#This Row],[VEHICULOS_ACCIDENTADOS]:[VEHICULOS_ACCIDENTADOS2]],"BUS")</f>
        <v>0</v>
      </c>
      <c r="Y166" s="36">
        <f>COUNTIF(Tabla1[[#This Row],[VEHICULOS_ACCIDENTADOS]:[VEHICULOS_ACCIDENTADOS2]],"BUSETA")</f>
        <v>0</v>
      </c>
      <c r="Z166" s="36">
        <f>COUNTIF(Tabla1[[#This Row],[VEHICULOS_ACCIDENTADOS]:[VEHICULOS_ACCIDENTADOS2]],"CAMION")</f>
        <v>0</v>
      </c>
      <c r="AA166" s="36">
        <f>COUNTIF(Tabla1[[#This Row],[VEHICULOS_ACCIDENTADOS]:[VEHICULOS_ACCIDENTADOS2]],"TRACTOCAMION")</f>
        <v>0</v>
      </c>
      <c r="AB166" s="36">
        <f>COUNTIF(Tabla1[[#This Row],[VEHICULOS_ACCIDENTADOS]:[VEHICULOS_ACCIDENTADOS2]],"VOLQUETA")</f>
        <v>0</v>
      </c>
      <c r="AC166" s="36">
        <f>COUNTIF(Tabla1[[#This Row],[VEHICULOS_ACCIDENTADOS]:[VEHICULOS_ACCIDENTADOS2]],"BICICLETA")</f>
        <v>0</v>
      </c>
      <c r="AD166" s="36" t="s">
        <v>471</v>
      </c>
      <c r="AE166" s="36" t="s">
        <v>472</v>
      </c>
      <c r="AF166" s="36">
        <f>COUNTIF(Tabla1[[#This Row],[GENERO_MASCULINO]:[GENERO_FEMENINO]],"MASCULINO")</f>
        <v>1</v>
      </c>
      <c r="AG166" s="36">
        <f>COUNTIF(Tabla1[[#This Row],[GENERO_MASCULINO]:[GENERO_FEMENINO]],"FEMENINO")</f>
        <v>1</v>
      </c>
      <c r="AH166" s="61">
        <v>46</v>
      </c>
      <c r="AI166" s="61"/>
      <c r="AJ166" s="61"/>
      <c r="AK166" s="61"/>
      <c r="AL166" s="61">
        <v>15</v>
      </c>
      <c r="AM166" s="36"/>
      <c r="AN166" s="61">
        <v>139</v>
      </c>
      <c r="AO166" s="36" t="str">
        <f>IFERROR(((VLOOKUP(Tabla1[[#This Row],[HIPOTESIS_1]],listas!$D$1:$E$105,2,FALSE))),"SIN INFORMACIÓN")</f>
        <v>Impericia en el manejo.</v>
      </c>
      <c r="AP166" s="36">
        <v>124</v>
      </c>
      <c r="AQ166" s="36" t="str">
        <f>IFERROR(((VLOOKUP(Tabla1[[#This Row],[HIPOTESIS_2]],listas!$D$1:$E$105,2,FALSE))),"")</f>
        <v>No cambiar luces.</v>
      </c>
      <c r="AR166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67" spans="1:44" x14ac:dyDescent="0.25">
      <c r="A167" s="12">
        <v>349</v>
      </c>
      <c r="B167" s="36">
        <v>0</v>
      </c>
      <c r="C167" s="36">
        <v>1</v>
      </c>
      <c r="D167" s="36">
        <v>0</v>
      </c>
      <c r="E167" s="18" t="str">
        <f t="shared" si="8"/>
        <v>LESIONADO</v>
      </c>
      <c r="F167" s="29" t="s">
        <v>815</v>
      </c>
      <c r="G167" s="17">
        <v>5.331083333333333</v>
      </c>
      <c r="H167" s="17">
        <v>-72.382130555555548</v>
      </c>
      <c r="I167" s="93" t="s">
        <v>697</v>
      </c>
      <c r="J167" s="36" t="s">
        <v>717</v>
      </c>
      <c r="K167" s="24" t="str">
        <f t="shared" si="9"/>
        <v>2022</v>
      </c>
      <c r="L167" s="24" t="str">
        <f t="shared" si="10"/>
        <v>NOVIEMBRE</v>
      </c>
      <c r="M167" s="225">
        <v>44869</v>
      </c>
      <c r="N167" s="24" t="str">
        <f t="shared" si="11"/>
        <v>VIERNES</v>
      </c>
      <c r="O167" s="102">
        <v>0.72916666666666696</v>
      </c>
      <c r="P167" s="53" t="s">
        <v>469</v>
      </c>
      <c r="Q167" s="53" t="s">
        <v>469</v>
      </c>
      <c r="R167" s="36">
        <f>COUNTIF(Tabla1[[#This Row],[VEHICULOS_ACCIDENTADOS]:[VEHICULOS_ACCIDENTADOS2]],"MOTOCICLETA")</f>
        <v>2</v>
      </c>
      <c r="S167" s="36">
        <f>COUNTIF(Tabla1[[#This Row],[VEHICULOS_ACCIDENTADOS]:[VEHICULOS_ACCIDENTADOS2]],"MOTOCARRO")</f>
        <v>0</v>
      </c>
      <c r="T167" s="36">
        <f>COUNTIF(Tabla1[[#This Row],[VEHICULOS_ACCIDENTADOS]:[VEHICULOS_ACCIDENTADOS2]],"AUTOMOVIL")</f>
        <v>0</v>
      </c>
      <c r="U167" s="36">
        <f>COUNTIF(Tabla1[[#This Row],[VEHICULOS_ACCIDENTADOS]:[VEHICULOS_ACCIDENTADOS2]],"CAMPERO")</f>
        <v>0</v>
      </c>
      <c r="V167" s="36">
        <f>COUNTIF(Tabla1[[#This Row],[VEHICULOS_ACCIDENTADOS]:[VEHICULOS_ACCIDENTADOS2]],"CAMIONETA")</f>
        <v>0</v>
      </c>
      <c r="W167" s="36">
        <f>COUNTIF(Tabla1[[#This Row],[VEHICULOS_ACCIDENTADOS]:[VEHICULOS_ACCIDENTADOS2]],"MICROBUS")</f>
        <v>0</v>
      </c>
      <c r="X167" s="36">
        <f>COUNTIF(Tabla1[[#This Row],[VEHICULOS_ACCIDENTADOS]:[VEHICULOS_ACCIDENTADOS2]],"BUS")</f>
        <v>0</v>
      </c>
      <c r="Y167" s="36">
        <f>COUNTIF(Tabla1[[#This Row],[VEHICULOS_ACCIDENTADOS]:[VEHICULOS_ACCIDENTADOS2]],"BUSETA")</f>
        <v>0</v>
      </c>
      <c r="Z167" s="36">
        <f>COUNTIF(Tabla1[[#This Row],[VEHICULOS_ACCIDENTADOS]:[VEHICULOS_ACCIDENTADOS2]],"CAMION")</f>
        <v>0</v>
      </c>
      <c r="AA167" s="36">
        <f>COUNTIF(Tabla1[[#This Row],[VEHICULOS_ACCIDENTADOS]:[VEHICULOS_ACCIDENTADOS2]],"TRACTOCAMION")</f>
        <v>0</v>
      </c>
      <c r="AB167" s="36">
        <f>COUNTIF(Tabla1[[#This Row],[VEHICULOS_ACCIDENTADOS]:[VEHICULOS_ACCIDENTADOS2]],"VOLQUETA")</f>
        <v>0</v>
      </c>
      <c r="AC167" s="36">
        <f>COUNTIF(Tabla1[[#This Row],[VEHICULOS_ACCIDENTADOS]:[VEHICULOS_ACCIDENTADOS2]],"BICICLETA")</f>
        <v>0</v>
      </c>
      <c r="AD167" s="36"/>
      <c r="AE167" s="36" t="s">
        <v>472</v>
      </c>
      <c r="AF167" s="36">
        <f>COUNTIF(Tabla1[[#This Row],[GENERO_MASCULINO]:[GENERO_FEMENINO]],"MASCULINO")</f>
        <v>0</v>
      </c>
      <c r="AG167" s="36">
        <f>COUNTIF(Tabla1[[#This Row],[GENERO_MASCULINO]:[GENERO_FEMENINO]],"FEMENINO")</f>
        <v>1</v>
      </c>
      <c r="AH167" s="61">
        <v>43</v>
      </c>
      <c r="AI167" s="61"/>
      <c r="AJ167" s="61"/>
      <c r="AK167" s="61"/>
      <c r="AL167" s="61"/>
      <c r="AM167" s="36"/>
      <c r="AN167" s="61">
        <v>112</v>
      </c>
      <c r="AO167" s="36" t="str">
        <f>IFERROR(((VLOOKUP(Tabla1[[#This Row],[HIPOTESIS_1]],listas!$D$1:$E$105,2,FALSE))),"SIN INFORMACIÓN")</f>
        <v>Desobedecer señales o normas de tránsito.</v>
      </c>
      <c r="AP167" s="36">
        <v>139</v>
      </c>
      <c r="AQ167" s="36" t="str">
        <f>IFERROR(((VLOOKUP(Tabla1[[#This Row],[HIPOTESIS_2]],listas!$D$1:$E$105,2,FALSE))),"")</f>
        <v>Impericia en el manejo.</v>
      </c>
      <c r="AR167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68" spans="1:44" x14ac:dyDescent="0.25">
      <c r="A168" s="12">
        <v>73</v>
      </c>
      <c r="B168" s="36">
        <v>0</v>
      </c>
      <c r="C168" s="36">
        <v>2</v>
      </c>
      <c r="D168" s="36">
        <v>0</v>
      </c>
      <c r="E168" s="18" t="str">
        <f t="shared" si="8"/>
        <v>LESIONADO</v>
      </c>
      <c r="F168" s="36" t="s">
        <v>1157</v>
      </c>
      <c r="G168" s="21">
        <v>5.3355380555555554</v>
      </c>
      <c r="H168" s="21">
        <v>-72.405320000000003</v>
      </c>
      <c r="I168" s="93" t="s">
        <v>697</v>
      </c>
      <c r="J168" s="36" t="s">
        <v>717</v>
      </c>
      <c r="K168" s="24" t="str">
        <f t="shared" si="9"/>
        <v>2022</v>
      </c>
      <c r="L168" s="24" t="str">
        <f t="shared" si="10"/>
        <v>MARZO</v>
      </c>
      <c r="M168" s="225">
        <v>44624</v>
      </c>
      <c r="N168" s="24" t="str">
        <f t="shared" si="11"/>
        <v>VIERNES</v>
      </c>
      <c r="O168" s="101">
        <v>0.96319444444444446</v>
      </c>
      <c r="P168" s="63" t="s">
        <v>469</v>
      </c>
      <c r="Q168" s="63" t="s">
        <v>469</v>
      </c>
      <c r="R168" s="36">
        <f>COUNTIF(Tabla1[[#This Row],[VEHICULOS_ACCIDENTADOS]:[VEHICULOS_ACCIDENTADOS2]],"MOTOCICLETA")</f>
        <v>2</v>
      </c>
      <c r="S168" s="36">
        <f>COUNTIF(Tabla1[[#This Row],[VEHICULOS_ACCIDENTADOS]:[VEHICULOS_ACCIDENTADOS2]],"MOTOCARRO")</f>
        <v>0</v>
      </c>
      <c r="T168" s="36">
        <f>COUNTIF(Tabla1[[#This Row],[VEHICULOS_ACCIDENTADOS]:[VEHICULOS_ACCIDENTADOS2]],"AUTOMOVIL")</f>
        <v>0</v>
      </c>
      <c r="U168" s="36">
        <f>COUNTIF(Tabla1[[#This Row],[VEHICULOS_ACCIDENTADOS]:[VEHICULOS_ACCIDENTADOS2]],"CAMPERO")</f>
        <v>0</v>
      </c>
      <c r="V168" s="36">
        <f>COUNTIF(Tabla1[[#This Row],[VEHICULOS_ACCIDENTADOS]:[VEHICULOS_ACCIDENTADOS2]],"CAMIONETA")</f>
        <v>0</v>
      </c>
      <c r="W168" s="36">
        <f>COUNTIF(Tabla1[[#This Row],[VEHICULOS_ACCIDENTADOS]:[VEHICULOS_ACCIDENTADOS2]],"MICROBUS")</f>
        <v>0</v>
      </c>
      <c r="X168" s="36">
        <f>COUNTIF(Tabla1[[#This Row],[VEHICULOS_ACCIDENTADOS]:[VEHICULOS_ACCIDENTADOS2]],"BUS")</f>
        <v>0</v>
      </c>
      <c r="Y168" s="36">
        <f>COUNTIF(Tabla1[[#This Row],[VEHICULOS_ACCIDENTADOS]:[VEHICULOS_ACCIDENTADOS2]],"BUSETA")</f>
        <v>0</v>
      </c>
      <c r="Z168" s="36">
        <f>COUNTIF(Tabla1[[#This Row],[VEHICULOS_ACCIDENTADOS]:[VEHICULOS_ACCIDENTADOS2]],"CAMION")</f>
        <v>0</v>
      </c>
      <c r="AA168" s="36">
        <f>COUNTIF(Tabla1[[#This Row],[VEHICULOS_ACCIDENTADOS]:[VEHICULOS_ACCIDENTADOS2]],"TRACTOCAMION")</f>
        <v>0</v>
      </c>
      <c r="AB168" s="36">
        <f>COUNTIF(Tabla1[[#This Row],[VEHICULOS_ACCIDENTADOS]:[VEHICULOS_ACCIDENTADOS2]],"VOLQUETA")</f>
        <v>0</v>
      </c>
      <c r="AC168" s="36">
        <f>COUNTIF(Tabla1[[#This Row],[VEHICULOS_ACCIDENTADOS]:[VEHICULOS_ACCIDENTADOS2]],"BICICLETA")</f>
        <v>0</v>
      </c>
      <c r="AD168" s="36" t="s">
        <v>471</v>
      </c>
      <c r="AE168" s="36" t="s">
        <v>472</v>
      </c>
      <c r="AF168" s="36">
        <f>COUNTIF(Tabla1[[#This Row],[GENERO_MASCULINO]:[GENERO_FEMENINO]],"MASCULINO")</f>
        <v>1</v>
      </c>
      <c r="AG168" s="36">
        <f>COUNTIF(Tabla1[[#This Row],[GENERO_MASCULINO]:[GENERO_FEMENINO]],"FEMENINO")</f>
        <v>1</v>
      </c>
      <c r="AH168" s="61">
        <v>16</v>
      </c>
      <c r="AI168" s="61"/>
      <c r="AJ168" s="61"/>
      <c r="AK168" s="61"/>
      <c r="AL168" s="61">
        <v>12</v>
      </c>
      <c r="AM168" s="36"/>
      <c r="AN168" s="61">
        <v>103</v>
      </c>
      <c r="AO168" s="36" t="str">
        <f>IFERROR(((VLOOKUP(Tabla1[[#This Row],[HIPOTESIS_1]],listas!$D$1:$E$105,2,FALSE))),"SIN INFORMACIÓN")</f>
        <v>Adelantar cerrando.</v>
      </c>
      <c r="AP168" s="36">
        <v>139</v>
      </c>
      <c r="AQ168" s="36" t="str">
        <f>IFERROR(((VLOOKUP(Tabla1[[#This Row],[HIPOTESIS_2]],listas!$D$1:$E$105,2,FALSE))),"")</f>
        <v>Impericia en el manejo.</v>
      </c>
      <c r="AR168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69" spans="1:44" x14ac:dyDescent="0.25">
      <c r="A169" s="12">
        <v>1020</v>
      </c>
      <c r="B169" s="137">
        <v>0</v>
      </c>
      <c r="C169" s="137">
        <v>1</v>
      </c>
      <c r="D169" s="137">
        <v>1</v>
      </c>
      <c r="E169" s="18" t="str">
        <f t="shared" si="8"/>
        <v>FALLECIDO</v>
      </c>
      <c r="F169" s="152" t="s">
        <v>466</v>
      </c>
      <c r="G169" s="30">
        <v>5.3397639999999997</v>
      </c>
      <c r="H169" s="30">
        <v>-72.405540000000002</v>
      </c>
      <c r="I169" s="93" t="s">
        <v>697</v>
      </c>
      <c r="J169" s="36" t="s">
        <v>717</v>
      </c>
      <c r="K169" s="24" t="str">
        <f t="shared" si="9"/>
        <v>2025</v>
      </c>
      <c r="L169" s="24" t="str">
        <f t="shared" si="10"/>
        <v>JULIO</v>
      </c>
      <c r="M169" s="225">
        <v>45864</v>
      </c>
      <c r="N169" s="24" t="str">
        <f t="shared" si="11"/>
        <v>SÁBADO</v>
      </c>
      <c r="O169" s="101">
        <v>0.83124999999999993</v>
      </c>
      <c r="P169" s="63" t="s">
        <v>469</v>
      </c>
      <c r="Q169" s="63" t="s">
        <v>469</v>
      </c>
      <c r="R169" s="36">
        <f>COUNTIF(Tabla1[[#This Row],[VEHICULOS_ACCIDENTADOS]:[VEHICULOS_ACCIDENTADOS2]],"MOTOCICLETA")</f>
        <v>2</v>
      </c>
      <c r="S169" s="36">
        <f>COUNTIF(Tabla1[[#This Row],[VEHICULOS_ACCIDENTADOS]:[VEHICULOS_ACCIDENTADOS2]],"MOTOCARRO")</f>
        <v>0</v>
      </c>
      <c r="T169" s="36">
        <f>COUNTIF(Tabla1[[#This Row],[VEHICULOS_ACCIDENTADOS]:[VEHICULOS_ACCIDENTADOS2]],"AUTOMOVIL")</f>
        <v>0</v>
      </c>
      <c r="U169" s="36">
        <f>COUNTIF(Tabla1[[#This Row],[VEHICULOS_ACCIDENTADOS]:[VEHICULOS_ACCIDENTADOS2]],"CAMPERO")</f>
        <v>0</v>
      </c>
      <c r="V169" s="36">
        <f>COUNTIF(Tabla1[[#This Row],[VEHICULOS_ACCIDENTADOS]:[VEHICULOS_ACCIDENTADOS2]],"CAMIONETA")</f>
        <v>0</v>
      </c>
      <c r="W169" s="36">
        <f>COUNTIF(Tabla1[[#This Row],[VEHICULOS_ACCIDENTADOS]:[VEHICULOS_ACCIDENTADOS2]],"MICROBUS")</f>
        <v>0</v>
      </c>
      <c r="X169" s="36">
        <f>COUNTIF(Tabla1[[#This Row],[VEHICULOS_ACCIDENTADOS]:[VEHICULOS_ACCIDENTADOS2]],"BUS")</f>
        <v>0</v>
      </c>
      <c r="Y169" s="36">
        <f>COUNTIF(Tabla1[[#This Row],[VEHICULOS_ACCIDENTADOS]:[VEHICULOS_ACCIDENTADOS2]],"BUSETA")</f>
        <v>0</v>
      </c>
      <c r="Z169" s="36">
        <f>COUNTIF(Tabla1[[#This Row],[VEHICULOS_ACCIDENTADOS]:[VEHICULOS_ACCIDENTADOS2]],"CAMION")</f>
        <v>0</v>
      </c>
      <c r="AA169" s="36">
        <f>COUNTIF(Tabla1[[#This Row],[VEHICULOS_ACCIDENTADOS]:[VEHICULOS_ACCIDENTADOS2]],"TRACTOCAMION")</f>
        <v>0</v>
      </c>
      <c r="AB169" s="36">
        <f>COUNTIF(Tabla1[[#This Row],[VEHICULOS_ACCIDENTADOS]:[VEHICULOS_ACCIDENTADOS2]],"VOLQUETA")</f>
        <v>0</v>
      </c>
      <c r="AC169" s="36">
        <f>COUNTIF(Tabla1[[#This Row],[VEHICULOS_ACCIDENTADOS]:[VEHICULOS_ACCIDENTADOS2]],"BICICLETA")</f>
        <v>0</v>
      </c>
      <c r="AD169" s="36" t="s">
        <v>471</v>
      </c>
      <c r="AE169" s="36" t="s">
        <v>471</v>
      </c>
      <c r="AF169" s="36">
        <f>COUNTIF(Tabla1[[#This Row],[GENERO_MASCULINO]:[GENERO_FEMENINO]],"MASCULINO")</f>
        <v>2</v>
      </c>
      <c r="AG169" s="36">
        <f>COUNTIF(Tabla1[[#This Row],[GENERO_MASCULINO]:[GENERO_FEMENINO]],"FEMENINO")</f>
        <v>0</v>
      </c>
      <c r="AH169" s="85">
        <v>24</v>
      </c>
      <c r="AI169" s="85">
        <v>29</v>
      </c>
      <c r="AJ169" s="85"/>
      <c r="AK169" s="78"/>
      <c r="AL169" s="78"/>
      <c r="AM169" s="59"/>
      <c r="AN169" s="61">
        <v>104</v>
      </c>
      <c r="AO169" s="36" t="str">
        <f>IFERROR(((VLOOKUP(Tabla1[[#This Row],[HIPOTESIS_1]],listas!$D$1:$E$105,2,FALSE))),"SIN INFORMACIÓN")</f>
        <v>Adelantar invadiendo carril de sentido contrario.</v>
      </c>
      <c r="AP169" s="36">
        <v>139</v>
      </c>
      <c r="AQ169" s="36" t="str">
        <f>IFERROR(((VLOOKUP(Tabla1[[#This Row],[HIPOTESIS_2]],listas!$D$1:$E$105,2,FALSE))),"")</f>
        <v>Impericia en el manejo.</v>
      </c>
      <c r="AR169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70" spans="1:44" x14ac:dyDescent="0.25">
      <c r="A170" s="12">
        <v>1084</v>
      </c>
      <c r="B170" s="137">
        <v>1</v>
      </c>
      <c r="C170" s="137">
        <v>0</v>
      </c>
      <c r="D170" s="137">
        <v>0</v>
      </c>
      <c r="E170" s="24" t="str">
        <f t="shared" si="8"/>
        <v>SOLO DAÑO</v>
      </c>
      <c r="F170" s="152" t="s">
        <v>818</v>
      </c>
      <c r="G170" s="30">
        <v>5.3467536299998404</v>
      </c>
      <c r="H170" s="30">
        <v>-72.399740656997494</v>
      </c>
      <c r="I170" s="165" t="s">
        <v>697</v>
      </c>
      <c r="J170" s="36" t="s">
        <v>717</v>
      </c>
      <c r="K170" s="24" t="str">
        <f t="shared" si="9"/>
        <v>2025</v>
      </c>
      <c r="L170" s="24" t="str">
        <f t="shared" si="10"/>
        <v>SEPTIEMBRE</v>
      </c>
      <c r="M170" s="225">
        <v>45915</v>
      </c>
      <c r="N170" s="24" t="str">
        <f t="shared" si="11"/>
        <v>LUNES</v>
      </c>
      <c r="O170" s="101">
        <v>0.7993055555555556</v>
      </c>
      <c r="P170" s="63" t="s">
        <v>469</v>
      </c>
      <c r="Q170" s="63" t="s">
        <v>438</v>
      </c>
      <c r="R170" s="36">
        <f>COUNTIF(Tabla1[[#This Row],[VEHICULOS_ACCIDENTADOS]:[VEHICULOS_ACCIDENTADOS2]],"MOTOCICLETA")</f>
        <v>1</v>
      </c>
      <c r="S170" s="36">
        <f>COUNTIF(Tabla1[[#This Row],[VEHICULOS_ACCIDENTADOS]:[VEHICULOS_ACCIDENTADOS2]],"MOTOCARRO")</f>
        <v>0</v>
      </c>
      <c r="T170" s="36">
        <f>COUNTIF(Tabla1[[#This Row],[VEHICULOS_ACCIDENTADOS]:[VEHICULOS_ACCIDENTADOS2]],"AUTOMOVIL")</f>
        <v>0</v>
      </c>
      <c r="U170" s="36">
        <f>COUNTIF(Tabla1[[#This Row],[VEHICULOS_ACCIDENTADOS]:[VEHICULOS_ACCIDENTADOS2]],"CAMPERO")</f>
        <v>0</v>
      </c>
      <c r="V170" s="36">
        <f>COUNTIF(Tabla1[[#This Row],[VEHICULOS_ACCIDENTADOS]:[VEHICULOS_ACCIDENTADOS2]],"CAMIONETA")</f>
        <v>0</v>
      </c>
      <c r="W170" s="36">
        <f>COUNTIF(Tabla1[[#This Row],[VEHICULOS_ACCIDENTADOS]:[VEHICULOS_ACCIDENTADOS2]],"MICROBUS")</f>
        <v>0</v>
      </c>
      <c r="X170" s="36">
        <f>COUNTIF(Tabla1[[#This Row],[VEHICULOS_ACCIDENTADOS]:[VEHICULOS_ACCIDENTADOS2]],"BUS")</f>
        <v>0</v>
      </c>
      <c r="Y170" s="36">
        <f>COUNTIF(Tabla1[[#This Row],[VEHICULOS_ACCIDENTADOS]:[VEHICULOS_ACCIDENTADOS2]],"BUSETA")</f>
        <v>0</v>
      </c>
      <c r="Z170" s="36">
        <f>COUNTIF(Tabla1[[#This Row],[VEHICULOS_ACCIDENTADOS]:[VEHICULOS_ACCIDENTADOS2]],"CAMION")</f>
        <v>0</v>
      </c>
      <c r="AA170" s="36">
        <f>COUNTIF(Tabla1[[#This Row],[VEHICULOS_ACCIDENTADOS]:[VEHICULOS_ACCIDENTADOS2]],"TRACTOCAMION")</f>
        <v>0</v>
      </c>
      <c r="AB170" s="36">
        <f>COUNTIF(Tabla1[[#This Row],[VEHICULOS_ACCIDENTADOS]:[VEHICULOS_ACCIDENTADOS2]],"VOLQUETA")</f>
        <v>0</v>
      </c>
      <c r="AC170" s="36">
        <f>COUNTIF(Tabla1[[#This Row],[VEHICULOS_ACCIDENTADOS]:[VEHICULOS_ACCIDENTADOS2]],"BICICLETA")</f>
        <v>1</v>
      </c>
      <c r="AD170" s="61" t="s">
        <v>471</v>
      </c>
      <c r="AE170" s="61" t="s">
        <v>471</v>
      </c>
      <c r="AF170" s="36">
        <f>COUNTIF(Tabla1[[#This Row],[GENERO_MASCULINO]:[GENERO_FEMENINO]],"MASCULINO")</f>
        <v>2</v>
      </c>
      <c r="AG170" s="36">
        <f>COUNTIF(Tabla1[[#This Row],[GENERO_MASCULINO]:[GENERO_FEMENINO]],"FEMENINO")</f>
        <v>0</v>
      </c>
      <c r="AH170" s="85"/>
      <c r="AI170" s="85"/>
      <c r="AJ170" s="85"/>
      <c r="AK170" s="78"/>
      <c r="AL170" s="78"/>
      <c r="AM170" s="59"/>
      <c r="AN170" s="61">
        <v>93</v>
      </c>
      <c r="AO170" s="59" t="str">
        <f>IFERROR(((VLOOKUP(Tabla1[[#This Row],[HIPOTESIS_1]],listas!$D$1:$E$105,2,FALSE))),"SIN INFORMACIÓN")</f>
        <v>Transitar distante de la acera u orilla de la calzada.</v>
      </c>
      <c r="AP170" s="36">
        <v>139</v>
      </c>
      <c r="AQ170" s="36" t="str">
        <f>IFERROR(((VLOOKUP(Tabla1[[#This Row],[HIPOTESIS_2]],listas!$D$1:$E$105,2,FALSE))),"")</f>
        <v>Impericia en el manejo.</v>
      </c>
      <c r="AR170" s="2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71" spans="1:44" x14ac:dyDescent="0.25">
      <c r="A171" s="12">
        <v>1028</v>
      </c>
      <c r="B171" s="137">
        <v>0</v>
      </c>
      <c r="C171" s="137">
        <v>1</v>
      </c>
      <c r="D171" s="137">
        <v>0</v>
      </c>
      <c r="E171" s="18" t="str">
        <f t="shared" si="8"/>
        <v>LESIONADO</v>
      </c>
      <c r="F171" s="152" t="s">
        <v>820</v>
      </c>
      <c r="G171" s="30">
        <v>5.3295339999999998</v>
      </c>
      <c r="H171" s="30">
        <v>-72.401787999999996</v>
      </c>
      <c r="I171" s="93" t="s">
        <v>697</v>
      </c>
      <c r="J171" s="36" t="s">
        <v>717</v>
      </c>
      <c r="K171" s="24" t="str">
        <f t="shared" si="9"/>
        <v>2025</v>
      </c>
      <c r="L171" s="24" t="str">
        <f t="shared" si="10"/>
        <v>AGOSTO</v>
      </c>
      <c r="M171" s="225">
        <v>45870</v>
      </c>
      <c r="N171" s="24" t="str">
        <f t="shared" si="11"/>
        <v>VIERNES</v>
      </c>
      <c r="O171" s="101">
        <v>0.24305555555555555</v>
      </c>
      <c r="P171" s="63" t="s">
        <v>469</v>
      </c>
      <c r="Q171" s="63" t="s">
        <v>446</v>
      </c>
      <c r="R171" s="36">
        <f>COUNTIF(Tabla1[[#This Row],[VEHICULOS_ACCIDENTADOS]:[VEHICULOS_ACCIDENTADOS2]],"MOTOCICLETA")</f>
        <v>1</v>
      </c>
      <c r="S171" s="36">
        <f>COUNTIF(Tabla1[[#This Row],[VEHICULOS_ACCIDENTADOS]:[VEHICULOS_ACCIDENTADOS2]],"MOTOCARRO")</f>
        <v>0</v>
      </c>
      <c r="T171" s="36">
        <f>COUNTIF(Tabla1[[#This Row],[VEHICULOS_ACCIDENTADOS]:[VEHICULOS_ACCIDENTADOS2]],"AUTOMOVIL")</f>
        <v>0</v>
      </c>
      <c r="U171" s="36">
        <f>COUNTIF(Tabla1[[#This Row],[VEHICULOS_ACCIDENTADOS]:[VEHICULOS_ACCIDENTADOS2]],"CAMPERO")</f>
        <v>1</v>
      </c>
      <c r="V171" s="36">
        <f>COUNTIF(Tabla1[[#This Row],[VEHICULOS_ACCIDENTADOS]:[VEHICULOS_ACCIDENTADOS2]],"CAMIONETA")</f>
        <v>0</v>
      </c>
      <c r="W171" s="36">
        <f>COUNTIF(Tabla1[[#This Row],[VEHICULOS_ACCIDENTADOS]:[VEHICULOS_ACCIDENTADOS2]],"MICROBUS")</f>
        <v>0</v>
      </c>
      <c r="X171" s="36">
        <f>COUNTIF(Tabla1[[#This Row],[VEHICULOS_ACCIDENTADOS]:[VEHICULOS_ACCIDENTADOS2]],"BUS")</f>
        <v>0</v>
      </c>
      <c r="Y171" s="36">
        <f>COUNTIF(Tabla1[[#This Row],[VEHICULOS_ACCIDENTADOS]:[VEHICULOS_ACCIDENTADOS2]],"BUSETA")</f>
        <v>0</v>
      </c>
      <c r="Z171" s="36">
        <f>COUNTIF(Tabla1[[#This Row],[VEHICULOS_ACCIDENTADOS]:[VEHICULOS_ACCIDENTADOS2]],"CAMION")</f>
        <v>0</v>
      </c>
      <c r="AA171" s="36">
        <f>COUNTIF(Tabla1[[#This Row],[VEHICULOS_ACCIDENTADOS]:[VEHICULOS_ACCIDENTADOS2]],"TRACTOCAMION")</f>
        <v>0</v>
      </c>
      <c r="AB171" s="36">
        <f>COUNTIF(Tabla1[[#This Row],[VEHICULOS_ACCIDENTADOS]:[VEHICULOS_ACCIDENTADOS2]],"VOLQUETA")</f>
        <v>0</v>
      </c>
      <c r="AC171" s="36">
        <f>COUNTIF(Tabla1[[#This Row],[VEHICULOS_ACCIDENTADOS]:[VEHICULOS_ACCIDENTADOS2]],"BICICLETA")</f>
        <v>0</v>
      </c>
      <c r="AD171" s="61" t="s">
        <v>471</v>
      </c>
      <c r="AE171" s="61" t="s">
        <v>471</v>
      </c>
      <c r="AF171" s="36">
        <f>COUNTIF(Tabla1[[#This Row],[GENERO_MASCULINO]:[GENERO_FEMENINO]],"MASCULINO")</f>
        <v>2</v>
      </c>
      <c r="AG171" s="36">
        <f>COUNTIF(Tabla1[[#This Row],[GENERO_MASCULINO]:[GENERO_FEMENINO]],"FEMENINO")</f>
        <v>0</v>
      </c>
      <c r="AH171" s="85">
        <v>35</v>
      </c>
      <c r="AI171" s="85">
        <v>48</v>
      </c>
      <c r="AJ171" s="85"/>
      <c r="AK171" s="78"/>
      <c r="AL171" s="78"/>
      <c r="AM171" s="59"/>
      <c r="AN171" s="61">
        <v>115</v>
      </c>
      <c r="AO171" s="59" t="str">
        <f>IFERROR(((VLOOKUP(Tabla1[[#This Row],[HIPOTESIS_1]],listas!$D$1:$E$105,2,FALSE))),"SIN INFORMACIÓN")</f>
        <v>Embriaguez o Sustancias alucinogenas</v>
      </c>
      <c r="AP171" s="36">
        <v>139</v>
      </c>
      <c r="AQ171" s="36" t="str">
        <f>IFERROR(((VLOOKUP(Tabla1[[#This Row],[HIPOTESIS_2]],listas!$D$1:$E$105,2,FALSE))),"")</f>
        <v>Impericia en el manejo.</v>
      </c>
      <c r="AR171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72" spans="1:44" x14ac:dyDescent="0.25">
      <c r="A172" s="12">
        <v>961</v>
      </c>
      <c r="B172" s="136">
        <v>0</v>
      </c>
      <c r="C172" s="136">
        <v>3</v>
      </c>
      <c r="D172" s="141">
        <v>0</v>
      </c>
      <c r="E172" s="18" t="str">
        <f t="shared" si="8"/>
        <v>LESIONADO</v>
      </c>
      <c r="F172" s="26" t="s">
        <v>840</v>
      </c>
      <c r="G172" s="20">
        <v>5.3361619999999998</v>
      </c>
      <c r="H172" s="20">
        <v>-72.393096999999997</v>
      </c>
      <c r="I172" s="93" t="s">
        <v>697</v>
      </c>
      <c r="J172" s="135" t="s">
        <v>717</v>
      </c>
      <c r="K172" s="24" t="str">
        <f t="shared" si="9"/>
        <v>2025</v>
      </c>
      <c r="L172" s="24" t="str">
        <f t="shared" si="10"/>
        <v>MAYO</v>
      </c>
      <c r="M172" s="224">
        <v>45788</v>
      </c>
      <c r="N172" s="24" t="str">
        <f t="shared" si="11"/>
        <v>DOMINGO</v>
      </c>
      <c r="O172" s="171">
        <v>6.5972222222222224E-2</v>
      </c>
      <c r="P172" s="63" t="s">
        <v>469</v>
      </c>
      <c r="Q172" s="63" t="s">
        <v>469</v>
      </c>
      <c r="R172" s="36">
        <f>COUNTIF(Tabla1[[#This Row],[VEHICULOS_ACCIDENTADOS]:[VEHICULOS_ACCIDENTADOS2]],"MOTOCICLETA")</f>
        <v>2</v>
      </c>
      <c r="S172" s="36">
        <f>COUNTIF(Tabla1[[#This Row],[VEHICULOS_ACCIDENTADOS]:[VEHICULOS_ACCIDENTADOS2]],"MOTOCARRO")</f>
        <v>0</v>
      </c>
      <c r="T172" s="36">
        <f>COUNTIF(Tabla1[[#This Row],[VEHICULOS_ACCIDENTADOS]:[VEHICULOS_ACCIDENTADOS2]],"AUTOMOVIL")</f>
        <v>0</v>
      </c>
      <c r="U172" s="36">
        <f>COUNTIF(Tabla1[[#This Row],[VEHICULOS_ACCIDENTADOS]:[VEHICULOS_ACCIDENTADOS2]],"CAMPERO")</f>
        <v>0</v>
      </c>
      <c r="V172" s="36">
        <f>COUNTIF(Tabla1[[#This Row],[VEHICULOS_ACCIDENTADOS]:[VEHICULOS_ACCIDENTADOS2]],"CAMIONETA")</f>
        <v>0</v>
      </c>
      <c r="W172" s="36">
        <f>COUNTIF(Tabla1[[#This Row],[VEHICULOS_ACCIDENTADOS]:[VEHICULOS_ACCIDENTADOS2]],"MICROBUS")</f>
        <v>0</v>
      </c>
      <c r="X172" s="36">
        <f>COUNTIF(Tabla1[[#This Row],[VEHICULOS_ACCIDENTADOS]:[VEHICULOS_ACCIDENTADOS2]],"BUS")</f>
        <v>0</v>
      </c>
      <c r="Y172" s="36">
        <f>COUNTIF(Tabla1[[#This Row],[VEHICULOS_ACCIDENTADOS]:[VEHICULOS_ACCIDENTADOS2]],"BUSETA")</f>
        <v>0</v>
      </c>
      <c r="Z172" s="36">
        <f>COUNTIF(Tabla1[[#This Row],[VEHICULOS_ACCIDENTADOS]:[VEHICULOS_ACCIDENTADOS2]],"CAMION")</f>
        <v>0</v>
      </c>
      <c r="AA172" s="36">
        <f>COUNTIF(Tabla1[[#This Row],[VEHICULOS_ACCIDENTADOS]:[VEHICULOS_ACCIDENTADOS2]],"TRACTOCAMION")</f>
        <v>0</v>
      </c>
      <c r="AB172" s="36">
        <f>COUNTIF(Tabla1[[#This Row],[VEHICULOS_ACCIDENTADOS]:[VEHICULOS_ACCIDENTADOS2]],"VOLQUETA")</f>
        <v>0</v>
      </c>
      <c r="AC172" s="36">
        <f>COUNTIF(Tabla1[[#This Row],[VEHICULOS_ACCIDENTADOS]:[VEHICULOS_ACCIDENTADOS2]],"BICICLETA")</f>
        <v>0</v>
      </c>
      <c r="AD172" s="36" t="s">
        <v>471</v>
      </c>
      <c r="AE172" s="36" t="s">
        <v>471</v>
      </c>
      <c r="AF172" s="36">
        <f>COUNTIF(Tabla1[[#This Row],[GENERO_MASCULINO]:[GENERO_FEMENINO]],"MASCULINO")</f>
        <v>2</v>
      </c>
      <c r="AG172" s="36">
        <f>COUNTIF(Tabla1[[#This Row],[GENERO_MASCULINO]:[GENERO_FEMENINO]],"FEMENINO")</f>
        <v>0</v>
      </c>
      <c r="AH172" s="85">
        <v>21</v>
      </c>
      <c r="AI172" s="85">
        <v>47</v>
      </c>
      <c r="AJ172" s="85"/>
      <c r="AK172" s="85"/>
      <c r="AL172" s="78"/>
      <c r="AM172" s="59"/>
      <c r="AN172" s="85">
        <v>157</v>
      </c>
      <c r="AO172" s="36" t="str">
        <f>IFERROR(((VLOOKUP(Tabla1[[#This Row],[HIPOTESIS_1]],listas!$D$1:$E$105,2,FALSE))),"SIN INFORMACIÓN")</f>
        <v>Otra</v>
      </c>
      <c r="AP172" s="36">
        <v>139</v>
      </c>
      <c r="AQ172" s="36" t="str">
        <f>IFERROR(((VLOOKUP(Tabla1[[#This Row],[HIPOTESIS_2]],listas!$D$1:$E$105,2,FALSE))),"")</f>
        <v>Impericia en el manejo.</v>
      </c>
      <c r="AR172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73" spans="1:44" x14ac:dyDescent="0.25">
      <c r="A173" s="12">
        <v>1061</v>
      </c>
      <c r="B173" s="137">
        <v>0</v>
      </c>
      <c r="C173" s="137">
        <v>1</v>
      </c>
      <c r="D173" s="137">
        <v>1</v>
      </c>
      <c r="E173" s="24" t="str">
        <f t="shared" si="8"/>
        <v>FALLECIDO</v>
      </c>
      <c r="F173" s="155" t="s">
        <v>843</v>
      </c>
      <c r="G173" s="30">
        <v>5.3391000000000002</v>
      </c>
      <c r="H173" s="164">
        <v>-72.387732</v>
      </c>
      <c r="I173" s="93" t="s">
        <v>697</v>
      </c>
      <c r="J173" s="36" t="s">
        <v>717</v>
      </c>
      <c r="K173" s="24" t="str">
        <f t="shared" si="9"/>
        <v>2025</v>
      </c>
      <c r="L173" s="24" t="str">
        <f t="shared" si="10"/>
        <v>SEPTIEMBRE</v>
      </c>
      <c r="M173" s="225">
        <v>45909</v>
      </c>
      <c r="N173" s="24" t="str">
        <f t="shared" si="11"/>
        <v>MARTES</v>
      </c>
      <c r="O173" s="101">
        <v>0.53125</v>
      </c>
      <c r="P173" s="63" t="s">
        <v>469</v>
      </c>
      <c r="Q173" s="63" t="s">
        <v>469</v>
      </c>
      <c r="R173" s="36">
        <f>COUNTIF(Tabla1[[#This Row],[VEHICULOS_ACCIDENTADOS]:[VEHICULOS_ACCIDENTADOS2]],"MOTOCICLETA")</f>
        <v>2</v>
      </c>
      <c r="S173" s="36">
        <f>COUNTIF(Tabla1[[#This Row],[VEHICULOS_ACCIDENTADOS]:[VEHICULOS_ACCIDENTADOS2]],"MOTOCARRO")</f>
        <v>0</v>
      </c>
      <c r="T173" s="36">
        <f>COUNTIF(Tabla1[[#This Row],[VEHICULOS_ACCIDENTADOS]:[VEHICULOS_ACCIDENTADOS2]],"AUTOMOVIL")</f>
        <v>0</v>
      </c>
      <c r="U173" s="36">
        <f>COUNTIF(Tabla1[[#This Row],[VEHICULOS_ACCIDENTADOS]:[VEHICULOS_ACCIDENTADOS2]],"CAMPERO")</f>
        <v>0</v>
      </c>
      <c r="V173" s="36">
        <f>COUNTIF(Tabla1[[#This Row],[VEHICULOS_ACCIDENTADOS]:[VEHICULOS_ACCIDENTADOS2]],"CAMIONETA")</f>
        <v>0</v>
      </c>
      <c r="W173" s="36">
        <f>COUNTIF(Tabla1[[#This Row],[VEHICULOS_ACCIDENTADOS]:[VEHICULOS_ACCIDENTADOS2]],"MICROBUS")</f>
        <v>0</v>
      </c>
      <c r="X173" s="36">
        <f>COUNTIF(Tabla1[[#This Row],[VEHICULOS_ACCIDENTADOS]:[VEHICULOS_ACCIDENTADOS2]],"BUS")</f>
        <v>0</v>
      </c>
      <c r="Y173" s="36">
        <f>COUNTIF(Tabla1[[#This Row],[VEHICULOS_ACCIDENTADOS]:[VEHICULOS_ACCIDENTADOS2]],"BUSETA")</f>
        <v>0</v>
      </c>
      <c r="Z173" s="36">
        <f>COUNTIF(Tabla1[[#This Row],[VEHICULOS_ACCIDENTADOS]:[VEHICULOS_ACCIDENTADOS2]],"CAMION")</f>
        <v>0</v>
      </c>
      <c r="AA173" s="36">
        <f>COUNTIF(Tabla1[[#This Row],[VEHICULOS_ACCIDENTADOS]:[VEHICULOS_ACCIDENTADOS2]],"TRACTOCAMION")</f>
        <v>0</v>
      </c>
      <c r="AB173" s="36">
        <f>COUNTIF(Tabla1[[#This Row],[VEHICULOS_ACCIDENTADOS]:[VEHICULOS_ACCIDENTADOS2]],"VOLQUETA")</f>
        <v>0</v>
      </c>
      <c r="AC173" s="36">
        <f>COUNTIF(Tabla1[[#This Row],[VEHICULOS_ACCIDENTADOS]:[VEHICULOS_ACCIDENTADOS2]],"BICICLETA")</f>
        <v>0</v>
      </c>
      <c r="AD173" s="61" t="s">
        <v>472</v>
      </c>
      <c r="AE173" s="61" t="s">
        <v>471</v>
      </c>
      <c r="AF173" s="36">
        <f>COUNTIF(Tabla1[[#This Row],[GENERO_MASCULINO]:[GENERO_FEMENINO]],"MASCULINO")</f>
        <v>1</v>
      </c>
      <c r="AG173" s="36">
        <f>COUNTIF(Tabla1[[#This Row],[GENERO_MASCULINO]:[GENERO_FEMENINO]],"FEMENINO")</f>
        <v>1</v>
      </c>
      <c r="AH173" s="85">
        <v>32</v>
      </c>
      <c r="AI173" s="85"/>
      <c r="AJ173" s="85"/>
      <c r="AK173" s="78"/>
      <c r="AL173" s="78"/>
      <c r="AM173" s="59"/>
      <c r="AN173" s="61">
        <v>116</v>
      </c>
      <c r="AO173" s="59" t="str">
        <f>IFERROR(((VLOOKUP(Tabla1[[#This Row],[HIPOTESIS_1]],listas!$D$1:$E$105,2,FALSE))),"SIN INFORMACIÓN")</f>
        <v>Exceso de velocidad</v>
      </c>
      <c r="AP173" s="36">
        <v>139</v>
      </c>
      <c r="AQ173" s="36" t="str">
        <f>IFERROR(((VLOOKUP(Tabla1[[#This Row],[HIPOTESIS_2]],listas!$D$1:$E$105,2,FALSE))),"")</f>
        <v>Impericia en el manejo.</v>
      </c>
      <c r="AR173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74" spans="1:44" x14ac:dyDescent="0.25">
      <c r="A174" s="12">
        <v>57</v>
      </c>
      <c r="B174" s="36">
        <v>0</v>
      </c>
      <c r="C174" s="36">
        <v>2</v>
      </c>
      <c r="D174" s="36">
        <v>0</v>
      </c>
      <c r="E174" s="18" t="str">
        <f t="shared" si="8"/>
        <v>LESIONADO</v>
      </c>
      <c r="F174" s="29" t="s">
        <v>848</v>
      </c>
      <c r="G174" s="17">
        <v>5.3335222222222223</v>
      </c>
      <c r="H174" s="17">
        <v>-72.386494444444452</v>
      </c>
      <c r="I174" s="93" t="s">
        <v>697</v>
      </c>
      <c r="J174" s="36" t="s">
        <v>717</v>
      </c>
      <c r="K174" s="24" t="str">
        <f t="shared" si="9"/>
        <v>2022</v>
      </c>
      <c r="L174" s="24" t="str">
        <f t="shared" si="10"/>
        <v>FEBRERO</v>
      </c>
      <c r="M174" s="225">
        <v>44608</v>
      </c>
      <c r="N174" s="24" t="str">
        <f t="shared" si="11"/>
        <v>MIÉRCOLES</v>
      </c>
      <c r="O174" s="101">
        <v>0.39583333333333298</v>
      </c>
      <c r="P174" s="63" t="s">
        <v>469</v>
      </c>
      <c r="Q174" s="63" t="s">
        <v>447</v>
      </c>
      <c r="R174" s="36">
        <f>COUNTIF(Tabla1[[#This Row],[VEHICULOS_ACCIDENTADOS]:[VEHICULOS_ACCIDENTADOS2]],"MOTOCICLETA")</f>
        <v>1</v>
      </c>
      <c r="S174" s="36">
        <f>COUNTIF(Tabla1[[#This Row],[VEHICULOS_ACCIDENTADOS]:[VEHICULOS_ACCIDENTADOS2]],"MOTOCARRO")</f>
        <v>0</v>
      </c>
      <c r="T174" s="36">
        <f>COUNTIF(Tabla1[[#This Row],[VEHICULOS_ACCIDENTADOS]:[VEHICULOS_ACCIDENTADOS2]],"AUTOMOVIL")</f>
        <v>1</v>
      </c>
      <c r="U174" s="36">
        <f>COUNTIF(Tabla1[[#This Row],[VEHICULOS_ACCIDENTADOS]:[VEHICULOS_ACCIDENTADOS2]],"CAMPERO")</f>
        <v>0</v>
      </c>
      <c r="V174" s="36">
        <f>COUNTIF(Tabla1[[#This Row],[VEHICULOS_ACCIDENTADOS]:[VEHICULOS_ACCIDENTADOS2]],"CAMIONETA")</f>
        <v>0</v>
      </c>
      <c r="W174" s="36">
        <f>COUNTIF(Tabla1[[#This Row],[VEHICULOS_ACCIDENTADOS]:[VEHICULOS_ACCIDENTADOS2]],"MICROBUS")</f>
        <v>0</v>
      </c>
      <c r="X174" s="36">
        <f>COUNTIF(Tabla1[[#This Row],[VEHICULOS_ACCIDENTADOS]:[VEHICULOS_ACCIDENTADOS2]],"BUS")</f>
        <v>0</v>
      </c>
      <c r="Y174" s="36">
        <f>COUNTIF(Tabla1[[#This Row],[VEHICULOS_ACCIDENTADOS]:[VEHICULOS_ACCIDENTADOS2]],"BUSETA")</f>
        <v>0</v>
      </c>
      <c r="Z174" s="36">
        <f>COUNTIF(Tabla1[[#This Row],[VEHICULOS_ACCIDENTADOS]:[VEHICULOS_ACCIDENTADOS2]],"CAMION")</f>
        <v>0</v>
      </c>
      <c r="AA174" s="36">
        <f>COUNTIF(Tabla1[[#This Row],[VEHICULOS_ACCIDENTADOS]:[VEHICULOS_ACCIDENTADOS2]],"TRACTOCAMION")</f>
        <v>0</v>
      </c>
      <c r="AB174" s="36">
        <f>COUNTIF(Tabla1[[#This Row],[VEHICULOS_ACCIDENTADOS]:[VEHICULOS_ACCIDENTADOS2]],"VOLQUETA")</f>
        <v>0</v>
      </c>
      <c r="AC174" s="36">
        <f>COUNTIF(Tabla1[[#This Row],[VEHICULOS_ACCIDENTADOS]:[VEHICULOS_ACCIDENTADOS2]],"BICICLETA")</f>
        <v>0</v>
      </c>
      <c r="AD174" s="36"/>
      <c r="AE174" s="36" t="s">
        <v>472</v>
      </c>
      <c r="AF174" s="36">
        <f>COUNTIF(Tabla1[[#This Row],[GENERO_MASCULINO]:[GENERO_FEMENINO]],"MASCULINO")</f>
        <v>0</v>
      </c>
      <c r="AG174" s="36">
        <f>COUNTIF(Tabla1[[#This Row],[GENERO_MASCULINO]:[GENERO_FEMENINO]],"FEMENINO")</f>
        <v>1</v>
      </c>
      <c r="AH174" s="61">
        <v>36</v>
      </c>
      <c r="AI174" s="61"/>
      <c r="AJ174" s="61"/>
      <c r="AK174" s="61"/>
      <c r="AL174" s="61">
        <v>22</v>
      </c>
      <c r="AM174" s="36"/>
      <c r="AN174" s="61">
        <v>121</v>
      </c>
      <c r="AO174" s="36" t="str">
        <f>IFERROR(((VLOOKUP(Tabla1[[#This Row],[HIPOTESIS_1]],listas!$D$1:$E$105,2,FALSE))),"SIN INFORMACIÓN")</f>
        <v>No mantener distancia de seguridad.</v>
      </c>
      <c r="AP174" s="36">
        <v>139</v>
      </c>
      <c r="AQ174" s="36" t="str">
        <f>IFERROR(((VLOOKUP(Tabla1[[#This Row],[HIPOTESIS_2]],listas!$D$1:$E$105,2,FALSE))),"")</f>
        <v>Impericia en el manejo.</v>
      </c>
      <c r="AR174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75" spans="1:44" x14ac:dyDescent="0.25">
      <c r="A175" s="12">
        <v>1082</v>
      </c>
      <c r="B175" s="137">
        <v>1</v>
      </c>
      <c r="C175" s="137">
        <v>0</v>
      </c>
      <c r="D175" s="137">
        <v>0</v>
      </c>
      <c r="E175" s="24" t="str">
        <f t="shared" si="8"/>
        <v>SOLO DAÑO</v>
      </c>
      <c r="F175" s="152" t="s">
        <v>850</v>
      </c>
      <c r="G175" s="30">
        <v>5.3299699589840799</v>
      </c>
      <c r="H175" s="30">
        <v>-72.393091550121795</v>
      </c>
      <c r="I175" s="165" t="s">
        <v>697</v>
      </c>
      <c r="J175" s="36" t="s">
        <v>717</v>
      </c>
      <c r="K175" s="24" t="str">
        <f t="shared" si="9"/>
        <v>2025</v>
      </c>
      <c r="L175" s="24" t="str">
        <f t="shared" si="10"/>
        <v>SEPTIEMBRE</v>
      </c>
      <c r="M175" s="225">
        <v>45910</v>
      </c>
      <c r="N175" s="24" t="str">
        <f t="shared" si="11"/>
        <v>MIÉRCOLES</v>
      </c>
      <c r="O175" s="101">
        <v>0.65625</v>
      </c>
      <c r="P175" s="63" t="s">
        <v>469</v>
      </c>
      <c r="Q175" s="63" t="s">
        <v>445</v>
      </c>
      <c r="R175" s="36">
        <f>COUNTIF(Tabla1[[#This Row],[VEHICULOS_ACCIDENTADOS]:[VEHICULOS_ACCIDENTADOS2]],"MOTOCICLETA")</f>
        <v>1</v>
      </c>
      <c r="S175" s="36">
        <f>COUNTIF(Tabla1[[#This Row],[VEHICULOS_ACCIDENTADOS]:[VEHICULOS_ACCIDENTADOS2]],"MOTOCARRO")</f>
        <v>0</v>
      </c>
      <c r="T175" s="36">
        <f>COUNTIF(Tabla1[[#This Row],[VEHICULOS_ACCIDENTADOS]:[VEHICULOS_ACCIDENTADOS2]],"AUTOMOVIL")</f>
        <v>0</v>
      </c>
      <c r="U175" s="36">
        <f>COUNTIF(Tabla1[[#This Row],[VEHICULOS_ACCIDENTADOS]:[VEHICULOS_ACCIDENTADOS2]],"CAMPERO")</f>
        <v>0</v>
      </c>
      <c r="V175" s="36">
        <f>COUNTIF(Tabla1[[#This Row],[VEHICULOS_ACCIDENTADOS]:[VEHICULOS_ACCIDENTADOS2]],"CAMIONETA")</f>
        <v>1</v>
      </c>
      <c r="W175" s="36">
        <f>COUNTIF(Tabla1[[#This Row],[VEHICULOS_ACCIDENTADOS]:[VEHICULOS_ACCIDENTADOS2]],"MICROBUS")</f>
        <v>0</v>
      </c>
      <c r="X175" s="36">
        <f>COUNTIF(Tabla1[[#This Row],[VEHICULOS_ACCIDENTADOS]:[VEHICULOS_ACCIDENTADOS2]],"BUS")</f>
        <v>0</v>
      </c>
      <c r="Y175" s="36">
        <f>COUNTIF(Tabla1[[#This Row],[VEHICULOS_ACCIDENTADOS]:[VEHICULOS_ACCIDENTADOS2]],"BUSETA")</f>
        <v>0</v>
      </c>
      <c r="Z175" s="36">
        <f>COUNTIF(Tabla1[[#This Row],[VEHICULOS_ACCIDENTADOS]:[VEHICULOS_ACCIDENTADOS2]],"CAMION")</f>
        <v>0</v>
      </c>
      <c r="AA175" s="36">
        <f>COUNTIF(Tabla1[[#This Row],[VEHICULOS_ACCIDENTADOS]:[VEHICULOS_ACCIDENTADOS2]],"TRACTOCAMION")</f>
        <v>0</v>
      </c>
      <c r="AB175" s="36">
        <f>COUNTIF(Tabla1[[#This Row],[VEHICULOS_ACCIDENTADOS]:[VEHICULOS_ACCIDENTADOS2]],"VOLQUETA")</f>
        <v>0</v>
      </c>
      <c r="AC175" s="36">
        <f>COUNTIF(Tabla1[[#This Row],[VEHICULOS_ACCIDENTADOS]:[VEHICULOS_ACCIDENTADOS2]],"BICICLETA")</f>
        <v>0</v>
      </c>
      <c r="AD175" s="61" t="s">
        <v>471</v>
      </c>
      <c r="AE175" s="61" t="s">
        <v>471</v>
      </c>
      <c r="AF175" s="36">
        <f>COUNTIF(Tabla1[[#This Row],[GENERO_MASCULINO]:[GENERO_FEMENINO]],"MASCULINO")</f>
        <v>2</v>
      </c>
      <c r="AG175" s="36">
        <f>COUNTIF(Tabla1[[#This Row],[GENERO_MASCULINO]:[GENERO_FEMENINO]],"FEMENINO")</f>
        <v>0</v>
      </c>
      <c r="AH175" s="85"/>
      <c r="AI175" s="85"/>
      <c r="AJ175" s="85"/>
      <c r="AK175" s="78"/>
      <c r="AL175" s="78"/>
      <c r="AM175" s="59"/>
      <c r="AN175" s="61">
        <v>142</v>
      </c>
      <c r="AO175" s="59" t="str">
        <f>IFERROR(((VLOOKUP(Tabla1[[#This Row],[HIPOTESIS_1]],listas!$D$1:$E$105,2,FALSE))),"SIN INFORMACIÓN")</f>
        <v>Semáforo en rojo.</v>
      </c>
      <c r="AP175" s="36">
        <v>139</v>
      </c>
      <c r="AQ175" s="36" t="str">
        <f>IFERROR(((VLOOKUP(Tabla1[[#This Row],[HIPOTESIS_2]],listas!$D$1:$E$105,2,FALSE))),"")</f>
        <v>Impericia en el manejo.</v>
      </c>
      <c r="AR175" s="2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76" spans="1:44" x14ac:dyDescent="0.25">
      <c r="A176" s="12">
        <v>1044</v>
      </c>
      <c r="B176" s="137">
        <v>0</v>
      </c>
      <c r="C176" s="137">
        <v>1</v>
      </c>
      <c r="D176" s="137">
        <v>0</v>
      </c>
      <c r="E176" s="18" t="str">
        <f t="shared" si="8"/>
        <v>LESIONADO</v>
      </c>
      <c r="F176" s="152" t="s">
        <v>851</v>
      </c>
      <c r="G176" s="30">
        <v>5.3376929999999998</v>
      </c>
      <c r="H176" s="30">
        <v>-72.379278999999997</v>
      </c>
      <c r="I176" s="93" t="s">
        <v>697</v>
      </c>
      <c r="J176" s="36" t="s">
        <v>717</v>
      </c>
      <c r="K176" s="24" t="str">
        <f t="shared" si="9"/>
        <v>2025</v>
      </c>
      <c r="L176" s="24" t="str">
        <f t="shared" si="10"/>
        <v>AGOSTO</v>
      </c>
      <c r="M176" s="225">
        <v>45885</v>
      </c>
      <c r="N176" s="24" t="str">
        <f t="shared" si="11"/>
        <v>SÁBADO</v>
      </c>
      <c r="O176" s="101">
        <v>0.62152777777777779</v>
      </c>
      <c r="P176" s="181" t="s">
        <v>469</v>
      </c>
      <c r="Q176" s="181" t="s">
        <v>446</v>
      </c>
      <c r="R176" s="36">
        <f>COUNTIF(Tabla1[[#This Row],[VEHICULOS_ACCIDENTADOS]:[VEHICULOS_ACCIDENTADOS2]],"MOTOCICLETA")</f>
        <v>1</v>
      </c>
      <c r="S176" s="36">
        <f>COUNTIF(Tabla1[[#This Row],[VEHICULOS_ACCIDENTADOS]:[VEHICULOS_ACCIDENTADOS2]],"MOTOCARRO")</f>
        <v>0</v>
      </c>
      <c r="T176" s="36">
        <f>COUNTIF(Tabla1[[#This Row],[VEHICULOS_ACCIDENTADOS]:[VEHICULOS_ACCIDENTADOS2]],"AUTOMOVIL")</f>
        <v>0</v>
      </c>
      <c r="U176" s="36">
        <f>COUNTIF(Tabla1[[#This Row],[VEHICULOS_ACCIDENTADOS]:[VEHICULOS_ACCIDENTADOS2]],"CAMPERO")</f>
        <v>1</v>
      </c>
      <c r="V176" s="36">
        <f>COUNTIF(Tabla1[[#This Row],[VEHICULOS_ACCIDENTADOS]:[VEHICULOS_ACCIDENTADOS2]],"CAMIONETA")</f>
        <v>0</v>
      </c>
      <c r="W176" s="36">
        <f>COUNTIF(Tabla1[[#This Row],[VEHICULOS_ACCIDENTADOS]:[VEHICULOS_ACCIDENTADOS2]],"MICROBUS")</f>
        <v>0</v>
      </c>
      <c r="X176" s="36">
        <f>COUNTIF(Tabla1[[#This Row],[VEHICULOS_ACCIDENTADOS]:[VEHICULOS_ACCIDENTADOS2]],"BUS")</f>
        <v>0</v>
      </c>
      <c r="Y176" s="36">
        <f>COUNTIF(Tabla1[[#This Row],[VEHICULOS_ACCIDENTADOS]:[VEHICULOS_ACCIDENTADOS2]],"BUSETA")</f>
        <v>0</v>
      </c>
      <c r="Z176" s="36">
        <f>COUNTIF(Tabla1[[#This Row],[VEHICULOS_ACCIDENTADOS]:[VEHICULOS_ACCIDENTADOS2]],"CAMION")</f>
        <v>0</v>
      </c>
      <c r="AA176" s="36">
        <f>COUNTIF(Tabla1[[#This Row],[VEHICULOS_ACCIDENTADOS]:[VEHICULOS_ACCIDENTADOS2]],"TRACTOCAMION")</f>
        <v>0</v>
      </c>
      <c r="AB176" s="36">
        <f>COUNTIF(Tabla1[[#This Row],[VEHICULOS_ACCIDENTADOS]:[VEHICULOS_ACCIDENTADOS2]],"VOLQUETA")</f>
        <v>0</v>
      </c>
      <c r="AC176" s="36">
        <f>COUNTIF(Tabla1[[#This Row],[VEHICULOS_ACCIDENTADOS]:[VEHICULOS_ACCIDENTADOS2]],"BICICLETA")</f>
        <v>0</v>
      </c>
      <c r="AD176" s="61" t="s">
        <v>472</v>
      </c>
      <c r="AE176" s="61" t="s">
        <v>471</v>
      </c>
      <c r="AF176" s="36">
        <f>COUNTIF(Tabla1[[#This Row],[GENERO_MASCULINO]:[GENERO_FEMENINO]],"MASCULINO")</f>
        <v>1</v>
      </c>
      <c r="AG176" s="36">
        <f>COUNTIF(Tabla1[[#This Row],[GENERO_MASCULINO]:[GENERO_FEMENINO]],"FEMENINO")</f>
        <v>1</v>
      </c>
      <c r="AH176" s="85">
        <v>20</v>
      </c>
      <c r="AI176" s="85">
        <v>16</v>
      </c>
      <c r="AJ176" s="85"/>
      <c r="AK176" s="78"/>
      <c r="AL176" s="78"/>
      <c r="AM176" s="59"/>
      <c r="AN176" s="204">
        <v>132</v>
      </c>
      <c r="AO176" s="59" t="str">
        <f>IFERROR(((VLOOKUP(Tabla1[[#This Row],[HIPOTESIS_1]],listas!$D$1:$E$105,2,FALSE))),"SIN INFORMACIÓN")</f>
        <v>No respetar prelación.</v>
      </c>
      <c r="AP176" s="36">
        <v>139</v>
      </c>
      <c r="AQ176" s="36" t="str">
        <f>IFERROR(((VLOOKUP(Tabla1[[#This Row],[HIPOTESIS_2]],listas!$D$1:$E$105,2,FALSE))),"")</f>
        <v>Impericia en el manejo.</v>
      </c>
      <c r="AR176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77" spans="1:44" x14ac:dyDescent="0.25">
      <c r="A177" s="12">
        <v>1104</v>
      </c>
      <c r="B177" s="137">
        <v>0</v>
      </c>
      <c r="C177" s="137">
        <v>1</v>
      </c>
      <c r="D177" s="137">
        <v>0</v>
      </c>
      <c r="E177" s="24" t="str">
        <f t="shared" si="8"/>
        <v>LESIONADO</v>
      </c>
      <c r="F177" s="152" t="s">
        <v>852</v>
      </c>
      <c r="G177" s="30">
        <v>5.3400963349283002</v>
      </c>
      <c r="H177" s="30">
        <v>-72.375605493890504</v>
      </c>
      <c r="I177" s="165" t="s">
        <v>697</v>
      </c>
      <c r="J177" s="36" t="s">
        <v>717</v>
      </c>
      <c r="K177" s="24" t="str">
        <f t="shared" si="9"/>
        <v>2025</v>
      </c>
      <c r="L177" s="24" t="str">
        <f t="shared" si="10"/>
        <v>OCTUBRE</v>
      </c>
      <c r="M177" s="225">
        <v>45933</v>
      </c>
      <c r="N177" s="24" t="str">
        <f t="shared" si="11"/>
        <v>VIERNES</v>
      </c>
      <c r="O177" s="101">
        <v>0.625</v>
      </c>
      <c r="P177" s="63" t="s">
        <v>469</v>
      </c>
      <c r="Q177" s="63" t="s">
        <v>441</v>
      </c>
      <c r="R177" s="36">
        <f>COUNTIF(Tabla1[[#This Row],[VEHICULOS_ACCIDENTADOS]:[VEHICULOS_ACCIDENTADOS2]],"MOTOCICLETA")</f>
        <v>1</v>
      </c>
      <c r="S177" s="36">
        <f>COUNTIF(Tabla1[[#This Row],[VEHICULOS_ACCIDENTADOS]:[VEHICULOS_ACCIDENTADOS2]],"MOTOCARRO")</f>
        <v>0</v>
      </c>
      <c r="T177" s="36">
        <f>COUNTIF(Tabla1[[#This Row],[VEHICULOS_ACCIDENTADOS]:[VEHICULOS_ACCIDENTADOS2]],"AUTOMOVIL")</f>
        <v>0</v>
      </c>
      <c r="U177" s="36">
        <f>COUNTIF(Tabla1[[#This Row],[VEHICULOS_ACCIDENTADOS]:[VEHICULOS_ACCIDENTADOS2]],"CAMPERO")</f>
        <v>0</v>
      </c>
      <c r="V177" s="36">
        <f>COUNTIF(Tabla1[[#This Row],[VEHICULOS_ACCIDENTADOS]:[VEHICULOS_ACCIDENTADOS2]],"CAMIONETA")</f>
        <v>0</v>
      </c>
      <c r="W177" s="36">
        <f>COUNTIF(Tabla1[[#This Row],[VEHICULOS_ACCIDENTADOS]:[VEHICULOS_ACCIDENTADOS2]],"MICROBUS")</f>
        <v>0</v>
      </c>
      <c r="X177" s="36">
        <f>COUNTIF(Tabla1[[#This Row],[VEHICULOS_ACCIDENTADOS]:[VEHICULOS_ACCIDENTADOS2]],"BUS")</f>
        <v>0</v>
      </c>
      <c r="Y177" s="36">
        <f>COUNTIF(Tabla1[[#This Row],[VEHICULOS_ACCIDENTADOS]:[VEHICULOS_ACCIDENTADOS2]],"BUSETA")</f>
        <v>0</v>
      </c>
      <c r="Z177" s="36">
        <f>COUNTIF(Tabla1[[#This Row],[VEHICULOS_ACCIDENTADOS]:[VEHICULOS_ACCIDENTADOS2]],"CAMION")</f>
        <v>1</v>
      </c>
      <c r="AA177" s="36">
        <f>COUNTIF(Tabla1[[#This Row],[VEHICULOS_ACCIDENTADOS]:[VEHICULOS_ACCIDENTADOS2]],"TRACTOCAMION")</f>
        <v>0</v>
      </c>
      <c r="AB177" s="36">
        <f>COUNTIF(Tabla1[[#This Row],[VEHICULOS_ACCIDENTADOS]:[VEHICULOS_ACCIDENTADOS2]],"VOLQUETA")</f>
        <v>0</v>
      </c>
      <c r="AC177" s="36">
        <f>COUNTIF(Tabla1[[#This Row],[VEHICULOS_ACCIDENTADOS]:[VEHICULOS_ACCIDENTADOS2]],"BICICLETA")</f>
        <v>0</v>
      </c>
      <c r="AD177" s="61" t="s">
        <v>471</v>
      </c>
      <c r="AE177" s="61" t="s">
        <v>471</v>
      </c>
      <c r="AF177" s="36">
        <f>COUNTIF(Tabla1[[#This Row],[GENERO_MASCULINO]:[GENERO_FEMENINO]],"MASCULINO")</f>
        <v>2</v>
      </c>
      <c r="AG177" s="36">
        <f>COUNTIF(Tabla1[[#This Row],[GENERO_MASCULINO]:[GENERO_FEMENINO]],"FEMENINO")</f>
        <v>0</v>
      </c>
      <c r="AH177" s="85">
        <v>37</v>
      </c>
      <c r="AI177" s="85"/>
      <c r="AJ177" s="85"/>
      <c r="AK177" s="78"/>
      <c r="AL177" s="78"/>
      <c r="AM177" s="59"/>
      <c r="AN177" s="61">
        <v>112</v>
      </c>
      <c r="AO177" s="59" t="str">
        <f>IFERROR(((VLOOKUP(Tabla1[[#This Row],[HIPOTESIS_1]],listas!$D$1:$E$105,2,FALSE))),"SIN INFORMACIÓN")</f>
        <v>Desobedecer señales o normas de tránsito.</v>
      </c>
      <c r="AP177" s="36">
        <v>139</v>
      </c>
      <c r="AQ177" s="36" t="str">
        <f>IFERROR(((VLOOKUP(Tabla1[[#This Row],[HIPOTESIS_2]],listas!$D$1:$E$105,2,FALSE))),"")</f>
        <v>Impericia en el manejo.</v>
      </c>
      <c r="AR177" s="2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78" spans="1:44" x14ac:dyDescent="0.25">
      <c r="A178" s="12">
        <v>807</v>
      </c>
      <c r="B178" s="136">
        <v>0</v>
      </c>
      <c r="C178" s="136">
        <v>0</v>
      </c>
      <c r="D178" s="141">
        <v>1</v>
      </c>
      <c r="E178" s="18" t="str">
        <f t="shared" si="8"/>
        <v>FALLECIDO</v>
      </c>
      <c r="F178" s="26" t="s">
        <v>859</v>
      </c>
      <c r="G178" s="21">
        <v>5.3269977777777777</v>
      </c>
      <c r="H178" s="21">
        <v>-72.381861111111107</v>
      </c>
      <c r="I178" s="93" t="s">
        <v>697</v>
      </c>
      <c r="J178" s="36" t="s">
        <v>717</v>
      </c>
      <c r="K178" s="24" t="str">
        <f t="shared" si="9"/>
        <v>2024</v>
      </c>
      <c r="L178" s="24" t="str">
        <f t="shared" si="10"/>
        <v>NOVIEMBRE</v>
      </c>
      <c r="M178" s="224">
        <v>45601</v>
      </c>
      <c r="N178" s="24" t="str">
        <f t="shared" si="11"/>
        <v>MARTES</v>
      </c>
      <c r="O178" s="171">
        <v>0.9916666666666667</v>
      </c>
      <c r="P178" s="178" t="s">
        <v>469</v>
      </c>
      <c r="Q178" s="178"/>
      <c r="R178" s="36">
        <f>COUNTIF(Tabla1[[#This Row],[VEHICULOS_ACCIDENTADOS]:[VEHICULOS_ACCIDENTADOS2]],"MOTOCICLETA")</f>
        <v>1</v>
      </c>
      <c r="S178" s="36">
        <f>COUNTIF(Tabla1[[#This Row],[VEHICULOS_ACCIDENTADOS]:[VEHICULOS_ACCIDENTADOS2]],"MOTOCARRO")</f>
        <v>0</v>
      </c>
      <c r="T178" s="36">
        <f>COUNTIF(Tabla1[[#This Row],[VEHICULOS_ACCIDENTADOS]:[VEHICULOS_ACCIDENTADOS2]],"AUTOMOVIL")</f>
        <v>0</v>
      </c>
      <c r="U178" s="36">
        <f>COUNTIF(Tabla1[[#This Row],[VEHICULOS_ACCIDENTADOS]:[VEHICULOS_ACCIDENTADOS2]],"CAMPERO")</f>
        <v>0</v>
      </c>
      <c r="V178" s="36">
        <f>COUNTIF(Tabla1[[#This Row],[VEHICULOS_ACCIDENTADOS]:[VEHICULOS_ACCIDENTADOS2]],"CAMIONETA")</f>
        <v>0</v>
      </c>
      <c r="W178" s="36">
        <f>COUNTIF(Tabla1[[#This Row],[VEHICULOS_ACCIDENTADOS]:[VEHICULOS_ACCIDENTADOS2]],"MICROBUS")</f>
        <v>0</v>
      </c>
      <c r="X178" s="36">
        <f>COUNTIF(Tabla1[[#This Row],[VEHICULOS_ACCIDENTADOS]:[VEHICULOS_ACCIDENTADOS2]],"BUS")</f>
        <v>0</v>
      </c>
      <c r="Y178" s="36">
        <f>COUNTIF(Tabla1[[#This Row],[VEHICULOS_ACCIDENTADOS]:[VEHICULOS_ACCIDENTADOS2]],"BUSETA")</f>
        <v>0</v>
      </c>
      <c r="Z178" s="36">
        <f>COUNTIF(Tabla1[[#This Row],[VEHICULOS_ACCIDENTADOS]:[VEHICULOS_ACCIDENTADOS2]],"CAMION")</f>
        <v>0</v>
      </c>
      <c r="AA178" s="36">
        <f>COUNTIF(Tabla1[[#This Row],[VEHICULOS_ACCIDENTADOS]:[VEHICULOS_ACCIDENTADOS2]],"TRACTOCAMION")</f>
        <v>0</v>
      </c>
      <c r="AB178" s="36">
        <f>COUNTIF(Tabla1[[#This Row],[VEHICULOS_ACCIDENTADOS]:[VEHICULOS_ACCIDENTADOS2]],"VOLQUETA")</f>
        <v>0</v>
      </c>
      <c r="AC178" s="36">
        <f>COUNTIF(Tabla1[[#This Row],[VEHICULOS_ACCIDENTADOS]:[VEHICULOS_ACCIDENTADOS2]],"BICICLETA")</f>
        <v>0</v>
      </c>
      <c r="AD178" s="136"/>
      <c r="AE178" s="136" t="s">
        <v>472</v>
      </c>
      <c r="AF178" s="136">
        <f>COUNTIF(Tabla1[[#This Row],[GENERO_MASCULINO]:[GENERO_FEMENINO]],"MASCULINO")</f>
        <v>0</v>
      </c>
      <c r="AG178" s="36">
        <f>COUNTIF(Tabla1[[#This Row],[GENERO_MASCULINO]:[GENERO_FEMENINO]],"FEMENINO")</f>
        <v>1</v>
      </c>
      <c r="AH178" s="85"/>
      <c r="AI178" s="85"/>
      <c r="AJ178" s="85"/>
      <c r="AK178" s="85"/>
      <c r="AL178" s="85"/>
      <c r="AM178" s="136">
        <v>30</v>
      </c>
      <c r="AN178" s="85">
        <v>116</v>
      </c>
      <c r="AO178" s="36" t="str">
        <f>IFERROR(((VLOOKUP(Tabla1[[#This Row],[HIPOTESIS_1]],listas!$D$1:$E$105,2,FALSE))),"SIN INFORMACIÓN")</f>
        <v>Exceso de velocidad</v>
      </c>
      <c r="AP178" s="136">
        <v>139</v>
      </c>
      <c r="AQ178" s="36" t="str">
        <f>IFERROR(((VLOOKUP(Tabla1[[#This Row],[HIPOTESIS_2]],listas!$D$1:$E$105,2,FALSE))),"")</f>
        <v>Impericia en el manejo.</v>
      </c>
      <c r="AR178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79" spans="1:44" x14ac:dyDescent="0.25">
      <c r="A179" s="12">
        <v>715</v>
      </c>
      <c r="B179" s="135">
        <v>0</v>
      </c>
      <c r="C179" s="36">
        <v>2</v>
      </c>
      <c r="D179" s="36">
        <v>0</v>
      </c>
      <c r="E179" s="18" t="str">
        <f t="shared" si="8"/>
        <v>LESIONADO</v>
      </c>
      <c r="F179" s="36" t="s">
        <v>860</v>
      </c>
      <c r="G179" s="21">
        <v>5.3186444444444438</v>
      </c>
      <c r="H179" s="21">
        <v>-72.411041666666677</v>
      </c>
      <c r="I179" s="93" t="s">
        <v>697</v>
      </c>
      <c r="J179" s="136" t="s">
        <v>717</v>
      </c>
      <c r="K179" s="24" t="str">
        <f t="shared" si="9"/>
        <v>2024</v>
      </c>
      <c r="L179" s="24" t="str">
        <f t="shared" si="10"/>
        <v>MAYO</v>
      </c>
      <c r="M179" s="225">
        <v>45430</v>
      </c>
      <c r="N179" s="24" t="str">
        <f t="shared" si="11"/>
        <v>SÁBADO</v>
      </c>
      <c r="O179" s="101">
        <v>0.84027777777777779</v>
      </c>
      <c r="P179" s="57" t="s">
        <v>469</v>
      </c>
      <c r="Q179" s="57"/>
      <c r="R179" s="36">
        <f>COUNTIF(Tabla1[[#This Row],[VEHICULOS_ACCIDENTADOS]:[VEHICULOS_ACCIDENTADOS2]],"MOTOCICLETA")</f>
        <v>1</v>
      </c>
      <c r="S179" s="36">
        <f>COUNTIF(Tabla1[[#This Row],[VEHICULOS_ACCIDENTADOS]:[VEHICULOS_ACCIDENTADOS2]],"MOTOCARRO")</f>
        <v>0</v>
      </c>
      <c r="T179" s="36">
        <f>COUNTIF(Tabla1[[#This Row],[VEHICULOS_ACCIDENTADOS]:[VEHICULOS_ACCIDENTADOS2]],"AUTOMOVIL")</f>
        <v>0</v>
      </c>
      <c r="U179" s="36">
        <f>COUNTIF(Tabla1[[#This Row],[VEHICULOS_ACCIDENTADOS]:[VEHICULOS_ACCIDENTADOS2]],"CAMPERO")</f>
        <v>0</v>
      </c>
      <c r="V179" s="36">
        <f>COUNTIF(Tabla1[[#This Row],[VEHICULOS_ACCIDENTADOS]:[VEHICULOS_ACCIDENTADOS2]],"CAMIONETA")</f>
        <v>0</v>
      </c>
      <c r="W179" s="36">
        <f>COUNTIF(Tabla1[[#This Row],[VEHICULOS_ACCIDENTADOS]:[VEHICULOS_ACCIDENTADOS2]],"MICROBUS")</f>
        <v>0</v>
      </c>
      <c r="X179" s="36">
        <f>COUNTIF(Tabla1[[#This Row],[VEHICULOS_ACCIDENTADOS]:[VEHICULOS_ACCIDENTADOS2]],"BUS")</f>
        <v>0</v>
      </c>
      <c r="Y179" s="36">
        <f>COUNTIF(Tabla1[[#This Row],[VEHICULOS_ACCIDENTADOS]:[VEHICULOS_ACCIDENTADOS2]],"BUSETA")</f>
        <v>0</v>
      </c>
      <c r="Z179" s="36">
        <f>COUNTIF(Tabla1[[#This Row],[VEHICULOS_ACCIDENTADOS]:[VEHICULOS_ACCIDENTADOS2]],"CAMION")</f>
        <v>0</v>
      </c>
      <c r="AA179" s="36">
        <f>COUNTIF(Tabla1[[#This Row],[VEHICULOS_ACCIDENTADOS]:[VEHICULOS_ACCIDENTADOS2]],"TRACTOCAMION")</f>
        <v>0</v>
      </c>
      <c r="AB179" s="36">
        <f>COUNTIF(Tabla1[[#This Row],[VEHICULOS_ACCIDENTADOS]:[VEHICULOS_ACCIDENTADOS2]],"VOLQUETA")</f>
        <v>0</v>
      </c>
      <c r="AC179" s="36">
        <f>COUNTIF(Tabla1[[#This Row],[VEHICULOS_ACCIDENTADOS]:[VEHICULOS_ACCIDENTADOS2]],"BICICLETA")</f>
        <v>0</v>
      </c>
      <c r="AD179" s="36" t="s">
        <v>471</v>
      </c>
      <c r="AE179" s="36"/>
      <c r="AF179" s="36">
        <f>COUNTIF(Tabla1[[#This Row],[GENERO_MASCULINO]:[GENERO_FEMENINO]],"MASCULINO")</f>
        <v>1</v>
      </c>
      <c r="AG179" s="36">
        <f>COUNTIF(Tabla1[[#This Row],[GENERO_MASCULINO]:[GENERO_FEMENINO]],"FEMENINO")</f>
        <v>0</v>
      </c>
      <c r="AH179" s="61">
        <v>21</v>
      </c>
      <c r="AI179" s="61">
        <v>41</v>
      </c>
      <c r="AJ179" s="61"/>
      <c r="AK179" s="61"/>
      <c r="AL179" s="61"/>
      <c r="AM179" s="36"/>
      <c r="AN179" s="61">
        <v>115</v>
      </c>
      <c r="AO179" s="36" t="str">
        <f>IFERROR(((VLOOKUP(Tabla1[[#This Row],[HIPOTESIS_1]],listas!$D$1:$E$105,2,FALSE))),"SIN INFORMACIÓN")</f>
        <v>Embriaguez o Sustancias alucinogenas</v>
      </c>
      <c r="AP179" s="36">
        <v>139</v>
      </c>
      <c r="AQ179" s="36" t="str">
        <f>IFERROR(((VLOOKUP(Tabla1[[#This Row],[HIPOTESIS_2]],listas!$D$1:$E$105,2,FALSE))),"")</f>
        <v>Impericia en el manejo.</v>
      </c>
      <c r="AR179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80" spans="1:44" x14ac:dyDescent="0.25">
      <c r="A180" s="12">
        <v>874</v>
      </c>
      <c r="B180" s="135">
        <v>0</v>
      </c>
      <c r="C180" s="136">
        <v>3</v>
      </c>
      <c r="D180" s="136">
        <v>0</v>
      </c>
      <c r="E180" s="18" t="str">
        <f t="shared" si="8"/>
        <v>LESIONADO</v>
      </c>
      <c r="F180" s="26" t="s">
        <v>865</v>
      </c>
      <c r="G180" s="21">
        <v>5.3209099999999996</v>
      </c>
      <c r="H180" s="21">
        <v>-72.388130000000004</v>
      </c>
      <c r="I180" s="93" t="s">
        <v>697</v>
      </c>
      <c r="J180" s="167" t="s">
        <v>717</v>
      </c>
      <c r="K180" s="24" t="str">
        <f t="shared" si="9"/>
        <v>2025</v>
      </c>
      <c r="L180" s="24" t="str">
        <f t="shared" si="10"/>
        <v>FEBRERO</v>
      </c>
      <c r="M180" s="224">
        <v>45702</v>
      </c>
      <c r="N180" s="24" t="str">
        <f t="shared" si="11"/>
        <v>VIERNES</v>
      </c>
      <c r="O180" s="171">
        <v>0.97222222222222221</v>
      </c>
      <c r="P180" s="178" t="s">
        <v>469</v>
      </c>
      <c r="Q180" s="178"/>
      <c r="R180" s="36">
        <f>COUNTIF(Tabla1[[#This Row],[VEHICULOS_ACCIDENTADOS]:[VEHICULOS_ACCIDENTADOS2]],"MOTOCICLETA")</f>
        <v>1</v>
      </c>
      <c r="S180" s="36">
        <f>COUNTIF(Tabla1[[#This Row],[VEHICULOS_ACCIDENTADOS]:[VEHICULOS_ACCIDENTADOS2]],"MOTOCARRO")</f>
        <v>0</v>
      </c>
      <c r="T180" s="36">
        <f>COUNTIF(Tabla1[[#This Row],[VEHICULOS_ACCIDENTADOS]:[VEHICULOS_ACCIDENTADOS2]],"AUTOMOVIL")</f>
        <v>0</v>
      </c>
      <c r="U180" s="36">
        <f>COUNTIF(Tabla1[[#This Row],[VEHICULOS_ACCIDENTADOS]:[VEHICULOS_ACCIDENTADOS2]],"CAMPERO")</f>
        <v>0</v>
      </c>
      <c r="V180" s="36">
        <f>COUNTIF(Tabla1[[#This Row],[VEHICULOS_ACCIDENTADOS]:[VEHICULOS_ACCIDENTADOS2]],"CAMIONETA")</f>
        <v>0</v>
      </c>
      <c r="W180" s="36">
        <f>COUNTIF(Tabla1[[#This Row],[VEHICULOS_ACCIDENTADOS]:[VEHICULOS_ACCIDENTADOS2]],"MICROBUS")</f>
        <v>0</v>
      </c>
      <c r="X180" s="36">
        <f>COUNTIF(Tabla1[[#This Row],[VEHICULOS_ACCIDENTADOS]:[VEHICULOS_ACCIDENTADOS2]],"BUS")</f>
        <v>0</v>
      </c>
      <c r="Y180" s="36">
        <f>COUNTIF(Tabla1[[#This Row],[VEHICULOS_ACCIDENTADOS]:[VEHICULOS_ACCIDENTADOS2]],"BUSETA")</f>
        <v>0</v>
      </c>
      <c r="Z180" s="36">
        <f>COUNTIF(Tabla1[[#This Row],[VEHICULOS_ACCIDENTADOS]:[VEHICULOS_ACCIDENTADOS2]],"CAMION")</f>
        <v>0</v>
      </c>
      <c r="AA180" s="36">
        <f>COUNTIF(Tabla1[[#This Row],[VEHICULOS_ACCIDENTADOS]:[VEHICULOS_ACCIDENTADOS2]],"TRACTOCAMION")</f>
        <v>0</v>
      </c>
      <c r="AB180" s="36">
        <f>COUNTIF(Tabla1[[#This Row],[VEHICULOS_ACCIDENTADOS]:[VEHICULOS_ACCIDENTADOS2]],"VOLQUETA")</f>
        <v>0</v>
      </c>
      <c r="AC180" s="36">
        <f>COUNTIF(Tabla1[[#This Row],[VEHICULOS_ACCIDENTADOS]:[VEHICULOS_ACCIDENTADOS2]],"BICICLETA")</f>
        <v>0</v>
      </c>
      <c r="AD180" s="136" t="s">
        <v>471</v>
      </c>
      <c r="AE180" s="136" t="s">
        <v>471</v>
      </c>
      <c r="AF180" s="136">
        <f>COUNTIF(Tabla1[[#This Row],[GENERO_MASCULINO]:[GENERO_FEMENINO]],"MASCULINO")</f>
        <v>2</v>
      </c>
      <c r="AG180" s="36">
        <f>COUNTIF(Tabla1[[#This Row],[GENERO_MASCULINO]:[GENERO_FEMENINO]],"FEMENINO")</f>
        <v>0</v>
      </c>
      <c r="AH180" s="85">
        <v>23</v>
      </c>
      <c r="AI180" s="85">
        <v>16</v>
      </c>
      <c r="AJ180" s="85">
        <v>21</v>
      </c>
      <c r="AK180" s="85"/>
      <c r="AL180" s="85"/>
      <c r="AM180" s="136"/>
      <c r="AN180" s="85">
        <v>114</v>
      </c>
      <c r="AO180" s="36" t="str">
        <f>IFERROR(((VLOOKUP(Tabla1[[#This Row],[HIPOTESIS_1]],listas!$D$1:$E$105,2,FALSE))),"SIN INFORMACIÓN")</f>
        <v>Embriaguez aparente.</v>
      </c>
      <c r="AP180" s="136">
        <v>139</v>
      </c>
      <c r="AQ180" s="36" t="str">
        <f>IFERROR(((VLOOKUP(Tabla1[[#This Row],[HIPOTESIS_2]],listas!$D$1:$E$105,2,FALSE))),"")</f>
        <v>Impericia en el manejo.</v>
      </c>
      <c r="AR180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81" spans="1:44" x14ac:dyDescent="0.25">
      <c r="A181" s="12">
        <v>3</v>
      </c>
      <c r="B181" s="36">
        <v>0</v>
      </c>
      <c r="C181" s="36">
        <v>1</v>
      </c>
      <c r="D181" s="36">
        <v>0</v>
      </c>
      <c r="E181" s="18" t="str">
        <f t="shared" si="8"/>
        <v>LESIONADO</v>
      </c>
      <c r="F181" s="29" t="s">
        <v>868</v>
      </c>
      <c r="G181" s="17">
        <v>5.3193019444444438</v>
      </c>
      <c r="H181" s="17">
        <v>-72.389789722222233</v>
      </c>
      <c r="I181" s="93" t="s">
        <v>697</v>
      </c>
      <c r="J181" s="36" t="s">
        <v>717</v>
      </c>
      <c r="K181" s="24" t="str">
        <f t="shared" si="9"/>
        <v>2022</v>
      </c>
      <c r="L181" s="24" t="str">
        <f t="shared" si="10"/>
        <v>ENERO</v>
      </c>
      <c r="M181" s="225">
        <v>44568</v>
      </c>
      <c r="N181" s="24" t="str">
        <f t="shared" si="11"/>
        <v>VIERNES</v>
      </c>
      <c r="O181" s="101">
        <v>0.55208333333333304</v>
      </c>
      <c r="P181" s="63" t="s">
        <v>469</v>
      </c>
      <c r="Q181" s="63" t="s">
        <v>468</v>
      </c>
      <c r="R181" s="36">
        <f>COUNTIF(Tabla1[[#This Row],[VEHICULOS_ACCIDENTADOS]:[VEHICULOS_ACCIDENTADOS2]],"MOTOCICLETA")</f>
        <v>1</v>
      </c>
      <c r="S181" s="36">
        <f>COUNTIF(Tabla1[[#This Row],[VEHICULOS_ACCIDENTADOS]:[VEHICULOS_ACCIDENTADOS2]],"MOTOCARRO")</f>
        <v>1</v>
      </c>
      <c r="T181" s="36">
        <f>COUNTIF(Tabla1[[#This Row],[VEHICULOS_ACCIDENTADOS]:[VEHICULOS_ACCIDENTADOS2]],"AUTOMOVIL")</f>
        <v>0</v>
      </c>
      <c r="U181" s="36">
        <f>COUNTIF(Tabla1[[#This Row],[VEHICULOS_ACCIDENTADOS]:[VEHICULOS_ACCIDENTADOS2]],"CAMPERO")</f>
        <v>0</v>
      </c>
      <c r="V181" s="36">
        <f>COUNTIF(Tabla1[[#This Row],[VEHICULOS_ACCIDENTADOS]:[VEHICULOS_ACCIDENTADOS2]],"CAMIONETA")</f>
        <v>0</v>
      </c>
      <c r="W181" s="36">
        <f>COUNTIF(Tabla1[[#This Row],[VEHICULOS_ACCIDENTADOS]:[VEHICULOS_ACCIDENTADOS2]],"MICROBUS")</f>
        <v>0</v>
      </c>
      <c r="X181" s="36">
        <f>COUNTIF(Tabla1[[#This Row],[VEHICULOS_ACCIDENTADOS]:[VEHICULOS_ACCIDENTADOS2]],"BUS")</f>
        <v>0</v>
      </c>
      <c r="Y181" s="36">
        <f>COUNTIF(Tabla1[[#This Row],[VEHICULOS_ACCIDENTADOS]:[VEHICULOS_ACCIDENTADOS2]],"BUSETA")</f>
        <v>0</v>
      </c>
      <c r="Z181" s="36">
        <f>COUNTIF(Tabla1[[#This Row],[VEHICULOS_ACCIDENTADOS]:[VEHICULOS_ACCIDENTADOS2]],"CAMION")</f>
        <v>0</v>
      </c>
      <c r="AA181" s="36">
        <f>COUNTIF(Tabla1[[#This Row],[VEHICULOS_ACCIDENTADOS]:[VEHICULOS_ACCIDENTADOS2]],"TRACTOCAMION")</f>
        <v>0</v>
      </c>
      <c r="AB181" s="36">
        <f>COUNTIF(Tabla1[[#This Row],[VEHICULOS_ACCIDENTADOS]:[VEHICULOS_ACCIDENTADOS2]],"VOLQUETA")</f>
        <v>0</v>
      </c>
      <c r="AC181" s="36">
        <f>COUNTIF(Tabla1[[#This Row],[VEHICULOS_ACCIDENTADOS]:[VEHICULOS_ACCIDENTADOS2]],"BICICLETA")</f>
        <v>0</v>
      </c>
      <c r="AD181" s="36" t="s">
        <v>471</v>
      </c>
      <c r="AE181" s="36"/>
      <c r="AF181" s="36">
        <f>COUNTIF(Tabla1[[#This Row],[GENERO_MASCULINO]:[GENERO_FEMENINO]],"MASCULINO")</f>
        <v>1</v>
      </c>
      <c r="AG181" s="36">
        <f>COUNTIF(Tabla1[[#This Row],[GENERO_MASCULINO]:[GENERO_FEMENINO]],"FEMENINO")</f>
        <v>0</v>
      </c>
      <c r="AH181" s="61">
        <v>41</v>
      </c>
      <c r="AI181" s="61"/>
      <c r="AJ181" s="61"/>
      <c r="AK181" s="61"/>
      <c r="AL181" s="61"/>
      <c r="AM181" s="36"/>
      <c r="AN181" s="61">
        <v>114</v>
      </c>
      <c r="AO181" s="36" t="str">
        <f>IFERROR(((VLOOKUP(Tabla1[[#This Row],[HIPOTESIS_1]],listas!$D$1:$E$105,2,FALSE))),"SIN INFORMACIÓN")</f>
        <v>Embriaguez aparente.</v>
      </c>
      <c r="AP181" s="36">
        <v>139</v>
      </c>
      <c r="AQ181" s="36" t="str">
        <f>IFERROR(((VLOOKUP(Tabla1[[#This Row],[HIPOTESIS_2]],listas!$D$1:$E$105,2,FALSE))),"")</f>
        <v>Impericia en el manejo.</v>
      </c>
      <c r="AR181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82" spans="1:44" x14ac:dyDescent="0.25">
      <c r="A182" s="12">
        <v>450</v>
      </c>
      <c r="B182" s="36">
        <v>0</v>
      </c>
      <c r="C182" s="36">
        <v>2</v>
      </c>
      <c r="D182" s="36">
        <v>1</v>
      </c>
      <c r="E182" s="18" t="str">
        <f t="shared" si="8"/>
        <v>FALLECIDO</v>
      </c>
      <c r="F182" s="29" t="s">
        <v>872</v>
      </c>
      <c r="G182" s="21">
        <v>5.3185236111111109</v>
      </c>
      <c r="H182" s="21">
        <v>-72.40307972222223</v>
      </c>
      <c r="I182" s="93" t="s">
        <v>697</v>
      </c>
      <c r="J182" s="36" t="s">
        <v>717</v>
      </c>
      <c r="K182" s="24" t="str">
        <f t="shared" si="9"/>
        <v>2023</v>
      </c>
      <c r="L182" s="24" t="str">
        <f t="shared" si="10"/>
        <v>ABRIL</v>
      </c>
      <c r="M182" s="225">
        <v>45022</v>
      </c>
      <c r="N182" s="24" t="str">
        <f t="shared" si="11"/>
        <v>JUEVES</v>
      </c>
      <c r="O182" s="101">
        <v>410</v>
      </c>
      <c r="P182" s="57" t="s">
        <v>469</v>
      </c>
      <c r="Q182" s="57" t="s">
        <v>469</v>
      </c>
      <c r="R182" s="36">
        <f>COUNTIF(Tabla1[[#This Row],[VEHICULOS_ACCIDENTADOS]:[VEHICULOS_ACCIDENTADOS2]],"MOTOCICLETA")</f>
        <v>2</v>
      </c>
      <c r="S182" s="36">
        <f>COUNTIF(Tabla1[[#This Row],[VEHICULOS_ACCIDENTADOS]:[VEHICULOS_ACCIDENTADOS2]],"MOTOCARRO")</f>
        <v>0</v>
      </c>
      <c r="T182" s="36">
        <f>COUNTIF(Tabla1[[#This Row],[VEHICULOS_ACCIDENTADOS]:[VEHICULOS_ACCIDENTADOS2]],"AUTOMOVIL")</f>
        <v>0</v>
      </c>
      <c r="U182" s="36">
        <f>COUNTIF(Tabla1[[#This Row],[VEHICULOS_ACCIDENTADOS]:[VEHICULOS_ACCIDENTADOS2]],"CAMPERO")</f>
        <v>0</v>
      </c>
      <c r="V182" s="36">
        <f>COUNTIF(Tabla1[[#This Row],[VEHICULOS_ACCIDENTADOS]:[VEHICULOS_ACCIDENTADOS2]],"CAMIONETA")</f>
        <v>0</v>
      </c>
      <c r="W182" s="36">
        <f>COUNTIF(Tabla1[[#This Row],[VEHICULOS_ACCIDENTADOS]:[VEHICULOS_ACCIDENTADOS2]],"MICROBUS")</f>
        <v>0</v>
      </c>
      <c r="X182" s="36">
        <f>COUNTIF(Tabla1[[#This Row],[VEHICULOS_ACCIDENTADOS]:[VEHICULOS_ACCIDENTADOS2]],"BUS")</f>
        <v>0</v>
      </c>
      <c r="Y182" s="36">
        <f>COUNTIF(Tabla1[[#This Row],[VEHICULOS_ACCIDENTADOS]:[VEHICULOS_ACCIDENTADOS2]],"BUSETA")</f>
        <v>0</v>
      </c>
      <c r="Z182" s="36">
        <f>COUNTIF(Tabla1[[#This Row],[VEHICULOS_ACCIDENTADOS]:[VEHICULOS_ACCIDENTADOS2]],"CAMION")</f>
        <v>0</v>
      </c>
      <c r="AA182" s="36">
        <f>COUNTIF(Tabla1[[#This Row],[VEHICULOS_ACCIDENTADOS]:[VEHICULOS_ACCIDENTADOS2]],"TRACTOCAMION")</f>
        <v>0</v>
      </c>
      <c r="AB182" s="36">
        <f>COUNTIF(Tabla1[[#This Row],[VEHICULOS_ACCIDENTADOS]:[VEHICULOS_ACCIDENTADOS2]],"VOLQUETA")</f>
        <v>0</v>
      </c>
      <c r="AC182" s="36">
        <f>COUNTIF(Tabla1[[#This Row],[VEHICULOS_ACCIDENTADOS]:[VEHICULOS_ACCIDENTADOS2]],"BICICLETA")</f>
        <v>0</v>
      </c>
      <c r="AD182" s="36" t="s">
        <v>471</v>
      </c>
      <c r="AE182" s="36"/>
      <c r="AF182" s="36">
        <f>COUNTIF(Tabla1[[#This Row],[GENERO_MASCULINO]:[GENERO_FEMENINO]],"MASCULINO")</f>
        <v>1</v>
      </c>
      <c r="AG182" s="36">
        <f>COUNTIF(Tabla1[[#This Row],[GENERO_MASCULINO]:[GENERO_FEMENINO]],"FEMENINO")</f>
        <v>0</v>
      </c>
      <c r="AH182" s="61">
        <v>19</v>
      </c>
      <c r="AI182" s="61"/>
      <c r="AJ182" s="61"/>
      <c r="AK182" s="61"/>
      <c r="AL182" s="61">
        <v>33</v>
      </c>
      <c r="AM182" s="36">
        <v>19</v>
      </c>
      <c r="AN182" s="61">
        <v>157</v>
      </c>
      <c r="AO182" s="36" t="str">
        <f>IFERROR(((VLOOKUP(Tabla1[[#This Row],[HIPOTESIS_1]],listas!$D$1:$E$105,2,FALSE))),"SIN INFORMACIÓN")</f>
        <v>Otra</v>
      </c>
      <c r="AP182" s="36">
        <v>139</v>
      </c>
      <c r="AQ182" s="36" t="str">
        <f>IFERROR(((VLOOKUP(Tabla1[[#This Row],[HIPOTESIS_2]],listas!$D$1:$E$105,2,FALSE))),"")</f>
        <v>Impericia en el manejo.</v>
      </c>
      <c r="AR182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83" spans="1:44" x14ac:dyDescent="0.25">
      <c r="A183" s="12">
        <v>16</v>
      </c>
      <c r="B183" s="36">
        <v>0</v>
      </c>
      <c r="C183" s="36">
        <v>1</v>
      </c>
      <c r="D183" s="36">
        <v>0</v>
      </c>
      <c r="E183" s="18" t="str">
        <f t="shared" si="8"/>
        <v>LESIONADO</v>
      </c>
      <c r="F183" s="29" t="s">
        <v>874</v>
      </c>
      <c r="G183" s="17">
        <v>5.3184333333333331</v>
      </c>
      <c r="H183" s="17">
        <v>-72.40140277777779</v>
      </c>
      <c r="I183" s="93" t="s">
        <v>697</v>
      </c>
      <c r="J183" s="36" t="s">
        <v>717</v>
      </c>
      <c r="K183" s="24" t="str">
        <f t="shared" si="9"/>
        <v>2022</v>
      </c>
      <c r="L183" s="24" t="str">
        <f t="shared" si="10"/>
        <v>ENERO</v>
      </c>
      <c r="M183" s="225">
        <v>44576</v>
      </c>
      <c r="N183" s="24" t="str">
        <f t="shared" si="11"/>
        <v>SÁBADO</v>
      </c>
      <c r="O183" s="101">
        <v>0.83333333333333304</v>
      </c>
      <c r="P183" s="63" t="s">
        <v>469</v>
      </c>
      <c r="Q183" s="63" t="s">
        <v>469</v>
      </c>
      <c r="R183" s="36">
        <f>COUNTIF(Tabla1[[#This Row],[VEHICULOS_ACCIDENTADOS]:[VEHICULOS_ACCIDENTADOS2]],"MOTOCICLETA")</f>
        <v>2</v>
      </c>
      <c r="S183" s="36">
        <f>COUNTIF(Tabla1[[#This Row],[VEHICULOS_ACCIDENTADOS]:[VEHICULOS_ACCIDENTADOS2]],"MOTOCARRO")</f>
        <v>0</v>
      </c>
      <c r="T183" s="36">
        <f>COUNTIF(Tabla1[[#This Row],[VEHICULOS_ACCIDENTADOS]:[VEHICULOS_ACCIDENTADOS2]],"AUTOMOVIL")</f>
        <v>0</v>
      </c>
      <c r="U183" s="36">
        <f>COUNTIF(Tabla1[[#This Row],[VEHICULOS_ACCIDENTADOS]:[VEHICULOS_ACCIDENTADOS2]],"CAMPERO")</f>
        <v>0</v>
      </c>
      <c r="V183" s="36">
        <f>COUNTIF(Tabla1[[#This Row],[VEHICULOS_ACCIDENTADOS]:[VEHICULOS_ACCIDENTADOS2]],"CAMIONETA")</f>
        <v>0</v>
      </c>
      <c r="W183" s="36">
        <f>COUNTIF(Tabla1[[#This Row],[VEHICULOS_ACCIDENTADOS]:[VEHICULOS_ACCIDENTADOS2]],"MICROBUS")</f>
        <v>0</v>
      </c>
      <c r="X183" s="36">
        <f>COUNTIF(Tabla1[[#This Row],[VEHICULOS_ACCIDENTADOS]:[VEHICULOS_ACCIDENTADOS2]],"BUS")</f>
        <v>0</v>
      </c>
      <c r="Y183" s="36">
        <f>COUNTIF(Tabla1[[#This Row],[VEHICULOS_ACCIDENTADOS]:[VEHICULOS_ACCIDENTADOS2]],"BUSETA")</f>
        <v>0</v>
      </c>
      <c r="Z183" s="36">
        <f>COUNTIF(Tabla1[[#This Row],[VEHICULOS_ACCIDENTADOS]:[VEHICULOS_ACCIDENTADOS2]],"CAMION")</f>
        <v>0</v>
      </c>
      <c r="AA183" s="36">
        <f>COUNTIF(Tabla1[[#This Row],[VEHICULOS_ACCIDENTADOS]:[VEHICULOS_ACCIDENTADOS2]],"TRACTOCAMION")</f>
        <v>0</v>
      </c>
      <c r="AB183" s="36">
        <f>COUNTIF(Tabla1[[#This Row],[VEHICULOS_ACCIDENTADOS]:[VEHICULOS_ACCIDENTADOS2]],"VOLQUETA")</f>
        <v>0</v>
      </c>
      <c r="AC183" s="36">
        <f>COUNTIF(Tabla1[[#This Row],[VEHICULOS_ACCIDENTADOS]:[VEHICULOS_ACCIDENTADOS2]],"BICICLETA")</f>
        <v>0</v>
      </c>
      <c r="AD183" s="36"/>
      <c r="AE183" s="36" t="s">
        <v>472</v>
      </c>
      <c r="AF183" s="36">
        <f>COUNTIF(Tabla1[[#This Row],[GENERO_MASCULINO]:[GENERO_FEMENINO]],"MASCULINO")</f>
        <v>0</v>
      </c>
      <c r="AG183" s="36">
        <f>COUNTIF(Tabla1[[#This Row],[GENERO_MASCULINO]:[GENERO_FEMENINO]],"FEMENINO")</f>
        <v>1</v>
      </c>
      <c r="AH183" s="61">
        <v>49</v>
      </c>
      <c r="AI183" s="61"/>
      <c r="AJ183" s="61"/>
      <c r="AK183" s="61"/>
      <c r="AL183" s="61"/>
      <c r="AM183" s="36"/>
      <c r="AN183" s="61">
        <v>114</v>
      </c>
      <c r="AO183" s="36" t="str">
        <f>IFERROR(((VLOOKUP(Tabla1[[#This Row],[HIPOTESIS_1]],listas!$D$1:$E$105,2,FALSE))),"SIN INFORMACIÓN")</f>
        <v>Embriaguez aparente.</v>
      </c>
      <c r="AP183" s="36">
        <v>139</v>
      </c>
      <c r="AQ183" s="36" t="str">
        <f>IFERROR(((VLOOKUP(Tabla1[[#This Row],[HIPOTESIS_2]],listas!$D$1:$E$105,2,FALSE))),"")</f>
        <v>Impericia en el manejo.</v>
      </c>
      <c r="AR183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84" spans="1:44" x14ac:dyDescent="0.25">
      <c r="A184" s="12">
        <v>1036</v>
      </c>
      <c r="B184" s="137">
        <v>0</v>
      </c>
      <c r="C184" s="137">
        <v>2</v>
      </c>
      <c r="D184" s="137">
        <v>0</v>
      </c>
      <c r="E184" s="18" t="str">
        <f t="shared" si="8"/>
        <v>LESIONADO</v>
      </c>
      <c r="F184" s="152" t="s">
        <v>878</v>
      </c>
      <c r="G184" s="30">
        <v>5.3192599999999999</v>
      </c>
      <c r="H184" s="30">
        <v>-72.393129999999999</v>
      </c>
      <c r="I184" s="93" t="s">
        <v>697</v>
      </c>
      <c r="J184" s="36" t="s">
        <v>717</v>
      </c>
      <c r="K184" s="24" t="str">
        <f t="shared" si="9"/>
        <v>2025</v>
      </c>
      <c r="L184" s="24" t="str">
        <f t="shared" si="10"/>
        <v>AGOSTO</v>
      </c>
      <c r="M184" s="225">
        <v>45874</v>
      </c>
      <c r="N184" s="24" t="str">
        <f t="shared" si="11"/>
        <v>MARTES</v>
      </c>
      <c r="O184" s="101">
        <v>0.51388888888888895</v>
      </c>
      <c r="P184" s="63" t="s">
        <v>469</v>
      </c>
      <c r="Q184" s="63" t="s">
        <v>469</v>
      </c>
      <c r="R184" s="36">
        <f>COUNTIF(Tabla1[[#This Row],[VEHICULOS_ACCIDENTADOS]:[VEHICULOS_ACCIDENTADOS2]],"MOTOCICLETA")</f>
        <v>2</v>
      </c>
      <c r="S184" s="36">
        <f>COUNTIF(Tabla1[[#This Row],[VEHICULOS_ACCIDENTADOS]:[VEHICULOS_ACCIDENTADOS2]],"MOTOCARRO")</f>
        <v>0</v>
      </c>
      <c r="T184" s="36">
        <f>COUNTIF(Tabla1[[#This Row],[VEHICULOS_ACCIDENTADOS]:[VEHICULOS_ACCIDENTADOS2]],"AUTOMOVIL")</f>
        <v>0</v>
      </c>
      <c r="U184" s="36">
        <f>COUNTIF(Tabla1[[#This Row],[VEHICULOS_ACCIDENTADOS]:[VEHICULOS_ACCIDENTADOS2]],"CAMPERO")</f>
        <v>0</v>
      </c>
      <c r="V184" s="36">
        <f>COUNTIF(Tabla1[[#This Row],[VEHICULOS_ACCIDENTADOS]:[VEHICULOS_ACCIDENTADOS2]],"CAMIONETA")</f>
        <v>0</v>
      </c>
      <c r="W184" s="36">
        <f>COUNTIF(Tabla1[[#This Row],[VEHICULOS_ACCIDENTADOS]:[VEHICULOS_ACCIDENTADOS2]],"MICROBUS")</f>
        <v>0</v>
      </c>
      <c r="X184" s="36">
        <f>COUNTIF(Tabla1[[#This Row],[VEHICULOS_ACCIDENTADOS]:[VEHICULOS_ACCIDENTADOS2]],"BUS")</f>
        <v>0</v>
      </c>
      <c r="Y184" s="36">
        <f>COUNTIF(Tabla1[[#This Row],[VEHICULOS_ACCIDENTADOS]:[VEHICULOS_ACCIDENTADOS2]],"BUSETA")</f>
        <v>0</v>
      </c>
      <c r="Z184" s="36">
        <f>COUNTIF(Tabla1[[#This Row],[VEHICULOS_ACCIDENTADOS]:[VEHICULOS_ACCIDENTADOS2]],"CAMION")</f>
        <v>0</v>
      </c>
      <c r="AA184" s="36">
        <f>COUNTIF(Tabla1[[#This Row],[VEHICULOS_ACCIDENTADOS]:[VEHICULOS_ACCIDENTADOS2]],"TRACTOCAMION")</f>
        <v>0</v>
      </c>
      <c r="AB184" s="36">
        <f>COUNTIF(Tabla1[[#This Row],[VEHICULOS_ACCIDENTADOS]:[VEHICULOS_ACCIDENTADOS2]],"VOLQUETA")</f>
        <v>0</v>
      </c>
      <c r="AC184" s="36">
        <f>COUNTIF(Tabla1[[#This Row],[VEHICULOS_ACCIDENTADOS]:[VEHICULOS_ACCIDENTADOS2]],"BICICLETA")</f>
        <v>0</v>
      </c>
      <c r="AD184" s="61" t="s">
        <v>472</v>
      </c>
      <c r="AE184" s="61" t="s">
        <v>472</v>
      </c>
      <c r="AF184" s="36">
        <f>COUNTIF(Tabla1[[#This Row],[GENERO_MASCULINO]:[GENERO_FEMENINO]],"MASCULINO")</f>
        <v>0</v>
      </c>
      <c r="AG184" s="36">
        <f>COUNTIF(Tabla1[[#This Row],[GENERO_MASCULINO]:[GENERO_FEMENINO]],"FEMENINO")</f>
        <v>2</v>
      </c>
      <c r="AH184" s="85">
        <v>22</v>
      </c>
      <c r="AI184" s="85">
        <v>32</v>
      </c>
      <c r="AJ184" s="85"/>
      <c r="AK184" s="78"/>
      <c r="AL184" s="78"/>
      <c r="AM184" s="59"/>
      <c r="AN184" s="61">
        <v>121</v>
      </c>
      <c r="AO184" s="59" t="str">
        <f>IFERROR(((VLOOKUP(Tabla1[[#This Row],[HIPOTESIS_1]],listas!$D$1:$E$105,2,FALSE))),"SIN INFORMACIÓN")</f>
        <v>No mantener distancia de seguridad.</v>
      </c>
      <c r="AP184" s="36">
        <v>139</v>
      </c>
      <c r="AQ184" s="36" t="str">
        <f>IFERROR(((VLOOKUP(Tabla1[[#This Row],[HIPOTESIS_2]],listas!$D$1:$E$105,2,FALSE))),"")</f>
        <v>Impericia en el manejo.</v>
      </c>
      <c r="AR184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85" spans="1:44" x14ac:dyDescent="0.25">
      <c r="A185" s="12">
        <v>642</v>
      </c>
      <c r="B185" s="36">
        <v>0</v>
      </c>
      <c r="C185" s="36">
        <v>2</v>
      </c>
      <c r="D185" s="36">
        <v>0</v>
      </c>
      <c r="E185" s="18" t="str">
        <f t="shared" si="8"/>
        <v>LESIONADO</v>
      </c>
      <c r="F185" s="29" t="s">
        <v>170</v>
      </c>
      <c r="G185" s="21">
        <v>5.3187611111111108</v>
      </c>
      <c r="H185" s="21">
        <v>-72.411144444444446</v>
      </c>
      <c r="I185" s="93" t="s">
        <v>697</v>
      </c>
      <c r="J185" s="36" t="s">
        <v>717</v>
      </c>
      <c r="K185" s="24" t="str">
        <f t="shared" si="9"/>
        <v>2023</v>
      </c>
      <c r="L185" s="24" t="str">
        <f t="shared" si="10"/>
        <v>DICIEMBRE</v>
      </c>
      <c r="M185" s="225">
        <v>45289</v>
      </c>
      <c r="N185" s="24" t="str">
        <f t="shared" si="11"/>
        <v>VIERNES</v>
      </c>
      <c r="O185" s="101">
        <v>0.77083333333333337</v>
      </c>
      <c r="P185" s="57" t="s">
        <v>469</v>
      </c>
      <c r="Q185" s="57" t="s">
        <v>469</v>
      </c>
      <c r="R185" s="36">
        <f>COUNTIF(Tabla1[[#This Row],[VEHICULOS_ACCIDENTADOS]:[VEHICULOS_ACCIDENTADOS2]],"MOTOCICLETA")</f>
        <v>2</v>
      </c>
      <c r="S185" s="36">
        <f>COUNTIF(Tabla1[[#This Row],[VEHICULOS_ACCIDENTADOS]:[VEHICULOS_ACCIDENTADOS2]],"MOTOCARRO")</f>
        <v>0</v>
      </c>
      <c r="T185" s="36">
        <f>COUNTIF(Tabla1[[#This Row],[VEHICULOS_ACCIDENTADOS]:[VEHICULOS_ACCIDENTADOS2]],"AUTOMOVIL")</f>
        <v>0</v>
      </c>
      <c r="U185" s="36">
        <f>COUNTIF(Tabla1[[#This Row],[VEHICULOS_ACCIDENTADOS]:[VEHICULOS_ACCIDENTADOS2]],"CAMPERO")</f>
        <v>0</v>
      </c>
      <c r="V185" s="36">
        <f>COUNTIF(Tabla1[[#This Row],[VEHICULOS_ACCIDENTADOS]:[VEHICULOS_ACCIDENTADOS2]],"CAMIONETA")</f>
        <v>0</v>
      </c>
      <c r="W185" s="36">
        <f>COUNTIF(Tabla1[[#This Row],[VEHICULOS_ACCIDENTADOS]:[VEHICULOS_ACCIDENTADOS2]],"MICROBUS")</f>
        <v>0</v>
      </c>
      <c r="X185" s="36">
        <f>COUNTIF(Tabla1[[#This Row],[VEHICULOS_ACCIDENTADOS]:[VEHICULOS_ACCIDENTADOS2]],"BUS")</f>
        <v>0</v>
      </c>
      <c r="Y185" s="36">
        <f>COUNTIF(Tabla1[[#This Row],[VEHICULOS_ACCIDENTADOS]:[VEHICULOS_ACCIDENTADOS2]],"BUSETA")</f>
        <v>0</v>
      </c>
      <c r="Z185" s="36">
        <f>COUNTIF(Tabla1[[#This Row],[VEHICULOS_ACCIDENTADOS]:[VEHICULOS_ACCIDENTADOS2]],"CAMION")</f>
        <v>0</v>
      </c>
      <c r="AA185" s="36">
        <f>COUNTIF(Tabla1[[#This Row],[VEHICULOS_ACCIDENTADOS]:[VEHICULOS_ACCIDENTADOS2]],"TRACTOCAMION")</f>
        <v>0</v>
      </c>
      <c r="AB185" s="36">
        <f>COUNTIF(Tabla1[[#This Row],[VEHICULOS_ACCIDENTADOS]:[VEHICULOS_ACCIDENTADOS2]],"VOLQUETA")</f>
        <v>0</v>
      </c>
      <c r="AC185" s="36">
        <f>COUNTIF(Tabla1[[#This Row],[VEHICULOS_ACCIDENTADOS]:[VEHICULOS_ACCIDENTADOS2]],"BICICLETA")</f>
        <v>0</v>
      </c>
      <c r="AD185" s="36" t="s">
        <v>471</v>
      </c>
      <c r="AE185" s="36" t="s">
        <v>472</v>
      </c>
      <c r="AF185" s="36">
        <f>COUNTIF(Tabla1[[#This Row],[GENERO_MASCULINO]:[GENERO_FEMENINO]],"MASCULINO")</f>
        <v>1</v>
      </c>
      <c r="AG185" s="36">
        <f>COUNTIF(Tabla1[[#This Row],[GENERO_MASCULINO]:[GENERO_FEMENINO]],"FEMENINO")</f>
        <v>1</v>
      </c>
      <c r="AH185" s="61">
        <v>49</v>
      </c>
      <c r="AI185" s="61"/>
      <c r="AJ185" s="61">
        <v>20</v>
      </c>
      <c r="AK185" s="61"/>
      <c r="AL185" s="61"/>
      <c r="AM185" s="36"/>
      <c r="AN185" s="61">
        <v>115</v>
      </c>
      <c r="AO185" s="36" t="str">
        <f>IFERROR(((VLOOKUP(Tabla1[[#This Row],[HIPOTESIS_1]],listas!$D$1:$E$105,2,FALSE))),"SIN INFORMACIÓN")</f>
        <v>Embriaguez o Sustancias alucinogenas</v>
      </c>
      <c r="AP185" s="36">
        <v>139</v>
      </c>
      <c r="AQ185" s="36" t="str">
        <f>IFERROR(((VLOOKUP(Tabla1[[#This Row],[HIPOTESIS_2]],listas!$D$1:$E$105,2,FALSE))),"")</f>
        <v>Impericia en el manejo.</v>
      </c>
      <c r="AR185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86" spans="1:44" x14ac:dyDescent="0.25">
      <c r="A186" s="12">
        <v>954</v>
      </c>
      <c r="B186" s="135">
        <v>0</v>
      </c>
      <c r="C186" s="136">
        <v>0</v>
      </c>
      <c r="D186" s="141">
        <v>1</v>
      </c>
      <c r="E186" s="18" t="str">
        <f t="shared" si="8"/>
        <v>FALLECIDO</v>
      </c>
      <c r="F186" s="136" t="s">
        <v>31</v>
      </c>
      <c r="G186" s="17">
        <v>5.3187490000000004</v>
      </c>
      <c r="H186" s="17">
        <v>-72.410743999999994</v>
      </c>
      <c r="I186" s="93" t="s">
        <v>697</v>
      </c>
      <c r="J186" s="135" t="s">
        <v>717</v>
      </c>
      <c r="K186" s="24" t="str">
        <f t="shared" si="9"/>
        <v>2025</v>
      </c>
      <c r="L186" s="24" t="str">
        <f t="shared" si="10"/>
        <v>MAYO</v>
      </c>
      <c r="M186" s="224">
        <v>45780</v>
      </c>
      <c r="N186" s="24" t="str">
        <f t="shared" si="11"/>
        <v>SÁBADO</v>
      </c>
      <c r="O186" s="171">
        <v>0.92708333333333337</v>
      </c>
      <c r="P186" s="63" t="s">
        <v>469</v>
      </c>
      <c r="Q186" s="63" t="s">
        <v>440</v>
      </c>
      <c r="R186" s="36">
        <f>COUNTIF(Tabla1[[#This Row],[VEHICULOS_ACCIDENTADOS]:[VEHICULOS_ACCIDENTADOS2]],"MOTOCICLETA")</f>
        <v>1</v>
      </c>
      <c r="S186" s="36">
        <f>COUNTIF(Tabla1[[#This Row],[VEHICULOS_ACCIDENTADOS]:[VEHICULOS_ACCIDENTADOS2]],"MOTOCARRO")</f>
        <v>0</v>
      </c>
      <c r="T186" s="36">
        <f>COUNTIF(Tabla1[[#This Row],[VEHICULOS_ACCIDENTADOS]:[VEHICULOS_ACCIDENTADOS2]],"AUTOMOVIL")</f>
        <v>0</v>
      </c>
      <c r="U186" s="36">
        <f>COUNTIF(Tabla1[[#This Row],[VEHICULOS_ACCIDENTADOS]:[VEHICULOS_ACCIDENTADOS2]],"CAMPERO")</f>
        <v>0</v>
      </c>
      <c r="V186" s="36">
        <f>COUNTIF(Tabla1[[#This Row],[VEHICULOS_ACCIDENTADOS]:[VEHICULOS_ACCIDENTADOS2]],"CAMIONETA")</f>
        <v>0</v>
      </c>
      <c r="W186" s="36">
        <f>COUNTIF(Tabla1[[#This Row],[VEHICULOS_ACCIDENTADOS]:[VEHICULOS_ACCIDENTADOS2]],"MICROBUS")</f>
        <v>0</v>
      </c>
      <c r="X186" s="36">
        <f>COUNTIF(Tabla1[[#This Row],[VEHICULOS_ACCIDENTADOS]:[VEHICULOS_ACCIDENTADOS2]],"BUS")</f>
        <v>0</v>
      </c>
      <c r="Y186" s="36">
        <f>COUNTIF(Tabla1[[#This Row],[VEHICULOS_ACCIDENTADOS]:[VEHICULOS_ACCIDENTADOS2]],"BUSETA")</f>
        <v>0</v>
      </c>
      <c r="Z186" s="36">
        <f>COUNTIF(Tabla1[[#This Row],[VEHICULOS_ACCIDENTADOS]:[VEHICULOS_ACCIDENTADOS2]],"CAMION")</f>
        <v>0</v>
      </c>
      <c r="AA186" s="36">
        <f>COUNTIF(Tabla1[[#This Row],[VEHICULOS_ACCIDENTADOS]:[VEHICULOS_ACCIDENTADOS2]],"TRACTOCAMION")</f>
        <v>1</v>
      </c>
      <c r="AB186" s="36">
        <f>COUNTIF(Tabla1[[#This Row],[VEHICULOS_ACCIDENTADOS]:[VEHICULOS_ACCIDENTADOS2]],"VOLQUETA")</f>
        <v>0</v>
      </c>
      <c r="AC186" s="36">
        <f>COUNTIF(Tabla1[[#This Row],[VEHICULOS_ACCIDENTADOS]:[VEHICULOS_ACCIDENTADOS2]],"BICICLETA")</f>
        <v>0</v>
      </c>
      <c r="AD186" s="36" t="s">
        <v>471</v>
      </c>
      <c r="AE186" s="36"/>
      <c r="AF186" s="36">
        <f>COUNTIF(Tabla1[[#This Row],[GENERO_MASCULINO]:[GENERO_FEMENINO]],"MASCULINO")</f>
        <v>1</v>
      </c>
      <c r="AG186" s="36">
        <f>COUNTIF(Tabla1[[#This Row],[GENERO_MASCULINO]:[GENERO_FEMENINO]],"FEMENINO")</f>
        <v>0</v>
      </c>
      <c r="AH186" s="85">
        <v>19</v>
      </c>
      <c r="AI186" s="85"/>
      <c r="AJ186" s="85"/>
      <c r="AK186" s="85"/>
      <c r="AL186" s="78"/>
      <c r="AM186" s="59"/>
      <c r="AN186" s="85">
        <v>114</v>
      </c>
      <c r="AO186" s="36" t="str">
        <f>IFERROR(((VLOOKUP(Tabla1[[#This Row],[HIPOTESIS_1]],listas!$D$1:$E$105,2,FALSE))),"SIN INFORMACIÓN")</f>
        <v>Embriaguez aparente.</v>
      </c>
      <c r="AP186" s="36">
        <v>139</v>
      </c>
      <c r="AQ186" s="36" t="str">
        <f>IFERROR(((VLOOKUP(Tabla1[[#This Row],[HIPOTESIS_2]],listas!$D$1:$E$105,2,FALSE))),"")</f>
        <v>Impericia en el manejo.</v>
      </c>
      <c r="AR186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87" spans="1:44" x14ac:dyDescent="0.25">
      <c r="A187" s="12">
        <v>1094</v>
      </c>
      <c r="B187" s="137">
        <v>1</v>
      </c>
      <c r="C187" s="137">
        <v>0</v>
      </c>
      <c r="D187" s="137">
        <v>0</v>
      </c>
      <c r="E187" s="24" t="str">
        <f t="shared" si="8"/>
        <v>SOLO DAÑO</v>
      </c>
      <c r="F187" s="152" t="s">
        <v>880</v>
      </c>
      <c r="G187" s="30">
        <v>5.3167202649638003</v>
      </c>
      <c r="H187" s="30">
        <v>-72.402223628014298</v>
      </c>
      <c r="I187" s="165" t="s">
        <v>697</v>
      </c>
      <c r="J187" s="36" t="s">
        <v>717</v>
      </c>
      <c r="K187" s="24" t="str">
        <f t="shared" si="9"/>
        <v>2025</v>
      </c>
      <c r="L187" s="24" t="str">
        <f t="shared" si="10"/>
        <v>SEPTIEMBRE</v>
      </c>
      <c r="M187" s="225">
        <v>45925</v>
      </c>
      <c r="N187" s="24" t="str">
        <f t="shared" si="11"/>
        <v>JUEVES</v>
      </c>
      <c r="O187" s="101">
        <v>0.79097222222222219</v>
      </c>
      <c r="P187" s="63" t="s">
        <v>469</v>
      </c>
      <c r="Q187" s="63" t="s">
        <v>438</v>
      </c>
      <c r="R187" s="36">
        <f>COUNTIF(Tabla1[[#This Row],[VEHICULOS_ACCIDENTADOS]:[VEHICULOS_ACCIDENTADOS2]],"MOTOCICLETA")</f>
        <v>1</v>
      </c>
      <c r="S187" s="36">
        <f>COUNTIF(Tabla1[[#This Row],[VEHICULOS_ACCIDENTADOS]:[VEHICULOS_ACCIDENTADOS2]],"MOTOCARRO")</f>
        <v>0</v>
      </c>
      <c r="T187" s="36">
        <f>COUNTIF(Tabla1[[#This Row],[VEHICULOS_ACCIDENTADOS]:[VEHICULOS_ACCIDENTADOS2]],"AUTOMOVIL")</f>
        <v>0</v>
      </c>
      <c r="U187" s="36">
        <f>COUNTIF(Tabla1[[#This Row],[VEHICULOS_ACCIDENTADOS]:[VEHICULOS_ACCIDENTADOS2]],"CAMPERO")</f>
        <v>0</v>
      </c>
      <c r="V187" s="36">
        <f>COUNTIF(Tabla1[[#This Row],[VEHICULOS_ACCIDENTADOS]:[VEHICULOS_ACCIDENTADOS2]],"CAMIONETA")</f>
        <v>0</v>
      </c>
      <c r="W187" s="36">
        <f>COUNTIF(Tabla1[[#This Row],[VEHICULOS_ACCIDENTADOS]:[VEHICULOS_ACCIDENTADOS2]],"MICROBUS")</f>
        <v>0</v>
      </c>
      <c r="X187" s="36">
        <f>COUNTIF(Tabla1[[#This Row],[VEHICULOS_ACCIDENTADOS]:[VEHICULOS_ACCIDENTADOS2]],"BUS")</f>
        <v>0</v>
      </c>
      <c r="Y187" s="36">
        <f>COUNTIF(Tabla1[[#This Row],[VEHICULOS_ACCIDENTADOS]:[VEHICULOS_ACCIDENTADOS2]],"BUSETA")</f>
        <v>0</v>
      </c>
      <c r="Z187" s="36">
        <f>COUNTIF(Tabla1[[#This Row],[VEHICULOS_ACCIDENTADOS]:[VEHICULOS_ACCIDENTADOS2]],"CAMION")</f>
        <v>0</v>
      </c>
      <c r="AA187" s="36">
        <f>COUNTIF(Tabla1[[#This Row],[VEHICULOS_ACCIDENTADOS]:[VEHICULOS_ACCIDENTADOS2]],"TRACTOCAMION")</f>
        <v>0</v>
      </c>
      <c r="AB187" s="36">
        <f>COUNTIF(Tabla1[[#This Row],[VEHICULOS_ACCIDENTADOS]:[VEHICULOS_ACCIDENTADOS2]],"VOLQUETA")</f>
        <v>0</v>
      </c>
      <c r="AC187" s="36">
        <f>COUNTIF(Tabla1[[#This Row],[VEHICULOS_ACCIDENTADOS]:[VEHICULOS_ACCIDENTADOS2]],"BICICLETA")</f>
        <v>1</v>
      </c>
      <c r="AD187" s="61" t="s">
        <v>471</v>
      </c>
      <c r="AE187" s="61" t="s">
        <v>471</v>
      </c>
      <c r="AF187" s="36">
        <f>COUNTIF(Tabla1[[#This Row],[GENERO_MASCULINO]:[GENERO_FEMENINO]],"MASCULINO")</f>
        <v>2</v>
      </c>
      <c r="AG187" s="36">
        <f>COUNTIF(Tabla1[[#This Row],[GENERO_MASCULINO]:[GENERO_FEMENINO]],"FEMENINO")</f>
        <v>0</v>
      </c>
      <c r="AH187" s="85"/>
      <c r="AI187" s="85"/>
      <c r="AJ187" s="85"/>
      <c r="AK187" s="78"/>
      <c r="AL187" s="78"/>
      <c r="AM187" s="59"/>
      <c r="AN187" s="61">
        <v>99</v>
      </c>
      <c r="AO187" s="59" t="str">
        <f>IFERROR(((VLOOKUP(Tabla1[[#This Row],[HIPOTESIS_1]],listas!$D$1:$E$105,2,FALSE))),"SIN INFORMACIÓN")</f>
        <v>No hacer uso de señales reflectivas o luminosas.</v>
      </c>
      <c r="AP187" s="36">
        <v>139</v>
      </c>
      <c r="AQ187" s="36" t="str">
        <f>IFERROR(((VLOOKUP(Tabla1[[#This Row],[HIPOTESIS_2]],listas!$D$1:$E$105,2,FALSE))),"")</f>
        <v>Impericia en el manejo.</v>
      </c>
      <c r="AR187" s="2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88" spans="1:44" x14ac:dyDescent="0.25">
      <c r="A188" s="12">
        <v>1109</v>
      </c>
      <c r="B188" s="137">
        <v>0</v>
      </c>
      <c r="C188" s="137">
        <v>1</v>
      </c>
      <c r="D188" s="137">
        <v>0</v>
      </c>
      <c r="E188" s="24" t="str">
        <f t="shared" si="8"/>
        <v>LESIONADO</v>
      </c>
      <c r="F188" s="152" t="s">
        <v>883</v>
      </c>
      <c r="G188" s="30">
        <v>5.3054319999999997</v>
      </c>
      <c r="H188" s="30">
        <v>-72.419542000000007</v>
      </c>
      <c r="I188" s="165" t="s">
        <v>697</v>
      </c>
      <c r="J188" s="36" t="s">
        <v>717</v>
      </c>
      <c r="K188" s="24" t="str">
        <f t="shared" si="9"/>
        <v>2025</v>
      </c>
      <c r="L188" s="24" t="str">
        <f t="shared" si="10"/>
        <v>OCTUBRE</v>
      </c>
      <c r="M188" s="225">
        <v>45934</v>
      </c>
      <c r="N188" s="24" t="str">
        <f t="shared" si="11"/>
        <v>SÁBADO</v>
      </c>
      <c r="O188" s="101">
        <v>0.74305555555555558</v>
      </c>
      <c r="P188" s="63" t="s">
        <v>469</v>
      </c>
      <c r="Q188" s="63" t="s">
        <v>439</v>
      </c>
      <c r="R188" s="36">
        <f>COUNTIF(Tabla1[[#This Row],[VEHICULOS_ACCIDENTADOS]:[VEHICULOS_ACCIDENTADOS2]],"MOTOCICLETA")</f>
        <v>1</v>
      </c>
      <c r="S188" s="36">
        <f>COUNTIF(Tabla1[[#This Row],[VEHICULOS_ACCIDENTADOS]:[VEHICULOS_ACCIDENTADOS2]],"MOTOCARRO")</f>
        <v>0</v>
      </c>
      <c r="T188" s="36">
        <f>COUNTIF(Tabla1[[#This Row],[VEHICULOS_ACCIDENTADOS]:[VEHICULOS_ACCIDENTADOS2]],"AUTOMOVIL")</f>
        <v>0</v>
      </c>
      <c r="U188" s="36">
        <f>COUNTIF(Tabla1[[#This Row],[VEHICULOS_ACCIDENTADOS]:[VEHICULOS_ACCIDENTADOS2]],"CAMPERO")</f>
        <v>0</v>
      </c>
      <c r="V188" s="36">
        <f>COUNTIF(Tabla1[[#This Row],[VEHICULOS_ACCIDENTADOS]:[VEHICULOS_ACCIDENTADOS2]],"CAMIONETA")</f>
        <v>0</v>
      </c>
      <c r="W188" s="36">
        <f>COUNTIF(Tabla1[[#This Row],[VEHICULOS_ACCIDENTADOS]:[VEHICULOS_ACCIDENTADOS2]],"MICROBUS")</f>
        <v>0</v>
      </c>
      <c r="X188" s="36">
        <f>COUNTIF(Tabla1[[#This Row],[VEHICULOS_ACCIDENTADOS]:[VEHICULOS_ACCIDENTADOS2]],"BUS")</f>
        <v>0</v>
      </c>
      <c r="Y188" s="36">
        <f>COUNTIF(Tabla1[[#This Row],[VEHICULOS_ACCIDENTADOS]:[VEHICULOS_ACCIDENTADOS2]],"BUSETA")</f>
        <v>0</v>
      </c>
      <c r="Z188" s="36">
        <f>COUNTIF(Tabla1[[#This Row],[VEHICULOS_ACCIDENTADOS]:[VEHICULOS_ACCIDENTADOS2]],"CAMION")</f>
        <v>0</v>
      </c>
      <c r="AA188" s="36">
        <f>COUNTIF(Tabla1[[#This Row],[VEHICULOS_ACCIDENTADOS]:[VEHICULOS_ACCIDENTADOS2]],"TRACTOCAMION")</f>
        <v>0</v>
      </c>
      <c r="AB188" s="36">
        <f>COUNTIF(Tabla1[[#This Row],[VEHICULOS_ACCIDENTADOS]:[VEHICULOS_ACCIDENTADOS2]],"VOLQUETA")</f>
        <v>1</v>
      </c>
      <c r="AC188" s="36">
        <f>COUNTIF(Tabla1[[#This Row],[VEHICULOS_ACCIDENTADOS]:[VEHICULOS_ACCIDENTADOS2]],"BICICLETA")</f>
        <v>0</v>
      </c>
      <c r="AD188" s="61" t="s">
        <v>471</v>
      </c>
      <c r="AE188" s="61"/>
      <c r="AF188" s="36">
        <f>COUNTIF(Tabla1[[#This Row],[GENERO_MASCULINO]:[GENERO_FEMENINO]],"MASCULINO")</f>
        <v>1</v>
      </c>
      <c r="AG188" s="36">
        <f>COUNTIF(Tabla1[[#This Row],[GENERO_MASCULINO]:[GENERO_FEMENINO]],"FEMENINO")</f>
        <v>0</v>
      </c>
      <c r="AH188" s="85">
        <v>26</v>
      </c>
      <c r="AI188" s="85"/>
      <c r="AJ188" s="85"/>
      <c r="AK188" s="78"/>
      <c r="AL188" s="78"/>
      <c r="AM188" s="59"/>
      <c r="AN188" s="61">
        <v>114</v>
      </c>
      <c r="AO188" s="59" t="str">
        <f>IFERROR(((VLOOKUP(Tabla1[[#This Row],[HIPOTESIS_1]],listas!$D$1:$E$105,2,FALSE))),"SIN INFORMACIÓN")</f>
        <v>Embriaguez aparente.</v>
      </c>
      <c r="AP188" s="36">
        <v>139</v>
      </c>
      <c r="AQ188" s="36" t="str">
        <f>IFERROR(((VLOOKUP(Tabla1[[#This Row],[HIPOTESIS_2]],listas!$D$1:$E$105,2,FALSE))),"")</f>
        <v>Impericia en el manejo.</v>
      </c>
      <c r="AR188" s="2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89" spans="1:44" x14ac:dyDescent="0.25">
      <c r="A189" s="12">
        <v>326</v>
      </c>
      <c r="B189" s="36">
        <v>0</v>
      </c>
      <c r="C189" s="36">
        <v>1</v>
      </c>
      <c r="D189" s="36">
        <v>0</v>
      </c>
      <c r="E189" s="18" t="str">
        <f t="shared" si="8"/>
        <v>LESIONADO</v>
      </c>
      <c r="F189" s="29" t="s">
        <v>313</v>
      </c>
      <c r="G189" s="17">
        <v>5.301536111111111</v>
      </c>
      <c r="H189" s="17">
        <v>-72.407840000000007</v>
      </c>
      <c r="I189" s="93" t="s">
        <v>697</v>
      </c>
      <c r="J189" s="36" t="s">
        <v>717</v>
      </c>
      <c r="K189" s="24" t="str">
        <f t="shared" si="9"/>
        <v>2022</v>
      </c>
      <c r="L189" s="24" t="str">
        <f t="shared" si="10"/>
        <v>OCTUBRE</v>
      </c>
      <c r="M189" s="225">
        <v>44840</v>
      </c>
      <c r="N189" s="24" t="str">
        <f t="shared" si="11"/>
        <v>JUEVES</v>
      </c>
      <c r="O189" s="102">
        <v>0.194444444444444</v>
      </c>
      <c r="P189" s="53" t="s">
        <v>469</v>
      </c>
      <c r="Q189" s="53" t="s">
        <v>442</v>
      </c>
      <c r="R189" s="36">
        <f>COUNTIF(Tabla1[[#This Row],[VEHICULOS_ACCIDENTADOS]:[VEHICULOS_ACCIDENTADOS2]],"MOTOCICLETA")</f>
        <v>1</v>
      </c>
      <c r="S189" s="36">
        <f>COUNTIF(Tabla1[[#This Row],[VEHICULOS_ACCIDENTADOS]:[VEHICULOS_ACCIDENTADOS2]],"MOTOCARRO")</f>
        <v>0</v>
      </c>
      <c r="T189" s="36">
        <f>COUNTIF(Tabla1[[#This Row],[VEHICULOS_ACCIDENTADOS]:[VEHICULOS_ACCIDENTADOS2]],"AUTOMOVIL")</f>
        <v>0</v>
      </c>
      <c r="U189" s="36">
        <f>COUNTIF(Tabla1[[#This Row],[VEHICULOS_ACCIDENTADOS]:[VEHICULOS_ACCIDENTADOS2]],"CAMPERO")</f>
        <v>0</v>
      </c>
      <c r="V189" s="36">
        <f>COUNTIF(Tabla1[[#This Row],[VEHICULOS_ACCIDENTADOS]:[VEHICULOS_ACCIDENTADOS2]],"CAMIONETA")</f>
        <v>0</v>
      </c>
      <c r="W189" s="36">
        <f>COUNTIF(Tabla1[[#This Row],[VEHICULOS_ACCIDENTADOS]:[VEHICULOS_ACCIDENTADOS2]],"MICROBUS")</f>
        <v>0</v>
      </c>
      <c r="X189" s="36">
        <f>COUNTIF(Tabla1[[#This Row],[VEHICULOS_ACCIDENTADOS]:[VEHICULOS_ACCIDENTADOS2]],"BUS")</f>
        <v>0</v>
      </c>
      <c r="Y189" s="36">
        <f>COUNTIF(Tabla1[[#This Row],[VEHICULOS_ACCIDENTADOS]:[VEHICULOS_ACCIDENTADOS2]],"BUSETA")</f>
        <v>1</v>
      </c>
      <c r="Z189" s="36">
        <f>COUNTIF(Tabla1[[#This Row],[VEHICULOS_ACCIDENTADOS]:[VEHICULOS_ACCIDENTADOS2]],"CAMION")</f>
        <v>0</v>
      </c>
      <c r="AA189" s="36">
        <f>COUNTIF(Tabla1[[#This Row],[VEHICULOS_ACCIDENTADOS]:[VEHICULOS_ACCIDENTADOS2]],"TRACTOCAMION")</f>
        <v>0</v>
      </c>
      <c r="AB189" s="36">
        <f>COUNTIF(Tabla1[[#This Row],[VEHICULOS_ACCIDENTADOS]:[VEHICULOS_ACCIDENTADOS2]],"VOLQUETA")</f>
        <v>0</v>
      </c>
      <c r="AC189" s="36">
        <f>COUNTIF(Tabla1[[#This Row],[VEHICULOS_ACCIDENTADOS]:[VEHICULOS_ACCIDENTADOS2]],"BICICLETA")</f>
        <v>0</v>
      </c>
      <c r="AD189" s="36" t="s">
        <v>471</v>
      </c>
      <c r="AE189" s="36"/>
      <c r="AF189" s="36">
        <f>COUNTIF(Tabla1[[#This Row],[GENERO_MASCULINO]:[GENERO_FEMENINO]],"MASCULINO")</f>
        <v>1</v>
      </c>
      <c r="AG189" s="36">
        <f>COUNTIF(Tabla1[[#This Row],[GENERO_MASCULINO]:[GENERO_FEMENINO]],"FEMENINO")</f>
        <v>0</v>
      </c>
      <c r="AH189" s="61">
        <v>23</v>
      </c>
      <c r="AI189" s="61"/>
      <c r="AJ189" s="61"/>
      <c r="AK189" s="61"/>
      <c r="AL189" s="61"/>
      <c r="AM189" s="36"/>
      <c r="AN189" s="61">
        <v>114</v>
      </c>
      <c r="AO189" s="36" t="str">
        <f>IFERROR(((VLOOKUP(Tabla1[[#This Row],[HIPOTESIS_1]],listas!$D$1:$E$105,2,FALSE))),"SIN INFORMACIÓN")</f>
        <v>Embriaguez aparente.</v>
      </c>
      <c r="AP189" s="36">
        <v>139</v>
      </c>
      <c r="AQ189" s="36" t="str">
        <f>IFERROR(((VLOOKUP(Tabla1[[#This Row],[HIPOTESIS_2]],listas!$D$1:$E$105,2,FALSE))),"")</f>
        <v>Impericia en el manejo.</v>
      </c>
      <c r="AR189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90" spans="1:44" x14ac:dyDescent="0.25">
      <c r="A190" s="12">
        <v>93</v>
      </c>
      <c r="B190" s="36">
        <v>0</v>
      </c>
      <c r="C190" s="36">
        <v>2</v>
      </c>
      <c r="D190" s="36">
        <v>0</v>
      </c>
      <c r="E190" s="18" t="str">
        <f t="shared" si="8"/>
        <v>LESIONADO</v>
      </c>
      <c r="F190" s="29" t="s">
        <v>1044</v>
      </c>
      <c r="G190" s="17">
        <v>5.3327833333333334</v>
      </c>
      <c r="H190" s="17">
        <v>-72.403641666666672</v>
      </c>
      <c r="I190" s="93" t="s">
        <v>697</v>
      </c>
      <c r="J190" s="36" t="s">
        <v>717</v>
      </c>
      <c r="K190" s="24" t="str">
        <f t="shared" si="9"/>
        <v>2022</v>
      </c>
      <c r="L190" s="24" t="str">
        <f t="shared" si="10"/>
        <v>MARZO</v>
      </c>
      <c r="M190" s="225">
        <v>44639</v>
      </c>
      <c r="N190" s="24" t="str">
        <f t="shared" si="11"/>
        <v>SÁBADO</v>
      </c>
      <c r="O190" s="101">
        <v>0.32638888888888901</v>
      </c>
      <c r="P190" s="63" t="s">
        <v>469</v>
      </c>
      <c r="Q190" s="63" t="s">
        <v>438</v>
      </c>
      <c r="R190" s="36">
        <f>COUNTIF(Tabla1[[#This Row],[VEHICULOS_ACCIDENTADOS]:[VEHICULOS_ACCIDENTADOS2]],"MOTOCICLETA")</f>
        <v>1</v>
      </c>
      <c r="S190" s="36">
        <f>COUNTIF(Tabla1[[#This Row],[VEHICULOS_ACCIDENTADOS]:[VEHICULOS_ACCIDENTADOS2]],"MOTOCARRO")</f>
        <v>0</v>
      </c>
      <c r="T190" s="36">
        <f>COUNTIF(Tabla1[[#This Row],[VEHICULOS_ACCIDENTADOS]:[VEHICULOS_ACCIDENTADOS2]],"AUTOMOVIL")</f>
        <v>0</v>
      </c>
      <c r="U190" s="36">
        <f>COUNTIF(Tabla1[[#This Row],[VEHICULOS_ACCIDENTADOS]:[VEHICULOS_ACCIDENTADOS2]],"CAMPERO")</f>
        <v>0</v>
      </c>
      <c r="V190" s="36">
        <f>COUNTIF(Tabla1[[#This Row],[VEHICULOS_ACCIDENTADOS]:[VEHICULOS_ACCIDENTADOS2]],"CAMIONETA")</f>
        <v>0</v>
      </c>
      <c r="W190" s="36">
        <f>COUNTIF(Tabla1[[#This Row],[VEHICULOS_ACCIDENTADOS]:[VEHICULOS_ACCIDENTADOS2]],"MICROBUS")</f>
        <v>0</v>
      </c>
      <c r="X190" s="36">
        <f>COUNTIF(Tabla1[[#This Row],[VEHICULOS_ACCIDENTADOS]:[VEHICULOS_ACCIDENTADOS2]],"BUS")</f>
        <v>0</v>
      </c>
      <c r="Y190" s="36">
        <f>COUNTIF(Tabla1[[#This Row],[VEHICULOS_ACCIDENTADOS]:[VEHICULOS_ACCIDENTADOS2]],"BUSETA")</f>
        <v>0</v>
      </c>
      <c r="Z190" s="36">
        <f>COUNTIF(Tabla1[[#This Row],[VEHICULOS_ACCIDENTADOS]:[VEHICULOS_ACCIDENTADOS2]],"CAMION")</f>
        <v>0</v>
      </c>
      <c r="AA190" s="36">
        <f>COUNTIF(Tabla1[[#This Row],[VEHICULOS_ACCIDENTADOS]:[VEHICULOS_ACCIDENTADOS2]],"TRACTOCAMION")</f>
        <v>0</v>
      </c>
      <c r="AB190" s="36">
        <f>COUNTIF(Tabla1[[#This Row],[VEHICULOS_ACCIDENTADOS]:[VEHICULOS_ACCIDENTADOS2]],"VOLQUETA")</f>
        <v>0</v>
      </c>
      <c r="AC190" s="36">
        <f>COUNTIF(Tabla1[[#This Row],[VEHICULOS_ACCIDENTADOS]:[VEHICULOS_ACCIDENTADOS2]],"BICICLETA")</f>
        <v>1</v>
      </c>
      <c r="AD190" s="36" t="s">
        <v>471</v>
      </c>
      <c r="AE190" s="36"/>
      <c r="AF190" s="36">
        <f>COUNTIF(Tabla1[[#This Row],[GENERO_MASCULINO]:[GENERO_FEMENINO]],"MASCULINO")</f>
        <v>1</v>
      </c>
      <c r="AG190" s="36">
        <f>COUNTIF(Tabla1[[#This Row],[GENERO_MASCULINO]:[GENERO_FEMENINO]],"FEMENINO")</f>
        <v>0</v>
      </c>
      <c r="AH190" s="61">
        <v>22</v>
      </c>
      <c r="AI190" s="61">
        <v>18</v>
      </c>
      <c r="AJ190" s="61"/>
      <c r="AK190" s="61"/>
      <c r="AL190" s="61"/>
      <c r="AM190" s="36"/>
      <c r="AN190" s="61">
        <v>122</v>
      </c>
      <c r="AO190" s="36" t="str">
        <f>IFERROR(((VLOOKUP(Tabla1[[#This Row],[HIPOTESIS_1]],listas!$D$1:$E$105,2,FALSE))),"SIN INFORMACIÓN")</f>
        <v>Girar bruscamente.</v>
      </c>
      <c r="AP190" s="36">
        <v>139</v>
      </c>
      <c r="AQ190" s="36" t="str">
        <f>IFERROR(((VLOOKUP(Tabla1[[#This Row],[HIPOTESIS_2]],listas!$D$1:$E$105,2,FALSE))),"")</f>
        <v>Impericia en el manejo.</v>
      </c>
      <c r="AR190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91" spans="1:44" x14ac:dyDescent="0.25">
      <c r="A191" s="12">
        <v>461</v>
      </c>
      <c r="B191" s="55">
        <v>0</v>
      </c>
      <c r="C191" s="55">
        <v>2</v>
      </c>
      <c r="D191" s="55">
        <v>0</v>
      </c>
      <c r="E191" s="18" t="str">
        <f t="shared" si="8"/>
        <v>LESIONADO</v>
      </c>
      <c r="F191" s="29" t="s">
        <v>255</v>
      </c>
      <c r="G191" s="21">
        <v>5.3316808333333334</v>
      </c>
      <c r="H191" s="21">
        <v>-72.403368888888892</v>
      </c>
      <c r="I191" s="93" t="s">
        <v>697</v>
      </c>
      <c r="J191" s="36" t="s">
        <v>717</v>
      </c>
      <c r="K191" s="24" t="str">
        <f t="shared" si="9"/>
        <v>2023</v>
      </c>
      <c r="L191" s="24" t="str">
        <f t="shared" si="10"/>
        <v>ABRIL</v>
      </c>
      <c r="M191" s="225">
        <v>45040</v>
      </c>
      <c r="N191" s="24" t="str">
        <f t="shared" si="11"/>
        <v>LUNES</v>
      </c>
      <c r="O191" s="171">
        <v>0.25</v>
      </c>
      <c r="P191" s="62" t="s">
        <v>469</v>
      </c>
      <c r="Q191" s="62" t="s">
        <v>447</v>
      </c>
      <c r="R191" s="36">
        <f>COUNTIF(Tabla1[[#This Row],[VEHICULOS_ACCIDENTADOS]:[VEHICULOS_ACCIDENTADOS2]],"MOTOCICLETA")</f>
        <v>1</v>
      </c>
      <c r="S191" s="36">
        <f>COUNTIF(Tabla1[[#This Row],[VEHICULOS_ACCIDENTADOS]:[VEHICULOS_ACCIDENTADOS2]],"MOTOCARRO")</f>
        <v>0</v>
      </c>
      <c r="T191" s="36">
        <f>COUNTIF(Tabla1[[#This Row],[VEHICULOS_ACCIDENTADOS]:[VEHICULOS_ACCIDENTADOS2]],"AUTOMOVIL")</f>
        <v>1</v>
      </c>
      <c r="U191" s="36">
        <f>COUNTIF(Tabla1[[#This Row],[VEHICULOS_ACCIDENTADOS]:[VEHICULOS_ACCIDENTADOS2]],"CAMPERO")</f>
        <v>0</v>
      </c>
      <c r="V191" s="36">
        <f>COUNTIF(Tabla1[[#This Row],[VEHICULOS_ACCIDENTADOS]:[VEHICULOS_ACCIDENTADOS2]],"CAMIONETA")</f>
        <v>0</v>
      </c>
      <c r="W191" s="36">
        <f>COUNTIF(Tabla1[[#This Row],[VEHICULOS_ACCIDENTADOS]:[VEHICULOS_ACCIDENTADOS2]],"MICROBUS")</f>
        <v>0</v>
      </c>
      <c r="X191" s="36">
        <f>COUNTIF(Tabla1[[#This Row],[VEHICULOS_ACCIDENTADOS]:[VEHICULOS_ACCIDENTADOS2]],"BUS")</f>
        <v>0</v>
      </c>
      <c r="Y191" s="36">
        <f>COUNTIF(Tabla1[[#This Row],[VEHICULOS_ACCIDENTADOS]:[VEHICULOS_ACCIDENTADOS2]],"BUSETA")</f>
        <v>0</v>
      </c>
      <c r="Z191" s="36">
        <f>COUNTIF(Tabla1[[#This Row],[VEHICULOS_ACCIDENTADOS]:[VEHICULOS_ACCIDENTADOS2]],"CAMION")</f>
        <v>0</v>
      </c>
      <c r="AA191" s="36">
        <f>COUNTIF(Tabla1[[#This Row],[VEHICULOS_ACCIDENTADOS]:[VEHICULOS_ACCIDENTADOS2]],"TRACTOCAMION")</f>
        <v>0</v>
      </c>
      <c r="AB191" s="36">
        <f>COUNTIF(Tabla1[[#This Row],[VEHICULOS_ACCIDENTADOS]:[VEHICULOS_ACCIDENTADOS2]],"VOLQUETA")</f>
        <v>0</v>
      </c>
      <c r="AC191" s="36">
        <f>COUNTIF(Tabla1[[#This Row],[VEHICULOS_ACCIDENTADOS]:[VEHICULOS_ACCIDENTADOS2]],"BICICLETA")</f>
        <v>0</v>
      </c>
      <c r="AD191" s="36"/>
      <c r="AE191" s="36" t="s">
        <v>472</v>
      </c>
      <c r="AF191" s="36">
        <f>COUNTIF(Tabla1[[#This Row],[GENERO_MASCULINO]:[GENERO_FEMENINO]],"MASCULINO")</f>
        <v>0</v>
      </c>
      <c r="AG191" s="36">
        <f>COUNTIF(Tabla1[[#This Row],[GENERO_MASCULINO]:[GENERO_FEMENINO]],"FEMENINO")</f>
        <v>1</v>
      </c>
      <c r="AH191" s="79">
        <v>20</v>
      </c>
      <c r="AI191" s="79"/>
      <c r="AJ191" s="79"/>
      <c r="AK191" s="79"/>
      <c r="AL191" s="79">
        <v>19</v>
      </c>
      <c r="AM191" s="55"/>
      <c r="AN191" s="79">
        <v>112</v>
      </c>
      <c r="AO191" s="36" t="str">
        <f>IFERROR(((VLOOKUP(Tabla1[[#This Row],[HIPOTESIS_1]],listas!$D$1:$E$105,2,FALSE))),"SIN INFORMACIÓN")</f>
        <v>Desobedecer señales o normas de tránsito.</v>
      </c>
      <c r="AP191" s="55">
        <v>139</v>
      </c>
      <c r="AQ191" s="36" t="str">
        <f>IFERROR(((VLOOKUP(Tabla1[[#This Row],[HIPOTESIS_2]],listas!$D$1:$E$105,2,FALSE))),"")</f>
        <v>Impericia en el manejo.</v>
      </c>
      <c r="AR191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92" spans="1:44" x14ac:dyDescent="0.25">
      <c r="A192" s="12">
        <v>831</v>
      </c>
      <c r="B192" s="135">
        <v>0</v>
      </c>
      <c r="C192" s="136">
        <v>1</v>
      </c>
      <c r="D192" s="141">
        <v>0</v>
      </c>
      <c r="E192" s="18" t="str">
        <f t="shared" si="8"/>
        <v>LESIONADO</v>
      </c>
      <c r="F192" s="29" t="s">
        <v>93</v>
      </c>
      <c r="G192" s="17">
        <v>5.3117694444444439</v>
      </c>
      <c r="H192" s="17">
        <v>-72.398197222222223</v>
      </c>
      <c r="I192" s="93" t="s">
        <v>697</v>
      </c>
      <c r="J192" s="36" t="s">
        <v>717</v>
      </c>
      <c r="K192" s="24" t="str">
        <f t="shared" si="9"/>
        <v>2024</v>
      </c>
      <c r="L192" s="24" t="str">
        <f t="shared" si="10"/>
        <v>DICIEMBRE</v>
      </c>
      <c r="M192" s="224">
        <v>45636</v>
      </c>
      <c r="N192" s="24" t="str">
        <f t="shared" si="11"/>
        <v>MARTES</v>
      </c>
      <c r="O192" s="171">
        <v>0.76041666666666663</v>
      </c>
      <c r="P192" s="178" t="s">
        <v>469</v>
      </c>
      <c r="Q192" s="178" t="s">
        <v>439</v>
      </c>
      <c r="R192" s="36">
        <f>COUNTIF(Tabla1[[#This Row],[VEHICULOS_ACCIDENTADOS]:[VEHICULOS_ACCIDENTADOS2]],"MOTOCICLETA")</f>
        <v>1</v>
      </c>
      <c r="S192" s="36">
        <f>COUNTIF(Tabla1[[#This Row],[VEHICULOS_ACCIDENTADOS]:[VEHICULOS_ACCIDENTADOS2]],"MOTOCARRO")</f>
        <v>0</v>
      </c>
      <c r="T192" s="36">
        <f>COUNTIF(Tabla1[[#This Row],[VEHICULOS_ACCIDENTADOS]:[VEHICULOS_ACCIDENTADOS2]],"AUTOMOVIL")</f>
        <v>0</v>
      </c>
      <c r="U192" s="36">
        <f>COUNTIF(Tabla1[[#This Row],[VEHICULOS_ACCIDENTADOS]:[VEHICULOS_ACCIDENTADOS2]],"CAMPERO")</f>
        <v>0</v>
      </c>
      <c r="V192" s="36">
        <f>COUNTIF(Tabla1[[#This Row],[VEHICULOS_ACCIDENTADOS]:[VEHICULOS_ACCIDENTADOS2]],"CAMIONETA")</f>
        <v>0</v>
      </c>
      <c r="W192" s="36">
        <f>COUNTIF(Tabla1[[#This Row],[VEHICULOS_ACCIDENTADOS]:[VEHICULOS_ACCIDENTADOS2]],"MICROBUS")</f>
        <v>0</v>
      </c>
      <c r="X192" s="36">
        <f>COUNTIF(Tabla1[[#This Row],[VEHICULOS_ACCIDENTADOS]:[VEHICULOS_ACCIDENTADOS2]],"BUS")</f>
        <v>0</v>
      </c>
      <c r="Y192" s="36">
        <f>COUNTIF(Tabla1[[#This Row],[VEHICULOS_ACCIDENTADOS]:[VEHICULOS_ACCIDENTADOS2]],"BUSETA")</f>
        <v>0</v>
      </c>
      <c r="Z192" s="36">
        <f>COUNTIF(Tabla1[[#This Row],[VEHICULOS_ACCIDENTADOS]:[VEHICULOS_ACCIDENTADOS2]],"CAMION")</f>
        <v>0</v>
      </c>
      <c r="AA192" s="36">
        <f>COUNTIF(Tabla1[[#This Row],[VEHICULOS_ACCIDENTADOS]:[VEHICULOS_ACCIDENTADOS2]],"TRACTOCAMION")</f>
        <v>0</v>
      </c>
      <c r="AB192" s="36">
        <f>COUNTIF(Tabla1[[#This Row],[VEHICULOS_ACCIDENTADOS]:[VEHICULOS_ACCIDENTADOS2]],"VOLQUETA")</f>
        <v>1</v>
      </c>
      <c r="AC192" s="36">
        <f>COUNTIF(Tabla1[[#This Row],[VEHICULOS_ACCIDENTADOS]:[VEHICULOS_ACCIDENTADOS2]],"BICICLETA")</f>
        <v>0</v>
      </c>
      <c r="AD192" s="136" t="s">
        <v>471</v>
      </c>
      <c r="AE192" s="136"/>
      <c r="AF192" s="136">
        <f>COUNTIF(Tabla1[[#This Row],[GENERO_MASCULINO]:[GENERO_FEMENINO]],"MASCULINO")</f>
        <v>1</v>
      </c>
      <c r="AG192" s="36">
        <f>COUNTIF(Tabla1[[#This Row],[GENERO_MASCULINO]:[GENERO_FEMENINO]],"FEMENINO")</f>
        <v>0</v>
      </c>
      <c r="AH192" s="85">
        <v>31</v>
      </c>
      <c r="AI192" s="85">
        <v>15</v>
      </c>
      <c r="AJ192" s="85"/>
      <c r="AK192" s="85"/>
      <c r="AL192" s="85"/>
      <c r="AM192" s="136"/>
      <c r="AN192" s="85">
        <v>157</v>
      </c>
      <c r="AO192" s="36" t="str">
        <f>IFERROR(((VLOOKUP(Tabla1[[#This Row],[HIPOTESIS_1]],listas!$D$1:$E$105,2,FALSE))),"SIN INFORMACIÓN")</f>
        <v>Otra</v>
      </c>
      <c r="AP192" s="136">
        <v>139</v>
      </c>
      <c r="AQ192" s="36" t="str">
        <f>IFERROR(((VLOOKUP(Tabla1[[#This Row],[HIPOTESIS_2]],listas!$D$1:$E$105,2,FALSE))),"")</f>
        <v>Impericia en el manejo.</v>
      </c>
      <c r="AR192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93" spans="1:44" x14ac:dyDescent="0.25">
      <c r="A193" s="12">
        <v>322</v>
      </c>
      <c r="B193" s="36">
        <v>0</v>
      </c>
      <c r="C193" s="36">
        <v>1</v>
      </c>
      <c r="D193" s="36">
        <v>0</v>
      </c>
      <c r="E193" s="18" t="str">
        <f t="shared" si="8"/>
        <v>LESIONADO</v>
      </c>
      <c r="F193" s="29" t="s">
        <v>93</v>
      </c>
      <c r="G193" s="17">
        <v>5.3117694444444439</v>
      </c>
      <c r="H193" s="17">
        <v>-72.398197222222223</v>
      </c>
      <c r="I193" s="93" t="s">
        <v>697</v>
      </c>
      <c r="J193" s="36" t="s">
        <v>717</v>
      </c>
      <c r="K193" s="24" t="str">
        <f t="shared" si="9"/>
        <v>2022</v>
      </c>
      <c r="L193" s="24" t="str">
        <f t="shared" si="10"/>
        <v>OCTUBRE</v>
      </c>
      <c r="M193" s="225">
        <v>44836</v>
      </c>
      <c r="N193" s="24" t="str">
        <f t="shared" si="11"/>
        <v>DOMINGO</v>
      </c>
      <c r="O193" s="102">
        <v>0.5625</v>
      </c>
      <c r="P193" s="53" t="s">
        <v>469</v>
      </c>
      <c r="Q193" s="53" t="s">
        <v>447</v>
      </c>
      <c r="R193" s="36">
        <f>COUNTIF(Tabla1[[#This Row],[VEHICULOS_ACCIDENTADOS]:[VEHICULOS_ACCIDENTADOS2]],"MOTOCICLETA")</f>
        <v>1</v>
      </c>
      <c r="S193" s="36">
        <f>COUNTIF(Tabla1[[#This Row],[VEHICULOS_ACCIDENTADOS]:[VEHICULOS_ACCIDENTADOS2]],"MOTOCARRO")</f>
        <v>0</v>
      </c>
      <c r="T193" s="36">
        <f>COUNTIF(Tabla1[[#This Row],[VEHICULOS_ACCIDENTADOS]:[VEHICULOS_ACCIDENTADOS2]],"AUTOMOVIL")</f>
        <v>1</v>
      </c>
      <c r="U193" s="36">
        <f>COUNTIF(Tabla1[[#This Row],[VEHICULOS_ACCIDENTADOS]:[VEHICULOS_ACCIDENTADOS2]],"CAMPERO")</f>
        <v>0</v>
      </c>
      <c r="V193" s="36">
        <f>COUNTIF(Tabla1[[#This Row],[VEHICULOS_ACCIDENTADOS]:[VEHICULOS_ACCIDENTADOS2]],"CAMIONETA")</f>
        <v>0</v>
      </c>
      <c r="W193" s="36">
        <f>COUNTIF(Tabla1[[#This Row],[VEHICULOS_ACCIDENTADOS]:[VEHICULOS_ACCIDENTADOS2]],"MICROBUS")</f>
        <v>0</v>
      </c>
      <c r="X193" s="36">
        <f>COUNTIF(Tabla1[[#This Row],[VEHICULOS_ACCIDENTADOS]:[VEHICULOS_ACCIDENTADOS2]],"BUS")</f>
        <v>0</v>
      </c>
      <c r="Y193" s="36">
        <f>COUNTIF(Tabla1[[#This Row],[VEHICULOS_ACCIDENTADOS]:[VEHICULOS_ACCIDENTADOS2]],"BUSETA")</f>
        <v>0</v>
      </c>
      <c r="Z193" s="36">
        <f>COUNTIF(Tabla1[[#This Row],[VEHICULOS_ACCIDENTADOS]:[VEHICULOS_ACCIDENTADOS2]],"CAMION")</f>
        <v>0</v>
      </c>
      <c r="AA193" s="36">
        <f>COUNTIF(Tabla1[[#This Row],[VEHICULOS_ACCIDENTADOS]:[VEHICULOS_ACCIDENTADOS2]],"TRACTOCAMION")</f>
        <v>0</v>
      </c>
      <c r="AB193" s="36">
        <f>COUNTIF(Tabla1[[#This Row],[VEHICULOS_ACCIDENTADOS]:[VEHICULOS_ACCIDENTADOS2]],"VOLQUETA")</f>
        <v>0</v>
      </c>
      <c r="AC193" s="36">
        <f>COUNTIF(Tabla1[[#This Row],[VEHICULOS_ACCIDENTADOS]:[VEHICULOS_ACCIDENTADOS2]],"BICICLETA")</f>
        <v>0</v>
      </c>
      <c r="AD193" s="36" t="s">
        <v>471</v>
      </c>
      <c r="AE193" s="36"/>
      <c r="AF193" s="36">
        <f>COUNTIF(Tabla1[[#This Row],[GENERO_MASCULINO]:[GENERO_FEMENINO]],"MASCULINO")</f>
        <v>1</v>
      </c>
      <c r="AG193" s="36">
        <f>COUNTIF(Tabla1[[#This Row],[GENERO_MASCULINO]:[GENERO_FEMENINO]],"FEMENINO")</f>
        <v>0</v>
      </c>
      <c r="AH193" s="61">
        <v>22</v>
      </c>
      <c r="AI193" s="61"/>
      <c r="AJ193" s="81"/>
      <c r="AK193" s="61"/>
      <c r="AL193" s="61"/>
      <c r="AM193" s="36"/>
      <c r="AN193" s="61">
        <v>112</v>
      </c>
      <c r="AO193" s="36" t="str">
        <f>IFERROR(((VLOOKUP(Tabla1[[#This Row],[HIPOTESIS_1]],listas!$D$1:$E$105,2,FALSE))),"SIN INFORMACIÓN")</f>
        <v>Desobedecer señales o normas de tránsito.</v>
      </c>
      <c r="AP193" s="36">
        <v>139</v>
      </c>
      <c r="AQ193" s="36" t="str">
        <f>IFERROR(((VLOOKUP(Tabla1[[#This Row],[HIPOTESIS_2]],listas!$D$1:$E$105,2,FALSE))),"")</f>
        <v>Impericia en el manejo.</v>
      </c>
      <c r="AR193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94" spans="1:44" x14ac:dyDescent="0.25">
      <c r="A194" s="12">
        <v>694</v>
      </c>
      <c r="B194" s="135">
        <v>0</v>
      </c>
      <c r="C194" s="136">
        <v>1</v>
      </c>
      <c r="D194" s="136">
        <v>0</v>
      </c>
      <c r="E194" s="18" t="str">
        <f t="shared" ref="E194:E257" si="12">IF(D194&gt;=1,"FALLECIDO",IF(C194&gt;=1,"LESIONADO",IF(B194&gt;=1,"SOLO DAÑO","")))</f>
        <v>LESIONADO</v>
      </c>
      <c r="F194" s="29" t="s">
        <v>93</v>
      </c>
      <c r="G194" s="17">
        <v>5.3117694444444439</v>
      </c>
      <c r="H194" s="17">
        <v>-72.398197222222223</v>
      </c>
      <c r="I194" s="93" t="s">
        <v>697</v>
      </c>
      <c r="J194" s="136" t="s">
        <v>717</v>
      </c>
      <c r="K194" s="24" t="str">
        <f t="shared" ref="K194:K257" si="13">UPPER(TEXT(M194,"YYYY"))</f>
        <v>2024</v>
      </c>
      <c r="L194" s="24" t="str">
        <f t="shared" ref="L194:L257" si="14">UPPER(TEXT(M194,"MMMM"))</f>
        <v>ABRIL</v>
      </c>
      <c r="M194" s="224">
        <v>45397</v>
      </c>
      <c r="N194" s="24" t="str">
        <f t="shared" ref="N194:N257" si="15">UPPER(TEXT(M194,"DDDD"))</f>
        <v>LUNES</v>
      </c>
      <c r="O194" s="171">
        <v>0.73611111111111116</v>
      </c>
      <c r="P194" s="178" t="s">
        <v>469</v>
      </c>
      <c r="Q194" s="178" t="s">
        <v>447</v>
      </c>
      <c r="R194" s="36">
        <f>COUNTIF(Tabla1[[#This Row],[VEHICULOS_ACCIDENTADOS]:[VEHICULOS_ACCIDENTADOS2]],"MOTOCICLETA")</f>
        <v>1</v>
      </c>
      <c r="S194" s="36">
        <f>COUNTIF(Tabla1[[#This Row],[VEHICULOS_ACCIDENTADOS]:[VEHICULOS_ACCIDENTADOS2]],"MOTOCARRO")</f>
        <v>0</v>
      </c>
      <c r="T194" s="36">
        <f>COUNTIF(Tabla1[[#This Row],[VEHICULOS_ACCIDENTADOS]:[VEHICULOS_ACCIDENTADOS2]],"AUTOMOVIL")</f>
        <v>1</v>
      </c>
      <c r="U194" s="36">
        <f>COUNTIF(Tabla1[[#This Row],[VEHICULOS_ACCIDENTADOS]:[VEHICULOS_ACCIDENTADOS2]],"CAMPERO")</f>
        <v>0</v>
      </c>
      <c r="V194" s="36">
        <f>COUNTIF(Tabla1[[#This Row],[VEHICULOS_ACCIDENTADOS]:[VEHICULOS_ACCIDENTADOS2]],"CAMIONETA")</f>
        <v>0</v>
      </c>
      <c r="W194" s="36">
        <f>COUNTIF(Tabla1[[#This Row],[VEHICULOS_ACCIDENTADOS]:[VEHICULOS_ACCIDENTADOS2]],"MICROBUS")</f>
        <v>0</v>
      </c>
      <c r="X194" s="36">
        <f>COUNTIF(Tabla1[[#This Row],[VEHICULOS_ACCIDENTADOS]:[VEHICULOS_ACCIDENTADOS2]],"BUS")</f>
        <v>0</v>
      </c>
      <c r="Y194" s="36">
        <f>COUNTIF(Tabla1[[#This Row],[VEHICULOS_ACCIDENTADOS]:[VEHICULOS_ACCIDENTADOS2]],"BUSETA")</f>
        <v>0</v>
      </c>
      <c r="Z194" s="36">
        <f>COUNTIF(Tabla1[[#This Row],[VEHICULOS_ACCIDENTADOS]:[VEHICULOS_ACCIDENTADOS2]],"CAMION")</f>
        <v>0</v>
      </c>
      <c r="AA194" s="36">
        <f>COUNTIF(Tabla1[[#This Row],[VEHICULOS_ACCIDENTADOS]:[VEHICULOS_ACCIDENTADOS2]],"TRACTOCAMION")</f>
        <v>0</v>
      </c>
      <c r="AB194" s="36">
        <f>COUNTIF(Tabla1[[#This Row],[VEHICULOS_ACCIDENTADOS]:[VEHICULOS_ACCIDENTADOS2]],"VOLQUETA")</f>
        <v>0</v>
      </c>
      <c r="AC194" s="36">
        <f>COUNTIF(Tabla1[[#This Row],[VEHICULOS_ACCIDENTADOS]:[VEHICULOS_ACCIDENTADOS2]],"BICICLETA")</f>
        <v>0</v>
      </c>
      <c r="AD194" s="136" t="s">
        <v>471</v>
      </c>
      <c r="AE194" s="136" t="s">
        <v>472</v>
      </c>
      <c r="AF194" s="136">
        <f>COUNTIF(Tabla1[[#This Row],[GENERO_MASCULINO]:[GENERO_FEMENINO]],"MASCULINO")</f>
        <v>1</v>
      </c>
      <c r="AG194" s="36">
        <f>COUNTIF(Tabla1[[#This Row],[GENERO_MASCULINO]:[GENERO_FEMENINO]],"FEMENINO")</f>
        <v>1</v>
      </c>
      <c r="AH194" s="85">
        <v>48</v>
      </c>
      <c r="AI194" s="85">
        <v>19</v>
      </c>
      <c r="AJ194" s="85"/>
      <c r="AK194" s="85"/>
      <c r="AL194" s="85"/>
      <c r="AM194" s="136"/>
      <c r="AN194" s="85">
        <v>112</v>
      </c>
      <c r="AO194" s="36" t="str">
        <f>IFERROR(((VLOOKUP(Tabla1[[#This Row],[HIPOTESIS_1]],listas!$D$1:$E$105,2,FALSE))),"SIN INFORMACIÓN")</f>
        <v>Desobedecer señales o normas de tránsito.</v>
      </c>
      <c r="AP194" s="136">
        <v>139</v>
      </c>
      <c r="AQ194" s="36" t="str">
        <f>IFERROR(((VLOOKUP(Tabla1[[#This Row],[HIPOTESIS_2]],listas!$D$1:$E$105,2,FALSE))),"")</f>
        <v>Impericia en el manejo.</v>
      </c>
      <c r="AR194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95" spans="1:44" x14ac:dyDescent="0.25">
      <c r="A195" s="12">
        <v>837</v>
      </c>
      <c r="B195" s="135">
        <v>0</v>
      </c>
      <c r="C195" s="136">
        <v>3</v>
      </c>
      <c r="D195" s="141">
        <v>0</v>
      </c>
      <c r="E195" s="18" t="str">
        <f t="shared" si="12"/>
        <v>LESIONADO</v>
      </c>
      <c r="F195" s="29" t="s">
        <v>93</v>
      </c>
      <c r="G195" s="17">
        <v>5.3117694444444439</v>
      </c>
      <c r="H195" s="17">
        <v>-72.398197222222223</v>
      </c>
      <c r="I195" s="93" t="s">
        <v>697</v>
      </c>
      <c r="J195" s="36" t="s">
        <v>717</v>
      </c>
      <c r="K195" s="24" t="str">
        <f t="shared" si="13"/>
        <v>2024</v>
      </c>
      <c r="L195" s="24" t="str">
        <f t="shared" si="14"/>
        <v>DICIEMBRE</v>
      </c>
      <c r="M195" s="224">
        <v>45642</v>
      </c>
      <c r="N195" s="24" t="str">
        <f t="shared" si="15"/>
        <v>LUNES</v>
      </c>
      <c r="O195" s="171">
        <v>0.82986111111111116</v>
      </c>
      <c r="P195" s="178" t="s">
        <v>469</v>
      </c>
      <c r="Q195" s="178" t="s">
        <v>469</v>
      </c>
      <c r="R195" s="36">
        <f>COUNTIF(Tabla1[[#This Row],[VEHICULOS_ACCIDENTADOS]:[VEHICULOS_ACCIDENTADOS2]],"MOTOCICLETA")</f>
        <v>2</v>
      </c>
      <c r="S195" s="36">
        <f>COUNTIF(Tabla1[[#This Row],[VEHICULOS_ACCIDENTADOS]:[VEHICULOS_ACCIDENTADOS2]],"MOTOCARRO")</f>
        <v>0</v>
      </c>
      <c r="T195" s="36">
        <f>COUNTIF(Tabla1[[#This Row],[VEHICULOS_ACCIDENTADOS]:[VEHICULOS_ACCIDENTADOS2]],"AUTOMOVIL")</f>
        <v>0</v>
      </c>
      <c r="U195" s="36">
        <f>COUNTIF(Tabla1[[#This Row],[VEHICULOS_ACCIDENTADOS]:[VEHICULOS_ACCIDENTADOS2]],"CAMPERO")</f>
        <v>0</v>
      </c>
      <c r="V195" s="36">
        <f>COUNTIF(Tabla1[[#This Row],[VEHICULOS_ACCIDENTADOS]:[VEHICULOS_ACCIDENTADOS2]],"CAMIONETA")</f>
        <v>0</v>
      </c>
      <c r="W195" s="36">
        <f>COUNTIF(Tabla1[[#This Row],[VEHICULOS_ACCIDENTADOS]:[VEHICULOS_ACCIDENTADOS2]],"MICROBUS")</f>
        <v>0</v>
      </c>
      <c r="X195" s="36">
        <f>COUNTIF(Tabla1[[#This Row],[VEHICULOS_ACCIDENTADOS]:[VEHICULOS_ACCIDENTADOS2]],"BUS")</f>
        <v>0</v>
      </c>
      <c r="Y195" s="36">
        <f>COUNTIF(Tabla1[[#This Row],[VEHICULOS_ACCIDENTADOS]:[VEHICULOS_ACCIDENTADOS2]],"BUSETA")</f>
        <v>0</v>
      </c>
      <c r="Z195" s="36">
        <f>COUNTIF(Tabla1[[#This Row],[VEHICULOS_ACCIDENTADOS]:[VEHICULOS_ACCIDENTADOS2]],"CAMION")</f>
        <v>0</v>
      </c>
      <c r="AA195" s="36">
        <f>COUNTIF(Tabla1[[#This Row],[VEHICULOS_ACCIDENTADOS]:[VEHICULOS_ACCIDENTADOS2]],"TRACTOCAMION")</f>
        <v>0</v>
      </c>
      <c r="AB195" s="36">
        <f>COUNTIF(Tabla1[[#This Row],[VEHICULOS_ACCIDENTADOS]:[VEHICULOS_ACCIDENTADOS2]],"VOLQUETA")</f>
        <v>0</v>
      </c>
      <c r="AC195" s="36">
        <f>COUNTIF(Tabla1[[#This Row],[VEHICULOS_ACCIDENTADOS]:[VEHICULOS_ACCIDENTADOS2]],"BICICLETA")</f>
        <v>0</v>
      </c>
      <c r="AD195" s="136" t="s">
        <v>471</v>
      </c>
      <c r="AE195" s="136"/>
      <c r="AF195" s="136">
        <f>COUNTIF(Tabla1[[#This Row],[GENERO_MASCULINO]:[GENERO_FEMENINO]],"MASCULINO")</f>
        <v>1</v>
      </c>
      <c r="AG195" s="36">
        <f>COUNTIF(Tabla1[[#This Row],[GENERO_MASCULINO]:[GENERO_FEMENINO]],"FEMENINO")</f>
        <v>0</v>
      </c>
      <c r="AH195" s="85">
        <v>17</v>
      </c>
      <c r="AI195" s="85">
        <v>25</v>
      </c>
      <c r="AJ195" s="85">
        <v>13</v>
      </c>
      <c r="AK195" s="85"/>
      <c r="AL195" s="85"/>
      <c r="AM195" s="136"/>
      <c r="AN195" s="85">
        <v>111</v>
      </c>
      <c r="AO195" s="36" t="str">
        <f>IFERROR(((VLOOKUP(Tabla1[[#This Row],[HIPOTESIS_1]],listas!$D$1:$E$105,2,FALSE))),"SIN INFORMACIÓN")</f>
        <v>Dejar obstáculos en la vía.</v>
      </c>
      <c r="AP195" s="136">
        <v>139</v>
      </c>
      <c r="AQ195" s="36" t="str">
        <f>IFERROR(((VLOOKUP(Tabla1[[#This Row],[HIPOTESIS_2]],listas!$D$1:$E$105,2,FALSE))),"")</f>
        <v>Impericia en el manejo.</v>
      </c>
      <c r="AR195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96" spans="1:44" x14ac:dyDescent="0.25">
      <c r="A196" s="12">
        <v>934</v>
      </c>
      <c r="B196" s="135">
        <v>0</v>
      </c>
      <c r="C196" s="136">
        <v>1</v>
      </c>
      <c r="D196" s="136">
        <v>0</v>
      </c>
      <c r="E196" s="18" t="str">
        <f t="shared" si="12"/>
        <v>LESIONADO</v>
      </c>
      <c r="F196" s="26" t="s">
        <v>45</v>
      </c>
      <c r="G196" s="25">
        <v>5.3183444444444445</v>
      </c>
      <c r="H196" s="20">
        <v>-72.397016666666673</v>
      </c>
      <c r="I196" s="93" t="s">
        <v>697</v>
      </c>
      <c r="J196" s="136" t="s">
        <v>717</v>
      </c>
      <c r="K196" s="24" t="str">
        <f t="shared" si="13"/>
        <v>2025</v>
      </c>
      <c r="L196" s="24" t="str">
        <f t="shared" si="14"/>
        <v>ABRIL</v>
      </c>
      <c r="M196" s="224">
        <v>45758</v>
      </c>
      <c r="N196" s="24" t="str">
        <f t="shared" si="15"/>
        <v>VIERNES</v>
      </c>
      <c r="O196" s="171">
        <v>0.34722222222222227</v>
      </c>
      <c r="P196" s="136" t="s">
        <v>469</v>
      </c>
      <c r="Q196" s="136" t="s">
        <v>469</v>
      </c>
      <c r="R196" s="36">
        <f>COUNTIF(Tabla1[[#This Row],[VEHICULOS_ACCIDENTADOS]:[VEHICULOS_ACCIDENTADOS2]],"MOTOCICLETA")</f>
        <v>2</v>
      </c>
      <c r="S196" s="36">
        <f>COUNTIF(Tabla1[[#This Row],[VEHICULOS_ACCIDENTADOS]:[VEHICULOS_ACCIDENTADOS2]],"MOTOCARRO")</f>
        <v>0</v>
      </c>
      <c r="T196" s="36">
        <f>COUNTIF(Tabla1[[#This Row],[VEHICULOS_ACCIDENTADOS]:[VEHICULOS_ACCIDENTADOS2]],"AUTOMOVIL")</f>
        <v>0</v>
      </c>
      <c r="U196" s="36">
        <f>COUNTIF(Tabla1[[#This Row],[VEHICULOS_ACCIDENTADOS]:[VEHICULOS_ACCIDENTADOS2]],"CAMPERO")</f>
        <v>0</v>
      </c>
      <c r="V196" s="36">
        <f>COUNTIF(Tabla1[[#This Row],[VEHICULOS_ACCIDENTADOS]:[VEHICULOS_ACCIDENTADOS2]],"CAMIONETA")</f>
        <v>0</v>
      </c>
      <c r="W196" s="36">
        <f>COUNTIF(Tabla1[[#This Row],[VEHICULOS_ACCIDENTADOS]:[VEHICULOS_ACCIDENTADOS2]],"MICROBUS")</f>
        <v>0</v>
      </c>
      <c r="X196" s="36">
        <f>COUNTIF(Tabla1[[#This Row],[VEHICULOS_ACCIDENTADOS]:[VEHICULOS_ACCIDENTADOS2]],"BUS")</f>
        <v>0</v>
      </c>
      <c r="Y196" s="36">
        <f>COUNTIF(Tabla1[[#This Row],[VEHICULOS_ACCIDENTADOS]:[VEHICULOS_ACCIDENTADOS2]],"BUSETA")</f>
        <v>0</v>
      </c>
      <c r="Z196" s="36">
        <f>COUNTIF(Tabla1[[#This Row],[VEHICULOS_ACCIDENTADOS]:[VEHICULOS_ACCIDENTADOS2]],"CAMION")</f>
        <v>0</v>
      </c>
      <c r="AA196" s="36">
        <f>COUNTIF(Tabla1[[#This Row],[VEHICULOS_ACCIDENTADOS]:[VEHICULOS_ACCIDENTADOS2]],"TRACTOCAMION")</f>
        <v>0</v>
      </c>
      <c r="AB196" s="36">
        <f>COUNTIF(Tabla1[[#This Row],[VEHICULOS_ACCIDENTADOS]:[VEHICULOS_ACCIDENTADOS2]],"VOLQUETA")</f>
        <v>0</v>
      </c>
      <c r="AC196" s="36">
        <f>COUNTIF(Tabla1[[#This Row],[VEHICULOS_ACCIDENTADOS]:[VEHICULOS_ACCIDENTADOS2]],"BICICLETA")</f>
        <v>0</v>
      </c>
      <c r="AD196" s="136" t="s">
        <v>471</v>
      </c>
      <c r="AE196" s="136" t="s">
        <v>471</v>
      </c>
      <c r="AF196" s="136">
        <f>COUNTIF(Tabla1[[#This Row],[GENERO_MASCULINO]:[GENERO_FEMENINO]],"MASCULINO")</f>
        <v>2</v>
      </c>
      <c r="AG196" s="36">
        <f>COUNTIF(Tabla1[[#This Row],[GENERO_MASCULINO]:[GENERO_FEMENINO]],"FEMENINO")</f>
        <v>0</v>
      </c>
      <c r="AH196" s="85">
        <v>19</v>
      </c>
      <c r="AI196" s="85">
        <v>32</v>
      </c>
      <c r="AJ196" s="85"/>
      <c r="AK196" s="78"/>
      <c r="AL196" s="78"/>
      <c r="AM196" s="59"/>
      <c r="AN196" s="85">
        <v>127</v>
      </c>
      <c r="AO196" s="36" t="str">
        <f>IFERROR(((VLOOKUP(Tabla1[[#This Row],[HIPOTESIS_1]],listas!$D$1:$E$105,2,FALSE))),"SIN INFORMACIÓN")</f>
        <v>Transitar en contravía.</v>
      </c>
      <c r="AP196" s="36">
        <v>139</v>
      </c>
      <c r="AQ196" s="36" t="str">
        <f>IFERROR(((VLOOKUP(Tabla1[[#This Row],[HIPOTESIS_2]],listas!$D$1:$E$105,2,FALSE))),"")</f>
        <v>Impericia en el manejo.</v>
      </c>
      <c r="AR196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97" spans="1:44" x14ac:dyDescent="0.25">
      <c r="A197" s="12">
        <v>398</v>
      </c>
      <c r="B197" s="36">
        <v>1</v>
      </c>
      <c r="C197" s="36">
        <v>0</v>
      </c>
      <c r="D197" s="36">
        <v>0</v>
      </c>
      <c r="E197" s="18" t="str">
        <f t="shared" si="12"/>
        <v>SOLO DAÑO</v>
      </c>
      <c r="F197" s="29" t="s">
        <v>1050</v>
      </c>
      <c r="G197" s="21">
        <v>5.333882222222222</v>
      </c>
      <c r="H197" s="21">
        <v>-72.399435833333342</v>
      </c>
      <c r="I197" s="93" t="s">
        <v>697</v>
      </c>
      <c r="J197" s="36" t="s">
        <v>717</v>
      </c>
      <c r="K197" s="24" t="str">
        <f t="shared" si="13"/>
        <v>2023</v>
      </c>
      <c r="L197" s="24" t="str">
        <f t="shared" si="14"/>
        <v>ENERO</v>
      </c>
      <c r="M197" s="225">
        <v>44952</v>
      </c>
      <c r="N197" s="24" t="str">
        <f t="shared" si="15"/>
        <v>JUEVES</v>
      </c>
      <c r="O197" s="101">
        <v>0.92013888888888895</v>
      </c>
      <c r="P197" s="57" t="s">
        <v>447</v>
      </c>
      <c r="Q197" s="57" t="s">
        <v>447</v>
      </c>
      <c r="R197" s="36">
        <f>COUNTIF(Tabla1[[#This Row],[VEHICULOS_ACCIDENTADOS]:[VEHICULOS_ACCIDENTADOS2]],"MOTOCICLETA")</f>
        <v>0</v>
      </c>
      <c r="S197" s="36">
        <f>COUNTIF(Tabla1[[#This Row],[VEHICULOS_ACCIDENTADOS]:[VEHICULOS_ACCIDENTADOS2]],"MOTOCARRO")</f>
        <v>0</v>
      </c>
      <c r="T197" s="36">
        <f>COUNTIF(Tabla1[[#This Row],[VEHICULOS_ACCIDENTADOS]:[VEHICULOS_ACCIDENTADOS2]],"AUTOMOVIL")</f>
        <v>2</v>
      </c>
      <c r="U197" s="36">
        <f>COUNTIF(Tabla1[[#This Row],[VEHICULOS_ACCIDENTADOS]:[VEHICULOS_ACCIDENTADOS2]],"CAMPERO")</f>
        <v>0</v>
      </c>
      <c r="V197" s="36">
        <f>COUNTIF(Tabla1[[#This Row],[VEHICULOS_ACCIDENTADOS]:[VEHICULOS_ACCIDENTADOS2]],"CAMIONETA")</f>
        <v>0</v>
      </c>
      <c r="W197" s="36">
        <f>COUNTIF(Tabla1[[#This Row],[VEHICULOS_ACCIDENTADOS]:[VEHICULOS_ACCIDENTADOS2]],"MICROBUS")</f>
        <v>0</v>
      </c>
      <c r="X197" s="36">
        <f>COUNTIF(Tabla1[[#This Row],[VEHICULOS_ACCIDENTADOS]:[VEHICULOS_ACCIDENTADOS2]],"BUS")</f>
        <v>0</v>
      </c>
      <c r="Y197" s="36">
        <f>COUNTIF(Tabla1[[#This Row],[VEHICULOS_ACCIDENTADOS]:[VEHICULOS_ACCIDENTADOS2]],"BUSETA")</f>
        <v>0</v>
      </c>
      <c r="Z197" s="36">
        <f>COUNTIF(Tabla1[[#This Row],[VEHICULOS_ACCIDENTADOS]:[VEHICULOS_ACCIDENTADOS2]],"CAMION")</f>
        <v>0</v>
      </c>
      <c r="AA197" s="36">
        <f>COUNTIF(Tabla1[[#This Row],[VEHICULOS_ACCIDENTADOS]:[VEHICULOS_ACCIDENTADOS2]],"TRACTOCAMION")</f>
        <v>0</v>
      </c>
      <c r="AB197" s="36">
        <f>COUNTIF(Tabla1[[#This Row],[VEHICULOS_ACCIDENTADOS]:[VEHICULOS_ACCIDENTADOS2]],"VOLQUETA")</f>
        <v>0</v>
      </c>
      <c r="AC197" s="36">
        <f>COUNTIF(Tabla1[[#This Row],[VEHICULOS_ACCIDENTADOS]:[VEHICULOS_ACCIDENTADOS2]],"BICICLETA")</f>
        <v>0</v>
      </c>
      <c r="AD197" s="36" t="s">
        <v>471</v>
      </c>
      <c r="AE197" s="36" t="s">
        <v>472</v>
      </c>
      <c r="AF197" s="36">
        <f>COUNTIF(Tabla1[[#This Row],[GENERO_MASCULINO]:[GENERO_FEMENINO]],"MASCULINO")</f>
        <v>1</v>
      </c>
      <c r="AG197" s="36">
        <f>COUNTIF(Tabla1[[#This Row],[GENERO_MASCULINO]:[GENERO_FEMENINO]],"FEMENINO")</f>
        <v>1</v>
      </c>
      <c r="AH197" s="61">
        <v>21</v>
      </c>
      <c r="AI197" s="61"/>
      <c r="AJ197" s="61"/>
      <c r="AK197" s="61"/>
      <c r="AL197" s="61"/>
      <c r="AM197" s="36"/>
      <c r="AN197" s="61">
        <v>115</v>
      </c>
      <c r="AO197" s="36" t="str">
        <f>IFERROR(((VLOOKUP(Tabla1[[#This Row],[HIPOTESIS_1]],listas!$D$1:$E$105,2,FALSE))),"SIN INFORMACIÓN")</f>
        <v>Embriaguez o Sustancias alucinogenas</v>
      </c>
      <c r="AP197" s="36">
        <v>139</v>
      </c>
      <c r="AQ197" s="36" t="str">
        <f>IFERROR(((VLOOKUP(Tabla1[[#This Row],[HIPOTESIS_2]],listas!$D$1:$E$105,2,FALSE))),"")</f>
        <v>Impericia en el manejo.</v>
      </c>
      <c r="AR197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98" spans="1:44" x14ac:dyDescent="0.25">
      <c r="A198" s="12">
        <v>281</v>
      </c>
      <c r="B198" s="36">
        <v>0</v>
      </c>
      <c r="C198" s="36">
        <v>1</v>
      </c>
      <c r="D198" s="36">
        <v>0</v>
      </c>
      <c r="E198" s="18" t="str">
        <f t="shared" si="12"/>
        <v>LESIONADO</v>
      </c>
      <c r="F198" s="29" t="s">
        <v>1053</v>
      </c>
      <c r="G198" s="17">
        <v>5.3440349999999999</v>
      </c>
      <c r="H198" s="17">
        <v>-72.397409999999994</v>
      </c>
      <c r="I198" s="93" t="s">
        <v>697</v>
      </c>
      <c r="J198" s="36" t="s">
        <v>717</v>
      </c>
      <c r="K198" s="24" t="str">
        <f t="shared" si="13"/>
        <v>2022</v>
      </c>
      <c r="L198" s="24" t="str">
        <f t="shared" si="14"/>
        <v>AGOSTO</v>
      </c>
      <c r="M198" s="225">
        <v>44790</v>
      </c>
      <c r="N198" s="24" t="str">
        <f t="shared" si="15"/>
        <v>MIÉRCOLES</v>
      </c>
      <c r="O198" s="102">
        <v>0.34375</v>
      </c>
      <c r="P198" s="53" t="s">
        <v>469</v>
      </c>
      <c r="Q198" s="53" t="s">
        <v>446</v>
      </c>
      <c r="R198" s="36">
        <f>COUNTIF(Tabla1[[#This Row],[VEHICULOS_ACCIDENTADOS]:[VEHICULOS_ACCIDENTADOS2]],"MOTOCICLETA")</f>
        <v>1</v>
      </c>
      <c r="S198" s="36">
        <f>COUNTIF(Tabla1[[#This Row],[VEHICULOS_ACCIDENTADOS]:[VEHICULOS_ACCIDENTADOS2]],"MOTOCARRO")</f>
        <v>0</v>
      </c>
      <c r="T198" s="36">
        <f>COUNTIF(Tabla1[[#This Row],[VEHICULOS_ACCIDENTADOS]:[VEHICULOS_ACCIDENTADOS2]],"AUTOMOVIL")</f>
        <v>0</v>
      </c>
      <c r="U198" s="36">
        <f>COUNTIF(Tabla1[[#This Row],[VEHICULOS_ACCIDENTADOS]:[VEHICULOS_ACCIDENTADOS2]],"CAMPERO")</f>
        <v>1</v>
      </c>
      <c r="V198" s="36">
        <f>COUNTIF(Tabla1[[#This Row],[VEHICULOS_ACCIDENTADOS]:[VEHICULOS_ACCIDENTADOS2]],"CAMIONETA")</f>
        <v>0</v>
      </c>
      <c r="W198" s="36">
        <f>COUNTIF(Tabla1[[#This Row],[VEHICULOS_ACCIDENTADOS]:[VEHICULOS_ACCIDENTADOS2]],"MICROBUS")</f>
        <v>0</v>
      </c>
      <c r="X198" s="36">
        <f>COUNTIF(Tabla1[[#This Row],[VEHICULOS_ACCIDENTADOS]:[VEHICULOS_ACCIDENTADOS2]],"BUS")</f>
        <v>0</v>
      </c>
      <c r="Y198" s="36">
        <f>COUNTIF(Tabla1[[#This Row],[VEHICULOS_ACCIDENTADOS]:[VEHICULOS_ACCIDENTADOS2]],"BUSETA")</f>
        <v>0</v>
      </c>
      <c r="Z198" s="36">
        <f>COUNTIF(Tabla1[[#This Row],[VEHICULOS_ACCIDENTADOS]:[VEHICULOS_ACCIDENTADOS2]],"CAMION")</f>
        <v>0</v>
      </c>
      <c r="AA198" s="36">
        <f>COUNTIF(Tabla1[[#This Row],[VEHICULOS_ACCIDENTADOS]:[VEHICULOS_ACCIDENTADOS2]],"TRACTOCAMION")</f>
        <v>0</v>
      </c>
      <c r="AB198" s="36">
        <f>COUNTIF(Tabla1[[#This Row],[VEHICULOS_ACCIDENTADOS]:[VEHICULOS_ACCIDENTADOS2]],"VOLQUETA")</f>
        <v>0</v>
      </c>
      <c r="AC198" s="36">
        <f>COUNTIF(Tabla1[[#This Row],[VEHICULOS_ACCIDENTADOS]:[VEHICULOS_ACCIDENTADOS2]],"BICICLETA")</f>
        <v>0</v>
      </c>
      <c r="AD198" s="36" t="s">
        <v>471</v>
      </c>
      <c r="AE198" s="36"/>
      <c r="AF198" s="36">
        <f>COUNTIF(Tabla1[[#This Row],[GENERO_MASCULINO]:[GENERO_FEMENINO]],"MASCULINO")</f>
        <v>1</v>
      </c>
      <c r="AG198" s="36">
        <f>COUNTIF(Tabla1[[#This Row],[GENERO_MASCULINO]:[GENERO_FEMENINO]],"FEMENINO")</f>
        <v>0</v>
      </c>
      <c r="AH198" s="61">
        <v>38</v>
      </c>
      <c r="AI198" s="61"/>
      <c r="AJ198" s="61"/>
      <c r="AK198" s="61"/>
      <c r="AL198" s="61"/>
      <c r="AM198" s="36"/>
      <c r="AN198" s="61">
        <v>112</v>
      </c>
      <c r="AO198" s="36" t="str">
        <f>IFERROR(((VLOOKUP(Tabla1[[#This Row],[HIPOTESIS_1]],listas!$D$1:$E$105,2,FALSE))),"SIN INFORMACIÓN")</f>
        <v>Desobedecer señales o normas de tránsito.</v>
      </c>
      <c r="AP198" s="36">
        <v>139</v>
      </c>
      <c r="AQ198" s="36" t="str">
        <f>IFERROR(((VLOOKUP(Tabla1[[#This Row],[HIPOTESIS_2]],listas!$D$1:$E$105,2,FALSE))),"")</f>
        <v>Impericia en el manejo.</v>
      </c>
      <c r="AR198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99" spans="1:44" x14ac:dyDescent="0.25">
      <c r="A199" s="12">
        <v>898</v>
      </c>
      <c r="B199" s="135">
        <v>0</v>
      </c>
      <c r="C199" s="136">
        <v>2</v>
      </c>
      <c r="D199" s="136">
        <v>0</v>
      </c>
      <c r="E199" s="18" t="str">
        <f t="shared" si="12"/>
        <v>LESIONADO</v>
      </c>
      <c r="F199" s="26" t="s">
        <v>1056</v>
      </c>
      <c r="G199" s="17">
        <v>5.3187705555555551</v>
      </c>
      <c r="H199" s="17">
        <v>-72.395789722222233</v>
      </c>
      <c r="I199" s="93" t="s">
        <v>697</v>
      </c>
      <c r="J199" s="167" t="s">
        <v>717</v>
      </c>
      <c r="K199" s="24" t="str">
        <f t="shared" si="13"/>
        <v>2025</v>
      </c>
      <c r="L199" s="24" t="str">
        <f t="shared" si="14"/>
        <v>MARZO</v>
      </c>
      <c r="M199" s="224">
        <v>45723</v>
      </c>
      <c r="N199" s="24" t="str">
        <f t="shared" si="15"/>
        <v>VIERNES</v>
      </c>
      <c r="O199" s="171">
        <v>0.52083333333333337</v>
      </c>
      <c r="P199" s="178" t="s">
        <v>447</v>
      </c>
      <c r="Q199" s="178" t="s">
        <v>469</v>
      </c>
      <c r="R199" s="36">
        <f>COUNTIF(Tabla1[[#This Row],[VEHICULOS_ACCIDENTADOS]:[VEHICULOS_ACCIDENTADOS2]],"MOTOCICLETA")</f>
        <v>1</v>
      </c>
      <c r="S199" s="36">
        <f>COUNTIF(Tabla1[[#This Row],[VEHICULOS_ACCIDENTADOS]:[VEHICULOS_ACCIDENTADOS2]],"MOTOCARRO")</f>
        <v>0</v>
      </c>
      <c r="T199" s="36">
        <f>COUNTIF(Tabla1[[#This Row],[VEHICULOS_ACCIDENTADOS]:[VEHICULOS_ACCIDENTADOS2]],"AUTOMOVIL")</f>
        <v>1</v>
      </c>
      <c r="U199" s="36">
        <f>COUNTIF(Tabla1[[#This Row],[VEHICULOS_ACCIDENTADOS]:[VEHICULOS_ACCIDENTADOS2]],"CAMPERO")</f>
        <v>0</v>
      </c>
      <c r="V199" s="36">
        <f>COUNTIF(Tabla1[[#This Row],[VEHICULOS_ACCIDENTADOS]:[VEHICULOS_ACCIDENTADOS2]],"CAMIONETA")</f>
        <v>0</v>
      </c>
      <c r="W199" s="36">
        <f>COUNTIF(Tabla1[[#This Row],[VEHICULOS_ACCIDENTADOS]:[VEHICULOS_ACCIDENTADOS2]],"MICROBUS")</f>
        <v>0</v>
      </c>
      <c r="X199" s="36">
        <f>COUNTIF(Tabla1[[#This Row],[VEHICULOS_ACCIDENTADOS]:[VEHICULOS_ACCIDENTADOS2]],"BUS")</f>
        <v>0</v>
      </c>
      <c r="Y199" s="36">
        <f>COUNTIF(Tabla1[[#This Row],[VEHICULOS_ACCIDENTADOS]:[VEHICULOS_ACCIDENTADOS2]],"BUSETA")</f>
        <v>0</v>
      </c>
      <c r="Z199" s="36">
        <f>COUNTIF(Tabla1[[#This Row],[VEHICULOS_ACCIDENTADOS]:[VEHICULOS_ACCIDENTADOS2]],"CAMION")</f>
        <v>0</v>
      </c>
      <c r="AA199" s="36">
        <f>COUNTIF(Tabla1[[#This Row],[VEHICULOS_ACCIDENTADOS]:[VEHICULOS_ACCIDENTADOS2]],"TRACTOCAMION")</f>
        <v>0</v>
      </c>
      <c r="AB199" s="36">
        <f>COUNTIF(Tabla1[[#This Row],[VEHICULOS_ACCIDENTADOS]:[VEHICULOS_ACCIDENTADOS2]],"VOLQUETA")</f>
        <v>0</v>
      </c>
      <c r="AC199" s="36">
        <f>COUNTIF(Tabla1[[#This Row],[VEHICULOS_ACCIDENTADOS]:[VEHICULOS_ACCIDENTADOS2]],"BICICLETA")</f>
        <v>0</v>
      </c>
      <c r="AD199" s="136" t="s">
        <v>471</v>
      </c>
      <c r="AE199" s="136" t="s">
        <v>472</v>
      </c>
      <c r="AF199" s="136">
        <f>COUNTIF(Tabla1[[#This Row],[GENERO_MASCULINO]:[GENERO_FEMENINO]],"MASCULINO")</f>
        <v>1</v>
      </c>
      <c r="AG199" s="36">
        <f>COUNTIF(Tabla1[[#This Row],[GENERO_MASCULINO]:[GENERO_FEMENINO]],"FEMENINO")</f>
        <v>1</v>
      </c>
      <c r="AH199" s="85">
        <v>53</v>
      </c>
      <c r="AI199" s="85">
        <v>28</v>
      </c>
      <c r="AJ199" s="85">
        <v>40</v>
      </c>
      <c r="AK199" s="85"/>
      <c r="AL199" s="85"/>
      <c r="AM199" s="136"/>
      <c r="AN199" s="85">
        <v>147</v>
      </c>
      <c r="AO199" s="36" t="str">
        <f>IFERROR(((VLOOKUP(Tabla1[[#This Row],[HIPOTESIS_1]],listas!$D$1:$E$105,2,FALSE))),"SIN INFORMACIÓN")</f>
        <v>Conducir vehículo sin adaptaciones.</v>
      </c>
      <c r="AP199" s="136">
        <v>139</v>
      </c>
      <c r="AQ199" s="36" t="str">
        <f>IFERROR(((VLOOKUP(Tabla1[[#This Row],[HIPOTESIS_2]],listas!$D$1:$E$105,2,FALSE))),"")</f>
        <v>Impericia en el manejo.</v>
      </c>
      <c r="AR199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200" spans="1:44" x14ac:dyDescent="0.25">
      <c r="A200" s="12">
        <v>910</v>
      </c>
      <c r="B200" s="135">
        <v>0</v>
      </c>
      <c r="C200" s="36">
        <v>1</v>
      </c>
      <c r="D200" s="136">
        <v>0</v>
      </c>
      <c r="E200" s="18" t="str">
        <f t="shared" si="12"/>
        <v>LESIONADO</v>
      </c>
      <c r="F200" s="29" t="s">
        <v>1056</v>
      </c>
      <c r="G200" s="17">
        <v>5.3187705555555551</v>
      </c>
      <c r="H200" s="17">
        <v>-72.395789722222233</v>
      </c>
      <c r="I200" s="93" t="s">
        <v>697</v>
      </c>
      <c r="J200" s="168" t="s">
        <v>717</v>
      </c>
      <c r="K200" s="24" t="str">
        <f t="shared" si="13"/>
        <v>2025</v>
      </c>
      <c r="L200" s="24" t="str">
        <f t="shared" si="14"/>
        <v>MARZO</v>
      </c>
      <c r="M200" s="225">
        <v>45740</v>
      </c>
      <c r="N200" s="24" t="str">
        <f t="shared" si="15"/>
        <v>LUNES</v>
      </c>
      <c r="O200" s="101">
        <v>0.80347222222222225</v>
      </c>
      <c r="P200" s="57" t="s">
        <v>447</v>
      </c>
      <c r="Q200" s="57" t="s">
        <v>469</v>
      </c>
      <c r="R200" s="36">
        <f>COUNTIF(Tabla1[[#This Row],[VEHICULOS_ACCIDENTADOS]:[VEHICULOS_ACCIDENTADOS2]],"MOTOCICLETA")</f>
        <v>1</v>
      </c>
      <c r="S200" s="36">
        <f>COUNTIF(Tabla1[[#This Row],[VEHICULOS_ACCIDENTADOS]:[VEHICULOS_ACCIDENTADOS2]],"MOTOCARRO")</f>
        <v>0</v>
      </c>
      <c r="T200" s="36">
        <f>COUNTIF(Tabla1[[#This Row],[VEHICULOS_ACCIDENTADOS]:[VEHICULOS_ACCIDENTADOS2]],"AUTOMOVIL")</f>
        <v>1</v>
      </c>
      <c r="U200" s="36">
        <f>COUNTIF(Tabla1[[#This Row],[VEHICULOS_ACCIDENTADOS]:[VEHICULOS_ACCIDENTADOS2]],"CAMPERO")</f>
        <v>0</v>
      </c>
      <c r="V200" s="36">
        <f>COUNTIF(Tabla1[[#This Row],[VEHICULOS_ACCIDENTADOS]:[VEHICULOS_ACCIDENTADOS2]],"CAMIONETA")</f>
        <v>0</v>
      </c>
      <c r="W200" s="36">
        <f>COUNTIF(Tabla1[[#This Row],[VEHICULOS_ACCIDENTADOS]:[VEHICULOS_ACCIDENTADOS2]],"MICROBUS")</f>
        <v>0</v>
      </c>
      <c r="X200" s="36">
        <f>COUNTIF(Tabla1[[#This Row],[VEHICULOS_ACCIDENTADOS]:[VEHICULOS_ACCIDENTADOS2]],"BUS")</f>
        <v>0</v>
      </c>
      <c r="Y200" s="36">
        <f>COUNTIF(Tabla1[[#This Row],[VEHICULOS_ACCIDENTADOS]:[VEHICULOS_ACCIDENTADOS2]],"BUSETA")</f>
        <v>0</v>
      </c>
      <c r="Z200" s="36">
        <f>COUNTIF(Tabla1[[#This Row],[VEHICULOS_ACCIDENTADOS]:[VEHICULOS_ACCIDENTADOS2]],"CAMION")</f>
        <v>0</v>
      </c>
      <c r="AA200" s="36">
        <f>COUNTIF(Tabla1[[#This Row],[VEHICULOS_ACCIDENTADOS]:[VEHICULOS_ACCIDENTADOS2]],"TRACTOCAMION")</f>
        <v>0</v>
      </c>
      <c r="AB200" s="36">
        <f>COUNTIF(Tabla1[[#This Row],[VEHICULOS_ACCIDENTADOS]:[VEHICULOS_ACCIDENTADOS2]],"VOLQUETA")</f>
        <v>0</v>
      </c>
      <c r="AC200" s="36">
        <f>COUNTIF(Tabla1[[#This Row],[VEHICULOS_ACCIDENTADOS]:[VEHICULOS_ACCIDENTADOS2]],"BICICLETA")</f>
        <v>0</v>
      </c>
      <c r="AD200" s="36" t="s">
        <v>471</v>
      </c>
      <c r="AE200" s="36" t="s">
        <v>471</v>
      </c>
      <c r="AF200" s="36">
        <f>COUNTIF(Tabla1[[#This Row],[GENERO_MASCULINO]:[GENERO_FEMENINO]],"MASCULINO")</f>
        <v>2</v>
      </c>
      <c r="AG200" s="36">
        <f>COUNTIF(Tabla1[[#This Row],[GENERO_MASCULINO]:[GENERO_FEMENINO]],"FEMENINO")</f>
        <v>0</v>
      </c>
      <c r="AH200" s="85">
        <v>60</v>
      </c>
      <c r="AI200" s="85">
        <v>23</v>
      </c>
      <c r="AJ200" s="85"/>
      <c r="AK200" s="61"/>
      <c r="AL200" s="61"/>
      <c r="AM200" s="36"/>
      <c r="AN200" s="61">
        <v>112</v>
      </c>
      <c r="AO200" s="36" t="str">
        <f>IFERROR(((VLOOKUP(Tabla1[[#This Row],[HIPOTESIS_1]],listas!$D$1:$E$105,2,FALSE))),"SIN INFORMACIÓN")</f>
        <v>Desobedecer señales o normas de tránsito.</v>
      </c>
      <c r="AP200" s="36">
        <v>139</v>
      </c>
      <c r="AQ200" s="36" t="str">
        <f>IFERROR(((VLOOKUP(Tabla1[[#This Row],[HIPOTESIS_2]],listas!$D$1:$E$105,2,FALSE))),"")</f>
        <v>Impericia en el manejo.</v>
      </c>
      <c r="AR200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201" spans="1:44" x14ac:dyDescent="0.25">
      <c r="A201" s="12">
        <v>611</v>
      </c>
      <c r="B201" s="36">
        <v>0</v>
      </c>
      <c r="C201" s="36">
        <v>0</v>
      </c>
      <c r="D201" s="36">
        <v>1</v>
      </c>
      <c r="E201" s="18" t="str">
        <f t="shared" si="12"/>
        <v>FALLECIDO</v>
      </c>
      <c r="F201" s="29" t="s">
        <v>180</v>
      </c>
      <c r="G201" s="21">
        <v>5.3316944444444445</v>
      </c>
      <c r="H201" s="21">
        <v>-72.398930555555566</v>
      </c>
      <c r="I201" s="93" t="s">
        <v>697</v>
      </c>
      <c r="J201" s="36" t="s">
        <v>717</v>
      </c>
      <c r="K201" s="24" t="str">
        <f t="shared" si="13"/>
        <v>2023</v>
      </c>
      <c r="L201" s="24" t="str">
        <f t="shared" si="14"/>
        <v>NOVIEMBRE</v>
      </c>
      <c r="M201" s="225">
        <v>45249</v>
      </c>
      <c r="N201" s="24" t="str">
        <f t="shared" si="15"/>
        <v>DOMINGO</v>
      </c>
      <c r="O201" s="101">
        <v>5.2083333333333336E-2</v>
      </c>
      <c r="P201" s="57" t="s">
        <v>469</v>
      </c>
      <c r="Q201" s="57"/>
      <c r="R201" s="36">
        <f>COUNTIF(Tabla1[[#This Row],[VEHICULOS_ACCIDENTADOS]:[VEHICULOS_ACCIDENTADOS2]],"MOTOCICLETA")</f>
        <v>1</v>
      </c>
      <c r="S201" s="36">
        <f>COUNTIF(Tabla1[[#This Row],[VEHICULOS_ACCIDENTADOS]:[VEHICULOS_ACCIDENTADOS2]],"MOTOCARRO")</f>
        <v>0</v>
      </c>
      <c r="T201" s="36">
        <f>COUNTIF(Tabla1[[#This Row],[VEHICULOS_ACCIDENTADOS]:[VEHICULOS_ACCIDENTADOS2]],"AUTOMOVIL")</f>
        <v>0</v>
      </c>
      <c r="U201" s="36">
        <f>COUNTIF(Tabla1[[#This Row],[VEHICULOS_ACCIDENTADOS]:[VEHICULOS_ACCIDENTADOS2]],"CAMPERO")</f>
        <v>0</v>
      </c>
      <c r="V201" s="36">
        <f>COUNTIF(Tabla1[[#This Row],[VEHICULOS_ACCIDENTADOS]:[VEHICULOS_ACCIDENTADOS2]],"CAMIONETA")</f>
        <v>0</v>
      </c>
      <c r="W201" s="36">
        <f>COUNTIF(Tabla1[[#This Row],[VEHICULOS_ACCIDENTADOS]:[VEHICULOS_ACCIDENTADOS2]],"MICROBUS")</f>
        <v>0</v>
      </c>
      <c r="X201" s="36">
        <f>COUNTIF(Tabla1[[#This Row],[VEHICULOS_ACCIDENTADOS]:[VEHICULOS_ACCIDENTADOS2]],"BUS")</f>
        <v>0</v>
      </c>
      <c r="Y201" s="36">
        <f>COUNTIF(Tabla1[[#This Row],[VEHICULOS_ACCIDENTADOS]:[VEHICULOS_ACCIDENTADOS2]],"BUSETA")</f>
        <v>0</v>
      </c>
      <c r="Z201" s="36">
        <f>COUNTIF(Tabla1[[#This Row],[VEHICULOS_ACCIDENTADOS]:[VEHICULOS_ACCIDENTADOS2]],"CAMION")</f>
        <v>0</v>
      </c>
      <c r="AA201" s="36">
        <f>COUNTIF(Tabla1[[#This Row],[VEHICULOS_ACCIDENTADOS]:[VEHICULOS_ACCIDENTADOS2]],"TRACTOCAMION")</f>
        <v>0</v>
      </c>
      <c r="AB201" s="36">
        <f>COUNTIF(Tabla1[[#This Row],[VEHICULOS_ACCIDENTADOS]:[VEHICULOS_ACCIDENTADOS2]],"VOLQUETA")</f>
        <v>0</v>
      </c>
      <c r="AC201" s="36">
        <f>COUNTIF(Tabla1[[#This Row],[VEHICULOS_ACCIDENTADOS]:[VEHICULOS_ACCIDENTADOS2]],"BICICLETA")</f>
        <v>0</v>
      </c>
      <c r="AD201" s="36" t="s">
        <v>471</v>
      </c>
      <c r="AE201" s="36" t="s">
        <v>472</v>
      </c>
      <c r="AF201" s="36">
        <f>COUNTIF(Tabla1[[#This Row],[GENERO_MASCULINO]:[GENERO_FEMENINO]],"MASCULINO")</f>
        <v>1</v>
      </c>
      <c r="AG201" s="36">
        <f>COUNTIF(Tabla1[[#This Row],[GENERO_MASCULINO]:[GENERO_FEMENINO]],"FEMENINO")</f>
        <v>1</v>
      </c>
      <c r="AH201" s="61"/>
      <c r="AI201" s="61"/>
      <c r="AJ201" s="61"/>
      <c r="AK201" s="61"/>
      <c r="AL201" s="61"/>
      <c r="AM201" s="36">
        <v>25</v>
      </c>
      <c r="AN201" s="61">
        <v>114</v>
      </c>
      <c r="AO201" s="36" t="str">
        <f>IFERROR(((VLOOKUP(Tabla1[[#This Row],[HIPOTESIS_1]],listas!$D$1:$E$105,2,FALSE))),"SIN INFORMACIÓN")</f>
        <v>Embriaguez aparente.</v>
      </c>
      <c r="AP201" s="36">
        <v>139</v>
      </c>
      <c r="AQ201" s="36" t="str">
        <f>IFERROR(((VLOOKUP(Tabla1[[#This Row],[HIPOTESIS_2]],listas!$D$1:$E$105,2,FALSE))),"")</f>
        <v>Impericia en el manejo.</v>
      </c>
      <c r="AR201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202" spans="1:44" x14ac:dyDescent="0.25">
      <c r="A202" s="12">
        <v>305</v>
      </c>
      <c r="B202" s="36">
        <v>0</v>
      </c>
      <c r="C202" s="36">
        <v>1</v>
      </c>
      <c r="D202" s="36">
        <v>0</v>
      </c>
      <c r="E202" s="18" t="str">
        <f t="shared" si="12"/>
        <v>LESIONADO</v>
      </c>
      <c r="F202" s="36" t="s">
        <v>322</v>
      </c>
      <c r="G202" s="17">
        <v>5.3245066666666663</v>
      </c>
      <c r="H202" s="17">
        <v>-72.397102777777789</v>
      </c>
      <c r="I202" s="93" t="s">
        <v>697</v>
      </c>
      <c r="J202" s="36" t="s">
        <v>717</v>
      </c>
      <c r="K202" s="24" t="str">
        <f t="shared" si="13"/>
        <v>2022</v>
      </c>
      <c r="L202" s="24" t="str">
        <f t="shared" si="14"/>
        <v>SEPTIEMBRE</v>
      </c>
      <c r="M202" s="225">
        <v>44814</v>
      </c>
      <c r="N202" s="24" t="str">
        <f t="shared" si="15"/>
        <v>SÁBADO</v>
      </c>
      <c r="O202" s="102">
        <v>0.79861111111111116</v>
      </c>
      <c r="P202" s="53" t="s">
        <v>469</v>
      </c>
      <c r="Q202" s="53" t="s">
        <v>445</v>
      </c>
      <c r="R202" s="36">
        <f>COUNTIF(Tabla1[[#This Row],[VEHICULOS_ACCIDENTADOS]:[VEHICULOS_ACCIDENTADOS2]],"MOTOCICLETA")</f>
        <v>1</v>
      </c>
      <c r="S202" s="36">
        <f>COUNTIF(Tabla1[[#This Row],[VEHICULOS_ACCIDENTADOS]:[VEHICULOS_ACCIDENTADOS2]],"MOTOCARRO")</f>
        <v>0</v>
      </c>
      <c r="T202" s="36">
        <f>COUNTIF(Tabla1[[#This Row],[VEHICULOS_ACCIDENTADOS]:[VEHICULOS_ACCIDENTADOS2]],"AUTOMOVIL")</f>
        <v>0</v>
      </c>
      <c r="U202" s="36">
        <f>COUNTIF(Tabla1[[#This Row],[VEHICULOS_ACCIDENTADOS]:[VEHICULOS_ACCIDENTADOS2]],"CAMPERO")</f>
        <v>0</v>
      </c>
      <c r="V202" s="36">
        <f>COUNTIF(Tabla1[[#This Row],[VEHICULOS_ACCIDENTADOS]:[VEHICULOS_ACCIDENTADOS2]],"CAMIONETA")</f>
        <v>1</v>
      </c>
      <c r="W202" s="36">
        <f>COUNTIF(Tabla1[[#This Row],[VEHICULOS_ACCIDENTADOS]:[VEHICULOS_ACCIDENTADOS2]],"MICROBUS")</f>
        <v>0</v>
      </c>
      <c r="X202" s="36">
        <f>COUNTIF(Tabla1[[#This Row],[VEHICULOS_ACCIDENTADOS]:[VEHICULOS_ACCIDENTADOS2]],"BUS")</f>
        <v>0</v>
      </c>
      <c r="Y202" s="36">
        <f>COUNTIF(Tabla1[[#This Row],[VEHICULOS_ACCIDENTADOS]:[VEHICULOS_ACCIDENTADOS2]],"BUSETA")</f>
        <v>0</v>
      </c>
      <c r="Z202" s="36">
        <f>COUNTIF(Tabla1[[#This Row],[VEHICULOS_ACCIDENTADOS]:[VEHICULOS_ACCIDENTADOS2]],"CAMION")</f>
        <v>0</v>
      </c>
      <c r="AA202" s="36">
        <f>COUNTIF(Tabla1[[#This Row],[VEHICULOS_ACCIDENTADOS]:[VEHICULOS_ACCIDENTADOS2]],"TRACTOCAMION")</f>
        <v>0</v>
      </c>
      <c r="AB202" s="36">
        <f>COUNTIF(Tabla1[[#This Row],[VEHICULOS_ACCIDENTADOS]:[VEHICULOS_ACCIDENTADOS2]],"VOLQUETA")</f>
        <v>0</v>
      </c>
      <c r="AC202" s="36">
        <f>COUNTIF(Tabla1[[#This Row],[VEHICULOS_ACCIDENTADOS]:[VEHICULOS_ACCIDENTADOS2]],"BICICLETA")</f>
        <v>0</v>
      </c>
      <c r="AD202" s="36" t="s">
        <v>471</v>
      </c>
      <c r="AE202" s="36"/>
      <c r="AF202" s="36">
        <f>COUNTIF(Tabla1[[#This Row],[GENERO_MASCULINO]:[GENERO_FEMENINO]],"MASCULINO")</f>
        <v>1</v>
      </c>
      <c r="AG202" s="36">
        <f>COUNTIF(Tabla1[[#This Row],[GENERO_MASCULINO]:[GENERO_FEMENINO]],"FEMENINO")</f>
        <v>0</v>
      </c>
      <c r="AH202" s="61"/>
      <c r="AI202" s="61"/>
      <c r="AJ202" s="78"/>
      <c r="AK202" s="61"/>
      <c r="AL202" s="61">
        <v>5</v>
      </c>
      <c r="AM202" s="36"/>
      <c r="AN202" s="61">
        <v>122</v>
      </c>
      <c r="AO202" s="36" t="str">
        <f>IFERROR(((VLOOKUP(Tabla1[[#This Row],[HIPOTESIS_1]],listas!$D$1:$E$105,2,FALSE))),"SIN INFORMACIÓN")</f>
        <v>Girar bruscamente.</v>
      </c>
      <c r="AP202" s="36">
        <v>139</v>
      </c>
      <c r="AQ202" s="36" t="str">
        <f>IFERROR(((VLOOKUP(Tabla1[[#This Row],[HIPOTESIS_2]],listas!$D$1:$E$105,2,FALSE))),"")</f>
        <v>Impericia en el manejo.</v>
      </c>
      <c r="AR202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203" spans="1:44" x14ac:dyDescent="0.25">
      <c r="A203" s="12">
        <v>864</v>
      </c>
      <c r="B203" s="135">
        <v>0</v>
      </c>
      <c r="C203" s="136">
        <v>3</v>
      </c>
      <c r="D203" s="136">
        <v>0</v>
      </c>
      <c r="E203" s="18" t="str">
        <f t="shared" si="12"/>
        <v>LESIONADO</v>
      </c>
      <c r="F203" s="26" t="s">
        <v>77</v>
      </c>
      <c r="G203" s="21">
        <v>5.3228679999999997</v>
      </c>
      <c r="H203" s="21">
        <v>-72.396485999999996</v>
      </c>
      <c r="I203" s="93" t="s">
        <v>697</v>
      </c>
      <c r="J203" s="167" t="s">
        <v>717</v>
      </c>
      <c r="K203" s="24" t="str">
        <f t="shared" si="13"/>
        <v>2025</v>
      </c>
      <c r="L203" s="24" t="str">
        <f t="shared" si="14"/>
        <v>ENERO</v>
      </c>
      <c r="M203" s="224">
        <v>45687</v>
      </c>
      <c r="N203" s="24" t="str">
        <f t="shared" si="15"/>
        <v>JUEVES</v>
      </c>
      <c r="O203" s="171">
        <v>0.82638888888888884</v>
      </c>
      <c r="P203" s="178" t="s">
        <v>469</v>
      </c>
      <c r="Q203" s="178" t="s">
        <v>438</v>
      </c>
      <c r="R203" s="36">
        <f>COUNTIF(Tabla1[[#This Row],[VEHICULOS_ACCIDENTADOS]:[VEHICULOS_ACCIDENTADOS2]],"MOTOCICLETA")</f>
        <v>1</v>
      </c>
      <c r="S203" s="36">
        <f>COUNTIF(Tabla1[[#This Row],[VEHICULOS_ACCIDENTADOS]:[VEHICULOS_ACCIDENTADOS2]],"MOTOCARRO")</f>
        <v>0</v>
      </c>
      <c r="T203" s="36">
        <f>COUNTIF(Tabla1[[#This Row],[VEHICULOS_ACCIDENTADOS]:[VEHICULOS_ACCIDENTADOS2]],"AUTOMOVIL")</f>
        <v>0</v>
      </c>
      <c r="U203" s="36">
        <f>COUNTIF(Tabla1[[#This Row],[VEHICULOS_ACCIDENTADOS]:[VEHICULOS_ACCIDENTADOS2]],"CAMPERO")</f>
        <v>0</v>
      </c>
      <c r="V203" s="36">
        <f>COUNTIF(Tabla1[[#This Row],[VEHICULOS_ACCIDENTADOS]:[VEHICULOS_ACCIDENTADOS2]],"CAMIONETA")</f>
        <v>0</v>
      </c>
      <c r="W203" s="36">
        <f>COUNTIF(Tabla1[[#This Row],[VEHICULOS_ACCIDENTADOS]:[VEHICULOS_ACCIDENTADOS2]],"MICROBUS")</f>
        <v>0</v>
      </c>
      <c r="X203" s="36">
        <f>COUNTIF(Tabla1[[#This Row],[VEHICULOS_ACCIDENTADOS]:[VEHICULOS_ACCIDENTADOS2]],"BUS")</f>
        <v>0</v>
      </c>
      <c r="Y203" s="36">
        <f>COUNTIF(Tabla1[[#This Row],[VEHICULOS_ACCIDENTADOS]:[VEHICULOS_ACCIDENTADOS2]],"BUSETA")</f>
        <v>0</v>
      </c>
      <c r="Z203" s="36">
        <f>COUNTIF(Tabla1[[#This Row],[VEHICULOS_ACCIDENTADOS]:[VEHICULOS_ACCIDENTADOS2]],"CAMION")</f>
        <v>0</v>
      </c>
      <c r="AA203" s="36">
        <f>COUNTIF(Tabla1[[#This Row],[VEHICULOS_ACCIDENTADOS]:[VEHICULOS_ACCIDENTADOS2]],"TRACTOCAMION")</f>
        <v>0</v>
      </c>
      <c r="AB203" s="36">
        <f>COUNTIF(Tabla1[[#This Row],[VEHICULOS_ACCIDENTADOS]:[VEHICULOS_ACCIDENTADOS2]],"VOLQUETA")</f>
        <v>0</v>
      </c>
      <c r="AC203" s="36">
        <f>COUNTIF(Tabla1[[#This Row],[VEHICULOS_ACCIDENTADOS]:[VEHICULOS_ACCIDENTADOS2]],"BICICLETA")</f>
        <v>1</v>
      </c>
      <c r="AD203" s="136" t="s">
        <v>471</v>
      </c>
      <c r="AE203" s="136" t="s">
        <v>472</v>
      </c>
      <c r="AF203" s="136">
        <f>COUNTIF(Tabla1[[#This Row],[GENERO_MASCULINO]:[GENERO_FEMENINO]],"MASCULINO")</f>
        <v>1</v>
      </c>
      <c r="AG203" s="36">
        <f>COUNTIF(Tabla1[[#This Row],[GENERO_MASCULINO]:[GENERO_FEMENINO]],"FEMENINO")</f>
        <v>1</v>
      </c>
      <c r="AH203" s="85">
        <v>18</v>
      </c>
      <c r="AI203" s="85">
        <v>22</v>
      </c>
      <c r="AJ203" s="85">
        <v>23</v>
      </c>
      <c r="AK203" s="85"/>
      <c r="AL203" s="85"/>
      <c r="AM203" s="136"/>
      <c r="AN203" s="85">
        <v>157</v>
      </c>
      <c r="AO203" s="36" t="str">
        <f>IFERROR(((VLOOKUP(Tabla1[[#This Row],[HIPOTESIS_1]],listas!$D$1:$E$105,2,FALSE))),"SIN INFORMACIÓN")</f>
        <v>Otra</v>
      </c>
      <c r="AP203" s="136">
        <v>139</v>
      </c>
      <c r="AQ203" s="36" t="str">
        <f>IFERROR(((VLOOKUP(Tabla1[[#This Row],[HIPOTESIS_2]],listas!$D$1:$E$105,2,FALSE))),"")</f>
        <v>Impericia en el manejo.</v>
      </c>
      <c r="AR203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204" spans="1:44" x14ac:dyDescent="0.25">
      <c r="A204" s="12">
        <v>976</v>
      </c>
      <c r="B204" s="137">
        <v>0</v>
      </c>
      <c r="C204" s="137">
        <v>3</v>
      </c>
      <c r="D204" s="137">
        <v>0</v>
      </c>
      <c r="E204" s="18" t="str">
        <f t="shared" si="12"/>
        <v>LESIONADO</v>
      </c>
      <c r="F204" s="152" t="s">
        <v>1057</v>
      </c>
      <c r="G204" s="30">
        <v>5.3189805555555552</v>
      </c>
      <c r="H204" s="30">
        <v>-72.394608333333338</v>
      </c>
      <c r="I204" s="93" t="s">
        <v>697</v>
      </c>
      <c r="J204" s="36" t="s">
        <v>717</v>
      </c>
      <c r="K204" s="24" t="str">
        <f t="shared" si="13"/>
        <v>2025</v>
      </c>
      <c r="L204" s="24" t="str">
        <f t="shared" si="14"/>
        <v>MAYO</v>
      </c>
      <c r="M204" s="227">
        <v>45807</v>
      </c>
      <c r="N204" s="24" t="str">
        <f t="shared" si="15"/>
        <v>VIERNES</v>
      </c>
      <c r="O204" s="101">
        <v>0.82986111111111116</v>
      </c>
      <c r="P204" s="63" t="s">
        <v>469</v>
      </c>
      <c r="Q204" s="63" t="s">
        <v>469</v>
      </c>
      <c r="R204" s="36">
        <f>COUNTIF(Tabla1[[#This Row],[VEHICULOS_ACCIDENTADOS]:[VEHICULOS_ACCIDENTADOS2]],"MOTOCICLETA")</f>
        <v>2</v>
      </c>
      <c r="S204" s="36">
        <f>COUNTIF(Tabla1[[#This Row],[VEHICULOS_ACCIDENTADOS]:[VEHICULOS_ACCIDENTADOS2]],"MOTOCARRO")</f>
        <v>0</v>
      </c>
      <c r="T204" s="36">
        <f>COUNTIF(Tabla1[[#This Row],[VEHICULOS_ACCIDENTADOS]:[VEHICULOS_ACCIDENTADOS2]],"AUTOMOVIL")</f>
        <v>0</v>
      </c>
      <c r="U204" s="36">
        <f>COUNTIF(Tabla1[[#This Row],[VEHICULOS_ACCIDENTADOS]:[VEHICULOS_ACCIDENTADOS2]],"CAMPERO")</f>
        <v>0</v>
      </c>
      <c r="V204" s="36">
        <f>COUNTIF(Tabla1[[#This Row],[VEHICULOS_ACCIDENTADOS]:[VEHICULOS_ACCIDENTADOS2]],"CAMIONETA")</f>
        <v>0</v>
      </c>
      <c r="W204" s="36">
        <f>COUNTIF(Tabla1[[#This Row],[VEHICULOS_ACCIDENTADOS]:[VEHICULOS_ACCIDENTADOS2]],"MICROBUS")</f>
        <v>0</v>
      </c>
      <c r="X204" s="36">
        <f>COUNTIF(Tabla1[[#This Row],[VEHICULOS_ACCIDENTADOS]:[VEHICULOS_ACCIDENTADOS2]],"BUS")</f>
        <v>0</v>
      </c>
      <c r="Y204" s="36">
        <f>COUNTIF(Tabla1[[#This Row],[VEHICULOS_ACCIDENTADOS]:[VEHICULOS_ACCIDENTADOS2]],"BUSETA")</f>
        <v>0</v>
      </c>
      <c r="Z204" s="36">
        <f>COUNTIF(Tabla1[[#This Row],[VEHICULOS_ACCIDENTADOS]:[VEHICULOS_ACCIDENTADOS2]],"CAMION")</f>
        <v>0</v>
      </c>
      <c r="AA204" s="36">
        <f>COUNTIF(Tabla1[[#This Row],[VEHICULOS_ACCIDENTADOS]:[VEHICULOS_ACCIDENTADOS2]],"TRACTOCAMION")</f>
        <v>0</v>
      </c>
      <c r="AB204" s="36">
        <f>COUNTIF(Tabla1[[#This Row],[VEHICULOS_ACCIDENTADOS]:[VEHICULOS_ACCIDENTADOS2]],"VOLQUETA")</f>
        <v>0</v>
      </c>
      <c r="AC204" s="36">
        <f>COUNTIF(Tabla1[[#This Row],[VEHICULOS_ACCIDENTADOS]:[VEHICULOS_ACCIDENTADOS2]],"BICICLETA")</f>
        <v>0</v>
      </c>
      <c r="AD204" s="36" t="s">
        <v>472</v>
      </c>
      <c r="AE204" s="36" t="s">
        <v>471</v>
      </c>
      <c r="AF204" s="36">
        <f>COUNTIF(Tabla1[[#This Row],[GENERO_MASCULINO]:[GENERO_FEMENINO]],"MASCULINO")</f>
        <v>1</v>
      </c>
      <c r="AG204" s="36">
        <f>COUNTIF(Tabla1[[#This Row],[GENERO_MASCULINO]:[GENERO_FEMENINO]],"FEMENINO")</f>
        <v>1</v>
      </c>
      <c r="AH204" s="85">
        <v>36</v>
      </c>
      <c r="AI204" s="85">
        <v>25</v>
      </c>
      <c r="AJ204" s="85">
        <v>58</v>
      </c>
      <c r="AK204" s="78"/>
      <c r="AL204" s="78"/>
      <c r="AM204" s="59"/>
      <c r="AN204" s="61">
        <v>132</v>
      </c>
      <c r="AO204" s="36" t="str">
        <f>IFERROR(((VLOOKUP(Tabla1[[#This Row],[HIPOTESIS_1]],listas!$D$1:$E$105,2,FALSE))),"SIN INFORMACIÓN")</f>
        <v>No respetar prelación.</v>
      </c>
      <c r="AP204" s="36">
        <v>139</v>
      </c>
      <c r="AQ204" s="36" t="str">
        <f>IFERROR(((VLOOKUP(Tabla1[[#This Row],[HIPOTESIS_2]],listas!$D$1:$E$105,2,FALSE))),"")</f>
        <v>Impericia en el manejo.</v>
      </c>
      <c r="AR204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205" spans="1:44" x14ac:dyDescent="0.25">
      <c r="A205" s="12">
        <v>936</v>
      </c>
      <c r="B205" s="135">
        <v>0</v>
      </c>
      <c r="C205" s="136">
        <v>2</v>
      </c>
      <c r="D205" s="136">
        <v>0</v>
      </c>
      <c r="E205" s="18" t="str">
        <f t="shared" si="12"/>
        <v>LESIONADO</v>
      </c>
      <c r="F205" s="26" t="s">
        <v>44</v>
      </c>
      <c r="G205" s="25">
        <v>5.335458</v>
      </c>
      <c r="H205" s="20">
        <v>-72.398094999999998</v>
      </c>
      <c r="I205" s="93" t="s">
        <v>697</v>
      </c>
      <c r="J205" s="136" t="s">
        <v>717</v>
      </c>
      <c r="K205" s="24" t="str">
        <f t="shared" si="13"/>
        <v>2025</v>
      </c>
      <c r="L205" s="24" t="str">
        <f t="shared" si="14"/>
        <v>ABRIL</v>
      </c>
      <c r="M205" s="224">
        <v>45764</v>
      </c>
      <c r="N205" s="24" t="str">
        <f t="shared" si="15"/>
        <v>JUEVES</v>
      </c>
      <c r="O205" s="171">
        <v>0.48680555555555555</v>
      </c>
      <c r="P205" s="136" t="s">
        <v>469</v>
      </c>
      <c r="Q205" s="136" t="s">
        <v>447</v>
      </c>
      <c r="R205" s="36">
        <f>COUNTIF(Tabla1[[#This Row],[VEHICULOS_ACCIDENTADOS]:[VEHICULOS_ACCIDENTADOS2]],"MOTOCICLETA")</f>
        <v>1</v>
      </c>
      <c r="S205" s="36">
        <f>COUNTIF(Tabla1[[#This Row],[VEHICULOS_ACCIDENTADOS]:[VEHICULOS_ACCIDENTADOS2]],"MOTOCARRO")</f>
        <v>0</v>
      </c>
      <c r="T205" s="36">
        <f>COUNTIF(Tabla1[[#This Row],[VEHICULOS_ACCIDENTADOS]:[VEHICULOS_ACCIDENTADOS2]],"AUTOMOVIL")</f>
        <v>1</v>
      </c>
      <c r="U205" s="36">
        <f>COUNTIF(Tabla1[[#This Row],[VEHICULOS_ACCIDENTADOS]:[VEHICULOS_ACCIDENTADOS2]],"CAMPERO")</f>
        <v>0</v>
      </c>
      <c r="V205" s="36">
        <f>COUNTIF(Tabla1[[#This Row],[VEHICULOS_ACCIDENTADOS]:[VEHICULOS_ACCIDENTADOS2]],"CAMIONETA")</f>
        <v>0</v>
      </c>
      <c r="W205" s="36">
        <f>COUNTIF(Tabla1[[#This Row],[VEHICULOS_ACCIDENTADOS]:[VEHICULOS_ACCIDENTADOS2]],"MICROBUS")</f>
        <v>0</v>
      </c>
      <c r="X205" s="36">
        <f>COUNTIF(Tabla1[[#This Row],[VEHICULOS_ACCIDENTADOS]:[VEHICULOS_ACCIDENTADOS2]],"BUS")</f>
        <v>0</v>
      </c>
      <c r="Y205" s="36">
        <f>COUNTIF(Tabla1[[#This Row],[VEHICULOS_ACCIDENTADOS]:[VEHICULOS_ACCIDENTADOS2]],"BUSETA")</f>
        <v>0</v>
      </c>
      <c r="Z205" s="36">
        <f>COUNTIF(Tabla1[[#This Row],[VEHICULOS_ACCIDENTADOS]:[VEHICULOS_ACCIDENTADOS2]],"CAMION")</f>
        <v>0</v>
      </c>
      <c r="AA205" s="36">
        <f>COUNTIF(Tabla1[[#This Row],[VEHICULOS_ACCIDENTADOS]:[VEHICULOS_ACCIDENTADOS2]],"TRACTOCAMION")</f>
        <v>0</v>
      </c>
      <c r="AB205" s="36">
        <f>COUNTIF(Tabla1[[#This Row],[VEHICULOS_ACCIDENTADOS]:[VEHICULOS_ACCIDENTADOS2]],"VOLQUETA")</f>
        <v>0</v>
      </c>
      <c r="AC205" s="36">
        <f>COUNTIF(Tabla1[[#This Row],[VEHICULOS_ACCIDENTADOS]:[VEHICULOS_ACCIDENTADOS2]],"BICICLETA")</f>
        <v>0</v>
      </c>
      <c r="AD205" s="136" t="s">
        <v>471</v>
      </c>
      <c r="AE205" s="136" t="s">
        <v>472</v>
      </c>
      <c r="AF205" s="136">
        <f>COUNTIF(Tabla1[[#This Row],[GENERO_MASCULINO]:[GENERO_FEMENINO]],"MASCULINO")</f>
        <v>1</v>
      </c>
      <c r="AG205" s="36">
        <f>COUNTIF(Tabla1[[#This Row],[GENERO_MASCULINO]:[GENERO_FEMENINO]],"FEMENINO")</f>
        <v>1</v>
      </c>
      <c r="AH205" s="85">
        <v>17</v>
      </c>
      <c r="AI205" s="85">
        <v>35</v>
      </c>
      <c r="AJ205" s="85">
        <v>15</v>
      </c>
      <c r="AK205" s="78"/>
      <c r="AL205" s="78"/>
      <c r="AM205" s="59"/>
      <c r="AN205" s="85">
        <v>112</v>
      </c>
      <c r="AO205" s="36" t="str">
        <f>IFERROR(((VLOOKUP(Tabla1[[#This Row],[HIPOTESIS_1]],listas!$D$1:$E$105,2,FALSE))),"SIN INFORMACIÓN")</f>
        <v>Desobedecer señales o normas de tránsito.</v>
      </c>
      <c r="AP205" s="36">
        <v>139</v>
      </c>
      <c r="AQ205" s="36" t="str">
        <f>IFERROR(((VLOOKUP(Tabla1[[#This Row],[HIPOTESIS_2]],listas!$D$1:$E$105,2,FALSE))),"")</f>
        <v>Impericia en el manejo.</v>
      </c>
      <c r="AR205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206" spans="1:44" x14ac:dyDescent="0.25">
      <c r="A206" s="12">
        <v>494</v>
      </c>
      <c r="B206" s="36">
        <v>0</v>
      </c>
      <c r="C206" s="36">
        <v>3</v>
      </c>
      <c r="D206" s="36">
        <v>0</v>
      </c>
      <c r="E206" s="18" t="str">
        <f t="shared" si="12"/>
        <v>LESIONADO</v>
      </c>
      <c r="F206" s="29" t="s">
        <v>237</v>
      </c>
      <c r="G206" s="21">
        <v>5.3297286111111113</v>
      </c>
      <c r="H206" s="21">
        <v>-72.393563333333347</v>
      </c>
      <c r="I206" s="93" t="s">
        <v>697</v>
      </c>
      <c r="J206" s="36" t="s">
        <v>717</v>
      </c>
      <c r="K206" s="24" t="str">
        <f t="shared" si="13"/>
        <v>2023</v>
      </c>
      <c r="L206" s="24" t="str">
        <f t="shared" si="14"/>
        <v>JUNIO</v>
      </c>
      <c r="M206" s="225">
        <v>45079</v>
      </c>
      <c r="N206" s="24" t="str">
        <f t="shared" si="15"/>
        <v>VIERNES</v>
      </c>
      <c r="O206" s="101">
        <v>0.57291666666666663</v>
      </c>
      <c r="P206" s="57" t="s">
        <v>469</v>
      </c>
      <c r="Q206" s="57" t="s">
        <v>469</v>
      </c>
      <c r="R206" s="36">
        <f>COUNTIF(Tabla1[[#This Row],[VEHICULOS_ACCIDENTADOS]:[VEHICULOS_ACCIDENTADOS2]],"MOTOCICLETA")</f>
        <v>2</v>
      </c>
      <c r="S206" s="36">
        <f>COUNTIF(Tabla1[[#This Row],[VEHICULOS_ACCIDENTADOS]:[VEHICULOS_ACCIDENTADOS2]],"MOTOCARRO")</f>
        <v>0</v>
      </c>
      <c r="T206" s="36">
        <f>COUNTIF(Tabla1[[#This Row],[VEHICULOS_ACCIDENTADOS]:[VEHICULOS_ACCIDENTADOS2]],"AUTOMOVIL")</f>
        <v>0</v>
      </c>
      <c r="U206" s="36">
        <f>COUNTIF(Tabla1[[#This Row],[VEHICULOS_ACCIDENTADOS]:[VEHICULOS_ACCIDENTADOS2]],"CAMPERO")</f>
        <v>0</v>
      </c>
      <c r="V206" s="36">
        <f>COUNTIF(Tabla1[[#This Row],[VEHICULOS_ACCIDENTADOS]:[VEHICULOS_ACCIDENTADOS2]],"CAMIONETA")</f>
        <v>0</v>
      </c>
      <c r="W206" s="36">
        <f>COUNTIF(Tabla1[[#This Row],[VEHICULOS_ACCIDENTADOS]:[VEHICULOS_ACCIDENTADOS2]],"MICROBUS")</f>
        <v>0</v>
      </c>
      <c r="X206" s="36">
        <f>COUNTIF(Tabla1[[#This Row],[VEHICULOS_ACCIDENTADOS]:[VEHICULOS_ACCIDENTADOS2]],"BUS")</f>
        <v>0</v>
      </c>
      <c r="Y206" s="36">
        <f>COUNTIF(Tabla1[[#This Row],[VEHICULOS_ACCIDENTADOS]:[VEHICULOS_ACCIDENTADOS2]],"BUSETA")</f>
        <v>0</v>
      </c>
      <c r="Z206" s="36">
        <f>COUNTIF(Tabla1[[#This Row],[VEHICULOS_ACCIDENTADOS]:[VEHICULOS_ACCIDENTADOS2]],"CAMION")</f>
        <v>0</v>
      </c>
      <c r="AA206" s="36">
        <f>COUNTIF(Tabla1[[#This Row],[VEHICULOS_ACCIDENTADOS]:[VEHICULOS_ACCIDENTADOS2]],"TRACTOCAMION")</f>
        <v>0</v>
      </c>
      <c r="AB206" s="36">
        <f>COUNTIF(Tabla1[[#This Row],[VEHICULOS_ACCIDENTADOS]:[VEHICULOS_ACCIDENTADOS2]],"VOLQUETA")</f>
        <v>0</v>
      </c>
      <c r="AC206" s="36">
        <f>COUNTIF(Tabla1[[#This Row],[VEHICULOS_ACCIDENTADOS]:[VEHICULOS_ACCIDENTADOS2]],"BICICLETA")</f>
        <v>0</v>
      </c>
      <c r="AD206" s="36" t="s">
        <v>471</v>
      </c>
      <c r="AE206" s="36" t="s">
        <v>472</v>
      </c>
      <c r="AF206" s="36">
        <f>COUNTIF(Tabla1[[#This Row],[GENERO_MASCULINO]:[GENERO_FEMENINO]],"MASCULINO")</f>
        <v>1</v>
      </c>
      <c r="AG206" s="36">
        <f>COUNTIF(Tabla1[[#This Row],[GENERO_MASCULINO]:[GENERO_FEMENINO]],"FEMENINO")</f>
        <v>1</v>
      </c>
      <c r="AH206" s="61">
        <v>20</v>
      </c>
      <c r="AI206" s="61">
        <v>20</v>
      </c>
      <c r="AJ206" s="61"/>
      <c r="AK206" s="61"/>
      <c r="AL206" s="61">
        <v>18</v>
      </c>
      <c r="AM206" s="36"/>
      <c r="AN206" s="61">
        <v>112</v>
      </c>
      <c r="AO206" s="36" t="str">
        <f>IFERROR(((VLOOKUP(Tabla1[[#This Row],[HIPOTESIS_1]],listas!$D$1:$E$105,2,FALSE))),"SIN INFORMACIÓN")</f>
        <v>Desobedecer señales o normas de tránsito.</v>
      </c>
      <c r="AP206" s="36">
        <v>139</v>
      </c>
      <c r="AQ206" s="36" t="str">
        <f>IFERROR(((VLOOKUP(Tabla1[[#This Row],[HIPOTESIS_2]],listas!$D$1:$E$105,2,FALSE))),"")</f>
        <v>Impericia en el manejo.</v>
      </c>
      <c r="AR206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207" spans="1:44" x14ac:dyDescent="0.25">
      <c r="A207" s="12">
        <v>320</v>
      </c>
      <c r="B207" s="36">
        <v>0</v>
      </c>
      <c r="C207" s="36">
        <v>1</v>
      </c>
      <c r="D207" s="36">
        <v>0</v>
      </c>
      <c r="E207" s="18" t="str">
        <f t="shared" si="12"/>
        <v>LESIONADO</v>
      </c>
      <c r="F207" s="29" t="s">
        <v>315</v>
      </c>
      <c r="G207" s="17">
        <v>5.336970833333333</v>
      </c>
      <c r="H207" s="17">
        <v>-72.397405000000006</v>
      </c>
      <c r="I207" s="93" t="s">
        <v>697</v>
      </c>
      <c r="J207" s="36" t="s">
        <v>717</v>
      </c>
      <c r="K207" s="24" t="str">
        <f t="shared" si="13"/>
        <v>2022</v>
      </c>
      <c r="L207" s="24" t="str">
        <f t="shared" si="14"/>
        <v>SEPTIEMBRE</v>
      </c>
      <c r="M207" s="225">
        <v>44834</v>
      </c>
      <c r="N207" s="24" t="str">
        <f t="shared" si="15"/>
        <v>VIERNES</v>
      </c>
      <c r="O207" s="102">
        <v>0.69444444444444497</v>
      </c>
      <c r="P207" s="53" t="s">
        <v>469</v>
      </c>
      <c r="Q207" s="53" t="s">
        <v>447</v>
      </c>
      <c r="R207" s="36">
        <f>COUNTIF(Tabla1[[#This Row],[VEHICULOS_ACCIDENTADOS]:[VEHICULOS_ACCIDENTADOS2]],"MOTOCICLETA")</f>
        <v>1</v>
      </c>
      <c r="S207" s="36">
        <f>COUNTIF(Tabla1[[#This Row],[VEHICULOS_ACCIDENTADOS]:[VEHICULOS_ACCIDENTADOS2]],"MOTOCARRO")</f>
        <v>0</v>
      </c>
      <c r="T207" s="36">
        <f>COUNTIF(Tabla1[[#This Row],[VEHICULOS_ACCIDENTADOS]:[VEHICULOS_ACCIDENTADOS2]],"AUTOMOVIL")</f>
        <v>1</v>
      </c>
      <c r="U207" s="36">
        <f>COUNTIF(Tabla1[[#This Row],[VEHICULOS_ACCIDENTADOS]:[VEHICULOS_ACCIDENTADOS2]],"CAMPERO")</f>
        <v>0</v>
      </c>
      <c r="V207" s="36">
        <f>COUNTIF(Tabla1[[#This Row],[VEHICULOS_ACCIDENTADOS]:[VEHICULOS_ACCIDENTADOS2]],"CAMIONETA")</f>
        <v>0</v>
      </c>
      <c r="W207" s="36">
        <f>COUNTIF(Tabla1[[#This Row],[VEHICULOS_ACCIDENTADOS]:[VEHICULOS_ACCIDENTADOS2]],"MICROBUS")</f>
        <v>0</v>
      </c>
      <c r="X207" s="36">
        <f>COUNTIF(Tabla1[[#This Row],[VEHICULOS_ACCIDENTADOS]:[VEHICULOS_ACCIDENTADOS2]],"BUS")</f>
        <v>0</v>
      </c>
      <c r="Y207" s="36">
        <f>COUNTIF(Tabla1[[#This Row],[VEHICULOS_ACCIDENTADOS]:[VEHICULOS_ACCIDENTADOS2]],"BUSETA")</f>
        <v>0</v>
      </c>
      <c r="Z207" s="36">
        <f>COUNTIF(Tabla1[[#This Row],[VEHICULOS_ACCIDENTADOS]:[VEHICULOS_ACCIDENTADOS2]],"CAMION")</f>
        <v>0</v>
      </c>
      <c r="AA207" s="36">
        <f>COUNTIF(Tabla1[[#This Row],[VEHICULOS_ACCIDENTADOS]:[VEHICULOS_ACCIDENTADOS2]],"TRACTOCAMION")</f>
        <v>0</v>
      </c>
      <c r="AB207" s="36">
        <f>COUNTIF(Tabla1[[#This Row],[VEHICULOS_ACCIDENTADOS]:[VEHICULOS_ACCIDENTADOS2]],"VOLQUETA")</f>
        <v>0</v>
      </c>
      <c r="AC207" s="36">
        <f>COUNTIF(Tabla1[[#This Row],[VEHICULOS_ACCIDENTADOS]:[VEHICULOS_ACCIDENTADOS2]],"BICICLETA")</f>
        <v>0</v>
      </c>
      <c r="AD207" s="36"/>
      <c r="AE207" s="36" t="s">
        <v>472</v>
      </c>
      <c r="AF207" s="36">
        <f>COUNTIF(Tabla1[[#This Row],[GENERO_MASCULINO]:[GENERO_FEMENINO]],"MASCULINO")</f>
        <v>0</v>
      </c>
      <c r="AG207" s="36">
        <f>COUNTIF(Tabla1[[#This Row],[GENERO_MASCULINO]:[GENERO_FEMENINO]],"FEMENINO")</f>
        <v>1</v>
      </c>
      <c r="AH207" s="61">
        <v>39</v>
      </c>
      <c r="AI207" s="61"/>
      <c r="AJ207" s="78"/>
      <c r="AK207" s="61"/>
      <c r="AL207" s="61"/>
      <c r="AM207" s="36"/>
      <c r="AN207" s="61">
        <v>112</v>
      </c>
      <c r="AO207" s="36" t="str">
        <f>IFERROR(((VLOOKUP(Tabla1[[#This Row],[HIPOTESIS_1]],listas!$D$1:$E$105,2,FALSE))),"SIN INFORMACIÓN")</f>
        <v>Desobedecer señales o normas de tránsito.</v>
      </c>
      <c r="AP207" s="36">
        <v>139</v>
      </c>
      <c r="AQ207" s="36" t="str">
        <f>IFERROR(((VLOOKUP(Tabla1[[#This Row],[HIPOTESIS_2]],listas!$D$1:$E$105,2,FALSE))),"")</f>
        <v>Impericia en el manejo.</v>
      </c>
      <c r="AR207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208" spans="1:44" x14ac:dyDescent="0.25">
      <c r="A208" s="12">
        <v>131</v>
      </c>
      <c r="B208" s="36">
        <v>0</v>
      </c>
      <c r="C208" s="36">
        <v>1</v>
      </c>
      <c r="D208" s="36">
        <v>0</v>
      </c>
      <c r="E208" s="18" t="str">
        <f t="shared" si="12"/>
        <v>LESIONADO</v>
      </c>
      <c r="F208" s="29" t="s">
        <v>1060</v>
      </c>
      <c r="G208" s="17">
        <v>5.3458030000000001</v>
      </c>
      <c r="H208" s="17">
        <v>-72.401646</v>
      </c>
      <c r="I208" s="93" t="s">
        <v>697</v>
      </c>
      <c r="J208" s="36" t="s">
        <v>717</v>
      </c>
      <c r="K208" s="24" t="str">
        <f t="shared" si="13"/>
        <v>2022</v>
      </c>
      <c r="L208" s="24" t="str">
        <f t="shared" si="14"/>
        <v>ABRIL</v>
      </c>
      <c r="M208" s="225">
        <v>44662</v>
      </c>
      <c r="N208" s="24" t="str">
        <f t="shared" si="15"/>
        <v>LUNES</v>
      </c>
      <c r="O208" s="101">
        <v>0.63541666666666696</v>
      </c>
      <c r="P208" s="63" t="s">
        <v>469</v>
      </c>
      <c r="Q208" s="63" t="s">
        <v>445</v>
      </c>
      <c r="R208" s="36">
        <f>COUNTIF(Tabla1[[#This Row],[VEHICULOS_ACCIDENTADOS]:[VEHICULOS_ACCIDENTADOS2]],"MOTOCICLETA")</f>
        <v>1</v>
      </c>
      <c r="S208" s="36">
        <f>COUNTIF(Tabla1[[#This Row],[VEHICULOS_ACCIDENTADOS]:[VEHICULOS_ACCIDENTADOS2]],"MOTOCARRO")</f>
        <v>0</v>
      </c>
      <c r="T208" s="36">
        <f>COUNTIF(Tabla1[[#This Row],[VEHICULOS_ACCIDENTADOS]:[VEHICULOS_ACCIDENTADOS2]],"AUTOMOVIL")</f>
        <v>0</v>
      </c>
      <c r="U208" s="36">
        <f>COUNTIF(Tabla1[[#This Row],[VEHICULOS_ACCIDENTADOS]:[VEHICULOS_ACCIDENTADOS2]],"CAMPERO")</f>
        <v>0</v>
      </c>
      <c r="V208" s="36">
        <f>COUNTIF(Tabla1[[#This Row],[VEHICULOS_ACCIDENTADOS]:[VEHICULOS_ACCIDENTADOS2]],"CAMIONETA")</f>
        <v>1</v>
      </c>
      <c r="W208" s="36">
        <f>COUNTIF(Tabla1[[#This Row],[VEHICULOS_ACCIDENTADOS]:[VEHICULOS_ACCIDENTADOS2]],"MICROBUS")</f>
        <v>0</v>
      </c>
      <c r="X208" s="36">
        <f>COUNTIF(Tabla1[[#This Row],[VEHICULOS_ACCIDENTADOS]:[VEHICULOS_ACCIDENTADOS2]],"BUS")</f>
        <v>0</v>
      </c>
      <c r="Y208" s="36">
        <f>COUNTIF(Tabla1[[#This Row],[VEHICULOS_ACCIDENTADOS]:[VEHICULOS_ACCIDENTADOS2]],"BUSETA")</f>
        <v>0</v>
      </c>
      <c r="Z208" s="36">
        <f>COUNTIF(Tabla1[[#This Row],[VEHICULOS_ACCIDENTADOS]:[VEHICULOS_ACCIDENTADOS2]],"CAMION")</f>
        <v>0</v>
      </c>
      <c r="AA208" s="36">
        <f>COUNTIF(Tabla1[[#This Row],[VEHICULOS_ACCIDENTADOS]:[VEHICULOS_ACCIDENTADOS2]],"TRACTOCAMION")</f>
        <v>0</v>
      </c>
      <c r="AB208" s="36">
        <f>COUNTIF(Tabla1[[#This Row],[VEHICULOS_ACCIDENTADOS]:[VEHICULOS_ACCIDENTADOS2]],"VOLQUETA")</f>
        <v>0</v>
      </c>
      <c r="AC208" s="36">
        <f>COUNTIF(Tabla1[[#This Row],[VEHICULOS_ACCIDENTADOS]:[VEHICULOS_ACCIDENTADOS2]],"BICICLETA")</f>
        <v>0</v>
      </c>
      <c r="AD208" s="36"/>
      <c r="AE208" s="36" t="s">
        <v>472</v>
      </c>
      <c r="AF208" s="36">
        <f>COUNTIF(Tabla1[[#This Row],[GENERO_MASCULINO]:[GENERO_FEMENINO]],"MASCULINO")</f>
        <v>0</v>
      </c>
      <c r="AG208" s="36">
        <f>COUNTIF(Tabla1[[#This Row],[GENERO_MASCULINO]:[GENERO_FEMENINO]],"FEMENINO")</f>
        <v>1</v>
      </c>
      <c r="AH208" s="79">
        <v>31</v>
      </c>
      <c r="AI208" s="79"/>
      <c r="AJ208" s="80"/>
      <c r="AK208" s="79"/>
      <c r="AL208" s="79"/>
      <c r="AM208" s="207"/>
      <c r="AN208" s="79">
        <v>112</v>
      </c>
      <c r="AO208" s="36" t="str">
        <f>IFERROR(((VLOOKUP(Tabla1[[#This Row],[HIPOTESIS_1]],listas!$D$1:$E$105,2,FALSE))),"SIN INFORMACIÓN")</f>
        <v>Desobedecer señales o normas de tránsito.</v>
      </c>
      <c r="AP208" s="55">
        <v>139</v>
      </c>
      <c r="AQ208" s="36" t="str">
        <f>IFERROR(((VLOOKUP(Tabla1[[#This Row],[HIPOTESIS_2]],listas!$D$1:$E$105,2,FALSE))),"")</f>
        <v>Impericia en el manejo.</v>
      </c>
      <c r="AR208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209" spans="1:44" x14ac:dyDescent="0.25">
      <c r="A209" s="12">
        <v>850</v>
      </c>
      <c r="B209" s="135">
        <v>0</v>
      </c>
      <c r="C209" s="136">
        <v>1</v>
      </c>
      <c r="D209" s="141">
        <v>0</v>
      </c>
      <c r="E209" s="18" t="str">
        <f t="shared" si="12"/>
        <v>LESIONADO</v>
      </c>
      <c r="F209" s="136" t="s">
        <v>1061</v>
      </c>
      <c r="G209" s="17">
        <v>5.3413055555555555</v>
      </c>
      <c r="H209" s="17">
        <v>-72.398861111111117</v>
      </c>
      <c r="I209" s="93" t="s">
        <v>697</v>
      </c>
      <c r="J209" s="36" t="s">
        <v>717</v>
      </c>
      <c r="K209" s="24" t="str">
        <f t="shared" si="13"/>
        <v>2024</v>
      </c>
      <c r="L209" s="24" t="str">
        <f t="shared" si="14"/>
        <v>DICIEMBRE</v>
      </c>
      <c r="M209" s="224">
        <v>45652</v>
      </c>
      <c r="N209" s="24" t="str">
        <f t="shared" si="15"/>
        <v>JUEVES</v>
      </c>
      <c r="O209" s="171">
        <v>0.59722222222222221</v>
      </c>
      <c r="P209" s="178" t="s">
        <v>469</v>
      </c>
      <c r="Q209" s="178" t="s">
        <v>446</v>
      </c>
      <c r="R209" s="36">
        <f>COUNTIF(Tabla1[[#This Row],[VEHICULOS_ACCIDENTADOS]:[VEHICULOS_ACCIDENTADOS2]],"MOTOCICLETA")</f>
        <v>1</v>
      </c>
      <c r="S209" s="36">
        <f>COUNTIF(Tabla1[[#This Row],[VEHICULOS_ACCIDENTADOS]:[VEHICULOS_ACCIDENTADOS2]],"MOTOCARRO")</f>
        <v>0</v>
      </c>
      <c r="T209" s="36">
        <f>COUNTIF(Tabla1[[#This Row],[VEHICULOS_ACCIDENTADOS]:[VEHICULOS_ACCIDENTADOS2]],"AUTOMOVIL")</f>
        <v>0</v>
      </c>
      <c r="U209" s="36">
        <f>COUNTIF(Tabla1[[#This Row],[VEHICULOS_ACCIDENTADOS]:[VEHICULOS_ACCIDENTADOS2]],"CAMPERO")</f>
        <v>1</v>
      </c>
      <c r="V209" s="36">
        <f>COUNTIF(Tabla1[[#This Row],[VEHICULOS_ACCIDENTADOS]:[VEHICULOS_ACCIDENTADOS2]],"CAMIONETA")</f>
        <v>0</v>
      </c>
      <c r="W209" s="36">
        <f>COUNTIF(Tabla1[[#This Row],[VEHICULOS_ACCIDENTADOS]:[VEHICULOS_ACCIDENTADOS2]],"MICROBUS")</f>
        <v>0</v>
      </c>
      <c r="X209" s="36">
        <f>COUNTIF(Tabla1[[#This Row],[VEHICULOS_ACCIDENTADOS]:[VEHICULOS_ACCIDENTADOS2]],"BUS")</f>
        <v>0</v>
      </c>
      <c r="Y209" s="36">
        <f>COUNTIF(Tabla1[[#This Row],[VEHICULOS_ACCIDENTADOS]:[VEHICULOS_ACCIDENTADOS2]],"BUSETA")</f>
        <v>0</v>
      </c>
      <c r="Z209" s="36">
        <f>COUNTIF(Tabla1[[#This Row],[VEHICULOS_ACCIDENTADOS]:[VEHICULOS_ACCIDENTADOS2]],"CAMION")</f>
        <v>0</v>
      </c>
      <c r="AA209" s="36">
        <f>COUNTIF(Tabla1[[#This Row],[VEHICULOS_ACCIDENTADOS]:[VEHICULOS_ACCIDENTADOS2]],"TRACTOCAMION")</f>
        <v>0</v>
      </c>
      <c r="AB209" s="36">
        <f>COUNTIF(Tabla1[[#This Row],[VEHICULOS_ACCIDENTADOS]:[VEHICULOS_ACCIDENTADOS2]],"VOLQUETA")</f>
        <v>0</v>
      </c>
      <c r="AC209" s="36">
        <f>COUNTIF(Tabla1[[#This Row],[VEHICULOS_ACCIDENTADOS]:[VEHICULOS_ACCIDENTADOS2]],"BICICLETA")</f>
        <v>0</v>
      </c>
      <c r="AD209" s="136" t="s">
        <v>471</v>
      </c>
      <c r="AE209" s="136" t="s">
        <v>472</v>
      </c>
      <c r="AF209" s="136">
        <f>COUNTIF(Tabla1[[#This Row],[GENERO_MASCULINO]:[GENERO_FEMENINO]],"MASCULINO")</f>
        <v>1</v>
      </c>
      <c r="AG209" s="36">
        <f>COUNTIF(Tabla1[[#This Row],[GENERO_MASCULINO]:[GENERO_FEMENINO]],"FEMENINO")</f>
        <v>1</v>
      </c>
      <c r="AH209" s="85">
        <v>16</v>
      </c>
      <c r="AI209" s="85">
        <v>21</v>
      </c>
      <c r="AJ209" s="85"/>
      <c r="AK209" s="85"/>
      <c r="AL209" s="85"/>
      <c r="AM209" s="136"/>
      <c r="AN209" s="85">
        <v>112</v>
      </c>
      <c r="AO209" s="36" t="str">
        <f>IFERROR(((VLOOKUP(Tabla1[[#This Row],[HIPOTESIS_1]],listas!$D$1:$E$105,2,FALSE))),"SIN INFORMACIÓN")</f>
        <v>Desobedecer señales o normas de tránsito.</v>
      </c>
      <c r="AP209" s="136">
        <v>139</v>
      </c>
      <c r="AQ209" s="36" t="str">
        <f>IFERROR(((VLOOKUP(Tabla1[[#This Row],[HIPOTESIS_2]],listas!$D$1:$E$105,2,FALSE))),"")</f>
        <v>Impericia en el manejo.</v>
      </c>
      <c r="AR209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210" spans="1:44" x14ac:dyDescent="0.25">
      <c r="A210" s="12">
        <v>801</v>
      </c>
      <c r="B210" s="135">
        <v>0</v>
      </c>
      <c r="C210" s="136">
        <v>3</v>
      </c>
      <c r="D210" s="141">
        <v>0</v>
      </c>
      <c r="E210" s="18" t="str">
        <f t="shared" si="12"/>
        <v>LESIONADO</v>
      </c>
      <c r="F210" s="26" t="s">
        <v>1063</v>
      </c>
      <c r="G210" s="17">
        <v>5.3371894444444443</v>
      </c>
      <c r="H210" s="17">
        <v>-72.396872222222228</v>
      </c>
      <c r="I210" s="93" t="s">
        <v>697</v>
      </c>
      <c r="J210" s="36" t="s">
        <v>717</v>
      </c>
      <c r="K210" s="24" t="str">
        <f t="shared" si="13"/>
        <v>2024</v>
      </c>
      <c r="L210" s="24" t="str">
        <f t="shared" si="14"/>
        <v>OCTUBRE</v>
      </c>
      <c r="M210" s="224">
        <v>45592</v>
      </c>
      <c r="N210" s="24" t="str">
        <f t="shared" si="15"/>
        <v>DOMINGO</v>
      </c>
      <c r="O210" s="171">
        <v>1.0416666666666666E-2</v>
      </c>
      <c r="P210" s="178" t="s">
        <v>469</v>
      </c>
      <c r="Q210" s="178" t="s">
        <v>469</v>
      </c>
      <c r="R210" s="36">
        <f>COUNTIF(Tabla1[[#This Row],[VEHICULOS_ACCIDENTADOS]:[VEHICULOS_ACCIDENTADOS2]],"MOTOCICLETA")</f>
        <v>2</v>
      </c>
      <c r="S210" s="36">
        <f>COUNTIF(Tabla1[[#This Row],[VEHICULOS_ACCIDENTADOS]:[VEHICULOS_ACCIDENTADOS2]],"MOTOCARRO")</f>
        <v>0</v>
      </c>
      <c r="T210" s="36">
        <f>COUNTIF(Tabla1[[#This Row],[VEHICULOS_ACCIDENTADOS]:[VEHICULOS_ACCIDENTADOS2]],"AUTOMOVIL")</f>
        <v>0</v>
      </c>
      <c r="U210" s="36">
        <f>COUNTIF(Tabla1[[#This Row],[VEHICULOS_ACCIDENTADOS]:[VEHICULOS_ACCIDENTADOS2]],"CAMPERO")</f>
        <v>0</v>
      </c>
      <c r="V210" s="36">
        <f>COUNTIF(Tabla1[[#This Row],[VEHICULOS_ACCIDENTADOS]:[VEHICULOS_ACCIDENTADOS2]],"CAMIONETA")</f>
        <v>0</v>
      </c>
      <c r="W210" s="36">
        <f>COUNTIF(Tabla1[[#This Row],[VEHICULOS_ACCIDENTADOS]:[VEHICULOS_ACCIDENTADOS2]],"MICROBUS")</f>
        <v>0</v>
      </c>
      <c r="X210" s="36">
        <f>COUNTIF(Tabla1[[#This Row],[VEHICULOS_ACCIDENTADOS]:[VEHICULOS_ACCIDENTADOS2]],"BUS")</f>
        <v>0</v>
      </c>
      <c r="Y210" s="36">
        <f>COUNTIF(Tabla1[[#This Row],[VEHICULOS_ACCIDENTADOS]:[VEHICULOS_ACCIDENTADOS2]],"BUSETA")</f>
        <v>0</v>
      </c>
      <c r="Z210" s="36">
        <f>COUNTIF(Tabla1[[#This Row],[VEHICULOS_ACCIDENTADOS]:[VEHICULOS_ACCIDENTADOS2]],"CAMION")</f>
        <v>0</v>
      </c>
      <c r="AA210" s="36">
        <f>COUNTIF(Tabla1[[#This Row],[VEHICULOS_ACCIDENTADOS]:[VEHICULOS_ACCIDENTADOS2]],"TRACTOCAMION")</f>
        <v>0</v>
      </c>
      <c r="AB210" s="36">
        <f>COUNTIF(Tabla1[[#This Row],[VEHICULOS_ACCIDENTADOS]:[VEHICULOS_ACCIDENTADOS2]],"VOLQUETA")</f>
        <v>0</v>
      </c>
      <c r="AC210" s="36">
        <f>COUNTIF(Tabla1[[#This Row],[VEHICULOS_ACCIDENTADOS]:[VEHICULOS_ACCIDENTADOS2]],"BICICLETA")</f>
        <v>0</v>
      </c>
      <c r="AD210" s="136" t="s">
        <v>471</v>
      </c>
      <c r="AE210" s="136" t="s">
        <v>472</v>
      </c>
      <c r="AF210" s="136">
        <f>COUNTIF(Tabla1[[#This Row],[GENERO_MASCULINO]:[GENERO_FEMENINO]],"MASCULINO")</f>
        <v>1</v>
      </c>
      <c r="AG210" s="36">
        <f>COUNTIF(Tabla1[[#This Row],[GENERO_MASCULINO]:[GENERO_FEMENINO]],"FEMENINO")</f>
        <v>1</v>
      </c>
      <c r="AH210" s="85">
        <v>49</v>
      </c>
      <c r="AI210" s="85">
        <v>32</v>
      </c>
      <c r="AJ210" s="85">
        <v>22</v>
      </c>
      <c r="AK210" s="85">
        <v>27</v>
      </c>
      <c r="AL210" s="85"/>
      <c r="AM210" s="136"/>
      <c r="AN210" s="85">
        <v>123</v>
      </c>
      <c r="AO210" s="36" t="str">
        <f>IFERROR(((VLOOKUP(Tabla1[[#This Row],[HIPOTESIS_1]],listas!$D$1:$E$105,2,FALSE))),"SIN INFORMACIÓN")</f>
        <v>No respetar prelación de intersecciones o giros.</v>
      </c>
      <c r="AP210" s="136">
        <v>139</v>
      </c>
      <c r="AQ210" s="36" t="str">
        <f>IFERROR(((VLOOKUP(Tabla1[[#This Row],[HIPOTESIS_2]],listas!$D$1:$E$105,2,FALSE))),"")</f>
        <v>Impericia en el manejo.</v>
      </c>
      <c r="AR210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211" spans="1:44" x14ac:dyDescent="0.25">
      <c r="A211" s="12">
        <v>775</v>
      </c>
      <c r="B211" s="135">
        <v>0</v>
      </c>
      <c r="C211" s="36">
        <v>1</v>
      </c>
      <c r="D211" s="36">
        <v>0</v>
      </c>
      <c r="E211" s="18" t="str">
        <f t="shared" si="12"/>
        <v>LESIONADO</v>
      </c>
      <c r="F211" s="29" t="s">
        <v>911</v>
      </c>
      <c r="G211" s="21">
        <v>5.3317777777777779</v>
      </c>
      <c r="H211" s="21">
        <v>-72.392888888888891</v>
      </c>
      <c r="I211" s="93" t="s">
        <v>697</v>
      </c>
      <c r="J211" s="136" t="s">
        <v>717</v>
      </c>
      <c r="K211" s="24" t="str">
        <f t="shared" si="13"/>
        <v>2024</v>
      </c>
      <c r="L211" s="24" t="str">
        <f t="shared" si="14"/>
        <v>SEPTIEMBRE</v>
      </c>
      <c r="M211" s="225">
        <v>45539</v>
      </c>
      <c r="N211" s="24" t="str">
        <f t="shared" si="15"/>
        <v>MIÉRCOLES</v>
      </c>
      <c r="O211" s="101">
        <v>8.6805555555555566E-2</v>
      </c>
      <c r="P211" s="57" t="s">
        <v>469</v>
      </c>
      <c r="Q211" s="57" t="s">
        <v>447</v>
      </c>
      <c r="R211" s="36">
        <f>COUNTIF(Tabla1[[#This Row],[VEHICULOS_ACCIDENTADOS]:[VEHICULOS_ACCIDENTADOS2]],"MOTOCICLETA")</f>
        <v>1</v>
      </c>
      <c r="S211" s="36">
        <f>COUNTIF(Tabla1[[#This Row],[VEHICULOS_ACCIDENTADOS]:[VEHICULOS_ACCIDENTADOS2]],"MOTOCARRO")</f>
        <v>0</v>
      </c>
      <c r="T211" s="36">
        <f>COUNTIF(Tabla1[[#This Row],[VEHICULOS_ACCIDENTADOS]:[VEHICULOS_ACCIDENTADOS2]],"AUTOMOVIL")</f>
        <v>1</v>
      </c>
      <c r="U211" s="36">
        <f>COUNTIF(Tabla1[[#This Row],[VEHICULOS_ACCIDENTADOS]:[VEHICULOS_ACCIDENTADOS2]],"CAMPERO")</f>
        <v>0</v>
      </c>
      <c r="V211" s="36">
        <f>COUNTIF(Tabla1[[#This Row],[VEHICULOS_ACCIDENTADOS]:[VEHICULOS_ACCIDENTADOS2]],"CAMIONETA")</f>
        <v>0</v>
      </c>
      <c r="W211" s="36">
        <f>COUNTIF(Tabla1[[#This Row],[VEHICULOS_ACCIDENTADOS]:[VEHICULOS_ACCIDENTADOS2]],"MICROBUS")</f>
        <v>0</v>
      </c>
      <c r="X211" s="36">
        <f>COUNTIF(Tabla1[[#This Row],[VEHICULOS_ACCIDENTADOS]:[VEHICULOS_ACCIDENTADOS2]],"BUS")</f>
        <v>0</v>
      </c>
      <c r="Y211" s="36">
        <f>COUNTIF(Tabla1[[#This Row],[VEHICULOS_ACCIDENTADOS]:[VEHICULOS_ACCIDENTADOS2]],"BUSETA")</f>
        <v>0</v>
      </c>
      <c r="Z211" s="36">
        <f>COUNTIF(Tabla1[[#This Row],[VEHICULOS_ACCIDENTADOS]:[VEHICULOS_ACCIDENTADOS2]],"CAMION")</f>
        <v>0</v>
      </c>
      <c r="AA211" s="36">
        <f>COUNTIF(Tabla1[[#This Row],[VEHICULOS_ACCIDENTADOS]:[VEHICULOS_ACCIDENTADOS2]],"TRACTOCAMION")</f>
        <v>0</v>
      </c>
      <c r="AB211" s="36">
        <f>COUNTIF(Tabla1[[#This Row],[VEHICULOS_ACCIDENTADOS]:[VEHICULOS_ACCIDENTADOS2]],"VOLQUETA")</f>
        <v>0</v>
      </c>
      <c r="AC211" s="36">
        <f>COUNTIF(Tabla1[[#This Row],[VEHICULOS_ACCIDENTADOS]:[VEHICULOS_ACCIDENTADOS2]],"BICICLETA")</f>
        <v>0</v>
      </c>
      <c r="AD211" s="36" t="s">
        <v>471</v>
      </c>
      <c r="AE211" s="36"/>
      <c r="AF211" s="36">
        <f>COUNTIF(Tabla1[[#This Row],[GENERO_MASCULINO]:[GENERO_FEMENINO]],"MASCULINO")</f>
        <v>1</v>
      </c>
      <c r="AG211" s="36">
        <f>COUNTIF(Tabla1[[#This Row],[GENERO_MASCULINO]:[GENERO_FEMENINO]],"FEMENINO")</f>
        <v>0</v>
      </c>
      <c r="AH211" s="61">
        <v>34</v>
      </c>
      <c r="AI211" s="61">
        <v>22</v>
      </c>
      <c r="AJ211" s="61"/>
      <c r="AK211" s="61"/>
      <c r="AL211" s="61"/>
      <c r="AM211" s="36"/>
      <c r="AN211" s="61">
        <v>114</v>
      </c>
      <c r="AO211" s="36" t="str">
        <f>IFERROR(((VLOOKUP(Tabla1[[#This Row],[HIPOTESIS_1]],listas!$D$1:$E$105,2,FALSE))),"SIN INFORMACIÓN")</f>
        <v>Embriaguez aparente.</v>
      </c>
      <c r="AP211" s="36">
        <v>139</v>
      </c>
      <c r="AQ211" s="36" t="str">
        <f>IFERROR(((VLOOKUP(Tabla1[[#This Row],[HIPOTESIS_2]],listas!$D$1:$E$105,2,FALSE))),"")</f>
        <v>Impericia en el manejo.</v>
      </c>
      <c r="AR211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212" spans="1:44" x14ac:dyDescent="0.25">
      <c r="A212" s="12">
        <v>973</v>
      </c>
      <c r="B212" s="136">
        <v>0</v>
      </c>
      <c r="C212" s="136">
        <v>3</v>
      </c>
      <c r="D212" s="141">
        <v>0</v>
      </c>
      <c r="E212" s="18" t="str">
        <f t="shared" si="12"/>
        <v>LESIONADO</v>
      </c>
      <c r="F212" s="26" t="s">
        <v>19</v>
      </c>
      <c r="G212" s="20">
        <v>5.3304169999999997</v>
      </c>
      <c r="H212" s="20">
        <v>-72.392283000000006</v>
      </c>
      <c r="I212" s="93" t="s">
        <v>697</v>
      </c>
      <c r="J212" s="135" t="s">
        <v>717</v>
      </c>
      <c r="K212" s="24" t="str">
        <f t="shared" si="13"/>
        <v>2025</v>
      </c>
      <c r="L212" s="24" t="str">
        <f t="shared" si="14"/>
        <v>MAYO</v>
      </c>
      <c r="M212" s="224">
        <v>45804</v>
      </c>
      <c r="N212" s="24" t="str">
        <f t="shared" si="15"/>
        <v>MARTES</v>
      </c>
      <c r="O212" s="171">
        <v>0.18333333333333335</v>
      </c>
      <c r="P212" s="63" t="s">
        <v>469</v>
      </c>
      <c r="Q212" s="63" t="s">
        <v>469</v>
      </c>
      <c r="R212" s="36">
        <f>COUNTIF(Tabla1[[#This Row],[VEHICULOS_ACCIDENTADOS]:[VEHICULOS_ACCIDENTADOS2]],"MOTOCICLETA")</f>
        <v>2</v>
      </c>
      <c r="S212" s="36">
        <f>COUNTIF(Tabla1[[#This Row],[VEHICULOS_ACCIDENTADOS]:[VEHICULOS_ACCIDENTADOS2]],"MOTOCARRO")</f>
        <v>0</v>
      </c>
      <c r="T212" s="36">
        <f>COUNTIF(Tabla1[[#This Row],[VEHICULOS_ACCIDENTADOS]:[VEHICULOS_ACCIDENTADOS2]],"AUTOMOVIL")</f>
        <v>0</v>
      </c>
      <c r="U212" s="36">
        <f>COUNTIF(Tabla1[[#This Row],[VEHICULOS_ACCIDENTADOS]:[VEHICULOS_ACCIDENTADOS2]],"CAMPERO")</f>
        <v>0</v>
      </c>
      <c r="V212" s="36">
        <f>COUNTIF(Tabla1[[#This Row],[VEHICULOS_ACCIDENTADOS]:[VEHICULOS_ACCIDENTADOS2]],"CAMIONETA")</f>
        <v>0</v>
      </c>
      <c r="W212" s="36">
        <f>COUNTIF(Tabla1[[#This Row],[VEHICULOS_ACCIDENTADOS]:[VEHICULOS_ACCIDENTADOS2]],"MICROBUS")</f>
        <v>0</v>
      </c>
      <c r="X212" s="36">
        <f>COUNTIF(Tabla1[[#This Row],[VEHICULOS_ACCIDENTADOS]:[VEHICULOS_ACCIDENTADOS2]],"BUS")</f>
        <v>0</v>
      </c>
      <c r="Y212" s="36">
        <f>COUNTIF(Tabla1[[#This Row],[VEHICULOS_ACCIDENTADOS]:[VEHICULOS_ACCIDENTADOS2]],"BUSETA")</f>
        <v>0</v>
      </c>
      <c r="Z212" s="36">
        <f>COUNTIF(Tabla1[[#This Row],[VEHICULOS_ACCIDENTADOS]:[VEHICULOS_ACCIDENTADOS2]],"CAMION")</f>
        <v>0</v>
      </c>
      <c r="AA212" s="36">
        <f>COUNTIF(Tabla1[[#This Row],[VEHICULOS_ACCIDENTADOS]:[VEHICULOS_ACCIDENTADOS2]],"TRACTOCAMION")</f>
        <v>0</v>
      </c>
      <c r="AB212" s="36">
        <f>COUNTIF(Tabla1[[#This Row],[VEHICULOS_ACCIDENTADOS]:[VEHICULOS_ACCIDENTADOS2]],"VOLQUETA")</f>
        <v>0</v>
      </c>
      <c r="AC212" s="36">
        <f>COUNTIF(Tabla1[[#This Row],[VEHICULOS_ACCIDENTADOS]:[VEHICULOS_ACCIDENTADOS2]],"BICICLETA")</f>
        <v>0</v>
      </c>
      <c r="AD212" s="36" t="s">
        <v>471</v>
      </c>
      <c r="AE212" s="36" t="s">
        <v>471</v>
      </c>
      <c r="AF212" s="36">
        <f>COUNTIF(Tabla1[[#This Row],[GENERO_MASCULINO]:[GENERO_FEMENINO]],"MASCULINO")</f>
        <v>2</v>
      </c>
      <c r="AG212" s="36">
        <f>COUNTIF(Tabla1[[#This Row],[GENERO_MASCULINO]:[GENERO_FEMENINO]],"FEMENINO")</f>
        <v>0</v>
      </c>
      <c r="AH212" s="85">
        <v>18</v>
      </c>
      <c r="AI212" s="85">
        <v>21</v>
      </c>
      <c r="AJ212" s="85">
        <v>23</v>
      </c>
      <c r="AK212" s="85"/>
      <c r="AL212" s="78"/>
      <c r="AM212" s="59"/>
      <c r="AN212" s="85">
        <v>114</v>
      </c>
      <c r="AO212" s="36" t="str">
        <f>IFERROR(((VLOOKUP(Tabla1[[#This Row],[HIPOTESIS_1]],listas!$D$1:$E$105,2,FALSE))),"SIN INFORMACIÓN")</f>
        <v>Embriaguez aparente.</v>
      </c>
      <c r="AP212" s="36">
        <v>139</v>
      </c>
      <c r="AQ212" s="36" t="str">
        <f>IFERROR(((VLOOKUP(Tabla1[[#This Row],[HIPOTESIS_2]],listas!$D$1:$E$105,2,FALSE))),"")</f>
        <v>Impericia en el manejo.</v>
      </c>
      <c r="AR212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213" spans="1:44" x14ac:dyDescent="0.25">
      <c r="A213" s="12">
        <v>1086</v>
      </c>
      <c r="B213" s="137">
        <v>1</v>
      </c>
      <c r="C213" s="137">
        <v>0</v>
      </c>
      <c r="D213" s="137">
        <v>0</v>
      </c>
      <c r="E213" s="24" t="str">
        <f t="shared" si="12"/>
        <v>SOLO DAÑO</v>
      </c>
      <c r="F213" s="152" t="s">
        <v>915</v>
      </c>
      <c r="G213" s="30">
        <v>5.3408239478386097</v>
      </c>
      <c r="H213" s="30">
        <v>-72.397773372734306</v>
      </c>
      <c r="I213" s="165" t="s">
        <v>697</v>
      </c>
      <c r="J213" s="36" t="s">
        <v>717</v>
      </c>
      <c r="K213" s="24" t="str">
        <f t="shared" si="13"/>
        <v>2025</v>
      </c>
      <c r="L213" s="24" t="str">
        <f t="shared" si="14"/>
        <v>SEPTIEMBRE</v>
      </c>
      <c r="M213" s="225">
        <v>45916</v>
      </c>
      <c r="N213" s="24" t="str">
        <f t="shared" si="15"/>
        <v>MARTES</v>
      </c>
      <c r="O213" s="101">
        <v>0.57361111111111107</v>
      </c>
      <c r="P213" s="63" t="s">
        <v>469</v>
      </c>
      <c r="Q213" s="63" t="s">
        <v>447</v>
      </c>
      <c r="R213" s="36">
        <f>COUNTIF(Tabla1[[#This Row],[VEHICULOS_ACCIDENTADOS]:[VEHICULOS_ACCIDENTADOS2]],"MOTOCICLETA")</f>
        <v>1</v>
      </c>
      <c r="S213" s="36">
        <f>COUNTIF(Tabla1[[#This Row],[VEHICULOS_ACCIDENTADOS]:[VEHICULOS_ACCIDENTADOS2]],"MOTOCARRO")</f>
        <v>0</v>
      </c>
      <c r="T213" s="36">
        <f>COUNTIF(Tabla1[[#This Row],[VEHICULOS_ACCIDENTADOS]:[VEHICULOS_ACCIDENTADOS2]],"AUTOMOVIL")</f>
        <v>1</v>
      </c>
      <c r="U213" s="36">
        <f>COUNTIF(Tabla1[[#This Row],[VEHICULOS_ACCIDENTADOS]:[VEHICULOS_ACCIDENTADOS2]],"CAMPERO")</f>
        <v>0</v>
      </c>
      <c r="V213" s="36">
        <f>COUNTIF(Tabla1[[#This Row],[VEHICULOS_ACCIDENTADOS]:[VEHICULOS_ACCIDENTADOS2]],"CAMIONETA")</f>
        <v>0</v>
      </c>
      <c r="W213" s="36">
        <f>COUNTIF(Tabla1[[#This Row],[VEHICULOS_ACCIDENTADOS]:[VEHICULOS_ACCIDENTADOS2]],"MICROBUS")</f>
        <v>0</v>
      </c>
      <c r="X213" s="36">
        <f>COUNTIF(Tabla1[[#This Row],[VEHICULOS_ACCIDENTADOS]:[VEHICULOS_ACCIDENTADOS2]],"BUS")</f>
        <v>0</v>
      </c>
      <c r="Y213" s="36">
        <f>COUNTIF(Tabla1[[#This Row],[VEHICULOS_ACCIDENTADOS]:[VEHICULOS_ACCIDENTADOS2]],"BUSETA")</f>
        <v>0</v>
      </c>
      <c r="Z213" s="36">
        <f>COUNTIF(Tabla1[[#This Row],[VEHICULOS_ACCIDENTADOS]:[VEHICULOS_ACCIDENTADOS2]],"CAMION")</f>
        <v>0</v>
      </c>
      <c r="AA213" s="36">
        <f>COUNTIF(Tabla1[[#This Row],[VEHICULOS_ACCIDENTADOS]:[VEHICULOS_ACCIDENTADOS2]],"TRACTOCAMION")</f>
        <v>0</v>
      </c>
      <c r="AB213" s="36">
        <f>COUNTIF(Tabla1[[#This Row],[VEHICULOS_ACCIDENTADOS]:[VEHICULOS_ACCIDENTADOS2]],"VOLQUETA")</f>
        <v>0</v>
      </c>
      <c r="AC213" s="36">
        <f>COUNTIF(Tabla1[[#This Row],[VEHICULOS_ACCIDENTADOS]:[VEHICULOS_ACCIDENTADOS2]],"BICICLETA")</f>
        <v>0</v>
      </c>
      <c r="AD213" s="61" t="s">
        <v>471</v>
      </c>
      <c r="AE213" s="61" t="s">
        <v>471</v>
      </c>
      <c r="AF213" s="36">
        <f>COUNTIF(Tabla1[[#This Row],[GENERO_MASCULINO]:[GENERO_FEMENINO]],"MASCULINO")</f>
        <v>2</v>
      </c>
      <c r="AG213" s="36">
        <f>COUNTIF(Tabla1[[#This Row],[GENERO_MASCULINO]:[GENERO_FEMENINO]],"FEMENINO")</f>
        <v>0</v>
      </c>
      <c r="AH213" s="85"/>
      <c r="AI213" s="85"/>
      <c r="AJ213" s="85"/>
      <c r="AK213" s="78"/>
      <c r="AL213" s="78"/>
      <c r="AM213" s="59"/>
      <c r="AN213" s="61">
        <v>128</v>
      </c>
      <c r="AO213" s="59" t="str">
        <f>IFERROR(((VLOOKUP(Tabla1[[#This Row],[HIPOTESIS_1]],listas!$D$1:$E$105,2,FALSE))),"SIN INFORMACIÓN")</f>
        <v>Recoger o dejar pasajeros sobre la calzada.</v>
      </c>
      <c r="AP213" s="36">
        <v>139</v>
      </c>
      <c r="AQ213" s="36" t="str">
        <f>IFERROR(((VLOOKUP(Tabla1[[#This Row],[HIPOTESIS_2]],listas!$D$1:$E$105,2,FALSE))),"")</f>
        <v>Impericia en el manejo.</v>
      </c>
      <c r="AR213" s="2" t="str">
        <f>IF(HOUR(Tabla1[[#This Row],[HORA_ACCIDENTE]])&lt;6,"MAÑANA",
 IF(HOUR(Tabla1[[#This Row],[HORA_ACCIDENTE]])&lt;12,"MAÑANA",
 IF(HOUR(Tabla1[[#This Row],[HORA_ACCIDENTE]])&lt;18,"TARDE","NOCHE")))</f>
        <v>TARDE</v>
      </c>
    </row>
    <row r="214" spans="1:44" x14ac:dyDescent="0.25">
      <c r="A214" s="12">
        <v>1090</v>
      </c>
      <c r="B214" s="137">
        <v>1</v>
      </c>
      <c r="C214" s="137">
        <v>0</v>
      </c>
      <c r="D214" s="137">
        <v>0</v>
      </c>
      <c r="E214" s="24" t="str">
        <f t="shared" si="12"/>
        <v>SOLO DAÑO</v>
      </c>
      <c r="F214" s="152" t="s">
        <v>918</v>
      </c>
      <c r="G214" s="30">
        <v>5.3344365488737804</v>
      </c>
      <c r="H214" s="30">
        <v>-72.394449748098793</v>
      </c>
      <c r="I214" s="165" t="s">
        <v>697</v>
      </c>
      <c r="J214" s="36" t="s">
        <v>717</v>
      </c>
      <c r="K214" s="24" t="str">
        <f t="shared" si="13"/>
        <v>2025</v>
      </c>
      <c r="L214" s="24" t="str">
        <f t="shared" si="14"/>
        <v>SEPTIEMBRE</v>
      </c>
      <c r="M214" s="225">
        <v>45922</v>
      </c>
      <c r="N214" s="24" t="str">
        <f t="shared" si="15"/>
        <v>LUNES</v>
      </c>
      <c r="O214" s="101">
        <v>0.17569444444444443</v>
      </c>
      <c r="P214" s="63" t="s">
        <v>469</v>
      </c>
      <c r="Q214" s="63" t="s">
        <v>447</v>
      </c>
      <c r="R214" s="36">
        <f>COUNTIF(Tabla1[[#This Row],[VEHICULOS_ACCIDENTADOS]:[VEHICULOS_ACCIDENTADOS2]],"MOTOCICLETA")</f>
        <v>1</v>
      </c>
      <c r="S214" s="36">
        <f>COUNTIF(Tabla1[[#This Row],[VEHICULOS_ACCIDENTADOS]:[VEHICULOS_ACCIDENTADOS2]],"MOTOCARRO")</f>
        <v>0</v>
      </c>
      <c r="T214" s="36">
        <f>COUNTIF(Tabla1[[#This Row],[VEHICULOS_ACCIDENTADOS]:[VEHICULOS_ACCIDENTADOS2]],"AUTOMOVIL")</f>
        <v>1</v>
      </c>
      <c r="U214" s="36">
        <f>COUNTIF(Tabla1[[#This Row],[VEHICULOS_ACCIDENTADOS]:[VEHICULOS_ACCIDENTADOS2]],"CAMPERO")</f>
        <v>0</v>
      </c>
      <c r="V214" s="36">
        <f>COUNTIF(Tabla1[[#This Row],[VEHICULOS_ACCIDENTADOS]:[VEHICULOS_ACCIDENTADOS2]],"CAMIONETA")</f>
        <v>0</v>
      </c>
      <c r="W214" s="36">
        <f>COUNTIF(Tabla1[[#This Row],[VEHICULOS_ACCIDENTADOS]:[VEHICULOS_ACCIDENTADOS2]],"MICROBUS")</f>
        <v>0</v>
      </c>
      <c r="X214" s="36">
        <f>COUNTIF(Tabla1[[#This Row],[VEHICULOS_ACCIDENTADOS]:[VEHICULOS_ACCIDENTADOS2]],"BUS")</f>
        <v>0</v>
      </c>
      <c r="Y214" s="36">
        <f>COUNTIF(Tabla1[[#This Row],[VEHICULOS_ACCIDENTADOS]:[VEHICULOS_ACCIDENTADOS2]],"BUSETA")</f>
        <v>0</v>
      </c>
      <c r="Z214" s="36">
        <f>COUNTIF(Tabla1[[#This Row],[VEHICULOS_ACCIDENTADOS]:[VEHICULOS_ACCIDENTADOS2]],"CAMION")</f>
        <v>0</v>
      </c>
      <c r="AA214" s="36">
        <f>COUNTIF(Tabla1[[#This Row],[VEHICULOS_ACCIDENTADOS]:[VEHICULOS_ACCIDENTADOS2]],"TRACTOCAMION")</f>
        <v>0</v>
      </c>
      <c r="AB214" s="36">
        <f>COUNTIF(Tabla1[[#This Row],[VEHICULOS_ACCIDENTADOS]:[VEHICULOS_ACCIDENTADOS2]],"VOLQUETA")</f>
        <v>0</v>
      </c>
      <c r="AC214" s="36">
        <f>COUNTIF(Tabla1[[#This Row],[VEHICULOS_ACCIDENTADOS]:[VEHICULOS_ACCIDENTADOS2]],"BICICLETA")</f>
        <v>0</v>
      </c>
      <c r="AD214" s="61" t="s">
        <v>471</v>
      </c>
      <c r="AE214" s="61" t="s">
        <v>471</v>
      </c>
      <c r="AF214" s="36">
        <f>COUNTIF(Tabla1[[#This Row],[GENERO_MASCULINO]:[GENERO_FEMENINO]],"MASCULINO")</f>
        <v>2</v>
      </c>
      <c r="AG214" s="36">
        <f>COUNTIF(Tabla1[[#This Row],[GENERO_MASCULINO]:[GENERO_FEMENINO]],"FEMENINO")</f>
        <v>0</v>
      </c>
      <c r="AH214" s="85"/>
      <c r="AI214" s="85"/>
      <c r="AJ214" s="85"/>
      <c r="AK214" s="78"/>
      <c r="AL214" s="78"/>
      <c r="AM214" s="59"/>
      <c r="AN214" s="61">
        <v>114</v>
      </c>
      <c r="AO214" s="59" t="str">
        <f>IFERROR(((VLOOKUP(Tabla1[[#This Row],[HIPOTESIS_1]],listas!$D$1:$E$105,2,FALSE))),"SIN INFORMACIÓN")</f>
        <v>Embriaguez aparente.</v>
      </c>
      <c r="AP214" s="36">
        <v>139</v>
      </c>
      <c r="AQ214" s="36" t="str">
        <f>IFERROR(((VLOOKUP(Tabla1[[#This Row],[HIPOTESIS_2]],listas!$D$1:$E$105,2,FALSE))),"")</f>
        <v>Impericia en el manejo.</v>
      </c>
      <c r="AR214" s="2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215" spans="1:44" x14ac:dyDescent="0.25">
      <c r="A215" s="12">
        <v>1085</v>
      </c>
      <c r="B215" s="137">
        <v>1</v>
      </c>
      <c r="C215" s="137">
        <v>0</v>
      </c>
      <c r="D215" s="137">
        <v>0</v>
      </c>
      <c r="E215" s="24" t="str">
        <f t="shared" si="12"/>
        <v>SOLO DAÑO</v>
      </c>
      <c r="F215" s="152" t="s">
        <v>919</v>
      </c>
      <c r="G215" s="30">
        <v>5.3487475852798196</v>
      </c>
      <c r="H215" s="30">
        <v>-72.401946816796297</v>
      </c>
      <c r="I215" s="165" t="s">
        <v>697</v>
      </c>
      <c r="J215" s="36" t="s">
        <v>717</v>
      </c>
      <c r="K215" s="24" t="str">
        <f t="shared" si="13"/>
        <v>2025</v>
      </c>
      <c r="L215" s="24" t="str">
        <f t="shared" si="14"/>
        <v>SEPTIEMBRE</v>
      </c>
      <c r="M215" s="225">
        <v>45916</v>
      </c>
      <c r="N215" s="24" t="str">
        <f t="shared" si="15"/>
        <v>MARTES</v>
      </c>
      <c r="O215" s="101">
        <v>0.3972222222222222</v>
      </c>
      <c r="P215" s="63" t="s">
        <v>469</v>
      </c>
      <c r="Q215" s="63" t="s">
        <v>447</v>
      </c>
      <c r="R215" s="36">
        <f>COUNTIF(Tabla1[[#This Row],[VEHICULOS_ACCIDENTADOS]:[VEHICULOS_ACCIDENTADOS2]],"MOTOCICLETA")</f>
        <v>1</v>
      </c>
      <c r="S215" s="36">
        <f>COUNTIF(Tabla1[[#This Row],[VEHICULOS_ACCIDENTADOS]:[VEHICULOS_ACCIDENTADOS2]],"MOTOCARRO")</f>
        <v>0</v>
      </c>
      <c r="T215" s="36">
        <f>COUNTIF(Tabla1[[#This Row],[VEHICULOS_ACCIDENTADOS]:[VEHICULOS_ACCIDENTADOS2]],"AUTOMOVIL")</f>
        <v>1</v>
      </c>
      <c r="U215" s="36">
        <f>COUNTIF(Tabla1[[#This Row],[VEHICULOS_ACCIDENTADOS]:[VEHICULOS_ACCIDENTADOS2]],"CAMPERO")</f>
        <v>0</v>
      </c>
      <c r="V215" s="36">
        <f>COUNTIF(Tabla1[[#This Row],[VEHICULOS_ACCIDENTADOS]:[VEHICULOS_ACCIDENTADOS2]],"CAMIONETA")</f>
        <v>0</v>
      </c>
      <c r="W215" s="36">
        <f>COUNTIF(Tabla1[[#This Row],[VEHICULOS_ACCIDENTADOS]:[VEHICULOS_ACCIDENTADOS2]],"MICROBUS")</f>
        <v>0</v>
      </c>
      <c r="X215" s="36">
        <f>COUNTIF(Tabla1[[#This Row],[VEHICULOS_ACCIDENTADOS]:[VEHICULOS_ACCIDENTADOS2]],"BUS")</f>
        <v>0</v>
      </c>
      <c r="Y215" s="36">
        <f>COUNTIF(Tabla1[[#This Row],[VEHICULOS_ACCIDENTADOS]:[VEHICULOS_ACCIDENTADOS2]],"BUSETA")</f>
        <v>0</v>
      </c>
      <c r="Z215" s="36">
        <f>COUNTIF(Tabla1[[#This Row],[VEHICULOS_ACCIDENTADOS]:[VEHICULOS_ACCIDENTADOS2]],"CAMION")</f>
        <v>0</v>
      </c>
      <c r="AA215" s="36">
        <f>COUNTIF(Tabla1[[#This Row],[VEHICULOS_ACCIDENTADOS]:[VEHICULOS_ACCIDENTADOS2]],"TRACTOCAMION")</f>
        <v>0</v>
      </c>
      <c r="AB215" s="36">
        <f>COUNTIF(Tabla1[[#This Row],[VEHICULOS_ACCIDENTADOS]:[VEHICULOS_ACCIDENTADOS2]],"VOLQUETA")</f>
        <v>0</v>
      </c>
      <c r="AC215" s="36">
        <f>COUNTIF(Tabla1[[#This Row],[VEHICULOS_ACCIDENTADOS]:[VEHICULOS_ACCIDENTADOS2]],"BICICLETA")</f>
        <v>0</v>
      </c>
      <c r="AD215" s="61" t="s">
        <v>472</v>
      </c>
      <c r="AE215" s="61" t="s">
        <v>471</v>
      </c>
      <c r="AF215" s="36">
        <f>COUNTIF(Tabla1[[#This Row],[GENERO_MASCULINO]:[GENERO_FEMENINO]],"MASCULINO")</f>
        <v>1</v>
      </c>
      <c r="AG215" s="36">
        <f>COUNTIF(Tabla1[[#This Row],[GENERO_MASCULINO]:[GENERO_FEMENINO]],"FEMENINO")</f>
        <v>1</v>
      </c>
      <c r="AH215" s="85"/>
      <c r="AI215" s="85"/>
      <c r="AJ215" s="85"/>
      <c r="AK215" s="78"/>
      <c r="AL215" s="78"/>
      <c r="AM215" s="59"/>
      <c r="AN215" s="61">
        <v>139</v>
      </c>
      <c r="AO215" s="59" t="str">
        <f>IFERROR(((VLOOKUP(Tabla1[[#This Row],[HIPOTESIS_1]],listas!$D$1:$E$105,2,FALSE))),"SIN INFORMACIÓN")</f>
        <v>Impericia en el manejo.</v>
      </c>
      <c r="AP215" s="36">
        <v>139</v>
      </c>
      <c r="AQ215" s="36" t="str">
        <f>IFERROR(((VLOOKUP(Tabla1[[#This Row],[HIPOTESIS_2]],listas!$D$1:$E$105,2,FALSE))),"")</f>
        <v>Impericia en el manejo.</v>
      </c>
      <c r="AR215" s="2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216" spans="1:44" x14ac:dyDescent="0.25">
      <c r="A216" s="12">
        <v>383</v>
      </c>
      <c r="B216" s="36">
        <v>0</v>
      </c>
      <c r="C216" s="36">
        <v>0</v>
      </c>
      <c r="D216" s="36">
        <v>1</v>
      </c>
      <c r="E216" s="18" t="str">
        <f t="shared" si="12"/>
        <v>FALLECIDO</v>
      </c>
      <c r="F216" s="29" t="s">
        <v>294</v>
      </c>
      <c r="G216" s="21">
        <v>5.3439977777777772</v>
      </c>
      <c r="H216" s="21">
        <v>-72.399411388888893</v>
      </c>
      <c r="I216" s="93" t="s">
        <v>697</v>
      </c>
      <c r="J216" s="36" t="s">
        <v>717</v>
      </c>
      <c r="K216" s="24" t="str">
        <f t="shared" si="13"/>
        <v>2023</v>
      </c>
      <c r="L216" s="24" t="str">
        <f t="shared" si="14"/>
        <v>ENERO</v>
      </c>
      <c r="M216" s="225">
        <v>44927</v>
      </c>
      <c r="N216" s="24" t="str">
        <f t="shared" si="15"/>
        <v>DOMINGO</v>
      </c>
      <c r="O216" s="101">
        <v>0.36805555555555602</v>
      </c>
      <c r="P216" s="57" t="s">
        <v>469</v>
      </c>
      <c r="Q216" s="57"/>
      <c r="R216" s="36">
        <f>COUNTIF(Tabla1[[#This Row],[VEHICULOS_ACCIDENTADOS]:[VEHICULOS_ACCIDENTADOS2]],"MOTOCICLETA")</f>
        <v>1</v>
      </c>
      <c r="S216" s="36">
        <f>COUNTIF(Tabla1[[#This Row],[VEHICULOS_ACCIDENTADOS]:[VEHICULOS_ACCIDENTADOS2]],"MOTOCARRO")</f>
        <v>0</v>
      </c>
      <c r="T216" s="36">
        <f>COUNTIF(Tabla1[[#This Row],[VEHICULOS_ACCIDENTADOS]:[VEHICULOS_ACCIDENTADOS2]],"AUTOMOVIL")</f>
        <v>0</v>
      </c>
      <c r="U216" s="36">
        <f>COUNTIF(Tabla1[[#This Row],[VEHICULOS_ACCIDENTADOS]:[VEHICULOS_ACCIDENTADOS2]],"CAMPERO")</f>
        <v>0</v>
      </c>
      <c r="V216" s="36">
        <f>COUNTIF(Tabla1[[#This Row],[VEHICULOS_ACCIDENTADOS]:[VEHICULOS_ACCIDENTADOS2]],"CAMIONETA")</f>
        <v>0</v>
      </c>
      <c r="W216" s="36">
        <f>COUNTIF(Tabla1[[#This Row],[VEHICULOS_ACCIDENTADOS]:[VEHICULOS_ACCIDENTADOS2]],"MICROBUS")</f>
        <v>0</v>
      </c>
      <c r="X216" s="36">
        <f>COUNTIF(Tabla1[[#This Row],[VEHICULOS_ACCIDENTADOS]:[VEHICULOS_ACCIDENTADOS2]],"BUS")</f>
        <v>0</v>
      </c>
      <c r="Y216" s="36">
        <f>COUNTIF(Tabla1[[#This Row],[VEHICULOS_ACCIDENTADOS]:[VEHICULOS_ACCIDENTADOS2]],"BUSETA")</f>
        <v>0</v>
      </c>
      <c r="Z216" s="36">
        <f>COUNTIF(Tabla1[[#This Row],[VEHICULOS_ACCIDENTADOS]:[VEHICULOS_ACCIDENTADOS2]],"CAMION")</f>
        <v>0</v>
      </c>
      <c r="AA216" s="36">
        <f>COUNTIF(Tabla1[[#This Row],[VEHICULOS_ACCIDENTADOS]:[VEHICULOS_ACCIDENTADOS2]],"TRACTOCAMION")</f>
        <v>0</v>
      </c>
      <c r="AB216" s="36">
        <f>COUNTIF(Tabla1[[#This Row],[VEHICULOS_ACCIDENTADOS]:[VEHICULOS_ACCIDENTADOS2]],"VOLQUETA")</f>
        <v>0</v>
      </c>
      <c r="AC216" s="36">
        <f>COUNTIF(Tabla1[[#This Row],[VEHICULOS_ACCIDENTADOS]:[VEHICULOS_ACCIDENTADOS2]],"BICICLETA")</f>
        <v>0</v>
      </c>
      <c r="AD216" s="36" t="s">
        <v>471</v>
      </c>
      <c r="AE216" s="36"/>
      <c r="AF216" s="36">
        <f>COUNTIF(Tabla1[[#This Row],[GENERO_MASCULINO]:[GENERO_FEMENINO]],"MASCULINO")</f>
        <v>1</v>
      </c>
      <c r="AG216" s="36">
        <f>COUNTIF(Tabla1[[#This Row],[GENERO_MASCULINO]:[GENERO_FEMENINO]],"FEMENINO")</f>
        <v>0</v>
      </c>
      <c r="AH216" s="78"/>
      <c r="AI216" s="78"/>
      <c r="AJ216" s="61"/>
      <c r="AK216" s="61"/>
      <c r="AL216" s="61"/>
      <c r="AM216" s="36">
        <v>23</v>
      </c>
      <c r="AN216" s="61">
        <v>114</v>
      </c>
      <c r="AO216" s="36" t="str">
        <f>IFERROR(((VLOOKUP(Tabla1[[#This Row],[HIPOTESIS_1]],listas!$D$1:$E$105,2,FALSE))),"SIN INFORMACIÓN")</f>
        <v>Embriaguez aparente.</v>
      </c>
      <c r="AP216" s="36">
        <v>139</v>
      </c>
      <c r="AQ216" s="36" t="str">
        <f>IFERROR(((VLOOKUP(Tabla1[[#This Row],[HIPOTESIS_2]],listas!$D$1:$E$105,2,FALSE))),"")</f>
        <v>Impericia en el manejo.</v>
      </c>
      <c r="AR216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217" spans="1:44" x14ac:dyDescent="0.25">
      <c r="A217" s="12">
        <v>502</v>
      </c>
      <c r="B217" s="36">
        <v>0</v>
      </c>
      <c r="C217" s="36">
        <v>2</v>
      </c>
      <c r="D217" s="36">
        <v>0</v>
      </c>
      <c r="E217" s="18" t="str">
        <f t="shared" si="12"/>
        <v>LESIONADO</v>
      </c>
      <c r="F217" s="29" t="s">
        <v>1114</v>
      </c>
      <c r="G217" s="17">
        <v>5.3467961111111109</v>
      </c>
      <c r="H217" s="17">
        <v>-72.39990111111112</v>
      </c>
      <c r="I217" s="93" t="s">
        <v>697</v>
      </c>
      <c r="J217" s="36" t="s">
        <v>717</v>
      </c>
      <c r="K217" s="24" t="str">
        <f t="shared" si="13"/>
        <v>2023</v>
      </c>
      <c r="L217" s="24" t="str">
        <f t="shared" si="14"/>
        <v>JUNIO</v>
      </c>
      <c r="M217" s="225">
        <v>45084</v>
      </c>
      <c r="N217" s="24" t="str">
        <f t="shared" si="15"/>
        <v>MIÉRCOLES</v>
      </c>
      <c r="O217" s="101">
        <v>0.875</v>
      </c>
      <c r="P217" s="57" t="s">
        <v>469</v>
      </c>
      <c r="Q217" s="57" t="s">
        <v>447</v>
      </c>
      <c r="R217" s="36">
        <f>COUNTIF(Tabla1[[#This Row],[VEHICULOS_ACCIDENTADOS]:[VEHICULOS_ACCIDENTADOS2]],"MOTOCICLETA")</f>
        <v>1</v>
      </c>
      <c r="S217" s="36">
        <f>COUNTIF(Tabla1[[#This Row],[VEHICULOS_ACCIDENTADOS]:[VEHICULOS_ACCIDENTADOS2]],"MOTOCARRO")</f>
        <v>0</v>
      </c>
      <c r="T217" s="36">
        <f>COUNTIF(Tabla1[[#This Row],[VEHICULOS_ACCIDENTADOS]:[VEHICULOS_ACCIDENTADOS2]],"AUTOMOVIL")</f>
        <v>1</v>
      </c>
      <c r="U217" s="36">
        <f>COUNTIF(Tabla1[[#This Row],[VEHICULOS_ACCIDENTADOS]:[VEHICULOS_ACCIDENTADOS2]],"CAMPERO")</f>
        <v>0</v>
      </c>
      <c r="V217" s="36">
        <f>COUNTIF(Tabla1[[#This Row],[VEHICULOS_ACCIDENTADOS]:[VEHICULOS_ACCIDENTADOS2]],"CAMIONETA")</f>
        <v>0</v>
      </c>
      <c r="W217" s="36">
        <f>COUNTIF(Tabla1[[#This Row],[VEHICULOS_ACCIDENTADOS]:[VEHICULOS_ACCIDENTADOS2]],"MICROBUS")</f>
        <v>0</v>
      </c>
      <c r="X217" s="36">
        <f>COUNTIF(Tabla1[[#This Row],[VEHICULOS_ACCIDENTADOS]:[VEHICULOS_ACCIDENTADOS2]],"BUS")</f>
        <v>0</v>
      </c>
      <c r="Y217" s="36">
        <f>COUNTIF(Tabla1[[#This Row],[VEHICULOS_ACCIDENTADOS]:[VEHICULOS_ACCIDENTADOS2]],"BUSETA")</f>
        <v>0</v>
      </c>
      <c r="Z217" s="36">
        <f>COUNTIF(Tabla1[[#This Row],[VEHICULOS_ACCIDENTADOS]:[VEHICULOS_ACCIDENTADOS2]],"CAMION")</f>
        <v>0</v>
      </c>
      <c r="AA217" s="36">
        <f>COUNTIF(Tabla1[[#This Row],[VEHICULOS_ACCIDENTADOS]:[VEHICULOS_ACCIDENTADOS2]],"TRACTOCAMION")</f>
        <v>0</v>
      </c>
      <c r="AB217" s="36">
        <f>COUNTIF(Tabla1[[#This Row],[VEHICULOS_ACCIDENTADOS]:[VEHICULOS_ACCIDENTADOS2]],"VOLQUETA")</f>
        <v>0</v>
      </c>
      <c r="AC217" s="36">
        <f>COUNTIF(Tabla1[[#This Row],[VEHICULOS_ACCIDENTADOS]:[VEHICULOS_ACCIDENTADOS2]],"BICICLETA")</f>
        <v>0</v>
      </c>
      <c r="AD217" s="36" t="s">
        <v>471</v>
      </c>
      <c r="AE217" s="36"/>
      <c r="AF217" s="36">
        <f>COUNTIF(Tabla1[[#This Row],[GENERO_MASCULINO]:[GENERO_FEMENINO]],"MASCULINO")</f>
        <v>1</v>
      </c>
      <c r="AG217" s="36">
        <f>COUNTIF(Tabla1[[#This Row],[GENERO_MASCULINO]:[GENERO_FEMENINO]],"FEMENINO")</f>
        <v>0</v>
      </c>
      <c r="AH217" s="61">
        <v>17</v>
      </c>
      <c r="AI217" s="61"/>
      <c r="AJ217" s="61"/>
      <c r="AK217" s="61"/>
      <c r="AL217" s="61">
        <v>27</v>
      </c>
      <c r="AM217" s="36"/>
      <c r="AN217" s="61">
        <v>157</v>
      </c>
      <c r="AO217" s="36" t="str">
        <f>IFERROR(((VLOOKUP(Tabla1[[#This Row],[HIPOTESIS_1]],listas!$D$1:$E$105,2,FALSE))),"SIN INFORMACIÓN")</f>
        <v>Otra</v>
      </c>
      <c r="AP217" s="36">
        <v>139</v>
      </c>
      <c r="AQ217" s="36" t="str">
        <f>IFERROR(((VLOOKUP(Tabla1[[#This Row],[HIPOTESIS_2]],listas!$D$1:$E$105,2,FALSE))),"")</f>
        <v>Impericia en el manejo.</v>
      </c>
      <c r="AR217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218" spans="1:44" x14ac:dyDescent="0.25">
      <c r="A218" s="12">
        <v>386</v>
      </c>
      <c r="B218" s="36">
        <v>0</v>
      </c>
      <c r="C218" s="36">
        <v>3</v>
      </c>
      <c r="D218" s="36">
        <v>0</v>
      </c>
      <c r="E218" s="18" t="str">
        <f t="shared" si="12"/>
        <v>LESIONADO</v>
      </c>
      <c r="F218" s="29" t="s">
        <v>1116</v>
      </c>
      <c r="G218" s="21">
        <v>5.3428688888888889</v>
      </c>
      <c r="H218" s="21">
        <v>-72.397781388888902</v>
      </c>
      <c r="I218" s="93" t="s">
        <v>697</v>
      </c>
      <c r="J218" s="36" t="s">
        <v>717</v>
      </c>
      <c r="K218" s="24" t="str">
        <f t="shared" si="13"/>
        <v>2023</v>
      </c>
      <c r="L218" s="24" t="str">
        <f t="shared" si="14"/>
        <v>ENERO</v>
      </c>
      <c r="M218" s="225">
        <v>44934</v>
      </c>
      <c r="N218" s="24" t="str">
        <f t="shared" si="15"/>
        <v>DOMINGO</v>
      </c>
      <c r="O218" s="101">
        <v>0.76388888888888895</v>
      </c>
      <c r="P218" s="57" t="s">
        <v>469</v>
      </c>
      <c r="Q218" s="57" t="s">
        <v>469</v>
      </c>
      <c r="R218" s="36">
        <f>COUNTIF(Tabla1[[#This Row],[VEHICULOS_ACCIDENTADOS]:[VEHICULOS_ACCIDENTADOS2]],"MOTOCICLETA")</f>
        <v>2</v>
      </c>
      <c r="S218" s="36">
        <f>COUNTIF(Tabla1[[#This Row],[VEHICULOS_ACCIDENTADOS]:[VEHICULOS_ACCIDENTADOS2]],"MOTOCARRO")</f>
        <v>0</v>
      </c>
      <c r="T218" s="36">
        <f>COUNTIF(Tabla1[[#This Row],[VEHICULOS_ACCIDENTADOS]:[VEHICULOS_ACCIDENTADOS2]],"AUTOMOVIL")</f>
        <v>0</v>
      </c>
      <c r="U218" s="36">
        <f>COUNTIF(Tabla1[[#This Row],[VEHICULOS_ACCIDENTADOS]:[VEHICULOS_ACCIDENTADOS2]],"CAMPERO")</f>
        <v>0</v>
      </c>
      <c r="V218" s="36">
        <f>COUNTIF(Tabla1[[#This Row],[VEHICULOS_ACCIDENTADOS]:[VEHICULOS_ACCIDENTADOS2]],"CAMIONETA")</f>
        <v>0</v>
      </c>
      <c r="W218" s="36">
        <f>COUNTIF(Tabla1[[#This Row],[VEHICULOS_ACCIDENTADOS]:[VEHICULOS_ACCIDENTADOS2]],"MICROBUS")</f>
        <v>0</v>
      </c>
      <c r="X218" s="36">
        <f>COUNTIF(Tabla1[[#This Row],[VEHICULOS_ACCIDENTADOS]:[VEHICULOS_ACCIDENTADOS2]],"BUS")</f>
        <v>0</v>
      </c>
      <c r="Y218" s="36">
        <f>COUNTIF(Tabla1[[#This Row],[VEHICULOS_ACCIDENTADOS]:[VEHICULOS_ACCIDENTADOS2]],"BUSETA")</f>
        <v>0</v>
      </c>
      <c r="Z218" s="36">
        <f>COUNTIF(Tabla1[[#This Row],[VEHICULOS_ACCIDENTADOS]:[VEHICULOS_ACCIDENTADOS2]],"CAMION")</f>
        <v>0</v>
      </c>
      <c r="AA218" s="36">
        <f>COUNTIF(Tabla1[[#This Row],[VEHICULOS_ACCIDENTADOS]:[VEHICULOS_ACCIDENTADOS2]],"TRACTOCAMION")</f>
        <v>0</v>
      </c>
      <c r="AB218" s="36">
        <f>COUNTIF(Tabla1[[#This Row],[VEHICULOS_ACCIDENTADOS]:[VEHICULOS_ACCIDENTADOS2]],"VOLQUETA")</f>
        <v>0</v>
      </c>
      <c r="AC218" s="36">
        <f>COUNTIF(Tabla1[[#This Row],[VEHICULOS_ACCIDENTADOS]:[VEHICULOS_ACCIDENTADOS2]],"BICICLETA")</f>
        <v>0</v>
      </c>
      <c r="AD218" s="36" t="s">
        <v>471</v>
      </c>
      <c r="AE218" s="36" t="s">
        <v>472</v>
      </c>
      <c r="AF218" s="36">
        <f>COUNTIF(Tabla1[[#This Row],[GENERO_MASCULINO]:[GENERO_FEMENINO]],"MASCULINO")</f>
        <v>1</v>
      </c>
      <c r="AG218" s="36">
        <f>COUNTIF(Tabla1[[#This Row],[GENERO_MASCULINO]:[GENERO_FEMENINO]],"FEMENINO")</f>
        <v>1</v>
      </c>
      <c r="AH218" s="61">
        <v>24</v>
      </c>
      <c r="AI218" s="61">
        <v>23</v>
      </c>
      <c r="AJ218" s="61"/>
      <c r="AK218" s="61"/>
      <c r="AL218" s="61">
        <v>22</v>
      </c>
      <c r="AM218" s="36"/>
      <c r="AN218" s="61">
        <v>139</v>
      </c>
      <c r="AO218" s="36" t="str">
        <f>IFERROR(((VLOOKUP(Tabla1[[#This Row],[HIPOTESIS_1]],listas!$D$1:$E$105,2,FALSE))),"SIN INFORMACIÓN")</f>
        <v>Impericia en el manejo.</v>
      </c>
      <c r="AP218" s="36">
        <v>139</v>
      </c>
      <c r="AQ218" s="36" t="str">
        <f>IFERROR(((VLOOKUP(Tabla1[[#This Row],[HIPOTESIS_2]],listas!$D$1:$E$105,2,FALSE))),"")</f>
        <v>Impericia en el manejo.</v>
      </c>
      <c r="AR218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219" spans="1:44" x14ac:dyDescent="0.25">
      <c r="A219" s="12">
        <v>714</v>
      </c>
      <c r="B219" s="135">
        <v>0</v>
      </c>
      <c r="C219" s="36">
        <v>1</v>
      </c>
      <c r="D219" s="36">
        <v>0</v>
      </c>
      <c r="E219" s="18" t="str">
        <f t="shared" si="12"/>
        <v>LESIONADO</v>
      </c>
      <c r="F219" s="29" t="s">
        <v>1118</v>
      </c>
      <c r="G219" s="17">
        <v>5.3388722222222222</v>
      </c>
      <c r="H219" s="17">
        <v>-72.395641666666677</v>
      </c>
      <c r="I219" s="93" t="s">
        <v>697</v>
      </c>
      <c r="J219" s="136" t="s">
        <v>717</v>
      </c>
      <c r="K219" s="24" t="str">
        <f t="shared" si="13"/>
        <v>2024</v>
      </c>
      <c r="L219" s="24" t="str">
        <f t="shared" si="14"/>
        <v>MAYO</v>
      </c>
      <c r="M219" s="225">
        <v>45427</v>
      </c>
      <c r="N219" s="24" t="str">
        <f t="shared" si="15"/>
        <v>MIÉRCOLES</v>
      </c>
      <c r="O219" s="101">
        <v>0.89236111111111116</v>
      </c>
      <c r="P219" s="57" t="s">
        <v>469</v>
      </c>
      <c r="Q219" s="57" t="s">
        <v>446</v>
      </c>
      <c r="R219" s="36">
        <f>COUNTIF(Tabla1[[#This Row],[VEHICULOS_ACCIDENTADOS]:[VEHICULOS_ACCIDENTADOS2]],"MOTOCICLETA")</f>
        <v>1</v>
      </c>
      <c r="S219" s="36">
        <f>COUNTIF(Tabla1[[#This Row],[VEHICULOS_ACCIDENTADOS]:[VEHICULOS_ACCIDENTADOS2]],"MOTOCARRO")</f>
        <v>0</v>
      </c>
      <c r="T219" s="36">
        <f>COUNTIF(Tabla1[[#This Row],[VEHICULOS_ACCIDENTADOS]:[VEHICULOS_ACCIDENTADOS2]],"AUTOMOVIL")</f>
        <v>0</v>
      </c>
      <c r="U219" s="36">
        <f>COUNTIF(Tabla1[[#This Row],[VEHICULOS_ACCIDENTADOS]:[VEHICULOS_ACCIDENTADOS2]],"CAMPERO")</f>
        <v>1</v>
      </c>
      <c r="V219" s="36">
        <f>COUNTIF(Tabla1[[#This Row],[VEHICULOS_ACCIDENTADOS]:[VEHICULOS_ACCIDENTADOS2]],"CAMIONETA")</f>
        <v>0</v>
      </c>
      <c r="W219" s="36">
        <f>COUNTIF(Tabla1[[#This Row],[VEHICULOS_ACCIDENTADOS]:[VEHICULOS_ACCIDENTADOS2]],"MICROBUS")</f>
        <v>0</v>
      </c>
      <c r="X219" s="36">
        <f>COUNTIF(Tabla1[[#This Row],[VEHICULOS_ACCIDENTADOS]:[VEHICULOS_ACCIDENTADOS2]],"BUS")</f>
        <v>0</v>
      </c>
      <c r="Y219" s="36">
        <f>COUNTIF(Tabla1[[#This Row],[VEHICULOS_ACCIDENTADOS]:[VEHICULOS_ACCIDENTADOS2]],"BUSETA")</f>
        <v>0</v>
      </c>
      <c r="Z219" s="36">
        <f>COUNTIF(Tabla1[[#This Row],[VEHICULOS_ACCIDENTADOS]:[VEHICULOS_ACCIDENTADOS2]],"CAMION")</f>
        <v>0</v>
      </c>
      <c r="AA219" s="36">
        <f>COUNTIF(Tabla1[[#This Row],[VEHICULOS_ACCIDENTADOS]:[VEHICULOS_ACCIDENTADOS2]],"TRACTOCAMION")</f>
        <v>0</v>
      </c>
      <c r="AB219" s="36">
        <f>COUNTIF(Tabla1[[#This Row],[VEHICULOS_ACCIDENTADOS]:[VEHICULOS_ACCIDENTADOS2]],"VOLQUETA")</f>
        <v>0</v>
      </c>
      <c r="AC219" s="36">
        <f>COUNTIF(Tabla1[[#This Row],[VEHICULOS_ACCIDENTADOS]:[VEHICULOS_ACCIDENTADOS2]],"BICICLETA")</f>
        <v>0</v>
      </c>
      <c r="AD219" s="36" t="s">
        <v>471</v>
      </c>
      <c r="AE219" s="36" t="s">
        <v>472</v>
      </c>
      <c r="AF219" s="36">
        <f>COUNTIF(Tabla1[[#This Row],[GENERO_MASCULINO]:[GENERO_FEMENINO]],"MASCULINO")</f>
        <v>1</v>
      </c>
      <c r="AG219" s="36">
        <f>COUNTIF(Tabla1[[#This Row],[GENERO_MASCULINO]:[GENERO_FEMENINO]],"FEMENINO")</f>
        <v>1</v>
      </c>
      <c r="AH219" s="61">
        <v>32</v>
      </c>
      <c r="AI219" s="61">
        <v>0</v>
      </c>
      <c r="AJ219" s="61"/>
      <c r="AK219" s="61"/>
      <c r="AL219" s="61"/>
      <c r="AM219" s="36"/>
      <c r="AN219" s="61">
        <v>112</v>
      </c>
      <c r="AO219" s="36" t="str">
        <f>IFERROR(((VLOOKUP(Tabla1[[#This Row],[HIPOTESIS_1]],listas!$D$1:$E$105,2,FALSE))),"SIN INFORMACIÓN")</f>
        <v>Desobedecer señales o normas de tránsito.</v>
      </c>
      <c r="AP219" s="36">
        <v>139</v>
      </c>
      <c r="AQ219" s="36" t="str">
        <f>IFERROR(((VLOOKUP(Tabla1[[#This Row],[HIPOTESIS_2]],listas!$D$1:$E$105,2,FALSE))),"")</f>
        <v>Impericia en el manejo.</v>
      </c>
      <c r="AR219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220" spans="1:44" x14ac:dyDescent="0.25">
      <c r="A220" s="12">
        <v>869</v>
      </c>
      <c r="B220" s="135">
        <v>0</v>
      </c>
      <c r="C220" s="136">
        <v>1</v>
      </c>
      <c r="D220" s="136">
        <v>0</v>
      </c>
      <c r="E220" s="18" t="str">
        <f t="shared" si="12"/>
        <v>LESIONADO</v>
      </c>
      <c r="F220" s="26" t="s">
        <v>1119</v>
      </c>
      <c r="G220" s="21">
        <v>5.3380789999999996</v>
      </c>
      <c r="H220" s="21">
        <v>-72.395188000000005</v>
      </c>
      <c r="I220" s="93" t="s">
        <v>697</v>
      </c>
      <c r="J220" s="167" t="s">
        <v>717</v>
      </c>
      <c r="K220" s="24" t="str">
        <f t="shared" si="13"/>
        <v>2025</v>
      </c>
      <c r="L220" s="24" t="str">
        <f t="shared" si="14"/>
        <v>FEBRERO</v>
      </c>
      <c r="M220" s="224">
        <v>45694</v>
      </c>
      <c r="N220" s="24" t="str">
        <f t="shared" si="15"/>
        <v>JUEVES</v>
      </c>
      <c r="O220" s="171">
        <v>0.72916666666666663</v>
      </c>
      <c r="P220" s="178" t="s">
        <v>469</v>
      </c>
      <c r="Q220" s="178" t="s">
        <v>447</v>
      </c>
      <c r="R220" s="36">
        <f>COUNTIF(Tabla1[[#This Row],[VEHICULOS_ACCIDENTADOS]:[VEHICULOS_ACCIDENTADOS2]],"MOTOCICLETA")</f>
        <v>1</v>
      </c>
      <c r="S220" s="36">
        <f>COUNTIF(Tabla1[[#This Row],[VEHICULOS_ACCIDENTADOS]:[VEHICULOS_ACCIDENTADOS2]],"MOTOCARRO")</f>
        <v>0</v>
      </c>
      <c r="T220" s="36">
        <f>COUNTIF(Tabla1[[#This Row],[VEHICULOS_ACCIDENTADOS]:[VEHICULOS_ACCIDENTADOS2]],"AUTOMOVIL")</f>
        <v>1</v>
      </c>
      <c r="U220" s="36">
        <f>COUNTIF(Tabla1[[#This Row],[VEHICULOS_ACCIDENTADOS]:[VEHICULOS_ACCIDENTADOS2]],"CAMPERO")</f>
        <v>0</v>
      </c>
      <c r="V220" s="36">
        <f>COUNTIF(Tabla1[[#This Row],[VEHICULOS_ACCIDENTADOS]:[VEHICULOS_ACCIDENTADOS2]],"CAMIONETA")</f>
        <v>0</v>
      </c>
      <c r="W220" s="36">
        <f>COUNTIF(Tabla1[[#This Row],[VEHICULOS_ACCIDENTADOS]:[VEHICULOS_ACCIDENTADOS2]],"MICROBUS")</f>
        <v>0</v>
      </c>
      <c r="X220" s="36">
        <f>COUNTIF(Tabla1[[#This Row],[VEHICULOS_ACCIDENTADOS]:[VEHICULOS_ACCIDENTADOS2]],"BUS")</f>
        <v>0</v>
      </c>
      <c r="Y220" s="36">
        <f>COUNTIF(Tabla1[[#This Row],[VEHICULOS_ACCIDENTADOS]:[VEHICULOS_ACCIDENTADOS2]],"BUSETA")</f>
        <v>0</v>
      </c>
      <c r="Z220" s="36">
        <f>COUNTIF(Tabla1[[#This Row],[VEHICULOS_ACCIDENTADOS]:[VEHICULOS_ACCIDENTADOS2]],"CAMION")</f>
        <v>0</v>
      </c>
      <c r="AA220" s="36">
        <f>COUNTIF(Tabla1[[#This Row],[VEHICULOS_ACCIDENTADOS]:[VEHICULOS_ACCIDENTADOS2]],"TRACTOCAMION")</f>
        <v>0</v>
      </c>
      <c r="AB220" s="36">
        <f>COUNTIF(Tabla1[[#This Row],[VEHICULOS_ACCIDENTADOS]:[VEHICULOS_ACCIDENTADOS2]],"VOLQUETA")</f>
        <v>0</v>
      </c>
      <c r="AC220" s="36">
        <f>COUNTIF(Tabla1[[#This Row],[VEHICULOS_ACCIDENTADOS]:[VEHICULOS_ACCIDENTADOS2]],"BICICLETA")</f>
        <v>0</v>
      </c>
      <c r="AD220" s="136" t="s">
        <v>472</v>
      </c>
      <c r="AE220" s="136" t="s">
        <v>471</v>
      </c>
      <c r="AF220" s="136">
        <f>COUNTIF(Tabla1[[#This Row],[GENERO_MASCULINO]:[GENERO_FEMENINO]],"MASCULINO")</f>
        <v>1</v>
      </c>
      <c r="AG220" s="36">
        <f>COUNTIF(Tabla1[[#This Row],[GENERO_MASCULINO]:[GENERO_FEMENINO]],"FEMENINO")</f>
        <v>1</v>
      </c>
      <c r="AH220" s="85">
        <v>54</v>
      </c>
      <c r="AI220" s="85">
        <v>16</v>
      </c>
      <c r="AJ220" s="85"/>
      <c r="AK220" s="85"/>
      <c r="AL220" s="85"/>
      <c r="AM220" s="136"/>
      <c r="AN220" s="85">
        <v>132</v>
      </c>
      <c r="AO220" s="36" t="str">
        <f>IFERROR(((VLOOKUP(Tabla1[[#This Row],[HIPOTESIS_1]],listas!$D$1:$E$105,2,FALSE))),"SIN INFORMACIÓN")</f>
        <v>No respetar prelación.</v>
      </c>
      <c r="AP220" s="136">
        <v>139</v>
      </c>
      <c r="AQ220" s="36" t="str">
        <f>IFERROR(((VLOOKUP(Tabla1[[#This Row],[HIPOTESIS_2]],listas!$D$1:$E$105,2,FALSE))),"")</f>
        <v>Impericia en el manejo.</v>
      </c>
      <c r="AR220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221" spans="1:44" x14ac:dyDescent="0.25">
      <c r="A221" s="12">
        <v>501</v>
      </c>
      <c r="B221" s="36">
        <v>0</v>
      </c>
      <c r="C221" s="36">
        <v>0</v>
      </c>
      <c r="D221" s="36">
        <v>1</v>
      </c>
      <c r="E221" s="18" t="str">
        <f t="shared" si="12"/>
        <v>FALLECIDO</v>
      </c>
      <c r="F221" s="29" t="s">
        <v>232</v>
      </c>
      <c r="G221" s="21">
        <v>5.3261669999999999</v>
      </c>
      <c r="H221" s="21">
        <v>-72.388723999999996</v>
      </c>
      <c r="I221" s="93" t="s">
        <v>697</v>
      </c>
      <c r="J221" s="36" t="s">
        <v>717</v>
      </c>
      <c r="K221" s="24" t="str">
        <f t="shared" si="13"/>
        <v>2023</v>
      </c>
      <c r="L221" s="24" t="str">
        <f t="shared" si="14"/>
        <v>JUNIO</v>
      </c>
      <c r="M221" s="225">
        <v>45089</v>
      </c>
      <c r="N221" s="24" t="str">
        <f t="shared" si="15"/>
        <v>LUNES</v>
      </c>
      <c r="O221" s="101">
        <v>0.35069444444444442</v>
      </c>
      <c r="P221" s="57" t="s">
        <v>469</v>
      </c>
      <c r="Q221" s="57" t="s">
        <v>445</v>
      </c>
      <c r="R221" s="36">
        <f>COUNTIF(Tabla1[[#This Row],[VEHICULOS_ACCIDENTADOS]:[VEHICULOS_ACCIDENTADOS2]],"MOTOCICLETA")</f>
        <v>1</v>
      </c>
      <c r="S221" s="36">
        <f>COUNTIF(Tabla1[[#This Row],[VEHICULOS_ACCIDENTADOS]:[VEHICULOS_ACCIDENTADOS2]],"MOTOCARRO")</f>
        <v>0</v>
      </c>
      <c r="T221" s="36">
        <f>COUNTIF(Tabla1[[#This Row],[VEHICULOS_ACCIDENTADOS]:[VEHICULOS_ACCIDENTADOS2]],"AUTOMOVIL")</f>
        <v>0</v>
      </c>
      <c r="U221" s="36">
        <f>COUNTIF(Tabla1[[#This Row],[VEHICULOS_ACCIDENTADOS]:[VEHICULOS_ACCIDENTADOS2]],"CAMPERO")</f>
        <v>0</v>
      </c>
      <c r="V221" s="36">
        <f>COUNTIF(Tabla1[[#This Row],[VEHICULOS_ACCIDENTADOS]:[VEHICULOS_ACCIDENTADOS2]],"CAMIONETA")</f>
        <v>1</v>
      </c>
      <c r="W221" s="36">
        <f>COUNTIF(Tabla1[[#This Row],[VEHICULOS_ACCIDENTADOS]:[VEHICULOS_ACCIDENTADOS2]],"MICROBUS")</f>
        <v>0</v>
      </c>
      <c r="X221" s="36">
        <f>COUNTIF(Tabla1[[#This Row],[VEHICULOS_ACCIDENTADOS]:[VEHICULOS_ACCIDENTADOS2]],"BUS")</f>
        <v>0</v>
      </c>
      <c r="Y221" s="36">
        <f>COUNTIF(Tabla1[[#This Row],[VEHICULOS_ACCIDENTADOS]:[VEHICULOS_ACCIDENTADOS2]],"BUSETA")</f>
        <v>0</v>
      </c>
      <c r="Z221" s="36">
        <f>COUNTIF(Tabla1[[#This Row],[VEHICULOS_ACCIDENTADOS]:[VEHICULOS_ACCIDENTADOS2]],"CAMION")</f>
        <v>0</v>
      </c>
      <c r="AA221" s="36">
        <f>COUNTIF(Tabla1[[#This Row],[VEHICULOS_ACCIDENTADOS]:[VEHICULOS_ACCIDENTADOS2]],"TRACTOCAMION")</f>
        <v>0</v>
      </c>
      <c r="AB221" s="36">
        <f>COUNTIF(Tabla1[[#This Row],[VEHICULOS_ACCIDENTADOS]:[VEHICULOS_ACCIDENTADOS2]],"VOLQUETA")</f>
        <v>0</v>
      </c>
      <c r="AC221" s="36">
        <f>COUNTIF(Tabla1[[#This Row],[VEHICULOS_ACCIDENTADOS]:[VEHICULOS_ACCIDENTADOS2]],"BICICLETA")</f>
        <v>0</v>
      </c>
      <c r="AD221" s="36"/>
      <c r="AE221" s="36" t="s">
        <v>472</v>
      </c>
      <c r="AF221" s="36">
        <f>COUNTIF(Tabla1[[#This Row],[GENERO_MASCULINO]:[GENERO_FEMENINO]],"MASCULINO")</f>
        <v>0</v>
      </c>
      <c r="AG221" s="36">
        <f>COUNTIF(Tabla1[[#This Row],[GENERO_MASCULINO]:[GENERO_FEMENINO]],"FEMENINO")</f>
        <v>1</v>
      </c>
      <c r="AH221" s="61">
        <v>19</v>
      </c>
      <c r="AI221" s="61"/>
      <c r="AJ221" s="61"/>
      <c r="AK221" s="61"/>
      <c r="AL221" s="61"/>
      <c r="AM221" s="36">
        <v>19</v>
      </c>
      <c r="AN221" s="61">
        <v>123</v>
      </c>
      <c r="AO221" s="36" t="str">
        <f>IFERROR(((VLOOKUP(Tabla1[[#This Row],[HIPOTESIS_1]],listas!$D$1:$E$105,2,FALSE))),"SIN INFORMACIÓN")</f>
        <v>No respetar prelación de intersecciones o giros.</v>
      </c>
      <c r="AP221" s="36">
        <v>139</v>
      </c>
      <c r="AQ221" s="36" t="str">
        <f>IFERROR(((VLOOKUP(Tabla1[[#This Row],[HIPOTESIS_2]],listas!$D$1:$E$105,2,FALSE))),"")</f>
        <v>Impericia en el manejo.</v>
      </c>
      <c r="AR221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222" spans="1:44" x14ac:dyDescent="0.25">
      <c r="A222" s="12">
        <v>1102</v>
      </c>
      <c r="B222" s="137">
        <v>0</v>
      </c>
      <c r="C222" s="137">
        <v>2</v>
      </c>
      <c r="D222" s="137">
        <v>0</v>
      </c>
      <c r="E222" s="24" t="str">
        <f t="shared" si="12"/>
        <v>LESIONADO</v>
      </c>
      <c r="F222" s="152" t="s">
        <v>1126</v>
      </c>
      <c r="G222" s="30">
        <v>5.3361199831238801</v>
      </c>
      <c r="H222" s="30">
        <v>-72.393067640013101</v>
      </c>
      <c r="I222" s="165" t="s">
        <v>697</v>
      </c>
      <c r="J222" s="36" t="s">
        <v>717</v>
      </c>
      <c r="K222" s="24" t="str">
        <f t="shared" si="13"/>
        <v>2025</v>
      </c>
      <c r="L222" s="24" t="str">
        <f t="shared" si="14"/>
        <v>OCTUBRE</v>
      </c>
      <c r="M222" s="225">
        <v>45932</v>
      </c>
      <c r="N222" s="24" t="str">
        <f t="shared" si="15"/>
        <v>JUEVES</v>
      </c>
      <c r="O222" s="101">
        <v>0.90972222222222221</v>
      </c>
      <c r="P222" s="63" t="s">
        <v>469</v>
      </c>
      <c r="Q222" s="63" t="s">
        <v>469</v>
      </c>
      <c r="R222" s="36">
        <f>COUNTIF(Tabla1[[#This Row],[VEHICULOS_ACCIDENTADOS]:[VEHICULOS_ACCIDENTADOS2]],"MOTOCICLETA")</f>
        <v>2</v>
      </c>
      <c r="S222" s="36">
        <f>COUNTIF(Tabla1[[#This Row],[VEHICULOS_ACCIDENTADOS]:[VEHICULOS_ACCIDENTADOS2]],"MOTOCARRO")</f>
        <v>0</v>
      </c>
      <c r="T222" s="36">
        <f>COUNTIF(Tabla1[[#This Row],[VEHICULOS_ACCIDENTADOS]:[VEHICULOS_ACCIDENTADOS2]],"AUTOMOVIL")</f>
        <v>0</v>
      </c>
      <c r="U222" s="36">
        <f>COUNTIF(Tabla1[[#This Row],[VEHICULOS_ACCIDENTADOS]:[VEHICULOS_ACCIDENTADOS2]],"CAMPERO")</f>
        <v>0</v>
      </c>
      <c r="V222" s="36">
        <f>COUNTIF(Tabla1[[#This Row],[VEHICULOS_ACCIDENTADOS]:[VEHICULOS_ACCIDENTADOS2]],"CAMIONETA")</f>
        <v>0</v>
      </c>
      <c r="W222" s="36">
        <f>COUNTIF(Tabla1[[#This Row],[VEHICULOS_ACCIDENTADOS]:[VEHICULOS_ACCIDENTADOS2]],"MICROBUS")</f>
        <v>0</v>
      </c>
      <c r="X222" s="36">
        <f>COUNTIF(Tabla1[[#This Row],[VEHICULOS_ACCIDENTADOS]:[VEHICULOS_ACCIDENTADOS2]],"BUS")</f>
        <v>0</v>
      </c>
      <c r="Y222" s="36">
        <f>COUNTIF(Tabla1[[#This Row],[VEHICULOS_ACCIDENTADOS]:[VEHICULOS_ACCIDENTADOS2]],"BUSETA")</f>
        <v>0</v>
      </c>
      <c r="Z222" s="36">
        <f>COUNTIF(Tabla1[[#This Row],[VEHICULOS_ACCIDENTADOS]:[VEHICULOS_ACCIDENTADOS2]],"CAMION")</f>
        <v>0</v>
      </c>
      <c r="AA222" s="36">
        <f>COUNTIF(Tabla1[[#This Row],[VEHICULOS_ACCIDENTADOS]:[VEHICULOS_ACCIDENTADOS2]],"TRACTOCAMION")</f>
        <v>0</v>
      </c>
      <c r="AB222" s="36">
        <f>COUNTIF(Tabla1[[#This Row],[VEHICULOS_ACCIDENTADOS]:[VEHICULOS_ACCIDENTADOS2]],"VOLQUETA")</f>
        <v>0</v>
      </c>
      <c r="AC222" s="36">
        <f>COUNTIF(Tabla1[[#This Row],[VEHICULOS_ACCIDENTADOS]:[VEHICULOS_ACCIDENTADOS2]],"BICICLETA")</f>
        <v>0</v>
      </c>
      <c r="AD222" s="61" t="s">
        <v>471</v>
      </c>
      <c r="AE222" s="61" t="s">
        <v>472</v>
      </c>
      <c r="AF222" s="36">
        <f>COUNTIF(Tabla1[[#This Row],[GENERO_MASCULINO]:[GENERO_FEMENINO]],"MASCULINO")</f>
        <v>1</v>
      </c>
      <c r="AG222" s="36">
        <f>COUNTIF(Tabla1[[#This Row],[GENERO_MASCULINO]:[GENERO_FEMENINO]],"FEMENINO")</f>
        <v>1</v>
      </c>
      <c r="AH222" s="85">
        <v>26</v>
      </c>
      <c r="AI222" s="85">
        <v>21</v>
      </c>
      <c r="AJ222" s="85"/>
      <c r="AK222" s="78"/>
      <c r="AL222" s="78"/>
      <c r="AM222" s="59"/>
      <c r="AN222" s="61">
        <v>142</v>
      </c>
      <c r="AO222" s="59" t="str">
        <f>IFERROR(((VLOOKUP(Tabla1[[#This Row],[HIPOTESIS_1]],listas!$D$1:$E$105,2,FALSE))),"SIN INFORMACIÓN")</f>
        <v>Semáforo en rojo.</v>
      </c>
      <c r="AP222" s="36">
        <v>139</v>
      </c>
      <c r="AQ222" s="36" t="str">
        <f>IFERROR(((VLOOKUP(Tabla1[[#This Row],[HIPOTESIS_2]],listas!$D$1:$E$105,2,FALSE))),"")</f>
        <v>Impericia en el manejo.</v>
      </c>
      <c r="AR222" s="2" t="str">
        <f>IF(HOUR(Tabla1[[#This Row],[HORA_ACCIDENTE]])&lt;6,"MAÑANA",
 IF(HOUR(Tabla1[[#This Row],[HORA_ACCIDENTE]])&lt;12,"MAÑANA",
 IF(HOUR(Tabla1[[#This Row],[HORA_ACCIDENTE]])&lt;18,"TARDE","NOCHE")))</f>
        <v>NOCHE</v>
      </c>
    </row>
    <row r="223" spans="1:44" x14ac:dyDescent="0.25">
      <c r="A223" s="12">
        <v>19</v>
      </c>
      <c r="B223" s="36">
        <v>1</v>
      </c>
      <c r="C223" s="36">
        <v>0</v>
      </c>
      <c r="D223" s="36">
        <v>0</v>
      </c>
      <c r="E223" s="18" t="str">
        <f t="shared" si="12"/>
        <v>SOLO DAÑO</v>
      </c>
      <c r="F223" s="29" t="s">
        <v>1129</v>
      </c>
      <c r="G223" s="17">
        <v>5.3424480000000001</v>
      </c>
      <c r="H223" s="17">
        <v>-72.396553999999995</v>
      </c>
      <c r="I223" s="93" t="s">
        <v>697</v>
      </c>
      <c r="J223" s="36" t="s">
        <v>717</v>
      </c>
      <c r="K223" s="24" t="str">
        <f t="shared" si="13"/>
        <v>2022</v>
      </c>
      <c r="L223" s="24" t="str">
        <f t="shared" si="14"/>
        <v>ENERO</v>
      </c>
      <c r="M223" s="225">
        <v>44580</v>
      </c>
      <c r="N223" s="24" t="str">
        <f t="shared" si="15"/>
        <v>MIÉRCOLES</v>
      </c>
      <c r="O223" s="101">
        <v>0.52083333333333304</v>
      </c>
      <c r="P223" s="63" t="s">
        <v>469</v>
      </c>
      <c r="Q223" s="63" t="s">
        <v>469</v>
      </c>
      <c r="R223" s="36">
        <f>COUNTIF(Tabla1[[#This Row],[VEHICULOS_ACCIDENTADOS]:[VEHICULOS_ACCIDENTADOS2]],"MOTOCICLETA")</f>
        <v>2</v>
      </c>
      <c r="S223" s="36">
        <f>COUNTIF(Tabla1[[#This Row],[VEHICULOS_ACCIDENTADOS]:[VEHICULOS_ACCIDENTADOS2]],"MOTOCARRO")</f>
        <v>0</v>
      </c>
      <c r="T223" s="36">
        <f>COUNTIF(Tabla1[[#This Row],[VEHICULOS_ACCIDENTADOS]:[VEHICULOS_ACCIDENTADOS2]],"AUTOMOVIL")</f>
        <v>0</v>
      </c>
      <c r="U223" s="36">
        <f>COUNTIF(Tabla1[[#This Row],[VEHICULOS_ACCIDENTADOS]:[VEHICULOS_ACCIDENTADOS2]],"CAMPERO")</f>
        <v>0</v>
      </c>
      <c r="V223" s="36">
        <f>COUNTIF(Tabla1[[#This Row],[VEHICULOS_ACCIDENTADOS]:[VEHICULOS_ACCIDENTADOS2]],"CAMIONETA")</f>
        <v>0</v>
      </c>
      <c r="W223" s="36">
        <f>COUNTIF(Tabla1[[#This Row],[VEHICULOS_ACCIDENTADOS]:[VEHICULOS_ACCIDENTADOS2]],"MICROBUS")</f>
        <v>0</v>
      </c>
      <c r="X223" s="36">
        <f>COUNTIF(Tabla1[[#This Row],[VEHICULOS_ACCIDENTADOS]:[VEHICULOS_ACCIDENTADOS2]],"BUS")</f>
        <v>0</v>
      </c>
      <c r="Y223" s="36">
        <f>COUNTIF(Tabla1[[#This Row],[VEHICULOS_ACCIDENTADOS]:[VEHICULOS_ACCIDENTADOS2]],"BUSETA")</f>
        <v>0</v>
      </c>
      <c r="Z223" s="36">
        <f>COUNTIF(Tabla1[[#This Row],[VEHICULOS_ACCIDENTADOS]:[VEHICULOS_ACCIDENTADOS2]],"CAMION")</f>
        <v>0</v>
      </c>
      <c r="AA223" s="36">
        <f>COUNTIF(Tabla1[[#This Row],[VEHICULOS_ACCIDENTADOS]:[VEHICULOS_ACCIDENTADOS2]],"TRACTOCAMION")</f>
        <v>0</v>
      </c>
      <c r="AB223" s="36">
        <f>COUNTIF(Tabla1[[#This Row],[VEHICULOS_ACCIDENTADOS]:[VEHICULOS_ACCIDENTADOS2]],"VOLQUETA")</f>
        <v>0</v>
      </c>
      <c r="AC223" s="36">
        <f>COUNTIF(Tabla1[[#This Row],[VEHICULOS_ACCIDENTADOS]:[VEHICULOS_ACCIDENTADOS2]],"BICICLETA")</f>
        <v>0</v>
      </c>
      <c r="AD223" s="36" t="s">
        <v>471</v>
      </c>
      <c r="AE223" s="36"/>
      <c r="AF223" s="36">
        <f>COUNTIF(Tabla1[[#This Row],[GENERO_MASCULINO]:[GENERO_FEMENINO]],"MASCULINO")</f>
        <v>1</v>
      </c>
      <c r="AG223" s="36">
        <f>COUNTIF(Tabla1[[#This Row],[GENERO_MASCULINO]:[GENERO_FEMENINO]],"FEMENINO")</f>
        <v>0</v>
      </c>
      <c r="AH223" s="61"/>
      <c r="AI223" s="61"/>
      <c r="AJ223" s="61"/>
      <c r="AK223" s="61"/>
      <c r="AL223" s="61"/>
      <c r="AM223" s="36"/>
      <c r="AN223" s="61">
        <v>112</v>
      </c>
      <c r="AO223" s="36" t="str">
        <f>IFERROR(((VLOOKUP(Tabla1[[#This Row],[HIPOTESIS_1]],listas!$D$1:$E$105,2,FALSE))),"SIN INFORMACIÓN")</f>
        <v>Desobedecer señales o normas de tránsito.</v>
      </c>
      <c r="AP223" s="36">
        <v>139</v>
      </c>
      <c r="AQ223" s="36" t="str">
        <f>IFERROR(((VLOOKUP(Tabla1[[#This Row],[HIPOTESIS_2]],listas!$D$1:$E$105,2,FALSE))),"")</f>
        <v>Impericia en el manejo.</v>
      </c>
      <c r="AR223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224" spans="1:44" x14ac:dyDescent="0.25">
      <c r="A224" s="12">
        <v>55</v>
      </c>
      <c r="B224" s="36">
        <v>0</v>
      </c>
      <c r="C224" s="36">
        <v>2</v>
      </c>
      <c r="D224" s="36">
        <v>0</v>
      </c>
      <c r="E224" s="18" t="str">
        <f t="shared" si="12"/>
        <v>LESIONADO</v>
      </c>
      <c r="F224" s="36" t="s">
        <v>1131</v>
      </c>
      <c r="G224" s="17">
        <v>5.3376944444444439</v>
      </c>
      <c r="H224" s="17">
        <v>-72.393930555555556</v>
      </c>
      <c r="I224" s="93" t="s">
        <v>697</v>
      </c>
      <c r="J224" s="36" t="s">
        <v>717</v>
      </c>
      <c r="K224" s="24" t="str">
        <f t="shared" si="13"/>
        <v>2022</v>
      </c>
      <c r="L224" s="24" t="str">
        <f t="shared" si="14"/>
        <v>FEBRERO</v>
      </c>
      <c r="M224" s="225">
        <v>44607</v>
      </c>
      <c r="N224" s="24" t="str">
        <f t="shared" si="15"/>
        <v>MARTES</v>
      </c>
      <c r="O224" s="101">
        <v>0.60416666666666696</v>
      </c>
      <c r="P224" s="63" t="s">
        <v>469</v>
      </c>
      <c r="Q224" s="63" t="s">
        <v>445</v>
      </c>
      <c r="R224" s="36">
        <f>COUNTIF(Tabla1[[#This Row],[VEHICULOS_ACCIDENTADOS]:[VEHICULOS_ACCIDENTADOS2]],"MOTOCICLETA")</f>
        <v>1</v>
      </c>
      <c r="S224" s="36">
        <f>COUNTIF(Tabla1[[#This Row],[VEHICULOS_ACCIDENTADOS]:[VEHICULOS_ACCIDENTADOS2]],"MOTOCARRO")</f>
        <v>0</v>
      </c>
      <c r="T224" s="36">
        <f>COUNTIF(Tabla1[[#This Row],[VEHICULOS_ACCIDENTADOS]:[VEHICULOS_ACCIDENTADOS2]],"AUTOMOVIL")</f>
        <v>0</v>
      </c>
      <c r="U224" s="36">
        <f>COUNTIF(Tabla1[[#This Row],[VEHICULOS_ACCIDENTADOS]:[VEHICULOS_ACCIDENTADOS2]],"CAMPERO")</f>
        <v>0</v>
      </c>
      <c r="V224" s="36">
        <f>COUNTIF(Tabla1[[#This Row],[VEHICULOS_ACCIDENTADOS]:[VEHICULOS_ACCIDENTADOS2]],"CAMIONETA")</f>
        <v>1</v>
      </c>
      <c r="W224" s="36">
        <f>COUNTIF(Tabla1[[#This Row],[VEHICULOS_ACCIDENTADOS]:[VEHICULOS_ACCIDENTADOS2]],"MICROBUS")</f>
        <v>0</v>
      </c>
      <c r="X224" s="36">
        <f>COUNTIF(Tabla1[[#This Row],[VEHICULOS_ACCIDENTADOS]:[VEHICULOS_ACCIDENTADOS2]],"BUS")</f>
        <v>0</v>
      </c>
      <c r="Y224" s="36">
        <f>COUNTIF(Tabla1[[#This Row],[VEHICULOS_ACCIDENTADOS]:[VEHICULOS_ACCIDENTADOS2]],"BUSETA")</f>
        <v>0</v>
      </c>
      <c r="Z224" s="36">
        <f>COUNTIF(Tabla1[[#This Row],[VEHICULOS_ACCIDENTADOS]:[VEHICULOS_ACCIDENTADOS2]],"CAMION")</f>
        <v>0</v>
      </c>
      <c r="AA224" s="36">
        <f>COUNTIF(Tabla1[[#This Row],[VEHICULOS_ACCIDENTADOS]:[VEHICULOS_ACCIDENTADOS2]],"TRACTOCAMION")</f>
        <v>0</v>
      </c>
      <c r="AB224" s="36">
        <f>COUNTIF(Tabla1[[#This Row],[VEHICULOS_ACCIDENTADOS]:[VEHICULOS_ACCIDENTADOS2]],"VOLQUETA")</f>
        <v>0</v>
      </c>
      <c r="AC224" s="36">
        <f>COUNTIF(Tabla1[[#This Row],[VEHICULOS_ACCIDENTADOS]:[VEHICULOS_ACCIDENTADOS2]],"BICICLETA")</f>
        <v>0</v>
      </c>
      <c r="AD224" s="36"/>
      <c r="AE224" s="36" t="s">
        <v>472</v>
      </c>
      <c r="AF224" s="36">
        <f>COUNTIF(Tabla1[[#This Row],[GENERO_MASCULINO]:[GENERO_FEMENINO]],"MASCULINO")</f>
        <v>0</v>
      </c>
      <c r="AG224" s="36">
        <f>COUNTIF(Tabla1[[#This Row],[GENERO_MASCULINO]:[GENERO_FEMENINO]],"FEMENINO")</f>
        <v>1</v>
      </c>
      <c r="AH224" s="61">
        <v>28</v>
      </c>
      <c r="AI224" s="61"/>
      <c r="AJ224" s="61"/>
      <c r="AK224" s="61"/>
      <c r="AL224" s="61">
        <v>2</v>
      </c>
      <c r="AM224" s="36"/>
      <c r="AN224" s="61">
        <v>112</v>
      </c>
      <c r="AO224" s="36" t="str">
        <f>IFERROR(((VLOOKUP(Tabla1[[#This Row],[HIPOTESIS_1]],listas!$D$1:$E$105,2,FALSE))),"SIN INFORMACIÓN")</f>
        <v>Desobedecer señales o normas de tránsito.</v>
      </c>
      <c r="AP224" s="36">
        <v>139</v>
      </c>
      <c r="AQ224" s="36" t="str">
        <f>IFERROR(((VLOOKUP(Tabla1[[#This Row],[HIPOTESIS_2]],listas!$D$1:$E$105,2,FALSE))),"")</f>
        <v>Impericia en el manejo.</v>
      </c>
      <c r="AR224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225" spans="1:44" x14ac:dyDescent="0.25">
      <c r="A225" s="12">
        <v>312</v>
      </c>
      <c r="B225" s="36">
        <v>0</v>
      </c>
      <c r="C225" s="36">
        <v>1</v>
      </c>
      <c r="D225" s="36">
        <v>0</v>
      </c>
      <c r="E225" s="18" t="str">
        <f t="shared" si="12"/>
        <v>LESIONADO</v>
      </c>
      <c r="F225" s="29" t="s">
        <v>1132</v>
      </c>
      <c r="G225" s="17">
        <v>5.3314491666666664</v>
      </c>
      <c r="H225" s="17">
        <v>-72.39049694444445</v>
      </c>
      <c r="I225" s="93" t="s">
        <v>697</v>
      </c>
      <c r="J225" s="36" t="s">
        <v>717</v>
      </c>
      <c r="K225" s="24" t="str">
        <f t="shared" si="13"/>
        <v>2022</v>
      </c>
      <c r="L225" s="24" t="str">
        <f t="shared" si="14"/>
        <v>SEPTIEMBRE</v>
      </c>
      <c r="M225" s="225">
        <v>44824</v>
      </c>
      <c r="N225" s="24" t="str">
        <f t="shared" si="15"/>
        <v>MARTES</v>
      </c>
      <c r="O225" s="102">
        <v>0.65625</v>
      </c>
      <c r="P225" s="53" t="s">
        <v>469</v>
      </c>
      <c r="Q225" s="53" t="s">
        <v>447</v>
      </c>
      <c r="R225" s="36">
        <f>COUNTIF(Tabla1[[#This Row],[VEHICULOS_ACCIDENTADOS]:[VEHICULOS_ACCIDENTADOS2]],"MOTOCICLETA")</f>
        <v>1</v>
      </c>
      <c r="S225" s="36">
        <f>COUNTIF(Tabla1[[#This Row],[VEHICULOS_ACCIDENTADOS]:[VEHICULOS_ACCIDENTADOS2]],"MOTOCARRO")</f>
        <v>0</v>
      </c>
      <c r="T225" s="36">
        <f>COUNTIF(Tabla1[[#This Row],[VEHICULOS_ACCIDENTADOS]:[VEHICULOS_ACCIDENTADOS2]],"AUTOMOVIL")</f>
        <v>1</v>
      </c>
      <c r="U225" s="36">
        <f>COUNTIF(Tabla1[[#This Row],[VEHICULOS_ACCIDENTADOS]:[VEHICULOS_ACCIDENTADOS2]],"CAMPERO")</f>
        <v>0</v>
      </c>
      <c r="V225" s="36">
        <f>COUNTIF(Tabla1[[#This Row],[VEHICULOS_ACCIDENTADOS]:[VEHICULOS_ACCIDENTADOS2]],"CAMIONETA")</f>
        <v>0</v>
      </c>
      <c r="W225" s="36">
        <f>COUNTIF(Tabla1[[#This Row],[VEHICULOS_ACCIDENTADOS]:[VEHICULOS_ACCIDENTADOS2]],"MICROBUS")</f>
        <v>0</v>
      </c>
      <c r="X225" s="36">
        <f>COUNTIF(Tabla1[[#This Row],[VEHICULOS_ACCIDENTADOS]:[VEHICULOS_ACCIDENTADOS2]],"BUS")</f>
        <v>0</v>
      </c>
      <c r="Y225" s="36">
        <f>COUNTIF(Tabla1[[#This Row],[VEHICULOS_ACCIDENTADOS]:[VEHICULOS_ACCIDENTADOS2]],"BUSETA")</f>
        <v>0</v>
      </c>
      <c r="Z225" s="36">
        <f>COUNTIF(Tabla1[[#This Row],[VEHICULOS_ACCIDENTADOS]:[VEHICULOS_ACCIDENTADOS2]],"CAMION")</f>
        <v>0</v>
      </c>
      <c r="AA225" s="36">
        <f>COUNTIF(Tabla1[[#This Row],[VEHICULOS_ACCIDENTADOS]:[VEHICULOS_ACCIDENTADOS2]],"TRACTOCAMION")</f>
        <v>0</v>
      </c>
      <c r="AB225" s="36">
        <f>COUNTIF(Tabla1[[#This Row],[VEHICULOS_ACCIDENTADOS]:[VEHICULOS_ACCIDENTADOS2]],"VOLQUETA")</f>
        <v>0</v>
      </c>
      <c r="AC225" s="36">
        <f>COUNTIF(Tabla1[[#This Row],[VEHICULOS_ACCIDENTADOS]:[VEHICULOS_ACCIDENTADOS2]],"BICICLETA")</f>
        <v>0</v>
      </c>
      <c r="AD225" s="36" t="s">
        <v>471</v>
      </c>
      <c r="AE225" s="36"/>
      <c r="AF225" s="36">
        <f>COUNTIF(Tabla1[[#This Row],[GENERO_MASCULINO]:[GENERO_FEMENINO]],"MASCULINO")</f>
        <v>1</v>
      </c>
      <c r="AG225" s="36">
        <f>COUNTIF(Tabla1[[#This Row],[GENERO_MASCULINO]:[GENERO_FEMENINO]],"FEMENINO")</f>
        <v>0</v>
      </c>
      <c r="AH225" s="61">
        <v>26</v>
      </c>
      <c r="AI225" s="61"/>
      <c r="AJ225" s="78"/>
      <c r="AK225" s="61"/>
      <c r="AL225" s="61"/>
      <c r="AM225" s="36"/>
      <c r="AN225" s="61">
        <v>112</v>
      </c>
      <c r="AO225" s="36" t="str">
        <f>IFERROR(((VLOOKUP(Tabla1[[#This Row],[HIPOTESIS_1]],listas!$D$1:$E$105,2,FALSE))),"SIN INFORMACIÓN")</f>
        <v>Desobedecer señales o normas de tránsito.</v>
      </c>
      <c r="AP225" s="36">
        <v>139</v>
      </c>
      <c r="AQ225" s="36" t="str">
        <f>IFERROR(((VLOOKUP(Tabla1[[#This Row],[HIPOTESIS_2]],listas!$D$1:$E$105,2,FALSE))),"")</f>
        <v>Impericia en el manejo.</v>
      </c>
      <c r="AR225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226" spans="1:44" x14ac:dyDescent="0.25">
      <c r="A226" s="12">
        <v>275</v>
      </c>
      <c r="B226" s="36">
        <v>0</v>
      </c>
      <c r="C226" s="36">
        <v>3</v>
      </c>
      <c r="D226" s="36">
        <v>0</v>
      </c>
      <c r="E226" s="18" t="str">
        <f t="shared" si="12"/>
        <v>LESIONADO</v>
      </c>
      <c r="F226" s="29" t="s">
        <v>331</v>
      </c>
      <c r="G226" s="17">
        <v>5.3464138888888888</v>
      </c>
      <c r="H226" s="17">
        <v>-72.398686111111118</v>
      </c>
      <c r="I226" s="93" t="s">
        <v>697</v>
      </c>
      <c r="J226" s="36" t="s">
        <v>717</v>
      </c>
      <c r="K226" s="24" t="str">
        <f t="shared" si="13"/>
        <v>2022</v>
      </c>
      <c r="L226" s="24" t="str">
        <f t="shared" si="14"/>
        <v>AGOSTO</v>
      </c>
      <c r="M226" s="225">
        <v>44783</v>
      </c>
      <c r="N226" s="24" t="str">
        <f t="shared" si="15"/>
        <v>MIÉRCOLES</v>
      </c>
      <c r="O226" s="102">
        <v>0.52083333333333304</v>
      </c>
      <c r="P226" s="53" t="s">
        <v>469</v>
      </c>
      <c r="Q226" s="53" t="s">
        <v>469</v>
      </c>
      <c r="R226" s="36">
        <f>COUNTIF(Tabla1[[#This Row],[VEHICULOS_ACCIDENTADOS]:[VEHICULOS_ACCIDENTADOS2]],"MOTOCICLETA")</f>
        <v>2</v>
      </c>
      <c r="S226" s="36">
        <f>COUNTIF(Tabla1[[#This Row],[VEHICULOS_ACCIDENTADOS]:[VEHICULOS_ACCIDENTADOS2]],"MOTOCARRO")</f>
        <v>0</v>
      </c>
      <c r="T226" s="36">
        <f>COUNTIF(Tabla1[[#This Row],[VEHICULOS_ACCIDENTADOS]:[VEHICULOS_ACCIDENTADOS2]],"AUTOMOVIL")</f>
        <v>0</v>
      </c>
      <c r="U226" s="36">
        <f>COUNTIF(Tabla1[[#This Row],[VEHICULOS_ACCIDENTADOS]:[VEHICULOS_ACCIDENTADOS2]],"CAMPERO")</f>
        <v>0</v>
      </c>
      <c r="V226" s="36">
        <f>COUNTIF(Tabla1[[#This Row],[VEHICULOS_ACCIDENTADOS]:[VEHICULOS_ACCIDENTADOS2]],"CAMIONETA")</f>
        <v>0</v>
      </c>
      <c r="W226" s="36">
        <f>COUNTIF(Tabla1[[#This Row],[VEHICULOS_ACCIDENTADOS]:[VEHICULOS_ACCIDENTADOS2]],"MICROBUS")</f>
        <v>0</v>
      </c>
      <c r="X226" s="36">
        <f>COUNTIF(Tabla1[[#This Row],[VEHICULOS_ACCIDENTADOS]:[VEHICULOS_ACCIDENTADOS2]],"BUS")</f>
        <v>0</v>
      </c>
      <c r="Y226" s="36">
        <f>COUNTIF(Tabla1[[#This Row],[VEHICULOS_ACCIDENTADOS]:[VEHICULOS_ACCIDENTADOS2]],"BUSETA")</f>
        <v>0</v>
      </c>
      <c r="Z226" s="36">
        <f>COUNTIF(Tabla1[[#This Row],[VEHICULOS_ACCIDENTADOS]:[VEHICULOS_ACCIDENTADOS2]],"CAMION")</f>
        <v>0</v>
      </c>
      <c r="AA226" s="36">
        <f>COUNTIF(Tabla1[[#This Row],[VEHICULOS_ACCIDENTADOS]:[VEHICULOS_ACCIDENTADOS2]],"TRACTOCAMION")</f>
        <v>0</v>
      </c>
      <c r="AB226" s="36">
        <f>COUNTIF(Tabla1[[#This Row],[VEHICULOS_ACCIDENTADOS]:[VEHICULOS_ACCIDENTADOS2]],"VOLQUETA")</f>
        <v>0</v>
      </c>
      <c r="AC226" s="36">
        <f>COUNTIF(Tabla1[[#This Row],[VEHICULOS_ACCIDENTADOS]:[VEHICULOS_ACCIDENTADOS2]],"BICICLETA")</f>
        <v>0</v>
      </c>
      <c r="AD226" s="36" t="s">
        <v>471</v>
      </c>
      <c r="AE226" s="36" t="s">
        <v>472</v>
      </c>
      <c r="AF226" s="36">
        <f>COUNTIF(Tabla1[[#This Row],[GENERO_MASCULINO]:[GENERO_FEMENINO]],"MASCULINO")</f>
        <v>1</v>
      </c>
      <c r="AG226" s="36">
        <f>COUNTIF(Tabla1[[#This Row],[GENERO_MASCULINO]:[GENERO_FEMENINO]],"FEMENINO")</f>
        <v>1</v>
      </c>
      <c r="AH226" s="61">
        <v>55</v>
      </c>
      <c r="AI226" s="61">
        <v>19</v>
      </c>
      <c r="AJ226" s="61"/>
      <c r="AK226" s="61"/>
      <c r="AL226" s="61">
        <v>51</v>
      </c>
      <c r="AM226" s="36"/>
      <c r="AN226" s="61">
        <v>112</v>
      </c>
      <c r="AO226" s="36" t="str">
        <f>IFERROR(((VLOOKUP(Tabla1[[#This Row],[HIPOTESIS_1]],listas!$D$1:$E$105,2,FALSE))),"SIN INFORMACIÓN")</f>
        <v>Desobedecer señales o normas de tránsito.</v>
      </c>
      <c r="AP226" s="36">
        <v>139</v>
      </c>
      <c r="AQ226" s="36" t="str">
        <f>IFERROR(((VLOOKUP(Tabla1[[#This Row],[HIPOTESIS_2]],listas!$D$1:$E$105,2,FALSE))),"")</f>
        <v>Impericia en el manejo.</v>
      </c>
      <c r="AR226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227" spans="1:44" x14ac:dyDescent="0.25">
      <c r="A227" s="12">
        <v>169</v>
      </c>
      <c r="B227" s="36">
        <v>0</v>
      </c>
      <c r="C227" s="36">
        <v>1</v>
      </c>
      <c r="D227" s="36">
        <v>0</v>
      </c>
      <c r="E227" s="18" t="str">
        <f t="shared" si="12"/>
        <v>LESIONADO</v>
      </c>
      <c r="F227" s="29" t="s">
        <v>1135</v>
      </c>
      <c r="G227" s="17">
        <v>5.3439277777777772</v>
      </c>
      <c r="H227" s="17">
        <v>-72.395763888888894</v>
      </c>
      <c r="I227" s="93" t="s">
        <v>697</v>
      </c>
      <c r="J227" s="36" t="s">
        <v>717</v>
      </c>
      <c r="K227" s="24" t="str">
        <f t="shared" si="13"/>
        <v>2022</v>
      </c>
      <c r="L227" s="24" t="str">
        <f t="shared" si="14"/>
        <v>MAYO</v>
      </c>
      <c r="M227" s="225">
        <v>44686</v>
      </c>
      <c r="N227" s="24" t="str">
        <f t="shared" si="15"/>
        <v>JUEVES</v>
      </c>
      <c r="O227" s="101">
        <v>0.65277777777777801</v>
      </c>
      <c r="P227" s="63" t="s">
        <v>469</v>
      </c>
      <c r="Q227" s="63" t="s">
        <v>445</v>
      </c>
      <c r="R227" s="36">
        <f>COUNTIF(Tabla1[[#This Row],[VEHICULOS_ACCIDENTADOS]:[VEHICULOS_ACCIDENTADOS2]],"MOTOCICLETA")</f>
        <v>1</v>
      </c>
      <c r="S227" s="36">
        <f>COUNTIF(Tabla1[[#This Row],[VEHICULOS_ACCIDENTADOS]:[VEHICULOS_ACCIDENTADOS2]],"MOTOCARRO")</f>
        <v>0</v>
      </c>
      <c r="T227" s="36">
        <f>COUNTIF(Tabla1[[#This Row],[VEHICULOS_ACCIDENTADOS]:[VEHICULOS_ACCIDENTADOS2]],"AUTOMOVIL")</f>
        <v>0</v>
      </c>
      <c r="U227" s="36">
        <f>COUNTIF(Tabla1[[#This Row],[VEHICULOS_ACCIDENTADOS]:[VEHICULOS_ACCIDENTADOS2]],"CAMPERO")</f>
        <v>0</v>
      </c>
      <c r="V227" s="36">
        <f>COUNTIF(Tabla1[[#This Row],[VEHICULOS_ACCIDENTADOS]:[VEHICULOS_ACCIDENTADOS2]],"CAMIONETA")</f>
        <v>1</v>
      </c>
      <c r="W227" s="36">
        <f>COUNTIF(Tabla1[[#This Row],[VEHICULOS_ACCIDENTADOS]:[VEHICULOS_ACCIDENTADOS2]],"MICROBUS")</f>
        <v>0</v>
      </c>
      <c r="X227" s="36">
        <f>COUNTIF(Tabla1[[#This Row],[VEHICULOS_ACCIDENTADOS]:[VEHICULOS_ACCIDENTADOS2]],"BUS")</f>
        <v>0</v>
      </c>
      <c r="Y227" s="36">
        <f>COUNTIF(Tabla1[[#This Row],[VEHICULOS_ACCIDENTADOS]:[VEHICULOS_ACCIDENTADOS2]],"BUSETA")</f>
        <v>0</v>
      </c>
      <c r="Z227" s="36">
        <f>COUNTIF(Tabla1[[#This Row],[VEHICULOS_ACCIDENTADOS]:[VEHICULOS_ACCIDENTADOS2]],"CAMION")</f>
        <v>0</v>
      </c>
      <c r="AA227" s="36">
        <f>COUNTIF(Tabla1[[#This Row],[VEHICULOS_ACCIDENTADOS]:[VEHICULOS_ACCIDENTADOS2]],"TRACTOCAMION")</f>
        <v>0</v>
      </c>
      <c r="AB227" s="36">
        <f>COUNTIF(Tabla1[[#This Row],[VEHICULOS_ACCIDENTADOS]:[VEHICULOS_ACCIDENTADOS2]],"VOLQUETA")</f>
        <v>0</v>
      </c>
      <c r="AC227" s="36">
        <f>COUNTIF(Tabla1[[#This Row],[VEHICULOS_ACCIDENTADOS]:[VEHICULOS_ACCIDENTADOS2]],"BICICLETA")</f>
        <v>0</v>
      </c>
      <c r="AD227" s="36" t="s">
        <v>471</v>
      </c>
      <c r="AE227" s="36"/>
      <c r="AF227" s="36">
        <f>COUNTIF(Tabla1[[#This Row],[GENERO_MASCULINO]:[GENERO_FEMENINO]],"MASCULINO")</f>
        <v>1</v>
      </c>
      <c r="AG227" s="36">
        <f>COUNTIF(Tabla1[[#This Row],[GENERO_MASCULINO]:[GENERO_FEMENINO]],"FEMENINO")</f>
        <v>0</v>
      </c>
      <c r="AH227" s="61">
        <v>38</v>
      </c>
      <c r="AI227" s="61"/>
      <c r="AJ227" s="61"/>
      <c r="AK227" s="61"/>
      <c r="AL227" s="61"/>
      <c r="AM227" s="36"/>
      <c r="AN227" s="61">
        <v>118</v>
      </c>
      <c r="AO227" s="36" t="str">
        <f>IFERROR(((VLOOKUP(Tabla1[[#This Row],[HIPOTESIS_1]],listas!$D$1:$E$105,2,FALSE))),"SIN INFORMACIÓN")</f>
        <v>Falta de mantenimiento mecánico.</v>
      </c>
      <c r="AP227" s="36">
        <v>139</v>
      </c>
      <c r="AQ227" s="36" t="str">
        <f>IFERROR(((VLOOKUP(Tabla1[[#This Row],[HIPOTESIS_2]],listas!$D$1:$E$105,2,FALSE))),"")</f>
        <v>Impericia en el manejo.</v>
      </c>
      <c r="AR227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228" spans="1:44" x14ac:dyDescent="0.25">
      <c r="A228" s="12">
        <v>585</v>
      </c>
      <c r="B228" s="36">
        <v>0</v>
      </c>
      <c r="C228" s="36">
        <v>2</v>
      </c>
      <c r="D228" s="36">
        <v>0</v>
      </c>
      <c r="E228" s="18" t="str">
        <f t="shared" si="12"/>
        <v>LESIONADO</v>
      </c>
      <c r="F228" s="29" t="s">
        <v>1135</v>
      </c>
      <c r="G228" s="17">
        <v>5.3439277777777772</v>
      </c>
      <c r="H228" s="17">
        <v>-72.395763888888894</v>
      </c>
      <c r="I228" s="93" t="s">
        <v>697</v>
      </c>
      <c r="J228" s="36" t="s">
        <v>717</v>
      </c>
      <c r="K228" s="24" t="str">
        <f t="shared" si="13"/>
        <v>2023</v>
      </c>
      <c r="L228" s="24" t="str">
        <f t="shared" si="14"/>
        <v>OCTUBRE</v>
      </c>
      <c r="M228" s="225">
        <v>45226</v>
      </c>
      <c r="N228" s="24" t="str">
        <f t="shared" si="15"/>
        <v>VIERNES</v>
      </c>
      <c r="O228" s="101">
        <v>0.83333333333333337</v>
      </c>
      <c r="P228" s="57" t="s">
        <v>469</v>
      </c>
      <c r="Q228" s="57" t="s">
        <v>469</v>
      </c>
      <c r="R228" s="36">
        <f>COUNTIF(Tabla1[[#This Row],[VEHICULOS_ACCIDENTADOS]:[VEHICULOS_ACCIDENTADOS2]],"MOTOCICLETA")</f>
        <v>2</v>
      </c>
      <c r="S228" s="36">
        <f>COUNTIF(Tabla1[[#This Row],[VEHICULOS_ACCIDENTADOS]:[VEHICULOS_ACCIDENTADOS2]],"MOTOCARRO")</f>
        <v>0</v>
      </c>
      <c r="T228" s="36">
        <f>COUNTIF(Tabla1[[#This Row],[VEHICULOS_ACCIDENTADOS]:[VEHICULOS_ACCIDENTADOS2]],"AUTOMOVIL")</f>
        <v>0</v>
      </c>
      <c r="U228" s="36">
        <f>COUNTIF(Tabla1[[#This Row],[VEHICULOS_ACCIDENTADOS]:[VEHICULOS_ACCIDENTADOS2]],"CAMPERO")</f>
        <v>0</v>
      </c>
      <c r="V228" s="36">
        <f>COUNTIF(Tabla1[[#This Row],[VEHICULOS_ACCIDENTADOS]:[VEHICULOS_ACCIDENTADOS2]],"CAMIONETA")</f>
        <v>0</v>
      </c>
      <c r="W228" s="36">
        <f>COUNTIF(Tabla1[[#This Row],[VEHICULOS_ACCIDENTADOS]:[VEHICULOS_ACCIDENTADOS2]],"MICROBUS")</f>
        <v>0</v>
      </c>
      <c r="X228" s="36">
        <f>COUNTIF(Tabla1[[#This Row],[VEHICULOS_ACCIDENTADOS]:[VEHICULOS_ACCIDENTADOS2]],"BUS")</f>
        <v>0</v>
      </c>
      <c r="Y228" s="36">
        <f>COUNTIF(Tabla1[[#This Row],[VEHICULOS_ACCIDENTADOS]:[VEHICULOS_ACCIDENTADOS2]],"BUSETA")</f>
        <v>0</v>
      </c>
      <c r="Z228" s="36">
        <f>COUNTIF(Tabla1[[#This Row],[VEHICULOS_ACCIDENTADOS]:[VEHICULOS_ACCIDENTADOS2]],"CAMION")</f>
        <v>0</v>
      </c>
      <c r="AA228" s="36">
        <f>COUNTIF(Tabla1[[#This Row],[VEHICULOS_ACCIDENTADOS]:[VEHICULOS_ACCIDENTADOS2]],"TRACTOCAMION")</f>
        <v>0</v>
      </c>
      <c r="AB228" s="36">
        <f>COUNTIF(Tabla1[[#This Row],[VEHICULOS_ACCIDENTADOS]:[VEHICULOS_ACCIDENTADOS2]],"VOLQUETA")</f>
        <v>0</v>
      </c>
      <c r="AC228" s="36">
        <f>COUNTIF(Tabla1[[#This Row],[VEHICULOS_ACCIDENTADOS]:[VEHICULOS_ACCIDENTADOS2]],"BICICLETA")</f>
        <v>0</v>
      </c>
      <c r="AD228" s="36" t="s">
        <v>471</v>
      </c>
      <c r="AE228" s="36" t="s">
        <v>472</v>
      </c>
      <c r="AF228" s="36">
        <f>COUNTIF(Tabla1[[#This Row],[GENERO_MASCULINO]:[GENERO_FEMENINO]],"MASCULINO")</f>
        <v>1</v>
      </c>
      <c r="AG228" s="36">
        <f>COUNTIF(Tabla1[[#This Row],[GENERO_MASCULINO]:[GENERO_FEMENINO]],"FEMENINO")</f>
        <v>1</v>
      </c>
      <c r="AH228" s="61">
        <v>21</v>
      </c>
      <c r="AI228" s="61">
        <v>23</v>
      </c>
      <c r="AJ228" s="61"/>
      <c r="AK228" s="61"/>
      <c r="AL228" s="61"/>
      <c r="AM228" s="36"/>
      <c r="AN228" s="61">
        <v>112</v>
      </c>
      <c r="AO228" s="36" t="str">
        <f>IFERROR(((VLOOKUP(Tabla1[[#This Row],[HIPOTESIS_1]],listas!$D$1:$E$105,2,FALSE))),"SIN INFORMACIÓN")</f>
        <v>Desobedecer señales o normas de tránsito.</v>
      </c>
      <c r="AP228" s="36">
        <v>139</v>
      </c>
      <c r="AQ228" s="36" t="str">
        <f>IFERROR(((VLOOKUP(Tabla1[[#This Row],[HIPOTESIS_2]],listas!$D$1:$E$105,2,FALSE))),"")</f>
        <v>Impericia en el manejo.</v>
      </c>
      <c r="AR228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229" spans="1:44" x14ac:dyDescent="0.25">
      <c r="A229" s="12">
        <v>643</v>
      </c>
      <c r="B229" s="36">
        <v>0</v>
      </c>
      <c r="C229" s="36">
        <v>1</v>
      </c>
      <c r="D229" s="36">
        <v>0</v>
      </c>
      <c r="E229" s="18" t="str">
        <f t="shared" si="12"/>
        <v>LESIONADO</v>
      </c>
      <c r="F229" s="29" t="s">
        <v>1137</v>
      </c>
      <c r="G229" s="21">
        <v>5.3504999999999994</v>
      </c>
      <c r="H229" s="21">
        <v>-72.399627777777781</v>
      </c>
      <c r="I229" s="93" t="s">
        <v>697</v>
      </c>
      <c r="J229" s="36" t="s">
        <v>717</v>
      </c>
      <c r="K229" s="24" t="str">
        <f t="shared" si="13"/>
        <v>2023</v>
      </c>
      <c r="L229" s="24" t="str">
        <f t="shared" si="14"/>
        <v>DICIEMBRE</v>
      </c>
      <c r="M229" s="225">
        <v>45290</v>
      </c>
      <c r="N229" s="24" t="str">
        <f t="shared" si="15"/>
        <v>SÁBADO</v>
      </c>
      <c r="O229" s="101">
        <v>0.79166666666666663</v>
      </c>
      <c r="P229" s="57" t="s">
        <v>469</v>
      </c>
      <c r="Q229" s="57" t="s">
        <v>446</v>
      </c>
      <c r="R229" s="36">
        <f>COUNTIF(Tabla1[[#This Row],[VEHICULOS_ACCIDENTADOS]:[VEHICULOS_ACCIDENTADOS2]],"MOTOCICLETA")</f>
        <v>1</v>
      </c>
      <c r="S229" s="36">
        <f>COUNTIF(Tabla1[[#This Row],[VEHICULOS_ACCIDENTADOS]:[VEHICULOS_ACCIDENTADOS2]],"MOTOCARRO")</f>
        <v>0</v>
      </c>
      <c r="T229" s="36">
        <f>COUNTIF(Tabla1[[#This Row],[VEHICULOS_ACCIDENTADOS]:[VEHICULOS_ACCIDENTADOS2]],"AUTOMOVIL")</f>
        <v>0</v>
      </c>
      <c r="U229" s="36">
        <f>COUNTIF(Tabla1[[#This Row],[VEHICULOS_ACCIDENTADOS]:[VEHICULOS_ACCIDENTADOS2]],"CAMPERO")</f>
        <v>1</v>
      </c>
      <c r="V229" s="36">
        <f>COUNTIF(Tabla1[[#This Row],[VEHICULOS_ACCIDENTADOS]:[VEHICULOS_ACCIDENTADOS2]],"CAMIONETA")</f>
        <v>0</v>
      </c>
      <c r="W229" s="36">
        <f>COUNTIF(Tabla1[[#This Row],[VEHICULOS_ACCIDENTADOS]:[VEHICULOS_ACCIDENTADOS2]],"MICROBUS")</f>
        <v>0</v>
      </c>
      <c r="X229" s="36">
        <f>COUNTIF(Tabla1[[#This Row],[VEHICULOS_ACCIDENTADOS]:[VEHICULOS_ACCIDENTADOS2]],"BUS")</f>
        <v>0</v>
      </c>
      <c r="Y229" s="36">
        <f>COUNTIF(Tabla1[[#This Row],[VEHICULOS_ACCIDENTADOS]:[VEHICULOS_ACCIDENTADOS2]],"BUSETA")</f>
        <v>0</v>
      </c>
      <c r="Z229" s="36">
        <f>COUNTIF(Tabla1[[#This Row],[VEHICULOS_ACCIDENTADOS]:[VEHICULOS_ACCIDENTADOS2]],"CAMION")</f>
        <v>0</v>
      </c>
      <c r="AA229" s="36">
        <f>COUNTIF(Tabla1[[#This Row],[VEHICULOS_ACCIDENTADOS]:[VEHICULOS_ACCIDENTADOS2]],"TRACTOCAMION")</f>
        <v>0</v>
      </c>
      <c r="AB229" s="36">
        <f>COUNTIF(Tabla1[[#This Row],[VEHICULOS_ACCIDENTADOS]:[VEHICULOS_ACCIDENTADOS2]],"VOLQUETA")</f>
        <v>0</v>
      </c>
      <c r="AC229" s="36">
        <f>COUNTIF(Tabla1[[#This Row],[VEHICULOS_ACCIDENTADOS]:[VEHICULOS_ACCIDENTADOS2]],"BICICLETA")</f>
        <v>0</v>
      </c>
      <c r="AD229" s="36" t="s">
        <v>471</v>
      </c>
      <c r="AE229" s="36"/>
      <c r="AF229" s="36">
        <f>COUNTIF(Tabla1[[#This Row],[GENERO_MASCULINO]:[GENERO_FEMENINO]],"MASCULINO")</f>
        <v>1</v>
      </c>
      <c r="AG229" s="36">
        <f>COUNTIF(Tabla1[[#This Row],[GENERO_MASCULINO]:[GENERO_FEMENINO]],"FEMENINO")</f>
        <v>0</v>
      </c>
      <c r="AH229" s="61">
        <v>18</v>
      </c>
      <c r="AI229" s="61"/>
      <c r="AJ229" s="61"/>
      <c r="AK229" s="61"/>
      <c r="AL229" s="61"/>
      <c r="AM229" s="36"/>
      <c r="AN229" s="61">
        <v>112</v>
      </c>
      <c r="AO229" s="36" t="str">
        <f>IFERROR(((VLOOKUP(Tabla1[[#This Row],[HIPOTESIS_1]],listas!$D$1:$E$105,2,FALSE))),"SIN INFORMACIÓN")</f>
        <v>Desobedecer señales o normas de tránsito.</v>
      </c>
      <c r="AP229" s="36">
        <v>139</v>
      </c>
      <c r="AQ229" s="36" t="str">
        <f>IFERROR(((VLOOKUP(Tabla1[[#This Row],[HIPOTESIS_2]],listas!$D$1:$E$105,2,FALSE))),"")</f>
        <v>Impericia en el manejo.</v>
      </c>
      <c r="AR229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230" spans="1:44" x14ac:dyDescent="0.25">
      <c r="A230" s="12">
        <v>899</v>
      </c>
      <c r="B230" s="135">
        <v>0</v>
      </c>
      <c r="C230" s="136">
        <v>1</v>
      </c>
      <c r="D230" s="136">
        <v>0</v>
      </c>
      <c r="E230" s="18" t="str">
        <f t="shared" si="12"/>
        <v>LESIONADO</v>
      </c>
      <c r="F230" s="26" t="s">
        <v>63</v>
      </c>
      <c r="G230" s="21">
        <v>5.3454969999999999</v>
      </c>
      <c r="H230" s="21">
        <v>-72.396665999999996</v>
      </c>
      <c r="I230" s="93" t="s">
        <v>697</v>
      </c>
      <c r="J230" s="167" t="s">
        <v>717</v>
      </c>
      <c r="K230" s="24" t="str">
        <f t="shared" si="13"/>
        <v>2025</v>
      </c>
      <c r="L230" s="24" t="str">
        <f t="shared" si="14"/>
        <v>MARZO</v>
      </c>
      <c r="M230" s="224">
        <v>45724</v>
      </c>
      <c r="N230" s="24" t="str">
        <f t="shared" si="15"/>
        <v>SÁBADO</v>
      </c>
      <c r="O230" s="171">
        <v>0.23958333333333334</v>
      </c>
      <c r="P230" s="178" t="s">
        <v>469</v>
      </c>
      <c r="Q230" s="178" t="s">
        <v>438</v>
      </c>
      <c r="R230" s="36">
        <f>COUNTIF(Tabla1[[#This Row],[VEHICULOS_ACCIDENTADOS]:[VEHICULOS_ACCIDENTADOS2]],"MOTOCICLETA")</f>
        <v>1</v>
      </c>
      <c r="S230" s="36">
        <f>COUNTIF(Tabla1[[#This Row],[VEHICULOS_ACCIDENTADOS]:[VEHICULOS_ACCIDENTADOS2]],"MOTOCARRO")</f>
        <v>0</v>
      </c>
      <c r="T230" s="36">
        <f>COUNTIF(Tabla1[[#This Row],[VEHICULOS_ACCIDENTADOS]:[VEHICULOS_ACCIDENTADOS2]],"AUTOMOVIL")</f>
        <v>0</v>
      </c>
      <c r="U230" s="36">
        <f>COUNTIF(Tabla1[[#This Row],[VEHICULOS_ACCIDENTADOS]:[VEHICULOS_ACCIDENTADOS2]],"CAMPERO")</f>
        <v>0</v>
      </c>
      <c r="V230" s="36">
        <f>COUNTIF(Tabla1[[#This Row],[VEHICULOS_ACCIDENTADOS]:[VEHICULOS_ACCIDENTADOS2]],"CAMIONETA")</f>
        <v>0</v>
      </c>
      <c r="W230" s="36">
        <f>COUNTIF(Tabla1[[#This Row],[VEHICULOS_ACCIDENTADOS]:[VEHICULOS_ACCIDENTADOS2]],"MICROBUS")</f>
        <v>0</v>
      </c>
      <c r="X230" s="36">
        <f>COUNTIF(Tabla1[[#This Row],[VEHICULOS_ACCIDENTADOS]:[VEHICULOS_ACCIDENTADOS2]],"BUS")</f>
        <v>0</v>
      </c>
      <c r="Y230" s="36">
        <f>COUNTIF(Tabla1[[#This Row],[VEHICULOS_ACCIDENTADOS]:[VEHICULOS_ACCIDENTADOS2]],"BUSETA")</f>
        <v>0</v>
      </c>
      <c r="Z230" s="36">
        <f>COUNTIF(Tabla1[[#This Row],[VEHICULOS_ACCIDENTADOS]:[VEHICULOS_ACCIDENTADOS2]],"CAMION")</f>
        <v>0</v>
      </c>
      <c r="AA230" s="36">
        <f>COUNTIF(Tabla1[[#This Row],[VEHICULOS_ACCIDENTADOS]:[VEHICULOS_ACCIDENTADOS2]],"TRACTOCAMION")</f>
        <v>0</v>
      </c>
      <c r="AB230" s="36">
        <f>COUNTIF(Tabla1[[#This Row],[VEHICULOS_ACCIDENTADOS]:[VEHICULOS_ACCIDENTADOS2]],"VOLQUETA")</f>
        <v>0</v>
      </c>
      <c r="AC230" s="36">
        <f>COUNTIF(Tabla1[[#This Row],[VEHICULOS_ACCIDENTADOS]:[VEHICULOS_ACCIDENTADOS2]],"BICICLETA")</f>
        <v>1</v>
      </c>
      <c r="AD230" s="136" t="s">
        <v>471</v>
      </c>
      <c r="AE230" s="136" t="s">
        <v>471</v>
      </c>
      <c r="AF230" s="136">
        <f>COUNTIF(Tabla1[[#This Row],[GENERO_MASCULINO]:[GENERO_FEMENINO]],"MASCULINO")</f>
        <v>2</v>
      </c>
      <c r="AG230" s="36">
        <f>COUNTIF(Tabla1[[#This Row],[GENERO_MASCULINO]:[GENERO_FEMENINO]],"FEMENINO")</f>
        <v>0</v>
      </c>
      <c r="AH230" s="85">
        <v>18</v>
      </c>
      <c r="AI230" s="85">
        <v>18</v>
      </c>
      <c r="AJ230" s="85"/>
      <c r="AK230" s="85"/>
      <c r="AL230" s="85"/>
      <c r="AM230" s="136"/>
      <c r="AN230" s="85">
        <v>115</v>
      </c>
      <c r="AO230" s="36" t="str">
        <f>IFERROR(((VLOOKUP(Tabla1[[#This Row],[HIPOTESIS_1]],listas!$D$1:$E$105,2,FALSE))),"SIN INFORMACIÓN")</f>
        <v>Embriaguez o Sustancias alucinogenas</v>
      </c>
      <c r="AP230" s="136">
        <v>139</v>
      </c>
      <c r="AQ230" s="36" t="str">
        <f>IFERROR(((VLOOKUP(Tabla1[[#This Row],[HIPOTESIS_2]],listas!$D$1:$E$105,2,FALSE))),"")</f>
        <v>Impericia en el manejo.</v>
      </c>
      <c r="AR230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231" spans="1:44" x14ac:dyDescent="0.25">
      <c r="A231" s="12">
        <v>681</v>
      </c>
      <c r="B231" s="135">
        <v>0</v>
      </c>
      <c r="C231" s="136">
        <v>2</v>
      </c>
      <c r="D231" s="136">
        <v>0</v>
      </c>
      <c r="E231" s="18" t="str">
        <f t="shared" si="12"/>
        <v>LESIONADO</v>
      </c>
      <c r="F231" s="26" t="s">
        <v>156</v>
      </c>
      <c r="G231" s="21">
        <v>5.3430777777777774</v>
      </c>
      <c r="H231" s="21">
        <v>-72.395277777777778</v>
      </c>
      <c r="I231" s="93" t="s">
        <v>697</v>
      </c>
      <c r="J231" s="136" t="s">
        <v>717</v>
      </c>
      <c r="K231" s="24" t="str">
        <f t="shared" si="13"/>
        <v>2024</v>
      </c>
      <c r="L231" s="24" t="str">
        <f t="shared" si="14"/>
        <v>MARZO</v>
      </c>
      <c r="M231" s="224">
        <v>45371</v>
      </c>
      <c r="N231" s="24" t="str">
        <f t="shared" si="15"/>
        <v>MIÉRCOLES</v>
      </c>
      <c r="O231" s="171">
        <v>0.68055555555555547</v>
      </c>
      <c r="P231" s="178" t="s">
        <v>469</v>
      </c>
      <c r="Q231" s="178" t="s">
        <v>445</v>
      </c>
      <c r="R231" s="36">
        <f>COUNTIF(Tabla1[[#This Row],[VEHICULOS_ACCIDENTADOS]:[VEHICULOS_ACCIDENTADOS2]],"MOTOCICLETA")</f>
        <v>1</v>
      </c>
      <c r="S231" s="36">
        <f>COUNTIF(Tabla1[[#This Row],[VEHICULOS_ACCIDENTADOS]:[VEHICULOS_ACCIDENTADOS2]],"MOTOCARRO")</f>
        <v>0</v>
      </c>
      <c r="T231" s="36">
        <f>COUNTIF(Tabla1[[#This Row],[VEHICULOS_ACCIDENTADOS]:[VEHICULOS_ACCIDENTADOS2]],"AUTOMOVIL")</f>
        <v>0</v>
      </c>
      <c r="U231" s="36">
        <f>COUNTIF(Tabla1[[#This Row],[VEHICULOS_ACCIDENTADOS]:[VEHICULOS_ACCIDENTADOS2]],"CAMPERO")</f>
        <v>0</v>
      </c>
      <c r="V231" s="36">
        <f>COUNTIF(Tabla1[[#This Row],[VEHICULOS_ACCIDENTADOS]:[VEHICULOS_ACCIDENTADOS2]],"CAMIONETA")</f>
        <v>1</v>
      </c>
      <c r="W231" s="36">
        <f>COUNTIF(Tabla1[[#This Row],[VEHICULOS_ACCIDENTADOS]:[VEHICULOS_ACCIDENTADOS2]],"MICROBUS")</f>
        <v>0</v>
      </c>
      <c r="X231" s="36">
        <f>COUNTIF(Tabla1[[#This Row],[VEHICULOS_ACCIDENTADOS]:[VEHICULOS_ACCIDENTADOS2]],"BUS")</f>
        <v>0</v>
      </c>
      <c r="Y231" s="36">
        <f>COUNTIF(Tabla1[[#This Row],[VEHICULOS_ACCIDENTADOS]:[VEHICULOS_ACCIDENTADOS2]],"BUSETA")</f>
        <v>0</v>
      </c>
      <c r="Z231" s="36">
        <f>COUNTIF(Tabla1[[#This Row],[VEHICULOS_ACCIDENTADOS]:[VEHICULOS_ACCIDENTADOS2]],"CAMION")</f>
        <v>0</v>
      </c>
      <c r="AA231" s="36">
        <f>COUNTIF(Tabla1[[#This Row],[VEHICULOS_ACCIDENTADOS]:[VEHICULOS_ACCIDENTADOS2]],"TRACTOCAMION")</f>
        <v>0</v>
      </c>
      <c r="AB231" s="36">
        <f>COUNTIF(Tabla1[[#This Row],[VEHICULOS_ACCIDENTADOS]:[VEHICULOS_ACCIDENTADOS2]],"VOLQUETA")</f>
        <v>0</v>
      </c>
      <c r="AC231" s="36">
        <f>COUNTIF(Tabla1[[#This Row],[VEHICULOS_ACCIDENTADOS]:[VEHICULOS_ACCIDENTADOS2]],"BICICLETA")</f>
        <v>0</v>
      </c>
      <c r="AD231" s="136" t="s">
        <v>471</v>
      </c>
      <c r="AE231" s="136" t="s">
        <v>472</v>
      </c>
      <c r="AF231" s="136">
        <f>COUNTIF(Tabla1[[#This Row],[GENERO_MASCULINO]:[GENERO_FEMENINO]],"MASCULINO")</f>
        <v>1</v>
      </c>
      <c r="AG231" s="36">
        <f>COUNTIF(Tabla1[[#This Row],[GENERO_MASCULINO]:[GENERO_FEMENINO]],"FEMENINO")</f>
        <v>1</v>
      </c>
      <c r="AH231" s="85">
        <v>55</v>
      </c>
      <c r="AI231" s="85">
        <v>23</v>
      </c>
      <c r="AJ231" s="85">
        <v>12</v>
      </c>
      <c r="AK231" s="85"/>
      <c r="AL231" s="85"/>
      <c r="AM231" s="136"/>
      <c r="AN231" s="85">
        <v>112</v>
      </c>
      <c r="AO231" s="36" t="str">
        <f>IFERROR(((VLOOKUP(Tabla1[[#This Row],[HIPOTESIS_1]],listas!$D$1:$E$105,2,FALSE))),"SIN INFORMACIÓN")</f>
        <v>Desobedecer señales o normas de tránsito.</v>
      </c>
      <c r="AP231" s="136">
        <v>139</v>
      </c>
      <c r="AQ231" s="36" t="str">
        <f>IFERROR(((VLOOKUP(Tabla1[[#This Row],[HIPOTESIS_2]],listas!$D$1:$E$105,2,FALSE))),"")</f>
        <v>Impericia en el manejo.</v>
      </c>
      <c r="AR231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232" spans="1:44" x14ac:dyDescent="0.25">
      <c r="A232" s="12">
        <v>902</v>
      </c>
      <c r="B232" s="135">
        <v>0</v>
      </c>
      <c r="C232" s="136">
        <v>1</v>
      </c>
      <c r="D232" s="136">
        <v>0</v>
      </c>
      <c r="E232" s="18" t="str">
        <f t="shared" si="12"/>
        <v>LESIONADO</v>
      </c>
      <c r="F232" s="26" t="s">
        <v>1145</v>
      </c>
      <c r="G232" s="17">
        <v>5.3396363888888887</v>
      </c>
      <c r="H232" s="17">
        <v>-72.392344444444447</v>
      </c>
      <c r="I232" s="93" t="s">
        <v>697</v>
      </c>
      <c r="J232" s="167" t="s">
        <v>717</v>
      </c>
      <c r="K232" s="24" t="str">
        <f t="shared" si="13"/>
        <v>2025</v>
      </c>
      <c r="L232" s="24" t="str">
        <f t="shared" si="14"/>
        <v>MARZO</v>
      </c>
      <c r="M232" s="224">
        <v>45727</v>
      </c>
      <c r="N232" s="24" t="str">
        <f t="shared" si="15"/>
        <v>MARTES</v>
      </c>
      <c r="O232" s="171">
        <v>0.68055555555555547</v>
      </c>
      <c r="P232" s="178" t="s">
        <v>469</v>
      </c>
      <c r="Q232" s="178" t="s">
        <v>445</v>
      </c>
      <c r="R232" s="36">
        <f>COUNTIF(Tabla1[[#This Row],[VEHICULOS_ACCIDENTADOS]:[VEHICULOS_ACCIDENTADOS2]],"MOTOCICLETA")</f>
        <v>1</v>
      </c>
      <c r="S232" s="36">
        <f>COUNTIF(Tabla1[[#This Row],[VEHICULOS_ACCIDENTADOS]:[VEHICULOS_ACCIDENTADOS2]],"MOTOCARRO")</f>
        <v>0</v>
      </c>
      <c r="T232" s="36">
        <f>COUNTIF(Tabla1[[#This Row],[VEHICULOS_ACCIDENTADOS]:[VEHICULOS_ACCIDENTADOS2]],"AUTOMOVIL")</f>
        <v>0</v>
      </c>
      <c r="U232" s="36">
        <f>COUNTIF(Tabla1[[#This Row],[VEHICULOS_ACCIDENTADOS]:[VEHICULOS_ACCIDENTADOS2]],"CAMPERO")</f>
        <v>0</v>
      </c>
      <c r="V232" s="36">
        <f>COUNTIF(Tabla1[[#This Row],[VEHICULOS_ACCIDENTADOS]:[VEHICULOS_ACCIDENTADOS2]],"CAMIONETA")</f>
        <v>1</v>
      </c>
      <c r="W232" s="36">
        <f>COUNTIF(Tabla1[[#This Row],[VEHICULOS_ACCIDENTADOS]:[VEHICULOS_ACCIDENTADOS2]],"MICROBUS")</f>
        <v>0</v>
      </c>
      <c r="X232" s="36">
        <f>COUNTIF(Tabla1[[#This Row],[VEHICULOS_ACCIDENTADOS]:[VEHICULOS_ACCIDENTADOS2]],"BUS")</f>
        <v>0</v>
      </c>
      <c r="Y232" s="36">
        <f>COUNTIF(Tabla1[[#This Row],[VEHICULOS_ACCIDENTADOS]:[VEHICULOS_ACCIDENTADOS2]],"BUSETA")</f>
        <v>0</v>
      </c>
      <c r="Z232" s="36">
        <f>COUNTIF(Tabla1[[#This Row],[VEHICULOS_ACCIDENTADOS]:[VEHICULOS_ACCIDENTADOS2]],"CAMION")</f>
        <v>0</v>
      </c>
      <c r="AA232" s="36">
        <f>COUNTIF(Tabla1[[#This Row],[VEHICULOS_ACCIDENTADOS]:[VEHICULOS_ACCIDENTADOS2]],"TRACTOCAMION")</f>
        <v>0</v>
      </c>
      <c r="AB232" s="36">
        <f>COUNTIF(Tabla1[[#This Row],[VEHICULOS_ACCIDENTADOS]:[VEHICULOS_ACCIDENTADOS2]],"VOLQUETA")</f>
        <v>0</v>
      </c>
      <c r="AC232" s="36">
        <f>COUNTIF(Tabla1[[#This Row],[VEHICULOS_ACCIDENTADOS]:[VEHICULOS_ACCIDENTADOS2]],"BICICLETA")</f>
        <v>0</v>
      </c>
      <c r="AD232" s="136" t="s">
        <v>472</v>
      </c>
      <c r="AE232" s="136" t="s">
        <v>471</v>
      </c>
      <c r="AF232" s="136">
        <f>COUNTIF(Tabla1[[#This Row],[GENERO_MASCULINO]:[GENERO_FEMENINO]],"MASCULINO")</f>
        <v>1</v>
      </c>
      <c r="AG232" s="36">
        <f>COUNTIF(Tabla1[[#This Row],[GENERO_MASCULINO]:[GENERO_FEMENINO]],"FEMENINO")</f>
        <v>1</v>
      </c>
      <c r="AH232" s="85">
        <v>45</v>
      </c>
      <c r="AI232" s="85">
        <v>28</v>
      </c>
      <c r="AJ232" s="85"/>
      <c r="AK232" s="85"/>
      <c r="AL232" s="85"/>
      <c r="AM232" s="136"/>
      <c r="AN232" s="85">
        <v>132</v>
      </c>
      <c r="AO232" s="36" t="str">
        <f>IFERROR(((VLOOKUP(Tabla1[[#This Row],[HIPOTESIS_1]],listas!$D$1:$E$105,2,FALSE))),"SIN INFORMACIÓN")</f>
        <v>No respetar prelación.</v>
      </c>
      <c r="AP232" s="136">
        <v>139</v>
      </c>
      <c r="AQ232" s="36" t="str">
        <f>IFERROR(((VLOOKUP(Tabla1[[#This Row],[HIPOTESIS_2]],listas!$D$1:$E$105,2,FALSE))),"")</f>
        <v>Impericia en el manejo.</v>
      </c>
      <c r="AR232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233" spans="1:44" x14ac:dyDescent="0.25">
      <c r="A233" s="12">
        <v>935</v>
      </c>
      <c r="B233" s="135">
        <v>0</v>
      </c>
      <c r="C233" s="136">
        <v>2</v>
      </c>
      <c r="D233" s="136">
        <v>0</v>
      </c>
      <c r="E233" s="18" t="str">
        <f t="shared" si="12"/>
        <v>LESIONADO</v>
      </c>
      <c r="F233" s="26" t="s">
        <v>1146</v>
      </c>
      <c r="G233" s="20">
        <v>5.33887</v>
      </c>
      <c r="H233" s="20">
        <v>-72.391850000000005</v>
      </c>
      <c r="I233" s="93" t="s">
        <v>697</v>
      </c>
      <c r="J233" s="136" t="s">
        <v>717</v>
      </c>
      <c r="K233" s="24" t="str">
        <f t="shared" si="13"/>
        <v>2025</v>
      </c>
      <c r="L233" s="24" t="str">
        <f t="shared" si="14"/>
        <v>ABRIL</v>
      </c>
      <c r="M233" s="224">
        <v>45758</v>
      </c>
      <c r="N233" s="24" t="str">
        <f t="shared" si="15"/>
        <v>VIERNES</v>
      </c>
      <c r="O233" s="171">
        <v>0.55486111111111114</v>
      </c>
      <c r="P233" s="136" t="s">
        <v>469</v>
      </c>
      <c r="Q233" s="136" t="s">
        <v>469</v>
      </c>
      <c r="R233" s="36">
        <f>COUNTIF(Tabla1[[#This Row],[VEHICULOS_ACCIDENTADOS]:[VEHICULOS_ACCIDENTADOS2]],"MOTOCICLETA")</f>
        <v>2</v>
      </c>
      <c r="S233" s="36">
        <f>COUNTIF(Tabla1[[#This Row],[VEHICULOS_ACCIDENTADOS]:[VEHICULOS_ACCIDENTADOS2]],"MOTOCARRO")</f>
        <v>0</v>
      </c>
      <c r="T233" s="36">
        <f>COUNTIF(Tabla1[[#This Row],[VEHICULOS_ACCIDENTADOS]:[VEHICULOS_ACCIDENTADOS2]],"AUTOMOVIL")</f>
        <v>0</v>
      </c>
      <c r="U233" s="36">
        <f>COUNTIF(Tabla1[[#This Row],[VEHICULOS_ACCIDENTADOS]:[VEHICULOS_ACCIDENTADOS2]],"CAMPERO")</f>
        <v>0</v>
      </c>
      <c r="V233" s="36">
        <f>COUNTIF(Tabla1[[#This Row],[VEHICULOS_ACCIDENTADOS]:[VEHICULOS_ACCIDENTADOS2]],"CAMIONETA")</f>
        <v>0</v>
      </c>
      <c r="W233" s="36">
        <f>COUNTIF(Tabla1[[#This Row],[VEHICULOS_ACCIDENTADOS]:[VEHICULOS_ACCIDENTADOS2]],"MICROBUS")</f>
        <v>0</v>
      </c>
      <c r="X233" s="36">
        <f>COUNTIF(Tabla1[[#This Row],[VEHICULOS_ACCIDENTADOS]:[VEHICULOS_ACCIDENTADOS2]],"BUS")</f>
        <v>0</v>
      </c>
      <c r="Y233" s="36">
        <f>COUNTIF(Tabla1[[#This Row],[VEHICULOS_ACCIDENTADOS]:[VEHICULOS_ACCIDENTADOS2]],"BUSETA")</f>
        <v>0</v>
      </c>
      <c r="Z233" s="36">
        <f>COUNTIF(Tabla1[[#This Row],[VEHICULOS_ACCIDENTADOS]:[VEHICULOS_ACCIDENTADOS2]],"CAMION")</f>
        <v>0</v>
      </c>
      <c r="AA233" s="36">
        <f>COUNTIF(Tabla1[[#This Row],[VEHICULOS_ACCIDENTADOS]:[VEHICULOS_ACCIDENTADOS2]],"TRACTOCAMION")</f>
        <v>0</v>
      </c>
      <c r="AB233" s="36">
        <f>COUNTIF(Tabla1[[#This Row],[VEHICULOS_ACCIDENTADOS]:[VEHICULOS_ACCIDENTADOS2]],"VOLQUETA")</f>
        <v>0</v>
      </c>
      <c r="AC233" s="36">
        <f>COUNTIF(Tabla1[[#This Row],[VEHICULOS_ACCIDENTADOS]:[VEHICULOS_ACCIDENTADOS2]],"BICICLETA")</f>
        <v>0</v>
      </c>
      <c r="AD233" s="136" t="s">
        <v>472</v>
      </c>
      <c r="AE233" s="136" t="s">
        <v>471</v>
      </c>
      <c r="AF233" s="136">
        <f>COUNTIF(Tabla1[[#This Row],[GENERO_MASCULINO]:[GENERO_FEMENINO]],"MASCULINO")</f>
        <v>1</v>
      </c>
      <c r="AG233" s="36">
        <f>COUNTIF(Tabla1[[#This Row],[GENERO_MASCULINO]:[GENERO_FEMENINO]],"FEMENINO")</f>
        <v>1</v>
      </c>
      <c r="AH233" s="85"/>
      <c r="AI233" s="85">
        <v>24</v>
      </c>
      <c r="AJ233" s="85"/>
      <c r="AK233" s="78"/>
      <c r="AL233" s="78"/>
      <c r="AM233" s="59"/>
      <c r="AN233" s="85">
        <v>112</v>
      </c>
      <c r="AO233" s="36" t="str">
        <f>IFERROR(((VLOOKUP(Tabla1[[#This Row],[HIPOTESIS_1]],listas!$D$1:$E$105,2,FALSE))),"SIN INFORMACIÓN")</f>
        <v>Desobedecer señales o normas de tránsito.</v>
      </c>
      <c r="AP233" s="36">
        <v>139</v>
      </c>
      <c r="AQ233" s="36" t="str">
        <f>IFERROR(((VLOOKUP(Tabla1[[#This Row],[HIPOTESIS_2]],listas!$D$1:$E$105,2,FALSE))),"")</f>
        <v>Impericia en el manejo.</v>
      </c>
      <c r="AR233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234" spans="1:44" x14ac:dyDescent="0.25">
      <c r="A234" s="12">
        <v>392</v>
      </c>
      <c r="B234" s="36">
        <v>0</v>
      </c>
      <c r="C234" s="36">
        <v>2</v>
      </c>
      <c r="D234" s="36">
        <v>0</v>
      </c>
      <c r="E234" s="18" t="str">
        <f t="shared" si="12"/>
        <v>LESIONADO</v>
      </c>
      <c r="F234" s="29" t="s">
        <v>1148</v>
      </c>
      <c r="G234" s="21">
        <v>5.334938055555555</v>
      </c>
      <c r="H234" s="21">
        <v>-72.389722777777791</v>
      </c>
      <c r="I234" s="93" t="s">
        <v>697</v>
      </c>
      <c r="J234" s="36" t="s">
        <v>717</v>
      </c>
      <c r="K234" s="24" t="str">
        <f t="shared" si="13"/>
        <v>2023</v>
      </c>
      <c r="L234" s="24" t="str">
        <f t="shared" si="14"/>
        <v>ENERO</v>
      </c>
      <c r="M234" s="225">
        <v>44950</v>
      </c>
      <c r="N234" s="24" t="str">
        <f t="shared" si="15"/>
        <v>MARTES</v>
      </c>
      <c r="O234" s="101">
        <v>0.75</v>
      </c>
      <c r="P234" s="57" t="s">
        <v>469</v>
      </c>
      <c r="Q234" s="57" t="s">
        <v>438</v>
      </c>
      <c r="R234" s="36">
        <f>COUNTIF(Tabla1[[#This Row],[VEHICULOS_ACCIDENTADOS]:[VEHICULOS_ACCIDENTADOS2]],"MOTOCICLETA")</f>
        <v>1</v>
      </c>
      <c r="S234" s="36">
        <f>COUNTIF(Tabla1[[#This Row],[VEHICULOS_ACCIDENTADOS]:[VEHICULOS_ACCIDENTADOS2]],"MOTOCARRO")</f>
        <v>0</v>
      </c>
      <c r="T234" s="36">
        <f>COUNTIF(Tabla1[[#This Row],[VEHICULOS_ACCIDENTADOS]:[VEHICULOS_ACCIDENTADOS2]],"AUTOMOVIL")</f>
        <v>0</v>
      </c>
      <c r="U234" s="36">
        <f>COUNTIF(Tabla1[[#This Row],[VEHICULOS_ACCIDENTADOS]:[VEHICULOS_ACCIDENTADOS2]],"CAMPERO")</f>
        <v>0</v>
      </c>
      <c r="V234" s="36">
        <f>COUNTIF(Tabla1[[#This Row],[VEHICULOS_ACCIDENTADOS]:[VEHICULOS_ACCIDENTADOS2]],"CAMIONETA")</f>
        <v>0</v>
      </c>
      <c r="W234" s="36">
        <f>COUNTIF(Tabla1[[#This Row],[VEHICULOS_ACCIDENTADOS]:[VEHICULOS_ACCIDENTADOS2]],"MICROBUS")</f>
        <v>0</v>
      </c>
      <c r="X234" s="36">
        <f>COUNTIF(Tabla1[[#This Row],[VEHICULOS_ACCIDENTADOS]:[VEHICULOS_ACCIDENTADOS2]],"BUS")</f>
        <v>0</v>
      </c>
      <c r="Y234" s="36">
        <f>COUNTIF(Tabla1[[#This Row],[VEHICULOS_ACCIDENTADOS]:[VEHICULOS_ACCIDENTADOS2]],"BUSETA")</f>
        <v>0</v>
      </c>
      <c r="Z234" s="36">
        <f>COUNTIF(Tabla1[[#This Row],[VEHICULOS_ACCIDENTADOS]:[VEHICULOS_ACCIDENTADOS2]],"CAMION")</f>
        <v>0</v>
      </c>
      <c r="AA234" s="36">
        <f>COUNTIF(Tabla1[[#This Row],[VEHICULOS_ACCIDENTADOS]:[VEHICULOS_ACCIDENTADOS2]],"TRACTOCAMION")</f>
        <v>0</v>
      </c>
      <c r="AB234" s="36">
        <f>COUNTIF(Tabla1[[#This Row],[VEHICULOS_ACCIDENTADOS]:[VEHICULOS_ACCIDENTADOS2]],"VOLQUETA")</f>
        <v>0</v>
      </c>
      <c r="AC234" s="36">
        <f>COUNTIF(Tabla1[[#This Row],[VEHICULOS_ACCIDENTADOS]:[VEHICULOS_ACCIDENTADOS2]],"BICICLETA")</f>
        <v>1</v>
      </c>
      <c r="AD234" s="36" t="s">
        <v>471</v>
      </c>
      <c r="AE234" s="36" t="s">
        <v>472</v>
      </c>
      <c r="AF234" s="36">
        <f>COUNTIF(Tabla1[[#This Row],[GENERO_MASCULINO]:[GENERO_FEMENINO]],"MASCULINO")</f>
        <v>1</v>
      </c>
      <c r="AG234" s="36">
        <f>COUNTIF(Tabla1[[#This Row],[GENERO_MASCULINO]:[GENERO_FEMENINO]],"FEMENINO")</f>
        <v>1</v>
      </c>
      <c r="AH234" s="61">
        <v>20</v>
      </c>
      <c r="AI234" s="61">
        <v>10</v>
      </c>
      <c r="AJ234" s="61"/>
      <c r="AK234" s="61"/>
      <c r="AL234" s="61"/>
      <c r="AM234" s="36"/>
      <c r="AN234" s="61">
        <v>115</v>
      </c>
      <c r="AO234" s="36" t="str">
        <f>IFERROR(((VLOOKUP(Tabla1[[#This Row],[HIPOTESIS_1]],listas!$D$1:$E$105,2,FALSE))),"SIN INFORMACIÓN")</f>
        <v>Embriaguez o Sustancias alucinogenas</v>
      </c>
      <c r="AP234" s="36">
        <v>139</v>
      </c>
      <c r="AQ234" s="36" t="str">
        <f>IFERROR(((VLOOKUP(Tabla1[[#This Row],[HIPOTESIS_2]],listas!$D$1:$E$105,2,FALSE))),"")</f>
        <v>Impericia en el manejo.</v>
      </c>
      <c r="AR234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235" spans="1:44" x14ac:dyDescent="0.25">
      <c r="A235" s="12">
        <v>803</v>
      </c>
      <c r="B235" s="136">
        <v>0</v>
      </c>
      <c r="C235" s="136">
        <v>3</v>
      </c>
      <c r="D235" s="141">
        <v>1</v>
      </c>
      <c r="E235" s="18" t="str">
        <f t="shared" si="12"/>
        <v>FALLECIDO</v>
      </c>
      <c r="F235" s="26" t="s">
        <v>1152</v>
      </c>
      <c r="G235" s="21">
        <v>5.3246861111111112</v>
      </c>
      <c r="H235" s="21">
        <v>-72.384172222222233</v>
      </c>
      <c r="I235" s="93" t="s">
        <v>697</v>
      </c>
      <c r="J235" s="36" t="s">
        <v>717</v>
      </c>
      <c r="K235" s="24" t="str">
        <f t="shared" si="13"/>
        <v>2024</v>
      </c>
      <c r="L235" s="24" t="str">
        <f t="shared" si="14"/>
        <v>NOVIEMBRE</v>
      </c>
      <c r="M235" s="224">
        <v>45599</v>
      </c>
      <c r="N235" s="24" t="str">
        <f t="shared" si="15"/>
        <v>DOMINGO</v>
      </c>
      <c r="O235" s="171">
        <v>0.1875</v>
      </c>
      <c r="P235" s="178" t="s">
        <v>469</v>
      </c>
      <c r="Q235" s="178" t="s">
        <v>469</v>
      </c>
      <c r="R235" s="36">
        <f>COUNTIF(Tabla1[[#This Row],[VEHICULOS_ACCIDENTADOS]:[VEHICULOS_ACCIDENTADOS2]],"MOTOCICLETA")</f>
        <v>2</v>
      </c>
      <c r="S235" s="36">
        <f>COUNTIF(Tabla1[[#This Row],[VEHICULOS_ACCIDENTADOS]:[VEHICULOS_ACCIDENTADOS2]],"MOTOCARRO")</f>
        <v>0</v>
      </c>
      <c r="T235" s="36">
        <f>COUNTIF(Tabla1[[#This Row],[VEHICULOS_ACCIDENTADOS]:[VEHICULOS_ACCIDENTADOS2]],"AUTOMOVIL")</f>
        <v>0</v>
      </c>
      <c r="U235" s="36">
        <f>COUNTIF(Tabla1[[#This Row],[VEHICULOS_ACCIDENTADOS]:[VEHICULOS_ACCIDENTADOS2]],"CAMPERO")</f>
        <v>0</v>
      </c>
      <c r="V235" s="36">
        <f>COUNTIF(Tabla1[[#This Row],[VEHICULOS_ACCIDENTADOS]:[VEHICULOS_ACCIDENTADOS2]],"CAMIONETA")</f>
        <v>0</v>
      </c>
      <c r="W235" s="36">
        <f>COUNTIF(Tabla1[[#This Row],[VEHICULOS_ACCIDENTADOS]:[VEHICULOS_ACCIDENTADOS2]],"MICROBUS")</f>
        <v>0</v>
      </c>
      <c r="X235" s="36">
        <f>COUNTIF(Tabla1[[#This Row],[VEHICULOS_ACCIDENTADOS]:[VEHICULOS_ACCIDENTADOS2]],"BUS")</f>
        <v>0</v>
      </c>
      <c r="Y235" s="36">
        <f>COUNTIF(Tabla1[[#This Row],[VEHICULOS_ACCIDENTADOS]:[VEHICULOS_ACCIDENTADOS2]],"BUSETA")</f>
        <v>0</v>
      </c>
      <c r="Z235" s="36">
        <f>COUNTIF(Tabla1[[#This Row],[VEHICULOS_ACCIDENTADOS]:[VEHICULOS_ACCIDENTADOS2]],"CAMION")</f>
        <v>0</v>
      </c>
      <c r="AA235" s="36">
        <f>COUNTIF(Tabla1[[#This Row],[VEHICULOS_ACCIDENTADOS]:[VEHICULOS_ACCIDENTADOS2]],"TRACTOCAMION")</f>
        <v>0</v>
      </c>
      <c r="AB235" s="36">
        <f>COUNTIF(Tabla1[[#This Row],[VEHICULOS_ACCIDENTADOS]:[VEHICULOS_ACCIDENTADOS2]],"VOLQUETA")</f>
        <v>0</v>
      </c>
      <c r="AC235" s="36">
        <f>COUNTIF(Tabla1[[#This Row],[VEHICULOS_ACCIDENTADOS]:[VEHICULOS_ACCIDENTADOS2]],"BICICLETA")</f>
        <v>0</v>
      </c>
      <c r="AD235" s="136" t="s">
        <v>471</v>
      </c>
      <c r="AE235" s="136"/>
      <c r="AF235" s="136">
        <f>COUNTIF(Tabla1[[#This Row],[GENERO_MASCULINO]:[GENERO_FEMENINO]],"MASCULINO")</f>
        <v>1</v>
      </c>
      <c r="AG235" s="36">
        <f>COUNTIF(Tabla1[[#This Row],[GENERO_MASCULINO]:[GENERO_FEMENINO]],"FEMENINO")</f>
        <v>0</v>
      </c>
      <c r="AH235" s="85"/>
      <c r="AI235" s="85">
        <v>25</v>
      </c>
      <c r="AJ235" s="85">
        <v>21</v>
      </c>
      <c r="AK235" s="85">
        <v>35</v>
      </c>
      <c r="AL235" s="85"/>
      <c r="AM235" s="136">
        <v>23</v>
      </c>
      <c r="AN235" s="85">
        <v>112</v>
      </c>
      <c r="AO235" s="36" t="str">
        <f>IFERROR(((VLOOKUP(Tabla1[[#This Row],[HIPOTESIS_1]],listas!$D$1:$E$105,2,FALSE))),"SIN INFORMACIÓN")</f>
        <v>Desobedecer señales o normas de tránsito.</v>
      </c>
      <c r="AP235" s="136">
        <v>139</v>
      </c>
      <c r="AQ235" s="36" t="str">
        <f>IFERROR(((VLOOKUP(Tabla1[[#This Row],[HIPOTESIS_2]],listas!$D$1:$E$105,2,FALSE))),"")</f>
        <v>Impericia en el manejo.</v>
      </c>
      <c r="AR235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236" spans="1:44" ht="13.8" customHeight="1" x14ac:dyDescent="0.25">
      <c r="A236" s="12">
        <v>1093</v>
      </c>
      <c r="B236" s="137">
        <v>1</v>
      </c>
      <c r="C236" s="137">
        <v>0</v>
      </c>
      <c r="D236" s="137">
        <v>0</v>
      </c>
      <c r="E236" s="24" t="str">
        <f t="shared" si="12"/>
        <v>SOLO DAÑO</v>
      </c>
      <c r="F236" s="152" t="s">
        <v>941</v>
      </c>
      <c r="G236" s="30">
        <v>5.3466420667245904</v>
      </c>
      <c r="H236" s="30">
        <v>-72.396079357713404</v>
      </c>
      <c r="I236" s="165" t="s">
        <v>697</v>
      </c>
      <c r="J236" s="36" t="s">
        <v>717</v>
      </c>
      <c r="K236" s="24" t="str">
        <f t="shared" si="13"/>
        <v>2025</v>
      </c>
      <c r="L236" s="24" t="str">
        <f t="shared" si="14"/>
        <v>SEPTIEMBRE</v>
      </c>
      <c r="M236" s="225">
        <v>45925</v>
      </c>
      <c r="N236" s="24" t="str">
        <f t="shared" si="15"/>
        <v>JUEVES</v>
      </c>
      <c r="O236" s="101">
        <v>0.71250000000000002</v>
      </c>
      <c r="P236" s="63" t="s">
        <v>469</v>
      </c>
      <c r="Q236" s="63" t="s">
        <v>445</v>
      </c>
      <c r="R236" s="36">
        <f>COUNTIF(Tabla1[[#This Row],[VEHICULOS_ACCIDENTADOS]:[VEHICULOS_ACCIDENTADOS2]],"MOTOCICLETA")</f>
        <v>1</v>
      </c>
      <c r="S236" s="36">
        <f>COUNTIF(Tabla1[[#This Row],[VEHICULOS_ACCIDENTADOS]:[VEHICULOS_ACCIDENTADOS2]],"MOTOCARRO")</f>
        <v>0</v>
      </c>
      <c r="T236" s="36">
        <f>COUNTIF(Tabla1[[#This Row],[VEHICULOS_ACCIDENTADOS]:[VEHICULOS_ACCIDENTADOS2]],"AUTOMOVIL")</f>
        <v>0</v>
      </c>
      <c r="U236" s="36">
        <f>COUNTIF(Tabla1[[#This Row],[VEHICULOS_ACCIDENTADOS]:[VEHICULOS_ACCIDENTADOS2]],"CAMPERO")</f>
        <v>0</v>
      </c>
      <c r="V236" s="36">
        <f>COUNTIF(Tabla1[[#This Row],[VEHICULOS_ACCIDENTADOS]:[VEHICULOS_ACCIDENTADOS2]],"CAMIONETA")</f>
        <v>1</v>
      </c>
      <c r="W236" s="36">
        <f>COUNTIF(Tabla1[[#This Row],[VEHICULOS_ACCIDENTADOS]:[VEHICULOS_ACCIDENTADOS2]],"MICROBUS")</f>
        <v>0</v>
      </c>
      <c r="X236" s="36">
        <f>COUNTIF(Tabla1[[#This Row],[VEHICULOS_ACCIDENTADOS]:[VEHICULOS_ACCIDENTADOS2]],"BUS")</f>
        <v>0</v>
      </c>
      <c r="Y236" s="36">
        <f>COUNTIF(Tabla1[[#This Row],[VEHICULOS_ACCIDENTADOS]:[VEHICULOS_ACCIDENTADOS2]],"BUSETA")</f>
        <v>0</v>
      </c>
      <c r="Z236" s="36">
        <f>COUNTIF(Tabla1[[#This Row],[VEHICULOS_ACCIDENTADOS]:[VEHICULOS_ACCIDENTADOS2]],"CAMION")</f>
        <v>0</v>
      </c>
      <c r="AA236" s="36">
        <f>COUNTIF(Tabla1[[#This Row],[VEHICULOS_ACCIDENTADOS]:[VEHICULOS_ACCIDENTADOS2]],"TRACTOCAMION")</f>
        <v>0</v>
      </c>
      <c r="AB236" s="36">
        <f>COUNTIF(Tabla1[[#This Row],[VEHICULOS_ACCIDENTADOS]:[VEHICULOS_ACCIDENTADOS2]],"VOLQUETA")</f>
        <v>0</v>
      </c>
      <c r="AC236" s="36">
        <f>COUNTIF(Tabla1[[#This Row],[VEHICULOS_ACCIDENTADOS]:[VEHICULOS_ACCIDENTADOS2]],"BICICLETA")</f>
        <v>0</v>
      </c>
      <c r="AD236" s="61" t="s">
        <v>471</v>
      </c>
      <c r="AE236" s="61" t="s">
        <v>471</v>
      </c>
      <c r="AF236" s="36">
        <f>COUNTIF(Tabla1[[#This Row],[GENERO_MASCULINO]:[GENERO_FEMENINO]],"MASCULINO")</f>
        <v>2</v>
      </c>
      <c r="AG236" s="36">
        <f>COUNTIF(Tabla1[[#This Row],[GENERO_MASCULINO]:[GENERO_FEMENINO]],"FEMENINO")</f>
        <v>0</v>
      </c>
      <c r="AH236" s="85"/>
      <c r="AI236" s="85"/>
      <c r="AJ236" s="85"/>
      <c r="AK236" s="78"/>
      <c r="AL236" s="78"/>
      <c r="AM236" s="59"/>
      <c r="AN236" s="61">
        <v>139</v>
      </c>
      <c r="AO236" s="59" t="str">
        <f>IFERROR(((VLOOKUP(Tabla1[[#This Row],[HIPOTESIS_1]],listas!$D$1:$E$105,2,FALSE))),"SIN INFORMACIÓN")</f>
        <v>Impericia en el manejo.</v>
      </c>
      <c r="AP236" s="36">
        <v>139</v>
      </c>
      <c r="AQ236" s="36" t="str">
        <f>IFERROR(((VLOOKUP(Tabla1[[#This Row],[HIPOTESIS_2]],listas!$D$1:$E$105,2,FALSE))),"")</f>
        <v>Impericia en el manejo.</v>
      </c>
      <c r="AR236" s="2" t="str">
        <f>IF(HOUR(Tabla1[[#This Row],[HORA_ACCIDENTE]])&lt;6,"MAÑANA",
 IF(HOUR(Tabla1[[#This Row],[HORA_ACCIDENTE]])&lt;12,"MAÑANA",
 IF(HOUR(Tabla1[[#This Row],[HORA_ACCIDENTE]])&lt;18,"TARDE","NOCHE")))</f>
        <v>TARDE</v>
      </c>
    </row>
    <row r="237" spans="1:44" x14ac:dyDescent="0.25">
      <c r="A237" s="12">
        <v>635</v>
      </c>
      <c r="B237" s="36">
        <v>0</v>
      </c>
      <c r="C237" s="36">
        <v>1</v>
      </c>
      <c r="D237" s="36">
        <v>0</v>
      </c>
      <c r="E237" s="18" t="str">
        <f t="shared" si="12"/>
        <v>LESIONADO</v>
      </c>
      <c r="F237" s="29" t="s">
        <v>174</v>
      </c>
      <c r="G237" s="21">
        <v>5.3380999999999998</v>
      </c>
      <c r="H237" s="21">
        <v>-72.391411111111111</v>
      </c>
      <c r="I237" s="93" t="s">
        <v>697</v>
      </c>
      <c r="J237" s="36" t="s">
        <v>717</v>
      </c>
      <c r="K237" s="24" t="str">
        <f t="shared" si="13"/>
        <v>2023</v>
      </c>
      <c r="L237" s="24" t="str">
        <f t="shared" si="14"/>
        <v>DICIEMBRE</v>
      </c>
      <c r="M237" s="225">
        <v>45276</v>
      </c>
      <c r="N237" s="24" t="str">
        <f t="shared" si="15"/>
        <v>SÁBADO</v>
      </c>
      <c r="O237" s="101">
        <v>0.89236111111111116</v>
      </c>
      <c r="P237" s="36" t="s">
        <v>469</v>
      </c>
      <c r="Q237" s="36" t="s">
        <v>447</v>
      </c>
      <c r="R237" s="36">
        <f>COUNTIF(Tabla1[[#This Row],[VEHICULOS_ACCIDENTADOS]:[VEHICULOS_ACCIDENTADOS2]],"MOTOCICLETA")</f>
        <v>1</v>
      </c>
      <c r="S237" s="36">
        <f>COUNTIF(Tabla1[[#This Row],[VEHICULOS_ACCIDENTADOS]:[VEHICULOS_ACCIDENTADOS2]],"MOTOCARRO")</f>
        <v>0</v>
      </c>
      <c r="T237" s="36">
        <f>COUNTIF(Tabla1[[#This Row],[VEHICULOS_ACCIDENTADOS]:[VEHICULOS_ACCIDENTADOS2]],"AUTOMOVIL")</f>
        <v>1</v>
      </c>
      <c r="U237" s="36">
        <f>COUNTIF(Tabla1[[#This Row],[VEHICULOS_ACCIDENTADOS]:[VEHICULOS_ACCIDENTADOS2]],"CAMPERO")</f>
        <v>0</v>
      </c>
      <c r="V237" s="36">
        <f>COUNTIF(Tabla1[[#This Row],[VEHICULOS_ACCIDENTADOS]:[VEHICULOS_ACCIDENTADOS2]],"CAMIONETA")</f>
        <v>0</v>
      </c>
      <c r="W237" s="36">
        <f>COUNTIF(Tabla1[[#This Row],[VEHICULOS_ACCIDENTADOS]:[VEHICULOS_ACCIDENTADOS2]],"MICROBUS")</f>
        <v>0</v>
      </c>
      <c r="X237" s="36">
        <f>COUNTIF(Tabla1[[#This Row],[VEHICULOS_ACCIDENTADOS]:[VEHICULOS_ACCIDENTADOS2]],"BUS")</f>
        <v>0</v>
      </c>
      <c r="Y237" s="36">
        <f>COUNTIF(Tabla1[[#This Row],[VEHICULOS_ACCIDENTADOS]:[VEHICULOS_ACCIDENTADOS2]],"BUSETA")</f>
        <v>0</v>
      </c>
      <c r="Z237" s="36">
        <f>COUNTIF(Tabla1[[#This Row],[VEHICULOS_ACCIDENTADOS]:[VEHICULOS_ACCIDENTADOS2]],"CAMION")</f>
        <v>0</v>
      </c>
      <c r="AA237" s="36">
        <f>COUNTIF(Tabla1[[#This Row],[VEHICULOS_ACCIDENTADOS]:[VEHICULOS_ACCIDENTADOS2]],"TRACTOCAMION")</f>
        <v>0</v>
      </c>
      <c r="AB237" s="36">
        <f>COUNTIF(Tabla1[[#This Row],[VEHICULOS_ACCIDENTADOS]:[VEHICULOS_ACCIDENTADOS2]],"VOLQUETA")</f>
        <v>0</v>
      </c>
      <c r="AC237" s="36">
        <f>COUNTIF(Tabla1[[#This Row],[VEHICULOS_ACCIDENTADOS]:[VEHICULOS_ACCIDENTADOS2]],"BICICLETA")</f>
        <v>0</v>
      </c>
      <c r="AD237" s="36" t="s">
        <v>471</v>
      </c>
      <c r="AE237" s="36"/>
      <c r="AF237" s="36">
        <f>COUNTIF(Tabla1[[#This Row],[GENERO_MASCULINO]:[GENERO_FEMENINO]],"MASCULINO")</f>
        <v>1</v>
      </c>
      <c r="AG237" s="36">
        <f>COUNTIF(Tabla1[[#This Row],[GENERO_MASCULINO]:[GENERO_FEMENINO]],"FEMENINO")</f>
        <v>0</v>
      </c>
      <c r="AH237" s="61">
        <v>17</v>
      </c>
      <c r="AI237" s="61">
        <v>41</v>
      </c>
      <c r="AJ237" s="61"/>
      <c r="AK237" s="61"/>
      <c r="AL237" s="61"/>
      <c r="AM237" s="36"/>
      <c r="AN237" s="61">
        <v>122</v>
      </c>
      <c r="AO237" s="36" t="str">
        <f>IFERROR(((VLOOKUP(Tabla1[[#This Row],[HIPOTESIS_1]],listas!$D$1:$E$105,2,FALSE))),"SIN INFORMACIÓN")</f>
        <v>Girar bruscamente.</v>
      </c>
      <c r="AP237" s="36">
        <v>139</v>
      </c>
      <c r="AQ237" s="36" t="str">
        <f>IFERROR(((VLOOKUP(Tabla1[[#This Row],[HIPOTESIS_2]],listas!$D$1:$E$105,2,FALSE))),"")</f>
        <v>Impericia en el manejo.</v>
      </c>
      <c r="AR237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238" spans="1:44" x14ac:dyDescent="0.25">
      <c r="A238" s="12">
        <v>686</v>
      </c>
      <c r="B238" s="136">
        <v>0</v>
      </c>
      <c r="C238" s="136">
        <v>2</v>
      </c>
      <c r="D238" s="136">
        <v>0</v>
      </c>
      <c r="E238" s="18" t="str">
        <f t="shared" si="12"/>
        <v>LESIONADO</v>
      </c>
      <c r="F238" s="136" t="s">
        <v>153</v>
      </c>
      <c r="G238" s="21">
        <v>5.3246861111111112</v>
      </c>
      <c r="H238" s="21">
        <v>-72.384172222222233</v>
      </c>
      <c r="I238" s="93" t="s">
        <v>697</v>
      </c>
      <c r="J238" s="136" t="s">
        <v>717</v>
      </c>
      <c r="K238" s="24" t="str">
        <f t="shared" si="13"/>
        <v>2024</v>
      </c>
      <c r="L238" s="24" t="str">
        <f t="shared" si="14"/>
        <v>MARZO</v>
      </c>
      <c r="M238" s="224">
        <v>45379</v>
      </c>
      <c r="N238" s="24" t="str">
        <f t="shared" si="15"/>
        <v>JUEVES</v>
      </c>
      <c r="O238" s="171">
        <v>0.79861111111111116</v>
      </c>
      <c r="P238" s="178" t="s">
        <v>469</v>
      </c>
      <c r="Q238" s="178" t="s">
        <v>469</v>
      </c>
      <c r="R238" s="36">
        <f>COUNTIF(Tabla1[[#This Row],[VEHICULOS_ACCIDENTADOS]:[VEHICULOS_ACCIDENTADOS2]],"MOTOCICLETA")</f>
        <v>2</v>
      </c>
      <c r="S238" s="36">
        <f>COUNTIF(Tabla1[[#This Row],[VEHICULOS_ACCIDENTADOS]:[VEHICULOS_ACCIDENTADOS2]],"MOTOCARRO")</f>
        <v>0</v>
      </c>
      <c r="T238" s="36">
        <f>COUNTIF(Tabla1[[#This Row],[VEHICULOS_ACCIDENTADOS]:[VEHICULOS_ACCIDENTADOS2]],"AUTOMOVIL")</f>
        <v>0</v>
      </c>
      <c r="U238" s="36">
        <f>COUNTIF(Tabla1[[#This Row],[VEHICULOS_ACCIDENTADOS]:[VEHICULOS_ACCIDENTADOS2]],"CAMPERO")</f>
        <v>0</v>
      </c>
      <c r="V238" s="36">
        <f>COUNTIF(Tabla1[[#This Row],[VEHICULOS_ACCIDENTADOS]:[VEHICULOS_ACCIDENTADOS2]],"CAMIONETA")</f>
        <v>0</v>
      </c>
      <c r="W238" s="36">
        <f>COUNTIF(Tabla1[[#This Row],[VEHICULOS_ACCIDENTADOS]:[VEHICULOS_ACCIDENTADOS2]],"MICROBUS")</f>
        <v>0</v>
      </c>
      <c r="X238" s="36">
        <f>COUNTIF(Tabla1[[#This Row],[VEHICULOS_ACCIDENTADOS]:[VEHICULOS_ACCIDENTADOS2]],"BUS")</f>
        <v>0</v>
      </c>
      <c r="Y238" s="36">
        <f>COUNTIF(Tabla1[[#This Row],[VEHICULOS_ACCIDENTADOS]:[VEHICULOS_ACCIDENTADOS2]],"BUSETA")</f>
        <v>0</v>
      </c>
      <c r="Z238" s="36">
        <f>COUNTIF(Tabla1[[#This Row],[VEHICULOS_ACCIDENTADOS]:[VEHICULOS_ACCIDENTADOS2]],"CAMION")</f>
        <v>0</v>
      </c>
      <c r="AA238" s="36">
        <f>COUNTIF(Tabla1[[#This Row],[VEHICULOS_ACCIDENTADOS]:[VEHICULOS_ACCIDENTADOS2]],"TRACTOCAMION")</f>
        <v>0</v>
      </c>
      <c r="AB238" s="36">
        <f>COUNTIF(Tabla1[[#This Row],[VEHICULOS_ACCIDENTADOS]:[VEHICULOS_ACCIDENTADOS2]],"VOLQUETA")</f>
        <v>0</v>
      </c>
      <c r="AC238" s="36">
        <f>COUNTIF(Tabla1[[#This Row],[VEHICULOS_ACCIDENTADOS]:[VEHICULOS_ACCIDENTADOS2]],"BICICLETA")</f>
        <v>0</v>
      </c>
      <c r="AD238" s="136" t="s">
        <v>471</v>
      </c>
      <c r="AE238" s="136" t="s">
        <v>472</v>
      </c>
      <c r="AF238" s="136">
        <f>COUNTIF(Tabla1[[#This Row],[GENERO_MASCULINO]:[GENERO_FEMENINO]],"MASCULINO")</f>
        <v>1</v>
      </c>
      <c r="AG238" s="36">
        <f>COUNTIF(Tabla1[[#This Row],[GENERO_MASCULINO]:[GENERO_FEMENINO]],"FEMENINO")</f>
        <v>1</v>
      </c>
      <c r="AH238" s="85">
        <v>22</v>
      </c>
      <c r="AI238" s="85">
        <v>23</v>
      </c>
      <c r="AJ238" s="85">
        <v>15</v>
      </c>
      <c r="AK238" s="85"/>
      <c r="AL238" s="85"/>
      <c r="AM238" s="136"/>
      <c r="AN238" s="85">
        <v>123</v>
      </c>
      <c r="AO238" s="36" t="str">
        <f>IFERROR(((VLOOKUP(Tabla1[[#This Row],[HIPOTESIS_1]],listas!$D$1:$E$105,2,FALSE))),"SIN INFORMACIÓN")</f>
        <v>No respetar prelación de intersecciones o giros.</v>
      </c>
      <c r="AP238" s="136">
        <v>139</v>
      </c>
      <c r="AQ238" s="36" t="str">
        <f>IFERROR(((VLOOKUP(Tabla1[[#This Row],[HIPOTESIS_2]],listas!$D$1:$E$105,2,FALSE))),"")</f>
        <v>Impericia en el manejo.</v>
      </c>
      <c r="AR238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239" spans="1:44" x14ac:dyDescent="0.25">
      <c r="A239" s="12">
        <v>698</v>
      </c>
      <c r="B239" s="135">
        <v>0</v>
      </c>
      <c r="C239" s="136">
        <v>2</v>
      </c>
      <c r="D239" s="136">
        <v>0</v>
      </c>
      <c r="E239" s="18" t="str">
        <f t="shared" si="12"/>
        <v>LESIONADO</v>
      </c>
      <c r="F239" s="26" t="s">
        <v>149</v>
      </c>
      <c r="G239" s="21">
        <v>5.3502722222222214</v>
      </c>
      <c r="H239" s="21">
        <v>-72.398225000000011</v>
      </c>
      <c r="I239" s="93" t="s">
        <v>697</v>
      </c>
      <c r="J239" s="136" t="s">
        <v>717</v>
      </c>
      <c r="K239" s="24" t="str">
        <f t="shared" si="13"/>
        <v>2024</v>
      </c>
      <c r="L239" s="24" t="str">
        <f t="shared" si="14"/>
        <v>ABRIL</v>
      </c>
      <c r="M239" s="224">
        <v>45404</v>
      </c>
      <c r="N239" s="24" t="str">
        <f t="shared" si="15"/>
        <v>LUNES</v>
      </c>
      <c r="O239" s="171">
        <v>0.26041666666666669</v>
      </c>
      <c r="P239" s="178" t="s">
        <v>469</v>
      </c>
      <c r="Q239" s="178" t="s">
        <v>469</v>
      </c>
      <c r="R239" s="36">
        <f>COUNTIF(Tabla1[[#This Row],[VEHICULOS_ACCIDENTADOS]:[VEHICULOS_ACCIDENTADOS2]],"MOTOCICLETA")</f>
        <v>2</v>
      </c>
      <c r="S239" s="36">
        <f>COUNTIF(Tabla1[[#This Row],[VEHICULOS_ACCIDENTADOS]:[VEHICULOS_ACCIDENTADOS2]],"MOTOCARRO")</f>
        <v>0</v>
      </c>
      <c r="T239" s="36">
        <f>COUNTIF(Tabla1[[#This Row],[VEHICULOS_ACCIDENTADOS]:[VEHICULOS_ACCIDENTADOS2]],"AUTOMOVIL")</f>
        <v>0</v>
      </c>
      <c r="U239" s="36">
        <f>COUNTIF(Tabla1[[#This Row],[VEHICULOS_ACCIDENTADOS]:[VEHICULOS_ACCIDENTADOS2]],"CAMPERO")</f>
        <v>0</v>
      </c>
      <c r="V239" s="36">
        <f>COUNTIF(Tabla1[[#This Row],[VEHICULOS_ACCIDENTADOS]:[VEHICULOS_ACCIDENTADOS2]],"CAMIONETA")</f>
        <v>0</v>
      </c>
      <c r="W239" s="36">
        <f>COUNTIF(Tabla1[[#This Row],[VEHICULOS_ACCIDENTADOS]:[VEHICULOS_ACCIDENTADOS2]],"MICROBUS")</f>
        <v>0</v>
      </c>
      <c r="X239" s="36">
        <f>COUNTIF(Tabla1[[#This Row],[VEHICULOS_ACCIDENTADOS]:[VEHICULOS_ACCIDENTADOS2]],"BUS")</f>
        <v>0</v>
      </c>
      <c r="Y239" s="36">
        <f>COUNTIF(Tabla1[[#This Row],[VEHICULOS_ACCIDENTADOS]:[VEHICULOS_ACCIDENTADOS2]],"BUSETA")</f>
        <v>0</v>
      </c>
      <c r="Z239" s="36">
        <f>COUNTIF(Tabla1[[#This Row],[VEHICULOS_ACCIDENTADOS]:[VEHICULOS_ACCIDENTADOS2]],"CAMION")</f>
        <v>0</v>
      </c>
      <c r="AA239" s="36">
        <f>COUNTIF(Tabla1[[#This Row],[VEHICULOS_ACCIDENTADOS]:[VEHICULOS_ACCIDENTADOS2]],"TRACTOCAMION")</f>
        <v>0</v>
      </c>
      <c r="AB239" s="36">
        <f>COUNTIF(Tabla1[[#This Row],[VEHICULOS_ACCIDENTADOS]:[VEHICULOS_ACCIDENTADOS2]],"VOLQUETA")</f>
        <v>0</v>
      </c>
      <c r="AC239" s="36">
        <f>COUNTIF(Tabla1[[#This Row],[VEHICULOS_ACCIDENTADOS]:[VEHICULOS_ACCIDENTADOS2]],"BICICLETA")</f>
        <v>0</v>
      </c>
      <c r="AD239" s="136"/>
      <c r="AE239" s="136" t="s">
        <v>472</v>
      </c>
      <c r="AF239" s="136">
        <f>COUNTIF(Tabla1[[#This Row],[GENERO_MASCULINO]:[GENERO_FEMENINO]],"MASCULINO")</f>
        <v>0</v>
      </c>
      <c r="AG239" s="36">
        <f>COUNTIF(Tabla1[[#This Row],[GENERO_MASCULINO]:[GENERO_FEMENINO]],"FEMENINO")</f>
        <v>1</v>
      </c>
      <c r="AH239" s="85">
        <v>23</v>
      </c>
      <c r="AI239" s="85">
        <v>36</v>
      </c>
      <c r="AJ239" s="85"/>
      <c r="AK239" s="85"/>
      <c r="AL239" s="85"/>
      <c r="AM239" s="136"/>
      <c r="AN239" s="85">
        <v>112</v>
      </c>
      <c r="AO239" s="36" t="str">
        <f>IFERROR(((VLOOKUP(Tabla1[[#This Row],[HIPOTESIS_1]],listas!$D$1:$E$105,2,FALSE))),"SIN INFORMACIÓN")</f>
        <v>Desobedecer señales o normas de tránsito.</v>
      </c>
      <c r="AP239" s="136">
        <v>139</v>
      </c>
      <c r="AQ239" s="36" t="str">
        <f>IFERROR(((VLOOKUP(Tabla1[[#This Row],[HIPOTESIS_2]],listas!$D$1:$E$105,2,FALSE))),"")</f>
        <v>Impericia en el manejo.</v>
      </c>
      <c r="AR239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240" spans="1:44" x14ac:dyDescent="0.25">
      <c r="A240" s="12">
        <v>226</v>
      </c>
      <c r="B240" s="36">
        <v>1</v>
      </c>
      <c r="C240" s="36">
        <v>0</v>
      </c>
      <c r="D240" s="36">
        <v>0</v>
      </c>
      <c r="E240" s="18" t="str">
        <f t="shared" si="12"/>
        <v>SOLO DAÑO</v>
      </c>
      <c r="F240" s="29" t="s">
        <v>1154</v>
      </c>
      <c r="G240" s="17">
        <v>5.3377679999999996</v>
      </c>
      <c r="H240" s="17">
        <v>-72.390201000000005</v>
      </c>
      <c r="I240" s="93" t="s">
        <v>697</v>
      </c>
      <c r="J240" s="36" t="s">
        <v>717</v>
      </c>
      <c r="K240" s="24" t="str">
        <f t="shared" si="13"/>
        <v>2022</v>
      </c>
      <c r="L240" s="24" t="str">
        <f t="shared" si="14"/>
        <v>JUNIO</v>
      </c>
      <c r="M240" s="225">
        <v>44730</v>
      </c>
      <c r="N240" s="24" t="str">
        <f t="shared" si="15"/>
        <v>SÁBADO</v>
      </c>
      <c r="O240" s="102">
        <v>0.84722222222222199</v>
      </c>
      <c r="P240" s="53" t="s">
        <v>469</v>
      </c>
      <c r="Q240" s="53" t="s">
        <v>445</v>
      </c>
      <c r="R240" s="36">
        <f>COUNTIF(Tabla1[[#This Row],[VEHICULOS_ACCIDENTADOS]:[VEHICULOS_ACCIDENTADOS2]],"MOTOCICLETA")</f>
        <v>1</v>
      </c>
      <c r="S240" s="36">
        <f>COUNTIF(Tabla1[[#This Row],[VEHICULOS_ACCIDENTADOS]:[VEHICULOS_ACCIDENTADOS2]],"MOTOCARRO")</f>
        <v>0</v>
      </c>
      <c r="T240" s="36">
        <f>COUNTIF(Tabla1[[#This Row],[VEHICULOS_ACCIDENTADOS]:[VEHICULOS_ACCIDENTADOS2]],"AUTOMOVIL")</f>
        <v>0</v>
      </c>
      <c r="U240" s="36">
        <f>COUNTIF(Tabla1[[#This Row],[VEHICULOS_ACCIDENTADOS]:[VEHICULOS_ACCIDENTADOS2]],"CAMPERO")</f>
        <v>0</v>
      </c>
      <c r="V240" s="36">
        <f>COUNTIF(Tabla1[[#This Row],[VEHICULOS_ACCIDENTADOS]:[VEHICULOS_ACCIDENTADOS2]],"CAMIONETA")</f>
        <v>1</v>
      </c>
      <c r="W240" s="36">
        <f>COUNTIF(Tabla1[[#This Row],[VEHICULOS_ACCIDENTADOS]:[VEHICULOS_ACCIDENTADOS2]],"MICROBUS")</f>
        <v>0</v>
      </c>
      <c r="X240" s="36">
        <f>COUNTIF(Tabla1[[#This Row],[VEHICULOS_ACCIDENTADOS]:[VEHICULOS_ACCIDENTADOS2]],"BUS")</f>
        <v>0</v>
      </c>
      <c r="Y240" s="36">
        <f>COUNTIF(Tabla1[[#This Row],[VEHICULOS_ACCIDENTADOS]:[VEHICULOS_ACCIDENTADOS2]],"BUSETA")</f>
        <v>0</v>
      </c>
      <c r="Z240" s="36">
        <f>COUNTIF(Tabla1[[#This Row],[VEHICULOS_ACCIDENTADOS]:[VEHICULOS_ACCIDENTADOS2]],"CAMION")</f>
        <v>0</v>
      </c>
      <c r="AA240" s="36">
        <f>COUNTIF(Tabla1[[#This Row],[VEHICULOS_ACCIDENTADOS]:[VEHICULOS_ACCIDENTADOS2]],"TRACTOCAMION")</f>
        <v>0</v>
      </c>
      <c r="AB240" s="36">
        <f>COUNTIF(Tabla1[[#This Row],[VEHICULOS_ACCIDENTADOS]:[VEHICULOS_ACCIDENTADOS2]],"VOLQUETA")</f>
        <v>0</v>
      </c>
      <c r="AC240" s="36">
        <f>COUNTIF(Tabla1[[#This Row],[VEHICULOS_ACCIDENTADOS]:[VEHICULOS_ACCIDENTADOS2]],"BICICLETA")</f>
        <v>0</v>
      </c>
      <c r="AD240" s="36" t="s">
        <v>471</v>
      </c>
      <c r="AE240" s="36"/>
      <c r="AF240" s="36">
        <f>COUNTIF(Tabla1[[#This Row],[GENERO_MASCULINO]:[GENERO_FEMENINO]],"MASCULINO")</f>
        <v>1</v>
      </c>
      <c r="AG240" s="36">
        <f>COUNTIF(Tabla1[[#This Row],[GENERO_MASCULINO]:[GENERO_FEMENINO]],"FEMENINO")</f>
        <v>0</v>
      </c>
      <c r="AH240" s="61"/>
      <c r="AI240" s="61"/>
      <c r="AJ240" s="61"/>
      <c r="AK240" s="61"/>
      <c r="AL240" s="61"/>
      <c r="AM240" s="36"/>
      <c r="AN240" s="61">
        <v>123</v>
      </c>
      <c r="AO240" s="36" t="str">
        <f>IFERROR(((VLOOKUP(Tabla1[[#This Row],[HIPOTESIS_1]],listas!$D$1:$E$105,2,FALSE))),"SIN INFORMACIÓN")</f>
        <v>No respetar prelación de intersecciones o giros.</v>
      </c>
      <c r="AP240" s="36">
        <v>139</v>
      </c>
      <c r="AQ240" s="36" t="str">
        <f>IFERROR(((VLOOKUP(Tabla1[[#This Row],[HIPOTESIS_2]],listas!$D$1:$E$105,2,FALSE))),"")</f>
        <v>Impericia en el manejo.</v>
      </c>
      <c r="AR240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241" spans="1:44" x14ac:dyDescent="0.25">
      <c r="A241" s="12">
        <v>519</v>
      </c>
      <c r="B241" s="36">
        <v>0</v>
      </c>
      <c r="C241" s="36">
        <v>1</v>
      </c>
      <c r="D241" s="36">
        <v>0</v>
      </c>
      <c r="E241" s="18" t="str">
        <f t="shared" si="12"/>
        <v>LESIONADO</v>
      </c>
      <c r="F241" s="29" t="s">
        <v>1106</v>
      </c>
      <c r="G241" s="17">
        <v>5.3481361111111108</v>
      </c>
      <c r="H241" s="17">
        <v>-72.395783333333341</v>
      </c>
      <c r="I241" s="93" t="s">
        <v>697</v>
      </c>
      <c r="J241" s="36" t="s">
        <v>717</v>
      </c>
      <c r="K241" s="24" t="str">
        <f t="shared" si="13"/>
        <v>2023</v>
      </c>
      <c r="L241" s="24" t="str">
        <f t="shared" si="14"/>
        <v>JULIO</v>
      </c>
      <c r="M241" s="225">
        <v>45118</v>
      </c>
      <c r="N241" s="24" t="str">
        <f t="shared" si="15"/>
        <v>MARTES</v>
      </c>
      <c r="O241" s="101">
        <v>0.26041666666666669</v>
      </c>
      <c r="P241" s="57" t="s">
        <v>469</v>
      </c>
      <c r="Q241" s="57" t="s">
        <v>445</v>
      </c>
      <c r="R241" s="36">
        <f>COUNTIF(Tabla1[[#This Row],[VEHICULOS_ACCIDENTADOS]:[VEHICULOS_ACCIDENTADOS2]],"MOTOCICLETA")</f>
        <v>1</v>
      </c>
      <c r="S241" s="36">
        <f>COUNTIF(Tabla1[[#This Row],[VEHICULOS_ACCIDENTADOS]:[VEHICULOS_ACCIDENTADOS2]],"MOTOCARRO")</f>
        <v>0</v>
      </c>
      <c r="T241" s="36">
        <f>COUNTIF(Tabla1[[#This Row],[VEHICULOS_ACCIDENTADOS]:[VEHICULOS_ACCIDENTADOS2]],"AUTOMOVIL")</f>
        <v>0</v>
      </c>
      <c r="U241" s="36">
        <f>COUNTIF(Tabla1[[#This Row],[VEHICULOS_ACCIDENTADOS]:[VEHICULOS_ACCIDENTADOS2]],"CAMPERO")</f>
        <v>0</v>
      </c>
      <c r="V241" s="36">
        <f>COUNTIF(Tabla1[[#This Row],[VEHICULOS_ACCIDENTADOS]:[VEHICULOS_ACCIDENTADOS2]],"CAMIONETA")</f>
        <v>1</v>
      </c>
      <c r="W241" s="36">
        <f>COUNTIF(Tabla1[[#This Row],[VEHICULOS_ACCIDENTADOS]:[VEHICULOS_ACCIDENTADOS2]],"MICROBUS")</f>
        <v>0</v>
      </c>
      <c r="X241" s="36">
        <f>COUNTIF(Tabla1[[#This Row],[VEHICULOS_ACCIDENTADOS]:[VEHICULOS_ACCIDENTADOS2]],"BUS")</f>
        <v>0</v>
      </c>
      <c r="Y241" s="36">
        <f>COUNTIF(Tabla1[[#This Row],[VEHICULOS_ACCIDENTADOS]:[VEHICULOS_ACCIDENTADOS2]],"BUSETA")</f>
        <v>0</v>
      </c>
      <c r="Z241" s="36">
        <f>COUNTIF(Tabla1[[#This Row],[VEHICULOS_ACCIDENTADOS]:[VEHICULOS_ACCIDENTADOS2]],"CAMION")</f>
        <v>0</v>
      </c>
      <c r="AA241" s="36">
        <f>COUNTIF(Tabla1[[#This Row],[VEHICULOS_ACCIDENTADOS]:[VEHICULOS_ACCIDENTADOS2]],"TRACTOCAMION")</f>
        <v>0</v>
      </c>
      <c r="AB241" s="36">
        <f>COUNTIF(Tabla1[[#This Row],[VEHICULOS_ACCIDENTADOS]:[VEHICULOS_ACCIDENTADOS2]],"VOLQUETA")</f>
        <v>0</v>
      </c>
      <c r="AC241" s="36">
        <f>COUNTIF(Tabla1[[#This Row],[VEHICULOS_ACCIDENTADOS]:[VEHICULOS_ACCIDENTADOS2]],"BICICLETA")</f>
        <v>0</v>
      </c>
      <c r="AD241" s="36" t="s">
        <v>471</v>
      </c>
      <c r="AE241" s="36"/>
      <c r="AF241" s="36">
        <f>COUNTIF(Tabla1[[#This Row],[GENERO_MASCULINO]:[GENERO_FEMENINO]],"MASCULINO")</f>
        <v>1</v>
      </c>
      <c r="AG241" s="36">
        <f>COUNTIF(Tabla1[[#This Row],[GENERO_MASCULINO]:[GENERO_FEMENINO]],"FEMENINO")</f>
        <v>0</v>
      </c>
      <c r="AH241" s="61">
        <v>21</v>
      </c>
      <c r="AI241" s="61"/>
      <c r="AJ241" s="61"/>
      <c r="AK241" s="61"/>
      <c r="AL241" s="61"/>
      <c r="AM241" s="36"/>
      <c r="AN241" s="61">
        <v>157</v>
      </c>
      <c r="AO241" s="36" t="str">
        <f>IFERROR(((VLOOKUP(Tabla1[[#This Row],[HIPOTESIS_1]],listas!$D$1:$E$105,2,FALSE))),"SIN INFORMACIÓN")</f>
        <v>Otra</v>
      </c>
      <c r="AP241" s="36">
        <v>139</v>
      </c>
      <c r="AQ241" s="36" t="str">
        <f>IFERROR(((VLOOKUP(Tabla1[[#This Row],[HIPOTESIS_2]],listas!$D$1:$E$105,2,FALSE))),"")</f>
        <v>Impericia en el manejo.</v>
      </c>
      <c r="AR241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242" spans="1:44" x14ac:dyDescent="0.25">
      <c r="A242" s="12">
        <v>168</v>
      </c>
      <c r="B242" s="36">
        <v>0</v>
      </c>
      <c r="C242" s="36">
        <v>1</v>
      </c>
      <c r="D242" s="36">
        <v>0</v>
      </c>
      <c r="E242" s="18" t="str">
        <f t="shared" si="12"/>
        <v>LESIONADO</v>
      </c>
      <c r="F242" s="29" t="s">
        <v>1109</v>
      </c>
      <c r="G242" s="17">
        <v>5.3353805555555551</v>
      </c>
      <c r="H242" s="17">
        <v>-72.388897222222226</v>
      </c>
      <c r="I242" s="93" t="s">
        <v>697</v>
      </c>
      <c r="J242" s="36" t="s">
        <v>717</v>
      </c>
      <c r="K242" s="24" t="str">
        <f t="shared" si="13"/>
        <v>2022</v>
      </c>
      <c r="L242" s="24" t="str">
        <f t="shared" si="14"/>
        <v>MAYO</v>
      </c>
      <c r="M242" s="225">
        <v>44683</v>
      </c>
      <c r="N242" s="24" t="str">
        <f t="shared" si="15"/>
        <v>LUNES</v>
      </c>
      <c r="O242" s="101">
        <v>0.58333333333333304</v>
      </c>
      <c r="P242" s="63" t="s">
        <v>469</v>
      </c>
      <c r="Q242" s="63" t="s">
        <v>469</v>
      </c>
      <c r="R242" s="36">
        <f>COUNTIF(Tabla1[[#This Row],[VEHICULOS_ACCIDENTADOS]:[VEHICULOS_ACCIDENTADOS2]],"MOTOCICLETA")</f>
        <v>2</v>
      </c>
      <c r="S242" s="36">
        <f>COUNTIF(Tabla1[[#This Row],[VEHICULOS_ACCIDENTADOS]:[VEHICULOS_ACCIDENTADOS2]],"MOTOCARRO")</f>
        <v>0</v>
      </c>
      <c r="T242" s="36">
        <f>COUNTIF(Tabla1[[#This Row],[VEHICULOS_ACCIDENTADOS]:[VEHICULOS_ACCIDENTADOS2]],"AUTOMOVIL")</f>
        <v>0</v>
      </c>
      <c r="U242" s="36">
        <f>COUNTIF(Tabla1[[#This Row],[VEHICULOS_ACCIDENTADOS]:[VEHICULOS_ACCIDENTADOS2]],"CAMPERO")</f>
        <v>0</v>
      </c>
      <c r="V242" s="36">
        <f>COUNTIF(Tabla1[[#This Row],[VEHICULOS_ACCIDENTADOS]:[VEHICULOS_ACCIDENTADOS2]],"CAMIONETA")</f>
        <v>0</v>
      </c>
      <c r="W242" s="36">
        <f>COUNTIF(Tabla1[[#This Row],[VEHICULOS_ACCIDENTADOS]:[VEHICULOS_ACCIDENTADOS2]],"MICROBUS")</f>
        <v>0</v>
      </c>
      <c r="X242" s="36">
        <f>COUNTIF(Tabla1[[#This Row],[VEHICULOS_ACCIDENTADOS]:[VEHICULOS_ACCIDENTADOS2]],"BUS")</f>
        <v>0</v>
      </c>
      <c r="Y242" s="36">
        <f>COUNTIF(Tabla1[[#This Row],[VEHICULOS_ACCIDENTADOS]:[VEHICULOS_ACCIDENTADOS2]],"BUSETA")</f>
        <v>0</v>
      </c>
      <c r="Z242" s="36">
        <f>COUNTIF(Tabla1[[#This Row],[VEHICULOS_ACCIDENTADOS]:[VEHICULOS_ACCIDENTADOS2]],"CAMION")</f>
        <v>0</v>
      </c>
      <c r="AA242" s="36">
        <f>COUNTIF(Tabla1[[#This Row],[VEHICULOS_ACCIDENTADOS]:[VEHICULOS_ACCIDENTADOS2]],"TRACTOCAMION")</f>
        <v>0</v>
      </c>
      <c r="AB242" s="36">
        <f>COUNTIF(Tabla1[[#This Row],[VEHICULOS_ACCIDENTADOS]:[VEHICULOS_ACCIDENTADOS2]],"VOLQUETA")</f>
        <v>0</v>
      </c>
      <c r="AC242" s="36">
        <f>COUNTIF(Tabla1[[#This Row],[VEHICULOS_ACCIDENTADOS]:[VEHICULOS_ACCIDENTADOS2]],"BICICLETA")</f>
        <v>0</v>
      </c>
      <c r="AD242" s="36" t="s">
        <v>471</v>
      </c>
      <c r="AE242" s="36"/>
      <c r="AF242" s="36">
        <f>COUNTIF(Tabla1[[#This Row],[GENERO_MASCULINO]:[GENERO_FEMENINO]],"MASCULINO")</f>
        <v>1</v>
      </c>
      <c r="AG242" s="36">
        <f>COUNTIF(Tabla1[[#This Row],[GENERO_MASCULINO]:[GENERO_FEMENINO]],"FEMENINO")</f>
        <v>0</v>
      </c>
      <c r="AH242" s="61">
        <v>42</v>
      </c>
      <c r="AI242" s="61"/>
      <c r="AJ242" s="61"/>
      <c r="AK242" s="61"/>
      <c r="AL242" s="61"/>
      <c r="AM242" s="36"/>
      <c r="AN242" s="61">
        <v>132</v>
      </c>
      <c r="AO242" s="36" t="str">
        <f>IFERROR(((VLOOKUP(Tabla1[[#This Row],[HIPOTESIS_1]],listas!$D$1:$E$105,2,FALSE))),"SIN INFORMACIÓN")</f>
        <v>No respetar prelación.</v>
      </c>
      <c r="AP242" s="36">
        <v>139</v>
      </c>
      <c r="AQ242" s="36" t="str">
        <f>IFERROR(((VLOOKUP(Tabla1[[#This Row],[HIPOTESIS_2]],listas!$D$1:$E$105,2,FALSE))),"")</f>
        <v>Impericia en el manejo.</v>
      </c>
      <c r="AR242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243" spans="1:44" x14ac:dyDescent="0.25">
      <c r="A243" s="12">
        <v>170</v>
      </c>
      <c r="B243" s="36">
        <v>0</v>
      </c>
      <c r="C243" s="36">
        <v>1</v>
      </c>
      <c r="D243" s="36">
        <v>0</v>
      </c>
      <c r="E243" s="18" t="str">
        <f t="shared" si="12"/>
        <v>LESIONADO</v>
      </c>
      <c r="F243" s="29" t="s">
        <v>373</v>
      </c>
      <c r="G243" s="17">
        <v>5.342513888888889</v>
      </c>
      <c r="H243" s="17">
        <v>-72.392769444444454</v>
      </c>
      <c r="I243" s="93" t="s">
        <v>697</v>
      </c>
      <c r="J243" s="36" t="s">
        <v>717</v>
      </c>
      <c r="K243" s="24" t="str">
        <f t="shared" si="13"/>
        <v>2022</v>
      </c>
      <c r="L243" s="24" t="str">
        <f t="shared" si="14"/>
        <v>MAYO</v>
      </c>
      <c r="M243" s="225">
        <v>44688</v>
      </c>
      <c r="N243" s="24" t="str">
        <f t="shared" si="15"/>
        <v>SÁBADO</v>
      </c>
      <c r="O243" s="102">
        <v>0.63541666666666696</v>
      </c>
      <c r="P243" s="53" t="s">
        <v>469</v>
      </c>
      <c r="Q243" s="53" t="s">
        <v>447</v>
      </c>
      <c r="R243" s="36">
        <f>COUNTIF(Tabla1[[#This Row],[VEHICULOS_ACCIDENTADOS]:[VEHICULOS_ACCIDENTADOS2]],"MOTOCICLETA")</f>
        <v>1</v>
      </c>
      <c r="S243" s="36">
        <f>COUNTIF(Tabla1[[#This Row],[VEHICULOS_ACCIDENTADOS]:[VEHICULOS_ACCIDENTADOS2]],"MOTOCARRO")</f>
        <v>0</v>
      </c>
      <c r="T243" s="36">
        <f>COUNTIF(Tabla1[[#This Row],[VEHICULOS_ACCIDENTADOS]:[VEHICULOS_ACCIDENTADOS2]],"AUTOMOVIL")</f>
        <v>1</v>
      </c>
      <c r="U243" s="36">
        <f>COUNTIF(Tabla1[[#This Row],[VEHICULOS_ACCIDENTADOS]:[VEHICULOS_ACCIDENTADOS2]],"CAMPERO")</f>
        <v>0</v>
      </c>
      <c r="V243" s="36">
        <f>COUNTIF(Tabla1[[#This Row],[VEHICULOS_ACCIDENTADOS]:[VEHICULOS_ACCIDENTADOS2]],"CAMIONETA")</f>
        <v>0</v>
      </c>
      <c r="W243" s="36">
        <f>COUNTIF(Tabla1[[#This Row],[VEHICULOS_ACCIDENTADOS]:[VEHICULOS_ACCIDENTADOS2]],"MICROBUS")</f>
        <v>0</v>
      </c>
      <c r="X243" s="36">
        <f>COUNTIF(Tabla1[[#This Row],[VEHICULOS_ACCIDENTADOS]:[VEHICULOS_ACCIDENTADOS2]],"BUS")</f>
        <v>0</v>
      </c>
      <c r="Y243" s="36">
        <f>COUNTIF(Tabla1[[#This Row],[VEHICULOS_ACCIDENTADOS]:[VEHICULOS_ACCIDENTADOS2]],"BUSETA")</f>
        <v>0</v>
      </c>
      <c r="Z243" s="36">
        <f>COUNTIF(Tabla1[[#This Row],[VEHICULOS_ACCIDENTADOS]:[VEHICULOS_ACCIDENTADOS2]],"CAMION")</f>
        <v>0</v>
      </c>
      <c r="AA243" s="36">
        <f>COUNTIF(Tabla1[[#This Row],[VEHICULOS_ACCIDENTADOS]:[VEHICULOS_ACCIDENTADOS2]],"TRACTOCAMION")</f>
        <v>0</v>
      </c>
      <c r="AB243" s="36">
        <f>COUNTIF(Tabla1[[#This Row],[VEHICULOS_ACCIDENTADOS]:[VEHICULOS_ACCIDENTADOS2]],"VOLQUETA")</f>
        <v>0</v>
      </c>
      <c r="AC243" s="36">
        <f>COUNTIF(Tabla1[[#This Row],[VEHICULOS_ACCIDENTADOS]:[VEHICULOS_ACCIDENTADOS2]],"BICICLETA")</f>
        <v>0</v>
      </c>
      <c r="AD243" s="36" t="s">
        <v>471</v>
      </c>
      <c r="AE243" s="36"/>
      <c r="AF243" s="36">
        <f>COUNTIF(Tabla1[[#This Row],[GENERO_MASCULINO]:[GENERO_FEMENINO]],"MASCULINO")</f>
        <v>1</v>
      </c>
      <c r="AG243" s="36">
        <f>COUNTIF(Tabla1[[#This Row],[GENERO_MASCULINO]:[GENERO_FEMENINO]],"FEMENINO")</f>
        <v>0</v>
      </c>
      <c r="AH243" s="61">
        <v>20</v>
      </c>
      <c r="AI243" s="61"/>
      <c r="AJ243" s="61"/>
      <c r="AK243" s="61"/>
      <c r="AL243" s="61"/>
      <c r="AM243" s="36"/>
      <c r="AN243" s="61">
        <v>112</v>
      </c>
      <c r="AO243" s="36" t="str">
        <f>IFERROR(((VLOOKUP(Tabla1[[#This Row],[HIPOTESIS_1]],listas!$D$1:$E$105,2,FALSE))),"SIN INFORMACIÓN")</f>
        <v>Desobedecer señales o normas de tránsito.</v>
      </c>
      <c r="AP243" s="36">
        <v>139</v>
      </c>
      <c r="AQ243" s="36" t="str">
        <f>IFERROR(((VLOOKUP(Tabla1[[#This Row],[HIPOTESIS_2]],listas!$D$1:$E$105,2,FALSE))),"")</f>
        <v>Impericia en el manejo.</v>
      </c>
      <c r="AR243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244" spans="1:44" x14ac:dyDescent="0.25">
      <c r="A244" s="12">
        <v>636</v>
      </c>
      <c r="B244" s="36">
        <v>0</v>
      </c>
      <c r="C244" s="36">
        <v>1</v>
      </c>
      <c r="D244" s="36">
        <v>0</v>
      </c>
      <c r="E244" s="18" t="str">
        <f t="shared" si="12"/>
        <v>LESIONADO</v>
      </c>
      <c r="F244" s="29" t="s">
        <v>1105</v>
      </c>
      <c r="G244" s="21">
        <v>5.3382050000000003</v>
      </c>
      <c r="H244" s="21">
        <v>-72.389366999999993</v>
      </c>
      <c r="I244" s="93" t="s">
        <v>697</v>
      </c>
      <c r="J244" s="36" t="s">
        <v>717</v>
      </c>
      <c r="K244" s="24" t="str">
        <f t="shared" si="13"/>
        <v>2023</v>
      </c>
      <c r="L244" s="24" t="str">
        <f t="shared" si="14"/>
        <v>DICIEMBRE</v>
      </c>
      <c r="M244" s="225">
        <v>45280</v>
      </c>
      <c r="N244" s="24" t="str">
        <f t="shared" si="15"/>
        <v>MIÉRCOLES</v>
      </c>
      <c r="O244" s="101">
        <v>0.79166666666666663</v>
      </c>
      <c r="P244" s="57" t="s">
        <v>469</v>
      </c>
      <c r="Q244" s="57"/>
      <c r="R244" s="36">
        <f>COUNTIF(Tabla1[[#This Row],[VEHICULOS_ACCIDENTADOS]:[VEHICULOS_ACCIDENTADOS2]],"MOTOCICLETA")</f>
        <v>1</v>
      </c>
      <c r="S244" s="36">
        <f>COUNTIF(Tabla1[[#This Row],[VEHICULOS_ACCIDENTADOS]:[VEHICULOS_ACCIDENTADOS2]],"MOTOCARRO")</f>
        <v>0</v>
      </c>
      <c r="T244" s="36">
        <f>COUNTIF(Tabla1[[#This Row],[VEHICULOS_ACCIDENTADOS]:[VEHICULOS_ACCIDENTADOS2]],"AUTOMOVIL")</f>
        <v>0</v>
      </c>
      <c r="U244" s="36">
        <f>COUNTIF(Tabla1[[#This Row],[VEHICULOS_ACCIDENTADOS]:[VEHICULOS_ACCIDENTADOS2]],"CAMPERO")</f>
        <v>0</v>
      </c>
      <c r="V244" s="36">
        <f>COUNTIF(Tabla1[[#This Row],[VEHICULOS_ACCIDENTADOS]:[VEHICULOS_ACCIDENTADOS2]],"CAMIONETA")</f>
        <v>0</v>
      </c>
      <c r="W244" s="36">
        <f>COUNTIF(Tabla1[[#This Row],[VEHICULOS_ACCIDENTADOS]:[VEHICULOS_ACCIDENTADOS2]],"MICROBUS")</f>
        <v>0</v>
      </c>
      <c r="X244" s="36">
        <f>COUNTIF(Tabla1[[#This Row],[VEHICULOS_ACCIDENTADOS]:[VEHICULOS_ACCIDENTADOS2]],"BUS")</f>
        <v>0</v>
      </c>
      <c r="Y244" s="36">
        <f>COUNTIF(Tabla1[[#This Row],[VEHICULOS_ACCIDENTADOS]:[VEHICULOS_ACCIDENTADOS2]],"BUSETA")</f>
        <v>0</v>
      </c>
      <c r="Z244" s="36">
        <f>COUNTIF(Tabla1[[#This Row],[VEHICULOS_ACCIDENTADOS]:[VEHICULOS_ACCIDENTADOS2]],"CAMION")</f>
        <v>0</v>
      </c>
      <c r="AA244" s="36">
        <f>COUNTIF(Tabla1[[#This Row],[VEHICULOS_ACCIDENTADOS]:[VEHICULOS_ACCIDENTADOS2]],"TRACTOCAMION")</f>
        <v>0</v>
      </c>
      <c r="AB244" s="36">
        <f>COUNTIF(Tabla1[[#This Row],[VEHICULOS_ACCIDENTADOS]:[VEHICULOS_ACCIDENTADOS2]],"VOLQUETA")</f>
        <v>0</v>
      </c>
      <c r="AC244" s="36">
        <f>COUNTIF(Tabla1[[#This Row],[VEHICULOS_ACCIDENTADOS]:[VEHICULOS_ACCIDENTADOS2]],"BICICLETA")</f>
        <v>0</v>
      </c>
      <c r="AD244" s="36" t="s">
        <v>471</v>
      </c>
      <c r="AE244" s="36"/>
      <c r="AF244" s="36">
        <f>COUNTIF(Tabla1[[#This Row],[GENERO_MASCULINO]:[GENERO_FEMENINO]],"MASCULINO")</f>
        <v>1</v>
      </c>
      <c r="AG244" s="36">
        <f>COUNTIF(Tabla1[[#This Row],[GENERO_MASCULINO]:[GENERO_FEMENINO]],"FEMENINO")</f>
        <v>0</v>
      </c>
      <c r="AH244" s="61">
        <v>53</v>
      </c>
      <c r="AI244" s="61"/>
      <c r="AJ244" s="61"/>
      <c r="AK244" s="61"/>
      <c r="AL244" s="61"/>
      <c r="AM244" s="36"/>
      <c r="AN244" s="61">
        <v>114</v>
      </c>
      <c r="AO244" s="36" t="str">
        <f>IFERROR(((VLOOKUP(Tabla1[[#This Row],[HIPOTESIS_1]],listas!$D$1:$E$105,2,FALSE))),"SIN INFORMACIÓN")</f>
        <v>Embriaguez aparente.</v>
      </c>
      <c r="AP244" s="36">
        <v>139</v>
      </c>
      <c r="AQ244" s="36" t="str">
        <f>IFERROR(((VLOOKUP(Tabla1[[#This Row],[HIPOTESIS_2]],listas!$D$1:$E$105,2,FALSE))),"")</f>
        <v>Impericia en el manejo.</v>
      </c>
      <c r="AR244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245" spans="1:44" ht="15" x14ac:dyDescent="0.25">
      <c r="A245" s="12">
        <v>364</v>
      </c>
      <c r="B245" s="36">
        <v>0</v>
      </c>
      <c r="C245" s="36">
        <v>2</v>
      </c>
      <c r="D245" s="36">
        <v>0</v>
      </c>
      <c r="E245" s="18" t="str">
        <f t="shared" si="12"/>
        <v>LESIONADO</v>
      </c>
      <c r="F245" s="29" t="s">
        <v>1071</v>
      </c>
      <c r="G245" s="17">
        <v>5.3470388888888882</v>
      </c>
      <c r="H245" s="17">
        <v>-72.393950000000004</v>
      </c>
      <c r="I245" s="93" t="s">
        <v>697</v>
      </c>
      <c r="J245" s="36" t="s">
        <v>717</v>
      </c>
      <c r="K245" s="24" t="str">
        <f t="shared" si="13"/>
        <v>2022</v>
      </c>
      <c r="L245" s="24" t="str">
        <f t="shared" si="14"/>
        <v>NOVIEMBRE</v>
      </c>
      <c r="M245" s="225">
        <v>44894</v>
      </c>
      <c r="N245" s="24" t="str">
        <f t="shared" si="15"/>
        <v>MARTES</v>
      </c>
      <c r="O245" s="102">
        <v>0.60416666666666696</v>
      </c>
      <c r="P245" s="53" t="s">
        <v>469</v>
      </c>
      <c r="Q245" s="53" t="s">
        <v>469</v>
      </c>
      <c r="R245" s="36">
        <f>COUNTIF(Tabla1[[#This Row],[VEHICULOS_ACCIDENTADOS]:[VEHICULOS_ACCIDENTADOS2]],"MOTOCICLETA")</f>
        <v>2</v>
      </c>
      <c r="S245" s="36">
        <f>COUNTIF(Tabla1[[#This Row],[VEHICULOS_ACCIDENTADOS]:[VEHICULOS_ACCIDENTADOS2]],"MOTOCARRO")</f>
        <v>0</v>
      </c>
      <c r="T245" s="36">
        <f>COUNTIF(Tabla1[[#This Row],[VEHICULOS_ACCIDENTADOS]:[VEHICULOS_ACCIDENTADOS2]],"AUTOMOVIL")</f>
        <v>0</v>
      </c>
      <c r="U245" s="36">
        <f>COUNTIF(Tabla1[[#This Row],[VEHICULOS_ACCIDENTADOS]:[VEHICULOS_ACCIDENTADOS2]],"CAMPERO")</f>
        <v>0</v>
      </c>
      <c r="V245" s="36">
        <f>COUNTIF(Tabla1[[#This Row],[VEHICULOS_ACCIDENTADOS]:[VEHICULOS_ACCIDENTADOS2]],"CAMIONETA")</f>
        <v>0</v>
      </c>
      <c r="W245" s="36">
        <f>COUNTIF(Tabla1[[#This Row],[VEHICULOS_ACCIDENTADOS]:[VEHICULOS_ACCIDENTADOS2]],"MICROBUS")</f>
        <v>0</v>
      </c>
      <c r="X245" s="36">
        <f>COUNTIF(Tabla1[[#This Row],[VEHICULOS_ACCIDENTADOS]:[VEHICULOS_ACCIDENTADOS2]],"BUS")</f>
        <v>0</v>
      </c>
      <c r="Y245" s="36">
        <f>COUNTIF(Tabla1[[#This Row],[VEHICULOS_ACCIDENTADOS]:[VEHICULOS_ACCIDENTADOS2]],"BUSETA")</f>
        <v>0</v>
      </c>
      <c r="Z245" s="36">
        <f>COUNTIF(Tabla1[[#This Row],[VEHICULOS_ACCIDENTADOS]:[VEHICULOS_ACCIDENTADOS2]],"CAMION")</f>
        <v>0</v>
      </c>
      <c r="AA245" s="36">
        <f>COUNTIF(Tabla1[[#This Row],[VEHICULOS_ACCIDENTADOS]:[VEHICULOS_ACCIDENTADOS2]],"TRACTOCAMION")</f>
        <v>0</v>
      </c>
      <c r="AB245" s="36">
        <f>COUNTIF(Tabla1[[#This Row],[VEHICULOS_ACCIDENTADOS]:[VEHICULOS_ACCIDENTADOS2]],"VOLQUETA")</f>
        <v>0</v>
      </c>
      <c r="AC245" s="36">
        <f>COUNTIF(Tabla1[[#This Row],[VEHICULOS_ACCIDENTADOS]:[VEHICULOS_ACCIDENTADOS2]],"BICICLETA")</f>
        <v>0</v>
      </c>
      <c r="AD245" s="36"/>
      <c r="AE245" s="36" t="s">
        <v>472</v>
      </c>
      <c r="AF245" s="36">
        <f>COUNTIF(Tabla1[[#This Row],[GENERO_MASCULINO]:[GENERO_FEMENINO]],"MASCULINO")</f>
        <v>0</v>
      </c>
      <c r="AG245" s="36">
        <f>COUNTIF(Tabla1[[#This Row],[GENERO_MASCULINO]:[GENERO_FEMENINO]],"FEMENINO")</f>
        <v>1</v>
      </c>
      <c r="AH245" s="61">
        <v>27</v>
      </c>
      <c r="AI245" s="61">
        <v>30</v>
      </c>
      <c r="AJ245" s="61"/>
      <c r="AK245" s="61"/>
      <c r="AL245" s="61"/>
      <c r="AM245" s="68"/>
      <c r="AN245" s="61">
        <v>112</v>
      </c>
      <c r="AO245" s="36" t="str">
        <f>IFERROR(((VLOOKUP(Tabla1[[#This Row],[HIPOTESIS_1]],listas!$D$1:$E$105,2,FALSE))),"SIN INFORMACIÓN")</f>
        <v>Desobedecer señales o normas de tránsito.</v>
      </c>
      <c r="AP245" s="36">
        <v>139</v>
      </c>
      <c r="AQ245" s="36" t="str">
        <f>IFERROR(((VLOOKUP(Tabla1[[#This Row],[HIPOTESIS_2]],listas!$D$1:$E$105,2,FALSE))),"")</f>
        <v>Impericia en el manejo.</v>
      </c>
      <c r="AR245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246" spans="1:44" x14ac:dyDescent="0.25">
      <c r="A246" s="12">
        <v>265</v>
      </c>
      <c r="B246" s="36">
        <v>0</v>
      </c>
      <c r="C246" s="36">
        <v>1</v>
      </c>
      <c r="D246" s="36">
        <v>0</v>
      </c>
      <c r="E246" s="18" t="str">
        <f t="shared" si="12"/>
        <v>LESIONADO</v>
      </c>
      <c r="F246" s="36" t="s">
        <v>335</v>
      </c>
      <c r="G246" s="17">
        <v>5.345023888888889</v>
      </c>
      <c r="H246" s="17">
        <v>-72.392078055555558</v>
      </c>
      <c r="I246" s="93" t="s">
        <v>697</v>
      </c>
      <c r="J246" s="36" t="s">
        <v>717</v>
      </c>
      <c r="K246" s="24" t="str">
        <f t="shared" si="13"/>
        <v>2022</v>
      </c>
      <c r="L246" s="24" t="str">
        <f t="shared" si="14"/>
        <v>JULIO</v>
      </c>
      <c r="M246" s="225">
        <v>44773</v>
      </c>
      <c r="N246" s="24" t="str">
        <f t="shared" si="15"/>
        <v>DOMINGO</v>
      </c>
      <c r="O246" s="102">
        <v>0.72222222222222199</v>
      </c>
      <c r="P246" s="53" t="s">
        <v>469</v>
      </c>
      <c r="Q246" s="53" t="s">
        <v>469</v>
      </c>
      <c r="R246" s="36">
        <f>COUNTIF(Tabla1[[#This Row],[VEHICULOS_ACCIDENTADOS]:[VEHICULOS_ACCIDENTADOS2]],"MOTOCICLETA")</f>
        <v>2</v>
      </c>
      <c r="S246" s="36">
        <f>COUNTIF(Tabla1[[#This Row],[VEHICULOS_ACCIDENTADOS]:[VEHICULOS_ACCIDENTADOS2]],"MOTOCARRO")</f>
        <v>0</v>
      </c>
      <c r="T246" s="36">
        <f>COUNTIF(Tabla1[[#This Row],[VEHICULOS_ACCIDENTADOS]:[VEHICULOS_ACCIDENTADOS2]],"AUTOMOVIL")</f>
        <v>0</v>
      </c>
      <c r="U246" s="36">
        <f>COUNTIF(Tabla1[[#This Row],[VEHICULOS_ACCIDENTADOS]:[VEHICULOS_ACCIDENTADOS2]],"CAMPERO")</f>
        <v>0</v>
      </c>
      <c r="V246" s="36">
        <f>COUNTIF(Tabla1[[#This Row],[VEHICULOS_ACCIDENTADOS]:[VEHICULOS_ACCIDENTADOS2]],"CAMIONETA")</f>
        <v>0</v>
      </c>
      <c r="W246" s="36">
        <f>COUNTIF(Tabla1[[#This Row],[VEHICULOS_ACCIDENTADOS]:[VEHICULOS_ACCIDENTADOS2]],"MICROBUS")</f>
        <v>0</v>
      </c>
      <c r="X246" s="36">
        <f>COUNTIF(Tabla1[[#This Row],[VEHICULOS_ACCIDENTADOS]:[VEHICULOS_ACCIDENTADOS2]],"BUS")</f>
        <v>0</v>
      </c>
      <c r="Y246" s="36">
        <f>COUNTIF(Tabla1[[#This Row],[VEHICULOS_ACCIDENTADOS]:[VEHICULOS_ACCIDENTADOS2]],"BUSETA")</f>
        <v>0</v>
      </c>
      <c r="Z246" s="36">
        <f>COUNTIF(Tabla1[[#This Row],[VEHICULOS_ACCIDENTADOS]:[VEHICULOS_ACCIDENTADOS2]],"CAMION")</f>
        <v>0</v>
      </c>
      <c r="AA246" s="36">
        <f>COUNTIF(Tabla1[[#This Row],[VEHICULOS_ACCIDENTADOS]:[VEHICULOS_ACCIDENTADOS2]],"TRACTOCAMION")</f>
        <v>0</v>
      </c>
      <c r="AB246" s="36">
        <f>COUNTIF(Tabla1[[#This Row],[VEHICULOS_ACCIDENTADOS]:[VEHICULOS_ACCIDENTADOS2]],"VOLQUETA")</f>
        <v>0</v>
      </c>
      <c r="AC246" s="36">
        <f>COUNTIF(Tabla1[[#This Row],[VEHICULOS_ACCIDENTADOS]:[VEHICULOS_ACCIDENTADOS2]],"BICICLETA")</f>
        <v>0</v>
      </c>
      <c r="AD246" s="36"/>
      <c r="AE246" s="36" t="s">
        <v>472</v>
      </c>
      <c r="AF246" s="36">
        <f>COUNTIF(Tabla1[[#This Row],[GENERO_MASCULINO]:[GENERO_FEMENINO]],"MASCULINO")</f>
        <v>0</v>
      </c>
      <c r="AG246" s="36">
        <f>COUNTIF(Tabla1[[#This Row],[GENERO_MASCULINO]:[GENERO_FEMENINO]],"FEMENINO")</f>
        <v>1</v>
      </c>
      <c r="AH246" s="61">
        <v>55</v>
      </c>
      <c r="AI246" s="61"/>
      <c r="AJ246" s="61"/>
      <c r="AK246" s="61"/>
      <c r="AL246" s="61"/>
      <c r="AM246" s="36"/>
      <c r="AN246" s="61">
        <v>112</v>
      </c>
      <c r="AO246" s="36" t="str">
        <f>IFERROR(((VLOOKUP(Tabla1[[#This Row],[HIPOTESIS_1]],listas!$D$1:$E$105,2,FALSE))),"SIN INFORMACIÓN")</f>
        <v>Desobedecer señales o normas de tránsito.</v>
      </c>
      <c r="AP246" s="36">
        <v>139</v>
      </c>
      <c r="AQ246" s="36" t="str">
        <f>IFERROR(((VLOOKUP(Tabla1[[#This Row],[HIPOTESIS_2]],listas!$D$1:$E$105,2,FALSE))),"")</f>
        <v>Impericia en el manejo.</v>
      </c>
      <c r="AR246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247" spans="1:44" x14ac:dyDescent="0.25">
      <c r="A247" s="12">
        <v>970</v>
      </c>
      <c r="B247" s="136">
        <v>0</v>
      </c>
      <c r="C247" s="136">
        <v>1</v>
      </c>
      <c r="D247" s="141">
        <v>0</v>
      </c>
      <c r="E247" s="18" t="str">
        <f t="shared" si="12"/>
        <v>LESIONADO</v>
      </c>
      <c r="F247" s="136" t="s">
        <v>959</v>
      </c>
      <c r="G247" s="20">
        <v>5.342295</v>
      </c>
      <c r="H247" s="20">
        <v>-72.389525000000006</v>
      </c>
      <c r="I247" s="93" t="s">
        <v>697</v>
      </c>
      <c r="J247" s="135" t="s">
        <v>717</v>
      </c>
      <c r="K247" s="24" t="str">
        <f t="shared" si="13"/>
        <v>2025</v>
      </c>
      <c r="L247" s="24" t="str">
        <f t="shared" si="14"/>
        <v>MAYO</v>
      </c>
      <c r="M247" s="224">
        <v>45801</v>
      </c>
      <c r="N247" s="24" t="str">
        <f t="shared" si="15"/>
        <v>SÁBADO</v>
      </c>
      <c r="O247" s="171">
        <v>0.46875</v>
      </c>
      <c r="P247" s="63" t="s">
        <v>445</v>
      </c>
      <c r="Q247" s="63" t="s">
        <v>469</v>
      </c>
      <c r="R247" s="36">
        <f>COUNTIF(Tabla1[[#This Row],[VEHICULOS_ACCIDENTADOS]:[VEHICULOS_ACCIDENTADOS2]],"MOTOCICLETA")</f>
        <v>1</v>
      </c>
      <c r="S247" s="36">
        <f>COUNTIF(Tabla1[[#This Row],[VEHICULOS_ACCIDENTADOS]:[VEHICULOS_ACCIDENTADOS2]],"MOTOCARRO")</f>
        <v>0</v>
      </c>
      <c r="T247" s="36">
        <f>COUNTIF(Tabla1[[#This Row],[VEHICULOS_ACCIDENTADOS]:[VEHICULOS_ACCIDENTADOS2]],"AUTOMOVIL")</f>
        <v>0</v>
      </c>
      <c r="U247" s="36">
        <f>COUNTIF(Tabla1[[#This Row],[VEHICULOS_ACCIDENTADOS]:[VEHICULOS_ACCIDENTADOS2]],"CAMPERO")</f>
        <v>0</v>
      </c>
      <c r="V247" s="36">
        <f>COUNTIF(Tabla1[[#This Row],[VEHICULOS_ACCIDENTADOS]:[VEHICULOS_ACCIDENTADOS2]],"CAMIONETA")</f>
        <v>1</v>
      </c>
      <c r="W247" s="36">
        <f>COUNTIF(Tabla1[[#This Row],[VEHICULOS_ACCIDENTADOS]:[VEHICULOS_ACCIDENTADOS2]],"MICROBUS")</f>
        <v>0</v>
      </c>
      <c r="X247" s="36">
        <f>COUNTIF(Tabla1[[#This Row],[VEHICULOS_ACCIDENTADOS]:[VEHICULOS_ACCIDENTADOS2]],"BUS")</f>
        <v>0</v>
      </c>
      <c r="Y247" s="36">
        <f>COUNTIF(Tabla1[[#This Row],[VEHICULOS_ACCIDENTADOS]:[VEHICULOS_ACCIDENTADOS2]],"BUSETA")</f>
        <v>0</v>
      </c>
      <c r="Z247" s="36">
        <f>COUNTIF(Tabla1[[#This Row],[VEHICULOS_ACCIDENTADOS]:[VEHICULOS_ACCIDENTADOS2]],"CAMION")</f>
        <v>0</v>
      </c>
      <c r="AA247" s="36">
        <f>COUNTIF(Tabla1[[#This Row],[VEHICULOS_ACCIDENTADOS]:[VEHICULOS_ACCIDENTADOS2]],"TRACTOCAMION")</f>
        <v>0</v>
      </c>
      <c r="AB247" s="36">
        <f>COUNTIF(Tabla1[[#This Row],[VEHICULOS_ACCIDENTADOS]:[VEHICULOS_ACCIDENTADOS2]],"VOLQUETA")</f>
        <v>0</v>
      </c>
      <c r="AC247" s="36">
        <f>COUNTIF(Tabla1[[#This Row],[VEHICULOS_ACCIDENTADOS]:[VEHICULOS_ACCIDENTADOS2]],"BICICLETA")</f>
        <v>0</v>
      </c>
      <c r="AD247" s="36" t="s">
        <v>471</v>
      </c>
      <c r="AE247" s="36" t="s">
        <v>471</v>
      </c>
      <c r="AF247" s="36">
        <f>COUNTIF(Tabla1[[#This Row],[GENERO_MASCULINO]:[GENERO_FEMENINO]],"MASCULINO")</f>
        <v>2</v>
      </c>
      <c r="AG247" s="36">
        <f>COUNTIF(Tabla1[[#This Row],[GENERO_MASCULINO]:[GENERO_FEMENINO]],"FEMENINO")</f>
        <v>0</v>
      </c>
      <c r="AH247" s="85">
        <v>59</v>
      </c>
      <c r="AI247" s="85">
        <v>26</v>
      </c>
      <c r="AJ247" s="85"/>
      <c r="AK247" s="85"/>
      <c r="AL247" s="78"/>
      <c r="AM247" s="59"/>
      <c r="AN247" s="85">
        <v>112</v>
      </c>
      <c r="AO247" s="36" t="str">
        <f>IFERROR(((VLOOKUP(Tabla1[[#This Row],[HIPOTESIS_1]],listas!$D$1:$E$105,2,FALSE))),"SIN INFORMACIÓN")</f>
        <v>Desobedecer señales o normas de tránsito.</v>
      </c>
      <c r="AP247" s="36">
        <v>139</v>
      </c>
      <c r="AQ247" s="36" t="str">
        <f>IFERROR(((VLOOKUP(Tabla1[[#This Row],[HIPOTESIS_2]],listas!$D$1:$E$105,2,FALSE))),"")</f>
        <v>Impericia en el manejo.</v>
      </c>
      <c r="AR247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248" spans="1:44" x14ac:dyDescent="0.25">
      <c r="A248" s="12">
        <v>839</v>
      </c>
      <c r="B248" s="135">
        <v>0</v>
      </c>
      <c r="C248" s="136">
        <v>2</v>
      </c>
      <c r="D248" s="141">
        <v>0</v>
      </c>
      <c r="E248" s="18" t="str">
        <f t="shared" si="12"/>
        <v>LESIONADO</v>
      </c>
      <c r="F248" s="26" t="s">
        <v>967</v>
      </c>
      <c r="G248" s="21">
        <v>5.3395133333333327</v>
      </c>
      <c r="H248" s="21">
        <v>-72.386943333333335</v>
      </c>
      <c r="I248" s="93" t="s">
        <v>697</v>
      </c>
      <c r="J248" s="36" t="s">
        <v>717</v>
      </c>
      <c r="K248" s="24" t="str">
        <f t="shared" si="13"/>
        <v>2024</v>
      </c>
      <c r="L248" s="24" t="str">
        <f t="shared" si="14"/>
        <v>DICIEMBRE</v>
      </c>
      <c r="M248" s="224">
        <v>45646</v>
      </c>
      <c r="N248" s="24" t="str">
        <f t="shared" si="15"/>
        <v>VIERNES</v>
      </c>
      <c r="O248" s="171">
        <v>0.92708333333333337</v>
      </c>
      <c r="P248" s="178" t="s">
        <v>469</v>
      </c>
      <c r="Q248" s="178" t="s">
        <v>469</v>
      </c>
      <c r="R248" s="36">
        <f>COUNTIF(Tabla1[[#This Row],[VEHICULOS_ACCIDENTADOS]:[VEHICULOS_ACCIDENTADOS2]],"MOTOCICLETA")</f>
        <v>2</v>
      </c>
      <c r="S248" s="36">
        <f>COUNTIF(Tabla1[[#This Row],[VEHICULOS_ACCIDENTADOS]:[VEHICULOS_ACCIDENTADOS2]],"MOTOCARRO")</f>
        <v>0</v>
      </c>
      <c r="T248" s="36">
        <f>COUNTIF(Tabla1[[#This Row],[VEHICULOS_ACCIDENTADOS]:[VEHICULOS_ACCIDENTADOS2]],"AUTOMOVIL")</f>
        <v>0</v>
      </c>
      <c r="U248" s="36">
        <f>COUNTIF(Tabla1[[#This Row],[VEHICULOS_ACCIDENTADOS]:[VEHICULOS_ACCIDENTADOS2]],"CAMPERO")</f>
        <v>0</v>
      </c>
      <c r="V248" s="36">
        <f>COUNTIF(Tabla1[[#This Row],[VEHICULOS_ACCIDENTADOS]:[VEHICULOS_ACCIDENTADOS2]],"CAMIONETA")</f>
        <v>0</v>
      </c>
      <c r="W248" s="36">
        <f>COUNTIF(Tabla1[[#This Row],[VEHICULOS_ACCIDENTADOS]:[VEHICULOS_ACCIDENTADOS2]],"MICROBUS")</f>
        <v>0</v>
      </c>
      <c r="X248" s="36">
        <f>COUNTIF(Tabla1[[#This Row],[VEHICULOS_ACCIDENTADOS]:[VEHICULOS_ACCIDENTADOS2]],"BUS")</f>
        <v>0</v>
      </c>
      <c r="Y248" s="36">
        <f>COUNTIF(Tabla1[[#This Row],[VEHICULOS_ACCIDENTADOS]:[VEHICULOS_ACCIDENTADOS2]],"BUSETA")</f>
        <v>0</v>
      </c>
      <c r="Z248" s="36">
        <f>COUNTIF(Tabla1[[#This Row],[VEHICULOS_ACCIDENTADOS]:[VEHICULOS_ACCIDENTADOS2]],"CAMION")</f>
        <v>0</v>
      </c>
      <c r="AA248" s="36">
        <f>COUNTIF(Tabla1[[#This Row],[VEHICULOS_ACCIDENTADOS]:[VEHICULOS_ACCIDENTADOS2]],"TRACTOCAMION")</f>
        <v>0</v>
      </c>
      <c r="AB248" s="36">
        <f>COUNTIF(Tabla1[[#This Row],[VEHICULOS_ACCIDENTADOS]:[VEHICULOS_ACCIDENTADOS2]],"VOLQUETA")</f>
        <v>0</v>
      </c>
      <c r="AC248" s="36">
        <f>COUNTIF(Tabla1[[#This Row],[VEHICULOS_ACCIDENTADOS]:[VEHICULOS_ACCIDENTADOS2]],"BICICLETA")</f>
        <v>0</v>
      </c>
      <c r="AD248" s="136" t="s">
        <v>471</v>
      </c>
      <c r="AE248" s="136" t="s">
        <v>472</v>
      </c>
      <c r="AF248" s="136">
        <f>COUNTIF(Tabla1[[#This Row],[GENERO_MASCULINO]:[GENERO_FEMENINO]],"MASCULINO")</f>
        <v>1</v>
      </c>
      <c r="AG248" s="36">
        <f>COUNTIF(Tabla1[[#This Row],[GENERO_MASCULINO]:[GENERO_FEMENINO]],"FEMENINO")</f>
        <v>1</v>
      </c>
      <c r="AH248" s="85">
        <v>55</v>
      </c>
      <c r="AI248" s="85">
        <v>17</v>
      </c>
      <c r="AJ248" s="85">
        <v>18</v>
      </c>
      <c r="AK248" s="85"/>
      <c r="AL248" s="85"/>
      <c r="AM248" s="136"/>
      <c r="AN248" s="85">
        <v>112</v>
      </c>
      <c r="AO248" s="36" t="str">
        <f>IFERROR(((VLOOKUP(Tabla1[[#This Row],[HIPOTESIS_1]],listas!$D$1:$E$105,2,FALSE))),"SIN INFORMACIÓN")</f>
        <v>Desobedecer señales o normas de tránsito.</v>
      </c>
      <c r="AP248" s="136">
        <v>139</v>
      </c>
      <c r="AQ248" s="36" t="str">
        <f>IFERROR(((VLOOKUP(Tabla1[[#This Row],[HIPOTESIS_2]],listas!$D$1:$E$105,2,FALSE))),"")</f>
        <v>Impericia en el manejo.</v>
      </c>
      <c r="AR248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249" spans="1:44" x14ac:dyDescent="0.25">
      <c r="A249" s="12">
        <v>484</v>
      </c>
      <c r="B249" s="55">
        <v>0</v>
      </c>
      <c r="C249" s="55">
        <v>2</v>
      </c>
      <c r="D249" s="55">
        <v>0</v>
      </c>
      <c r="E249" s="18" t="str">
        <f t="shared" si="12"/>
        <v>LESIONADO</v>
      </c>
      <c r="F249" s="36" t="s">
        <v>242</v>
      </c>
      <c r="G249" s="17">
        <v>5.341844444444444</v>
      </c>
      <c r="H249" s="17">
        <v>-72.388277777777787</v>
      </c>
      <c r="I249" s="93" t="s">
        <v>697</v>
      </c>
      <c r="J249" s="36" t="s">
        <v>717</v>
      </c>
      <c r="K249" s="24" t="str">
        <f t="shared" si="13"/>
        <v>2023</v>
      </c>
      <c r="L249" s="24" t="str">
        <f t="shared" si="14"/>
        <v>MAYO</v>
      </c>
      <c r="M249" s="225">
        <v>45073</v>
      </c>
      <c r="N249" s="24" t="str">
        <f t="shared" si="15"/>
        <v>SÁBADO</v>
      </c>
      <c r="O249" s="171">
        <v>0.25694444444444448</v>
      </c>
      <c r="P249" s="62" t="s">
        <v>469</v>
      </c>
      <c r="Q249" s="62" t="s">
        <v>445</v>
      </c>
      <c r="R249" s="36">
        <f>COUNTIF(Tabla1[[#This Row],[VEHICULOS_ACCIDENTADOS]:[VEHICULOS_ACCIDENTADOS2]],"MOTOCICLETA")</f>
        <v>1</v>
      </c>
      <c r="S249" s="36">
        <f>COUNTIF(Tabla1[[#This Row],[VEHICULOS_ACCIDENTADOS]:[VEHICULOS_ACCIDENTADOS2]],"MOTOCARRO")</f>
        <v>0</v>
      </c>
      <c r="T249" s="36">
        <f>COUNTIF(Tabla1[[#This Row],[VEHICULOS_ACCIDENTADOS]:[VEHICULOS_ACCIDENTADOS2]],"AUTOMOVIL")</f>
        <v>0</v>
      </c>
      <c r="U249" s="36">
        <f>COUNTIF(Tabla1[[#This Row],[VEHICULOS_ACCIDENTADOS]:[VEHICULOS_ACCIDENTADOS2]],"CAMPERO")</f>
        <v>0</v>
      </c>
      <c r="V249" s="36">
        <f>COUNTIF(Tabla1[[#This Row],[VEHICULOS_ACCIDENTADOS]:[VEHICULOS_ACCIDENTADOS2]],"CAMIONETA")</f>
        <v>1</v>
      </c>
      <c r="W249" s="36">
        <f>COUNTIF(Tabla1[[#This Row],[VEHICULOS_ACCIDENTADOS]:[VEHICULOS_ACCIDENTADOS2]],"MICROBUS")</f>
        <v>0</v>
      </c>
      <c r="X249" s="36">
        <f>COUNTIF(Tabla1[[#This Row],[VEHICULOS_ACCIDENTADOS]:[VEHICULOS_ACCIDENTADOS2]],"BUS")</f>
        <v>0</v>
      </c>
      <c r="Y249" s="36">
        <f>COUNTIF(Tabla1[[#This Row],[VEHICULOS_ACCIDENTADOS]:[VEHICULOS_ACCIDENTADOS2]],"BUSETA")</f>
        <v>0</v>
      </c>
      <c r="Z249" s="36">
        <f>COUNTIF(Tabla1[[#This Row],[VEHICULOS_ACCIDENTADOS]:[VEHICULOS_ACCIDENTADOS2]],"CAMION")</f>
        <v>0</v>
      </c>
      <c r="AA249" s="36">
        <f>COUNTIF(Tabla1[[#This Row],[VEHICULOS_ACCIDENTADOS]:[VEHICULOS_ACCIDENTADOS2]],"TRACTOCAMION")</f>
        <v>0</v>
      </c>
      <c r="AB249" s="36">
        <f>COUNTIF(Tabla1[[#This Row],[VEHICULOS_ACCIDENTADOS]:[VEHICULOS_ACCIDENTADOS2]],"VOLQUETA")</f>
        <v>0</v>
      </c>
      <c r="AC249" s="36">
        <f>COUNTIF(Tabla1[[#This Row],[VEHICULOS_ACCIDENTADOS]:[VEHICULOS_ACCIDENTADOS2]],"BICICLETA")</f>
        <v>0</v>
      </c>
      <c r="AD249" s="36" t="s">
        <v>471</v>
      </c>
      <c r="AE249" s="36"/>
      <c r="AF249" s="36">
        <f>COUNTIF(Tabla1[[#This Row],[GENERO_MASCULINO]:[GENERO_FEMENINO]],"MASCULINO")</f>
        <v>1</v>
      </c>
      <c r="AG249" s="36">
        <f>COUNTIF(Tabla1[[#This Row],[GENERO_MASCULINO]:[GENERO_FEMENINO]],"FEMENINO")</f>
        <v>0</v>
      </c>
      <c r="AH249" s="79">
        <v>29</v>
      </c>
      <c r="AI249" s="79"/>
      <c r="AJ249" s="79"/>
      <c r="AK249" s="79"/>
      <c r="AL249" s="79">
        <v>30</v>
      </c>
      <c r="AM249" s="55"/>
      <c r="AN249" s="79">
        <v>127</v>
      </c>
      <c r="AO249" s="36" t="str">
        <f>IFERROR(((VLOOKUP(Tabla1[[#This Row],[HIPOTESIS_1]],listas!$D$1:$E$105,2,FALSE))),"SIN INFORMACIÓN")</f>
        <v>Transitar en contravía.</v>
      </c>
      <c r="AP249" s="55">
        <v>139</v>
      </c>
      <c r="AQ249" s="36" t="str">
        <f>IFERROR(((VLOOKUP(Tabla1[[#This Row],[HIPOTESIS_2]],listas!$D$1:$E$105,2,FALSE))),"")</f>
        <v>Impericia en el manejo.</v>
      </c>
      <c r="AR249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250" spans="1:44" x14ac:dyDescent="0.25">
      <c r="A250" s="12">
        <v>380</v>
      </c>
      <c r="B250" s="36">
        <v>0</v>
      </c>
      <c r="C250" s="36">
        <v>1</v>
      </c>
      <c r="D250" s="36">
        <v>0</v>
      </c>
      <c r="E250" s="18" t="str">
        <f t="shared" si="12"/>
        <v>LESIONADO</v>
      </c>
      <c r="F250" s="29" t="s">
        <v>295</v>
      </c>
      <c r="G250" s="17">
        <v>5.330511111111111</v>
      </c>
      <c r="H250" s="17">
        <v>-72.382594444444436</v>
      </c>
      <c r="I250" s="93" t="s">
        <v>697</v>
      </c>
      <c r="J250" s="36" t="s">
        <v>717</v>
      </c>
      <c r="K250" s="24" t="str">
        <f t="shared" si="13"/>
        <v>2022</v>
      </c>
      <c r="L250" s="24" t="str">
        <f t="shared" si="14"/>
        <v>DICIEMBRE</v>
      </c>
      <c r="M250" s="225">
        <v>44924</v>
      </c>
      <c r="N250" s="24" t="str">
        <f t="shared" si="15"/>
        <v>JUEVES</v>
      </c>
      <c r="O250" s="102">
        <v>0.194444444444444</v>
      </c>
      <c r="P250" s="53" t="s">
        <v>469</v>
      </c>
      <c r="Q250" s="53"/>
      <c r="R250" s="36">
        <f>COUNTIF(Tabla1[[#This Row],[VEHICULOS_ACCIDENTADOS]:[VEHICULOS_ACCIDENTADOS2]],"MOTOCICLETA")</f>
        <v>1</v>
      </c>
      <c r="S250" s="36">
        <f>COUNTIF(Tabla1[[#This Row],[VEHICULOS_ACCIDENTADOS]:[VEHICULOS_ACCIDENTADOS2]],"MOTOCARRO")</f>
        <v>0</v>
      </c>
      <c r="T250" s="36">
        <f>COUNTIF(Tabla1[[#This Row],[VEHICULOS_ACCIDENTADOS]:[VEHICULOS_ACCIDENTADOS2]],"AUTOMOVIL")</f>
        <v>0</v>
      </c>
      <c r="U250" s="36">
        <f>COUNTIF(Tabla1[[#This Row],[VEHICULOS_ACCIDENTADOS]:[VEHICULOS_ACCIDENTADOS2]],"CAMPERO")</f>
        <v>0</v>
      </c>
      <c r="V250" s="36">
        <f>COUNTIF(Tabla1[[#This Row],[VEHICULOS_ACCIDENTADOS]:[VEHICULOS_ACCIDENTADOS2]],"CAMIONETA")</f>
        <v>0</v>
      </c>
      <c r="W250" s="36">
        <f>COUNTIF(Tabla1[[#This Row],[VEHICULOS_ACCIDENTADOS]:[VEHICULOS_ACCIDENTADOS2]],"MICROBUS")</f>
        <v>0</v>
      </c>
      <c r="X250" s="36">
        <f>COUNTIF(Tabla1[[#This Row],[VEHICULOS_ACCIDENTADOS]:[VEHICULOS_ACCIDENTADOS2]],"BUS")</f>
        <v>0</v>
      </c>
      <c r="Y250" s="36">
        <f>COUNTIF(Tabla1[[#This Row],[VEHICULOS_ACCIDENTADOS]:[VEHICULOS_ACCIDENTADOS2]],"BUSETA")</f>
        <v>0</v>
      </c>
      <c r="Z250" s="36">
        <f>COUNTIF(Tabla1[[#This Row],[VEHICULOS_ACCIDENTADOS]:[VEHICULOS_ACCIDENTADOS2]],"CAMION")</f>
        <v>0</v>
      </c>
      <c r="AA250" s="36">
        <f>COUNTIF(Tabla1[[#This Row],[VEHICULOS_ACCIDENTADOS]:[VEHICULOS_ACCIDENTADOS2]],"TRACTOCAMION")</f>
        <v>0</v>
      </c>
      <c r="AB250" s="36">
        <f>COUNTIF(Tabla1[[#This Row],[VEHICULOS_ACCIDENTADOS]:[VEHICULOS_ACCIDENTADOS2]],"VOLQUETA")</f>
        <v>0</v>
      </c>
      <c r="AC250" s="36">
        <f>COUNTIF(Tabla1[[#This Row],[VEHICULOS_ACCIDENTADOS]:[VEHICULOS_ACCIDENTADOS2]],"BICICLETA")</f>
        <v>0</v>
      </c>
      <c r="AD250" s="36" t="s">
        <v>471</v>
      </c>
      <c r="AE250" s="36"/>
      <c r="AF250" s="36">
        <f>COUNTIF(Tabla1[[#This Row],[GENERO_MASCULINO]:[GENERO_FEMENINO]],"MASCULINO")</f>
        <v>1</v>
      </c>
      <c r="AG250" s="36">
        <f>COUNTIF(Tabla1[[#This Row],[GENERO_MASCULINO]:[GENERO_FEMENINO]],"FEMENINO")</f>
        <v>0</v>
      </c>
      <c r="AH250" s="61">
        <v>24</v>
      </c>
      <c r="AI250" s="61"/>
      <c r="AJ250" s="61"/>
      <c r="AK250" s="61"/>
      <c r="AL250" s="61"/>
      <c r="AM250" s="36"/>
      <c r="AN250" s="61">
        <v>114</v>
      </c>
      <c r="AO250" s="36" t="str">
        <f>IFERROR(((VLOOKUP(Tabla1[[#This Row],[HIPOTESIS_1]],listas!$D$1:$E$105,2,FALSE))),"SIN INFORMACIÓN")</f>
        <v>Embriaguez aparente.</v>
      </c>
      <c r="AP250" s="36">
        <v>139</v>
      </c>
      <c r="AQ250" s="36" t="str">
        <f>IFERROR(((VLOOKUP(Tabla1[[#This Row],[HIPOTESIS_2]],listas!$D$1:$E$105,2,FALSE))),"")</f>
        <v>Impericia en el manejo.</v>
      </c>
      <c r="AR250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251" spans="1:44" x14ac:dyDescent="0.25">
      <c r="A251" s="12">
        <v>485</v>
      </c>
      <c r="B251" s="55">
        <v>0</v>
      </c>
      <c r="C251" s="55">
        <v>1</v>
      </c>
      <c r="D251" s="55">
        <v>0</v>
      </c>
      <c r="E251" s="18" t="str">
        <f t="shared" si="12"/>
        <v>LESIONADO</v>
      </c>
      <c r="F251" s="29" t="s">
        <v>1079</v>
      </c>
      <c r="G251" s="17">
        <v>5.3417149999999998</v>
      </c>
      <c r="H251" s="17">
        <v>-72.386667000000003</v>
      </c>
      <c r="I251" s="93" t="s">
        <v>697</v>
      </c>
      <c r="J251" s="36" t="s">
        <v>717</v>
      </c>
      <c r="K251" s="24" t="str">
        <f t="shared" si="13"/>
        <v>2023</v>
      </c>
      <c r="L251" s="24" t="str">
        <f t="shared" si="14"/>
        <v>MAYO</v>
      </c>
      <c r="M251" s="225">
        <v>45070</v>
      </c>
      <c r="N251" s="24" t="str">
        <f t="shared" si="15"/>
        <v>MIÉRCOLES</v>
      </c>
      <c r="O251" s="101">
        <v>0.66666666666666663</v>
      </c>
      <c r="P251" s="67" t="s">
        <v>469</v>
      </c>
      <c r="Q251" s="67" t="s">
        <v>447</v>
      </c>
      <c r="R251" s="36">
        <f>COUNTIF(Tabla1[[#This Row],[VEHICULOS_ACCIDENTADOS]:[VEHICULOS_ACCIDENTADOS2]],"MOTOCICLETA")</f>
        <v>1</v>
      </c>
      <c r="S251" s="36">
        <f>COUNTIF(Tabla1[[#This Row],[VEHICULOS_ACCIDENTADOS]:[VEHICULOS_ACCIDENTADOS2]],"MOTOCARRO")</f>
        <v>0</v>
      </c>
      <c r="T251" s="36">
        <f>COUNTIF(Tabla1[[#This Row],[VEHICULOS_ACCIDENTADOS]:[VEHICULOS_ACCIDENTADOS2]],"AUTOMOVIL")</f>
        <v>1</v>
      </c>
      <c r="U251" s="36">
        <f>COUNTIF(Tabla1[[#This Row],[VEHICULOS_ACCIDENTADOS]:[VEHICULOS_ACCIDENTADOS2]],"CAMPERO")</f>
        <v>0</v>
      </c>
      <c r="V251" s="36">
        <f>COUNTIF(Tabla1[[#This Row],[VEHICULOS_ACCIDENTADOS]:[VEHICULOS_ACCIDENTADOS2]],"CAMIONETA")</f>
        <v>0</v>
      </c>
      <c r="W251" s="36">
        <f>COUNTIF(Tabla1[[#This Row],[VEHICULOS_ACCIDENTADOS]:[VEHICULOS_ACCIDENTADOS2]],"MICROBUS")</f>
        <v>0</v>
      </c>
      <c r="X251" s="36">
        <f>COUNTIF(Tabla1[[#This Row],[VEHICULOS_ACCIDENTADOS]:[VEHICULOS_ACCIDENTADOS2]],"BUS")</f>
        <v>0</v>
      </c>
      <c r="Y251" s="36">
        <f>COUNTIF(Tabla1[[#This Row],[VEHICULOS_ACCIDENTADOS]:[VEHICULOS_ACCIDENTADOS2]],"BUSETA")</f>
        <v>0</v>
      </c>
      <c r="Z251" s="36">
        <f>COUNTIF(Tabla1[[#This Row],[VEHICULOS_ACCIDENTADOS]:[VEHICULOS_ACCIDENTADOS2]],"CAMION")</f>
        <v>0</v>
      </c>
      <c r="AA251" s="36">
        <f>COUNTIF(Tabla1[[#This Row],[VEHICULOS_ACCIDENTADOS]:[VEHICULOS_ACCIDENTADOS2]],"TRACTOCAMION")</f>
        <v>0</v>
      </c>
      <c r="AB251" s="36">
        <f>COUNTIF(Tabla1[[#This Row],[VEHICULOS_ACCIDENTADOS]:[VEHICULOS_ACCIDENTADOS2]],"VOLQUETA")</f>
        <v>0</v>
      </c>
      <c r="AC251" s="36">
        <f>COUNTIF(Tabla1[[#This Row],[VEHICULOS_ACCIDENTADOS]:[VEHICULOS_ACCIDENTADOS2]],"BICICLETA")</f>
        <v>0</v>
      </c>
      <c r="AD251" s="36" t="s">
        <v>471</v>
      </c>
      <c r="AE251" s="36"/>
      <c r="AF251" s="36">
        <f>COUNTIF(Tabla1[[#This Row],[GENERO_MASCULINO]:[GENERO_FEMENINO]],"MASCULINO")</f>
        <v>1</v>
      </c>
      <c r="AG251" s="36">
        <f>COUNTIF(Tabla1[[#This Row],[GENERO_MASCULINO]:[GENERO_FEMENINO]],"FEMENINO")</f>
        <v>0</v>
      </c>
      <c r="AH251" s="84">
        <v>18</v>
      </c>
      <c r="AI251" s="84"/>
      <c r="AJ251" s="80"/>
      <c r="AK251" s="80"/>
      <c r="AL251" s="80"/>
      <c r="AM251" s="54"/>
      <c r="AN251" s="79">
        <v>123</v>
      </c>
      <c r="AO251" s="36" t="str">
        <f>IFERROR(((VLOOKUP(Tabla1[[#This Row],[HIPOTESIS_1]],listas!$D$1:$E$105,2,FALSE))),"SIN INFORMACIÓN")</f>
        <v>No respetar prelación de intersecciones o giros.</v>
      </c>
      <c r="AP251" s="55">
        <v>139</v>
      </c>
      <c r="AQ251" s="36" t="str">
        <f>IFERROR(((VLOOKUP(Tabla1[[#This Row],[HIPOTESIS_2]],listas!$D$1:$E$105,2,FALSE))),"")</f>
        <v>Impericia en el manejo.</v>
      </c>
      <c r="AR251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252" spans="1:44" x14ac:dyDescent="0.25">
      <c r="A252" s="12">
        <v>914</v>
      </c>
      <c r="B252" s="135">
        <v>0</v>
      </c>
      <c r="C252" s="36">
        <v>1</v>
      </c>
      <c r="D252" s="136">
        <v>0</v>
      </c>
      <c r="E252" s="18" t="str">
        <f t="shared" si="12"/>
        <v>LESIONADO</v>
      </c>
      <c r="F252" s="29" t="s">
        <v>1079</v>
      </c>
      <c r="G252" s="17">
        <v>5.3417149999999998</v>
      </c>
      <c r="H252" s="17">
        <v>-72.386667000000003</v>
      </c>
      <c r="I252" s="93" t="s">
        <v>697</v>
      </c>
      <c r="J252" s="168" t="s">
        <v>717</v>
      </c>
      <c r="K252" s="24" t="str">
        <f t="shared" si="13"/>
        <v>2025</v>
      </c>
      <c r="L252" s="24" t="str">
        <f t="shared" si="14"/>
        <v>MARZO</v>
      </c>
      <c r="M252" s="225">
        <v>45745</v>
      </c>
      <c r="N252" s="24" t="str">
        <f t="shared" si="15"/>
        <v>SÁBADO</v>
      </c>
      <c r="O252" s="101">
        <v>0.85416666666666663</v>
      </c>
      <c r="P252" s="57" t="s">
        <v>469</v>
      </c>
      <c r="Q252" s="57" t="s">
        <v>469</v>
      </c>
      <c r="R252" s="36">
        <f>COUNTIF(Tabla1[[#This Row],[VEHICULOS_ACCIDENTADOS]:[VEHICULOS_ACCIDENTADOS2]],"MOTOCICLETA")</f>
        <v>2</v>
      </c>
      <c r="S252" s="36">
        <f>COUNTIF(Tabla1[[#This Row],[VEHICULOS_ACCIDENTADOS]:[VEHICULOS_ACCIDENTADOS2]],"MOTOCARRO")</f>
        <v>0</v>
      </c>
      <c r="T252" s="36">
        <f>COUNTIF(Tabla1[[#This Row],[VEHICULOS_ACCIDENTADOS]:[VEHICULOS_ACCIDENTADOS2]],"AUTOMOVIL")</f>
        <v>0</v>
      </c>
      <c r="U252" s="36">
        <f>COUNTIF(Tabla1[[#This Row],[VEHICULOS_ACCIDENTADOS]:[VEHICULOS_ACCIDENTADOS2]],"CAMPERO")</f>
        <v>0</v>
      </c>
      <c r="V252" s="36">
        <f>COUNTIF(Tabla1[[#This Row],[VEHICULOS_ACCIDENTADOS]:[VEHICULOS_ACCIDENTADOS2]],"CAMIONETA")</f>
        <v>0</v>
      </c>
      <c r="W252" s="36">
        <f>COUNTIF(Tabla1[[#This Row],[VEHICULOS_ACCIDENTADOS]:[VEHICULOS_ACCIDENTADOS2]],"MICROBUS")</f>
        <v>0</v>
      </c>
      <c r="X252" s="36">
        <f>COUNTIF(Tabla1[[#This Row],[VEHICULOS_ACCIDENTADOS]:[VEHICULOS_ACCIDENTADOS2]],"BUS")</f>
        <v>0</v>
      </c>
      <c r="Y252" s="36">
        <f>COUNTIF(Tabla1[[#This Row],[VEHICULOS_ACCIDENTADOS]:[VEHICULOS_ACCIDENTADOS2]],"BUSETA")</f>
        <v>0</v>
      </c>
      <c r="Z252" s="36">
        <f>COUNTIF(Tabla1[[#This Row],[VEHICULOS_ACCIDENTADOS]:[VEHICULOS_ACCIDENTADOS2]],"CAMION")</f>
        <v>0</v>
      </c>
      <c r="AA252" s="36">
        <f>COUNTIF(Tabla1[[#This Row],[VEHICULOS_ACCIDENTADOS]:[VEHICULOS_ACCIDENTADOS2]],"TRACTOCAMION")</f>
        <v>0</v>
      </c>
      <c r="AB252" s="36">
        <f>COUNTIF(Tabla1[[#This Row],[VEHICULOS_ACCIDENTADOS]:[VEHICULOS_ACCIDENTADOS2]],"VOLQUETA")</f>
        <v>0</v>
      </c>
      <c r="AC252" s="36">
        <f>COUNTIF(Tabla1[[#This Row],[VEHICULOS_ACCIDENTADOS]:[VEHICULOS_ACCIDENTADOS2]],"BICICLETA")</f>
        <v>0</v>
      </c>
      <c r="AD252" s="36" t="s">
        <v>471</v>
      </c>
      <c r="AE252" s="36" t="s">
        <v>471</v>
      </c>
      <c r="AF252" s="36">
        <f>COUNTIF(Tabla1[[#This Row],[GENERO_MASCULINO]:[GENERO_FEMENINO]],"MASCULINO")</f>
        <v>2</v>
      </c>
      <c r="AG252" s="36">
        <f>COUNTIF(Tabla1[[#This Row],[GENERO_MASCULINO]:[GENERO_FEMENINO]],"FEMENINO")</f>
        <v>0</v>
      </c>
      <c r="AH252" s="85">
        <v>19</v>
      </c>
      <c r="AI252" s="85">
        <v>19</v>
      </c>
      <c r="AJ252" s="85">
        <v>19</v>
      </c>
      <c r="AK252" s="61"/>
      <c r="AL252" s="61"/>
      <c r="AM252" s="36"/>
      <c r="AN252" s="61">
        <v>115</v>
      </c>
      <c r="AO252" s="36" t="str">
        <f>IFERROR(((VLOOKUP(Tabla1[[#This Row],[HIPOTESIS_1]],listas!$D$1:$E$105,2,FALSE))),"SIN INFORMACIÓN")</f>
        <v>Embriaguez o Sustancias alucinogenas</v>
      </c>
      <c r="AP252" s="36">
        <v>139</v>
      </c>
      <c r="AQ252" s="36" t="str">
        <f>IFERROR(((VLOOKUP(Tabla1[[#This Row],[HIPOTESIS_2]],listas!$D$1:$E$105,2,FALSE))),"")</f>
        <v>Impericia en el manejo.</v>
      </c>
      <c r="AR252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253" spans="1:44" x14ac:dyDescent="0.25">
      <c r="A253" s="12">
        <v>26</v>
      </c>
      <c r="B253" s="36">
        <v>0</v>
      </c>
      <c r="C253" s="36">
        <v>2</v>
      </c>
      <c r="D253" s="36">
        <v>0</v>
      </c>
      <c r="E253" s="18" t="str">
        <f t="shared" si="12"/>
        <v>LESIONADO</v>
      </c>
      <c r="F253" s="29" t="s">
        <v>1082</v>
      </c>
      <c r="G253" s="17">
        <v>5.3321861111111106</v>
      </c>
      <c r="H253" s="17">
        <v>-72.380799999999994</v>
      </c>
      <c r="I253" s="93" t="s">
        <v>697</v>
      </c>
      <c r="J253" s="36" t="s">
        <v>717</v>
      </c>
      <c r="K253" s="24" t="str">
        <f t="shared" si="13"/>
        <v>2022</v>
      </c>
      <c r="L253" s="24" t="str">
        <f t="shared" si="14"/>
        <v>ENERO</v>
      </c>
      <c r="M253" s="225">
        <v>44588</v>
      </c>
      <c r="N253" s="24" t="str">
        <f t="shared" si="15"/>
        <v>JUEVES</v>
      </c>
      <c r="O253" s="101">
        <v>0.75</v>
      </c>
      <c r="P253" s="63" t="s">
        <v>469</v>
      </c>
      <c r="Q253" s="63" t="s">
        <v>469</v>
      </c>
      <c r="R253" s="36">
        <f>COUNTIF(Tabla1[[#This Row],[VEHICULOS_ACCIDENTADOS]:[VEHICULOS_ACCIDENTADOS2]],"MOTOCICLETA")</f>
        <v>2</v>
      </c>
      <c r="S253" s="36">
        <f>COUNTIF(Tabla1[[#This Row],[VEHICULOS_ACCIDENTADOS]:[VEHICULOS_ACCIDENTADOS2]],"MOTOCARRO")</f>
        <v>0</v>
      </c>
      <c r="T253" s="36">
        <f>COUNTIF(Tabla1[[#This Row],[VEHICULOS_ACCIDENTADOS]:[VEHICULOS_ACCIDENTADOS2]],"AUTOMOVIL")</f>
        <v>0</v>
      </c>
      <c r="U253" s="36">
        <f>COUNTIF(Tabla1[[#This Row],[VEHICULOS_ACCIDENTADOS]:[VEHICULOS_ACCIDENTADOS2]],"CAMPERO")</f>
        <v>0</v>
      </c>
      <c r="V253" s="36">
        <f>COUNTIF(Tabla1[[#This Row],[VEHICULOS_ACCIDENTADOS]:[VEHICULOS_ACCIDENTADOS2]],"CAMIONETA")</f>
        <v>0</v>
      </c>
      <c r="W253" s="36">
        <f>COUNTIF(Tabla1[[#This Row],[VEHICULOS_ACCIDENTADOS]:[VEHICULOS_ACCIDENTADOS2]],"MICROBUS")</f>
        <v>0</v>
      </c>
      <c r="X253" s="36">
        <f>COUNTIF(Tabla1[[#This Row],[VEHICULOS_ACCIDENTADOS]:[VEHICULOS_ACCIDENTADOS2]],"BUS")</f>
        <v>0</v>
      </c>
      <c r="Y253" s="36">
        <f>COUNTIF(Tabla1[[#This Row],[VEHICULOS_ACCIDENTADOS]:[VEHICULOS_ACCIDENTADOS2]],"BUSETA")</f>
        <v>0</v>
      </c>
      <c r="Z253" s="36">
        <f>COUNTIF(Tabla1[[#This Row],[VEHICULOS_ACCIDENTADOS]:[VEHICULOS_ACCIDENTADOS2]],"CAMION")</f>
        <v>0</v>
      </c>
      <c r="AA253" s="36">
        <f>COUNTIF(Tabla1[[#This Row],[VEHICULOS_ACCIDENTADOS]:[VEHICULOS_ACCIDENTADOS2]],"TRACTOCAMION")</f>
        <v>0</v>
      </c>
      <c r="AB253" s="36">
        <f>COUNTIF(Tabla1[[#This Row],[VEHICULOS_ACCIDENTADOS]:[VEHICULOS_ACCIDENTADOS2]],"VOLQUETA")</f>
        <v>0</v>
      </c>
      <c r="AC253" s="36">
        <f>COUNTIF(Tabla1[[#This Row],[VEHICULOS_ACCIDENTADOS]:[VEHICULOS_ACCIDENTADOS2]],"BICICLETA")</f>
        <v>0</v>
      </c>
      <c r="AD253" s="36"/>
      <c r="AE253" s="36" t="s">
        <v>472</v>
      </c>
      <c r="AF253" s="36">
        <f>COUNTIF(Tabla1[[#This Row],[GENERO_MASCULINO]:[GENERO_FEMENINO]],"MASCULINO")</f>
        <v>0</v>
      </c>
      <c r="AG253" s="36">
        <f>COUNTIF(Tabla1[[#This Row],[GENERO_MASCULINO]:[GENERO_FEMENINO]],"FEMENINO")</f>
        <v>1</v>
      </c>
      <c r="AH253" s="61">
        <v>51</v>
      </c>
      <c r="AI253" s="61"/>
      <c r="AJ253" s="61"/>
      <c r="AK253" s="61"/>
      <c r="AL253" s="61">
        <v>48</v>
      </c>
      <c r="AM253" s="36"/>
      <c r="AN253" s="61">
        <v>122</v>
      </c>
      <c r="AO253" s="36" t="str">
        <f>IFERROR(((VLOOKUP(Tabla1[[#This Row],[HIPOTESIS_1]],listas!$D$1:$E$105,2,FALSE))),"SIN INFORMACIÓN")</f>
        <v>Girar bruscamente.</v>
      </c>
      <c r="AP253" s="36">
        <v>139</v>
      </c>
      <c r="AQ253" s="36" t="str">
        <f>IFERROR(((VLOOKUP(Tabla1[[#This Row],[HIPOTESIS_2]],listas!$D$1:$E$105,2,FALSE))),"")</f>
        <v>Impericia en el manejo.</v>
      </c>
      <c r="AR253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254" spans="1:44" x14ac:dyDescent="0.25">
      <c r="A254" s="12">
        <v>788</v>
      </c>
      <c r="B254" s="135">
        <v>0</v>
      </c>
      <c r="C254" s="136">
        <v>2</v>
      </c>
      <c r="D254" s="141">
        <v>0</v>
      </c>
      <c r="E254" s="18" t="str">
        <f t="shared" si="12"/>
        <v>LESIONADO</v>
      </c>
      <c r="F254" s="26" t="s">
        <v>1084</v>
      </c>
      <c r="G254" s="21">
        <v>5.3092280555555558</v>
      </c>
      <c r="H254" s="21">
        <v>-72.410311111111113</v>
      </c>
      <c r="I254" s="93" t="s">
        <v>697</v>
      </c>
      <c r="J254" s="36" t="s">
        <v>717</v>
      </c>
      <c r="K254" s="24" t="str">
        <f t="shared" si="13"/>
        <v>2024</v>
      </c>
      <c r="L254" s="24" t="str">
        <f t="shared" si="14"/>
        <v>OCTUBRE</v>
      </c>
      <c r="M254" s="224">
        <v>45573</v>
      </c>
      <c r="N254" s="24" t="str">
        <f t="shared" si="15"/>
        <v>MARTES</v>
      </c>
      <c r="O254" s="171">
        <v>0.57847222222222217</v>
      </c>
      <c r="P254" s="178" t="s">
        <v>469</v>
      </c>
      <c r="Q254" s="178" t="s">
        <v>447</v>
      </c>
      <c r="R254" s="36">
        <f>COUNTIF(Tabla1[[#This Row],[VEHICULOS_ACCIDENTADOS]:[VEHICULOS_ACCIDENTADOS2]],"MOTOCICLETA")</f>
        <v>1</v>
      </c>
      <c r="S254" s="36">
        <f>COUNTIF(Tabla1[[#This Row],[VEHICULOS_ACCIDENTADOS]:[VEHICULOS_ACCIDENTADOS2]],"MOTOCARRO")</f>
        <v>0</v>
      </c>
      <c r="T254" s="36">
        <f>COUNTIF(Tabla1[[#This Row],[VEHICULOS_ACCIDENTADOS]:[VEHICULOS_ACCIDENTADOS2]],"AUTOMOVIL")</f>
        <v>1</v>
      </c>
      <c r="U254" s="36">
        <f>COUNTIF(Tabla1[[#This Row],[VEHICULOS_ACCIDENTADOS]:[VEHICULOS_ACCIDENTADOS2]],"CAMPERO")</f>
        <v>0</v>
      </c>
      <c r="V254" s="36">
        <f>COUNTIF(Tabla1[[#This Row],[VEHICULOS_ACCIDENTADOS]:[VEHICULOS_ACCIDENTADOS2]],"CAMIONETA")</f>
        <v>0</v>
      </c>
      <c r="W254" s="36">
        <f>COUNTIF(Tabla1[[#This Row],[VEHICULOS_ACCIDENTADOS]:[VEHICULOS_ACCIDENTADOS2]],"MICROBUS")</f>
        <v>0</v>
      </c>
      <c r="X254" s="36">
        <f>COUNTIF(Tabla1[[#This Row],[VEHICULOS_ACCIDENTADOS]:[VEHICULOS_ACCIDENTADOS2]],"BUS")</f>
        <v>0</v>
      </c>
      <c r="Y254" s="36">
        <f>COUNTIF(Tabla1[[#This Row],[VEHICULOS_ACCIDENTADOS]:[VEHICULOS_ACCIDENTADOS2]],"BUSETA")</f>
        <v>0</v>
      </c>
      <c r="Z254" s="36">
        <f>COUNTIF(Tabla1[[#This Row],[VEHICULOS_ACCIDENTADOS]:[VEHICULOS_ACCIDENTADOS2]],"CAMION")</f>
        <v>0</v>
      </c>
      <c r="AA254" s="36">
        <f>COUNTIF(Tabla1[[#This Row],[VEHICULOS_ACCIDENTADOS]:[VEHICULOS_ACCIDENTADOS2]],"TRACTOCAMION")</f>
        <v>0</v>
      </c>
      <c r="AB254" s="36">
        <f>COUNTIF(Tabla1[[#This Row],[VEHICULOS_ACCIDENTADOS]:[VEHICULOS_ACCIDENTADOS2]],"VOLQUETA")</f>
        <v>0</v>
      </c>
      <c r="AC254" s="36">
        <f>COUNTIF(Tabla1[[#This Row],[VEHICULOS_ACCIDENTADOS]:[VEHICULOS_ACCIDENTADOS2]],"BICICLETA")</f>
        <v>0</v>
      </c>
      <c r="AD254" s="136" t="s">
        <v>471</v>
      </c>
      <c r="AE254" s="136"/>
      <c r="AF254" s="136">
        <f>COUNTIF(Tabla1[[#This Row],[GENERO_MASCULINO]:[GENERO_FEMENINO]],"MASCULINO")</f>
        <v>1</v>
      </c>
      <c r="AG254" s="36">
        <f>COUNTIF(Tabla1[[#This Row],[GENERO_MASCULINO]:[GENERO_FEMENINO]],"FEMENINO")</f>
        <v>0</v>
      </c>
      <c r="AH254" s="85">
        <v>22</v>
      </c>
      <c r="AI254" s="85">
        <v>45</v>
      </c>
      <c r="AJ254" s="85">
        <v>16</v>
      </c>
      <c r="AK254" s="85"/>
      <c r="AL254" s="85"/>
      <c r="AM254" s="136"/>
      <c r="AN254" s="85">
        <v>121</v>
      </c>
      <c r="AO254" s="36" t="str">
        <f>IFERROR(((VLOOKUP(Tabla1[[#This Row],[HIPOTESIS_1]],listas!$D$1:$E$105,2,FALSE))),"SIN INFORMACIÓN")</f>
        <v>No mantener distancia de seguridad.</v>
      </c>
      <c r="AP254" s="136">
        <v>139</v>
      </c>
      <c r="AQ254" s="36" t="str">
        <f>IFERROR(((VLOOKUP(Tabla1[[#This Row],[HIPOTESIS_2]],listas!$D$1:$E$105,2,FALSE))),"")</f>
        <v>Impericia en el manejo.</v>
      </c>
      <c r="AR254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255" spans="1:44" x14ac:dyDescent="0.25">
      <c r="A255" s="12">
        <v>296</v>
      </c>
      <c r="B255" s="36">
        <v>0</v>
      </c>
      <c r="C255" s="36">
        <v>1</v>
      </c>
      <c r="D255" s="36">
        <v>0</v>
      </c>
      <c r="E255" s="18" t="str">
        <f t="shared" si="12"/>
        <v>LESIONADO</v>
      </c>
      <c r="F255" s="29" t="s">
        <v>984</v>
      </c>
      <c r="G255" s="17">
        <v>5.3284649999999996</v>
      </c>
      <c r="H255" s="17">
        <v>-72.376521666666662</v>
      </c>
      <c r="I255" s="93" t="s">
        <v>697</v>
      </c>
      <c r="J255" s="36" t="s">
        <v>717</v>
      </c>
      <c r="K255" s="24" t="str">
        <f t="shared" si="13"/>
        <v>2022</v>
      </c>
      <c r="L255" s="24" t="str">
        <f t="shared" si="14"/>
        <v>SEPTIEMBRE</v>
      </c>
      <c r="M255" s="225">
        <v>44810</v>
      </c>
      <c r="N255" s="24" t="str">
        <f t="shared" si="15"/>
        <v>MARTES</v>
      </c>
      <c r="O255" s="102">
        <v>0.54166666666666696</v>
      </c>
      <c r="P255" s="53" t="s">
        <v>469</v>
      </c>
      <c r="Q255" s="53" t="s">
        <v>441</v>
      </c>
      <c r="R255" s="36">
        <f>COUNTIF(Tabla1[[#This Row],[VEHICULOS_ACCIDENTADOS]:[VEHICULOS_ACCIDENTADOS2]],"MOTOCICLETA")</f>
        <v>1</v>
      </c>
      <c r="S255" s="36">
        <f>COUNTIF(Tabla1[[#This Row],[VEHICULOS_ACCIDENTADOS]:[VEHICULOS_ACCIDENTADOS2]],"MOTOCARRO")</f>
        <v>0</v>
      </c>
      <c r="T255" s="36">
        <f>COUNTIF(Tabla1[[#This Row],[VEHICULOS_ACCIDENTADOS]:[VEHICULOS_ACCIDENTADOS2]],"AUTOMOVIL")</f>
        <v>0</v>
      </c>
      <c r="U255" s="36">
        <f>COUNTIF(Tabla1[[#This Row],[VEHICULOS_ACCIDENTADOS]:[VEHICULOS_ACCIDENTADOS2]],"CAMPERO")</f>
        <v>0</v>
      </c>
      <c r="V255" s="36">
        <f>COUNTIF(Tabla1[[#This Row],[VEHICULOS_ACCIDENTADOS]:[VEHICULOS_ACCIDENTADOS2]],"CAMIONETA")</f>
        <v>0</v>
      </c>
      <c r="W255" s="36">
        <f>COUNTIF(Tabla1[[#This Row],[VEHICULOS_ACCIDENTADOS]:[VEHICULOS_ACCIDENTADOS2]],"MICROBUS")</f>
        <v>0</v>
      </c>
      <c r="X255" s="36">
        <f>COUNTIF(Tabla1[[#This Row],[VEHICULOS_ACCIDENTADOS]:[VEHICULOS_ACCIDENTADOS2]],"BUS")</f>
        <v>0</v>
      </c>
      <c r="Y255" s="36">
        <f>COUNTIF(Tabla1[[#This Row],[VEHICULOS_ACCIDENTADOS]:[VEHICULOS_ACCIDENTADOS2]],"BUSETA")</f>
        <v>0</v>
      </c>
      <c r="Z255" s="36">
        <f>COUNTIF(Tabla1[[#This Row],[VEHICULOS_ACCIDENTADOS]:[VEHICULOS_ACCIDENTADOS2]],"CAMION")</f>
        <v>1</v>
      </c>
      <c r="AA255" s="36">
        <f>COUNTIF(Tabla1[[#This Row],[VEHICULOS_ACCIDENTADOS]:[VEHICULOS_ACCIDENTADOS2]],"TRACTOCAMION")</f>
        <v>0</v>
      </c>
      <c r="AB255" s="36">
        <f>COUNTIF(Tabla1[[#This Row],[VEHICULOS_ACCIDENTADOS]:[VEHICULOS_ACCIDENTADOS2]],"VOLQUETA")</f>
        <v>0</v>
      </c>
      <c r="AC255" s="36">
        <f>COUNTIF(Tabla1[[#This Row],[VEHICULOS_ACCIDENTADOS]:[VEHICULOS_ACCIDENTADOS2]],"BICICLETA")</f>
        <v>0</v>
      </c>
      <c r="AD255" s="36"/>
      <c r="AE255" s="36" t="s">
        <v>472</v>
      </c>
      <c r="AF255" s="36">
        <f>COUNTIF(Tabla1[[#This Row],[GENERO_MASCULINO]:[GENERO_FEMENINO]],"MASCULINO")</f>
        <v>0</v>
      </c>
      <c r="AG255" s="36">
        <f>COUNTIF(Tabla1[[#This Row],[GENERO_MASCULINO]:[GENERO_FEMENINO]],"FEMENINO")</f>
        <v>1</v>
      </c>
      <c r="AH255" s="61">
        <v>17</v>
      </c>
      <c r="AI255" s="61"/>
      <c r="AJ255" s="78"/>
      <c r="AK255" s="61"/>
      <c r="AL255" s="61"/>
      <c r="AM255" s="36"/>
      <c r="AN255" s="61">
        <v>141</v>
      </c>
      <c r="AO255" s="36" t="str">
        <f>IFERROR(((VLOOKUP(Tabla1[[#This Row],[HIPOTESIS_1]],listas!$D$1:$E$105,2,FALSE))),"SIN INFORMACIÓN")</f>
        <v>Vehículo mal estacionado.</v>
      </c>
      <c r="AP255" s="36">
        <v>139</v>
      </c>
      <c r="AQ255" s="36" t="str">
        <f>IFERROR(((VLOOKUP(Tabla1[[#This Row],[HIPOTESIS_2]],listas!$D$1:$E$105,2,FALSE))),"")</f>
        <v>Impericia en el manejo.</v>
      </c>
      <c r="AR255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256" spans="1:44" x14ac:dyDescent="0.25">
      <c r="A256" s="12">
        <v>316</v>
      </c>
      <c r="B256" s="36">
        <v>0</v>
      </c>
      <c r="C256" s="36">
        <v>2</v>
      </c>
      <c r="D256" s="36">
        <v>0</v>
      </c>
      <c r="E256" s="18" t="str">
        <f t="shared" si="12"/>
        <v>LESIONADO</v>
      </c>
      <c r="F256" s="36" t="s">
        <v>318</v>
      </c>
      <c r="G256" s="17">
        <v>5.3359341666666662</v>
      </c>
      <c r="H256" s="17">
        <v>-72.382149999999996</v>
      </c>
      <c r="I256" s="93" t="s">
        <v>697</v>
      </c>
      <c r="J256" s="36" t="s">
        <v>717</v>
      </c>
      <c r="K256" s="24" t="str">
        <f t="shared" si="13"/>
        <v>2022</v>
      </c>
      <c r="L256" s="24" t="str">
        <f t="shared" si="14"/>
        <v>SEPTIEMBRE</v>
      </c>
      <c r="M256" s="225">
        <v>44830</v>
      </c>
      <c r="N256" s="24" t="str">
        <f t="shared" si="15"/>
        <v>LUNES</v>
      </c>
      <c r="O256" s="102">
        <v>0.65277777777777801</v>
      </c>
      <c r="P256" s="53" t="s">
        <v>469</v>
      </c>
      <c r="Q256" s="53" t="s">
        <v>447</v>
      </c>
      <c r="R256" s="36">
        <f>COUNTIF(Tabla1[[#This Row],[VEHICULOS_ACCIDENTADOS]:[VEHICULOS_ACCIDENTADOS2]],"MOTOCICLETA")</f>
        <v>1</v>
      </c>
      <c r="S256" s="36">
        <f>COUNTIF(Tabla1[[#This Row],[VEHICULOS_ACCIDENTADOS]:[VEHICULOS_ACCIDENTADOS2]],"MOTOCARRO")</f>
        <v>0</v>
      </c>
      <c r="T256" s="36">
        <f>COUNTIF(Tabla1[[#This Row],[VEHICULOS_ACCIDENTADOS]:[VEHICULOS_ACCIDENTADOS2]],"AUTOMOVIL")</f>
        <v>1</v>
      </c>
      <c r="U256" s="36">
        <f>COUNTIF(Tabla1[[#This Row],[VEHICULOS_ACCIDENTADOS]:[VEHICULOS_ACCIDENTADOS2]],"CAMPERO")</f>
        <v>0</v>
      </c>
      <c r="V256" s="36">
        <f>COUNTIF(Tabla1[[#This Row],[VEHICULOS_ACCIDENTADOS]:[VEHICULOS_ACCIDENTADOS2]],"CAMIONETA")</f>
        <v>0</v>
      </c>
      <c r="W256" s="36">
        <f>COUNTIF(Tabla1[[#This Row],[VEHICULOS_ACCIDENTADOS]:[VEHICULOS_ACCIDENTADOS2]],"MICROBUS")</f>
        <v>0</v>
      </c>
      <c r="X256" s="36">
        <f>COUNTIF(Tabla1[[#This Row],[VEHICULOS_ACCIDENTADOS]:[VEHICULOS_ACCIDENTADOS2]],"BUS")</f>
        <v>0</v>
      </c>
      <c r="Y256" s="36">
        <f>COUNTIF(Tabla1[[#This Row],[VEHICULOS_ACCIDENTADOS]:[VEHICULOS_ACCIDENTADOS2]],"BUSETA")</f>
        <v>0</v>
      </c>
      <c r="Z256" s="36">
        <f>COUNTIF(Tabla1[[#This Row],[VEHICULOS_ACCIDENTADOS]:[VEHICULOS_ACCIDENTADOS2]],"CAMION")</f>
        <v>0</v>
      </c>
      <c r="AA256" s="36">
        <f>COUNTIF(Tabla1[[#This Row],[VEHICULOS_ACCIDENTADOS]:[VEHICULOS_ACCIDENTADOS2]],"TRACTOCAMION")</f>
        <v>0</v>
      </c>
      <c r="AB256" s="36">
        <f>COUNTIF(Tabla1[[#This Row],[VEHICULOS_ACCIDENTADOS]:[VEHICULOS_ACCIDENTADOS2]],"VOLQUETA")</f>
        <v>0</v>
      </c>
      <c r="AC256" s="36">
        <f>COUNTIF(Tabla1[[#This Row],[VEHICULOS_ACCIDENTADOS]:[VEHICULOS_ACCIDENTADOS2]],"BICICLETA")</f>
        <v>0</v>
      </c>
      <c r="AD256" s="36"/>
      <c r="AE256" s="36" t="s">
        <v>472</v>
      </c>
      <c r="AF256" s="36">
        <f>COUNTIF(Tabla1[[#This Row],[GENERO_MASCULINO]:[GENERO_FEMENINO]],"MASCULINO")</f>
        <v>0</v>
      </c>
      <c r="AG256" s="36">
        <f>COUNTIF(Tabla1[[#This Row],[GENERO_MASCULINO]:[GENERO_FEMENINO]],"FEMENINO")</f>
        <v>1</v>
      </c>
      <c r="AH256" s="61">
        <v>15</v>
      </c>
      <c r="AI256" s="61"/>
      <c r="AJ256" s="78"/>
      <c r="AK256" s="61"/>
      <c r="AL256" s="61">
        <v>56</v>
      </c>
      <c r="AM256" s="36"/>
      <c r="AN256" s="61">
        <v>112</v>
      </c>
      <c r="AO256" s="36" t="str">
        <f>IFERROR(((VLOOKUP(Tabla1[[#This Row],[HIPOTESIS_1]],listas!$D$1:$E$105,2,FALSE))),"SIN INFORMACIÓN")</f>
        <v>Desobedecer señales o normas de tránsito.</v>
      </c>
      <c r="AP256" s="36">
        <v>139</v>
      </c>
      <c r="AQ256" s="36" t="str">
        <f>IFERROR(((VLOOKUP(Tabla1[[#This Row],[HIPOTESIS_2]],listas!$D$1:$E$105,2,FALSE))),"")</f>
        <v>Impericia en el manejo.</v>
      </c>
      <c r="AR256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257" spans="1:44" x14ac:dyDescent="0.25">
      <c r="A257" s="12">
        <v>235</v>
      </c>
      <c r="B257" s="36">
        <v>0</v>
      </c>
      <c r="C257" s="36">
        <v>1</v>
      </c>
      <c r="D257" s="36">
        <v>0</v>
      </c>
      <c r="E257" s="18" t="str">
        <f t="shared" si="12"/>
        <v>LESIONADO</v>
      </c>
      <c r="F257" s="36" t="s">
        <v>349</v>
      </c>
      <c r="G257" s="17">
        <v>5.3348541666666662</v>
      </c>
      <c r="H257" s="17">
        <v>-72.381004166666656</v>
      </c>
      <c r="I257" s="93" t="s">
        <v>697</v>
      </c>
      <c r="J257" s="36" t="s">
        <v>717</v>
      </c>
      <c r="K257" s="24" t="str">
        <f t="shared" si="13"/>
        <v>2022</v>
      </c>
      <c r="L257" s="24" t="str">
        <f t="shared" si="14"/>
        <v>JUNIO</v>
      </c>
      <c r="M257" s="225">
        <v>44742</v>
      </c>
      <c r="N257" s="24" t="str">
        <f t="shared" si="15"/>
        <v>JUEVES</v>
      </c>
      <c r="O257" s="102">
        <v>0.95138888888888895</v>
      </c>
      <c r="P257" s="53" t="s">
        <v>469</v>
      </c>
      <c r="Q257" s="53" t="s">
        <v>469</v>
      </c>
      <c r="R257" s="36">
        <f>COUNTIF(Tabla1[[#This Row],[VEHICULOS_ACCIDENTADOS]:[VEHICULOS_ACCIDENTADOS2]],"MOTOCICLETA")</f>
        <v>2</v>
      </c>
      <c r="S257" s="36">
        <f>COUNTIF(Tabla1[[#This Row],[VEHICULOS_ACCIDENTADOS]:[VEHICULOS_ACCIDENTADOS2]],"MOTOCARRO")</f>
        <v>0</v>
      </c>
      <c r="T257" s="36">
        <f>COUNTIF(Tabla1[[#This Row],[VEHICULOS_ACCIDENTADOS]:[VEHICULOS_ACCIDENTADOS2]],"AUTOMOVIL")</f>
        <v>0</v>
      </c>
      <c r="U257" s="36">
        <f>COUNTIF(Tabla1[[#This Row],[VEHICULOS_ACCIDENTADOS]:[VEHICULOS_ACCIDENTADOS2]],"CAMPERO")</f>
        <v>0</v>
      </c>
      <c r="V257" s="36">
        <f>COUNTIF(Tabla1[[#This Row],[VEHICULOS_ACCIDENTADOS]:[VEHICULOS_ACCIDENTADOS2]],"CAMIONETA")</f>
        <v>0</v>
      </c>
      <c r="W257" s="36">
        <f>COUNTIF(Tabla1[[#This Row],[VEHICULOS_ACCIDENTADOS]:[VEHICULOS_ACCIDENTADOS2]],"MICROBUS")</f>
        <v>0</v>
      </c>
      <c r="X257" s="36">
        <f>COUNTIF(Tabla1[[#This Row],[VEHICULOS_ACCIDENTADOS]:[VEHICULOS_ACCIDENTADOS2]],"BUS")</f>
        <v>0</v>
      </c>
      <c r="Y257" s="36">
        <f>COUNTIF(Tabla1[[#This Row],[VEHICULOS_ACCIDENTADOS]:[VEHICULOS_ACCIDENTADOS2]],"BUSETA")</f>
        <v>0</v>
      </c>
      <c r="Z257" s="36">
        <f>COUNTIF(Tabla1[[#This Row],[VEHICULOS_ACCIDENTADOS]:[VEHICULOS_ACCIDENTADOS2]],"CAMION")</f>
        <v>0</v>
      </c>
      <c r="AA257" s="36">
        <f>COUNTIF(Tabla1[[#This Row],[VEHICULOS_ACCIDENTADOS]:[VEHICULOS_ACCIDENTADOS2]],"TRACTOCAMION")</f>
        <v>0</v>
      </c>
      <c r="AB257" s="36">
        <f>COUNTIF(Tabla1[[#This Row],[VEHICULOS_ACCIDENTADOS]:[VEHICULOS_ACCIDENTADOS2]],"VOLQUETA")</f>
        <v>0</v>
      </c>
      <c r="AC257" s="36">
        <f>COUNTIF(Tabla1[[#This Row],[VEHICULOS_ACCIDENTADOS]:[VEHICULOS_ACCIDENTADOS2]],"BICICLETA")</f>
        <v>0</v>
      </c>
      <c r="AD257" s="36" t="s">
        <v>471</v>
      </c>
      <c r="AE257" s="36"/>
      <c r="AF257" s="36">
        <f>COUNTIF(Tabla1[[#This Row],[GENERO_MASCULINO]:[GENERO_FEMENINO]],"MASCULINO")</f>
        <v>1</v>
      </c>
      <c r="AG257" s="36">
        <f>COUNTIF(Tabla1[[#This Row],[GENERO_MASCULINO]:[GENERO_FEMENINO]],"FEMENINO")</f>
        <v>0</v>
      </c>
      <c r="AH257" s="61">
        <v>33</v>
      </c>
      <c r="AI257" s="61"/>
      <c r="AJ257" s="61"/>
      <c r="AK257" s="61"/>
      <c r="AL257" s="61"/>
      <c r="AM257" s="36"/>
      <c r="AN257" s="61">
        <v>115</v>
      </c>
      <c r="AO257" s="36" t="str">
        <f>IFERROR(((VLOOKUP(Tabla1[[#This Row],[HIPOTESIS_1]],listas!$D$1:$E$105,2,FALSE))),"SIN INFORMACIÓN")</f>
        <v>Embriaguez o Sustancias alucinogenas</v>
      </c>
      <c r="AP257" s="36">
        <v>139</v>
      </c>
      <c r="AQ257" s="36" t="str">
        <f>IFERROR(((VLOOKUP(Tabla1[[#This Row],[HIPOTESIS_2]],listas!$D$1:$E$105,2,FALSE))),"")</f>
        <v>Impericia en el manejo.</v>
      </c>
      <c r="AR257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258" spans="1:44" x14ac:dyDescent="0.25">
      <c r="A258" s="12">
        <v>622</v>
      </c>
      <c r="B258" s="36">
        <v>0</v>
      </c>
      <c r="C258" s="36">
        <v>1</v>
      </c>
      <c r="D258" s="36">
        <v>0</v>
      </c>
      <c r="E258" s="18" t="str">
        <f t="shared" ref="E258:E321" si="16">IF(D258&gt;=1,"FALLECIDO",IF(C258&gt;=1,"LESIONADO",IF(B258&gt;=1,"SOLO DAÑO","")))</f>
        <v>LESIONADO</v>
      </c>
      <c r="F258" s="29" t="s">
        <v>179</v>
      </c>
      <c r="G258" s="17">
        <v>5.3302940000000003</v>
      </c>
      <c r="H258" s="17">
        <v>-72.378360000000001</v>
      </c>
      <c r="I258" s="93" t="s">
        <v>697</v>
      </c>
      <c r="J258" s="36" t="s">
        <v>717</v>
      </c>
      <c r="K258" s="24" t="str">
        <f t="shared" ref="K258:K321" si="17">UPPER(TEXT(M258,"YYYY"))</f>
        <v>2023</v>
      </c>
      <c r="L258" s="24" t="str">
        <f t="shared" ref="L258:L321" si="18">UPPER(TEXT(M258,"MMMM"))</f>
        <v>NOVIEMBRE</v>
      </c>
      <c r="M258" s="225">
        <v>45257</v>
      </c>
      <c r="N258" s="24" t="str">
        <f t="shared" ref="N258:N321" si="19">UPPER(TEXT(M258,"DDDD"))</f>
        <v>LUNES</v>
      </c>
      <c r="O258" s="101">
        <v>0.625</v>
      </c>
      <c r="P258" s="57" t="s">
        <v>469</v>
      </c>
      <c r="Q258" s="57" t="s">
        <v>441</v>
      </c>
      <c r="R258" s="36">
        <f>COUNTIF(Tabla1[[#This Row],[VEHICULOS_ACCIDENTADOS]:[VEHICULOS_ACCIDENTADOS2]],"MOTOCICLETA")</f>
        <v>1</v>
      </c>
      <c r="S258" s="36">
        <f>COUNTIF(Tabla1[[#This Row],[VEHICULOS_ACCIDENTADOS]:[VEHICULOS_ACCIDENTADOS2]],"MOTOCARRO")</f>
        <v>0</v>
      </c>
      <c r="T258" s="36">
        <f>COUNTIF(Tabla1[[#This Row],[VEHICULOS_ACCIDENTADOS]:[VEHICULOS_ACCIDENTADOS2]],"AUTOMOVIL")</f>
        <v>0</v>
      </c>
      <c r="U258" s="36">
        <f>COUNTIF(Tabla1[[#This Row],[VEHICULOS_ACCIDENTADOS]:[VEHICULOS_ACCIDENTADOS2]],"CAMPERO")</f>
        <v>0</v>
      </c>
      <c r="V258" s="36">
        <f>COUNTIF(Tabla1[[#This Row],[VEHICULOS_ACCIDENTADOS]:[VEHICULOS_ACCIDENTADOS2]],"CAMIONETA")</f>
        <v>0</v>
      </c>
      <c r="W258" s="36">
        <f>COUNTIF(Tabla1[[#This Row],[VEHICULOS_ACCIDENTADOS]:[VEHICULOS_ACCIDENTADOS2]],"MICROBUS")</f>
        <v>0</v>
      </c>
      <c r="X258" s="36">
        <f>COUNTIF(Tabla1[[#This Row],[VEHICULOS_ACCIDENTADOS]:[VEHICULOS_ACCIDENTADOS2]],"BUS")</f>
        <v>0</v>
      </c>
      <c r="Y258" s="36">
        <f>COUNTIF(Tabla1[[#This Row],[VEHICULOS_ACCIDENTADOS]:[VEHICULOS_ACCIDENTADOS2]],"BUSETA")</f>
        <v>0</v>
      </c>
      <c r="Z258" s="36">
        <f>COUNTIF(Tabla1[[#This Row],[VEHICULOS_ACCIDENTADOS]:[VEHICULOS_ACCIDENTADOS2]],"CAMION")</f>
        <v>1</v>
      </c>
      <c r="AA258" s="36">
        <f>COUNTIF(Tabla1[[#This Row],[VEHICULOS_ACCIDENTADOS]:[VEHICULOS_ACCIDENTADOS2]],"TRACTOCAMION")</f>
        <v>0</v>
      </c>
      <c r="AB258" s="36">
        <f>COUNTIF(Tabla1[[#This Row],[VEHICULOS_ACCIDENTADOS]:[VEHICULOS_ACCIDENTADOS2]],"VOLQUETA")</f>
        <v>0</v>
      </c>
      <c r="AC258" s="36">
        <f>COUNTIF(Tabla1[[#This Row],[VEHICULOS_ACCIDENTADOS]:[VEHICULOS_ACCIDENTADOS2]],"BICICLETA")</f>
        <v>0</v>
      </c>
      <c r="AD258" s="36" t="s">
        <v>471</v>
      </c>
      <c r="AE258" s="36"/>
      <c r="AF258" s="36">
        <f>COUNTIF(Tabla1[[#This Row],[GENERO_MASCULINO]:[GENERO_FEMENINO]],"MASCULINO")</f>
        <v>1</v>
      </c>
      <c r="AG258" s="36">
        <f>COUNTIF(Tabla1[[#This Row],[GENERO_MASCULINO]:[GENERO_FEMENINO]],"FEMENINO")</f>
        <v>0</v>
      </c>
      <c r="AH258" s="61">
        <v>60</v>
      </c>
      <c r="AI258" s="61"/>
      <c r="AJ258" s="78"/>
      <c r="AK258" s="61"/>
      <c r="AL258" s="61"/>
      <c r="AM258" s="36"/>
      <c r="AN258" s="61">
        <v>115</v>
      </c>
      <c r="AO258" s="36" t="str">
        <f>IFERROR(((VLOOKUP(Tabla1[[#This Row],[HIPOTESIS_1]],listas!$D$1:$E$105,2,FALSE))),"SIN INFORMACIÓN")</f>
        <v>Embriaguez o Sustancias alucinogenas</v>
      </c>
      <c r="AP258" s="36">
        <v>139</v>
      </c>
      <c r="AQ258" s="36" t="str">
        <f>IFERROR(((VLOOKUP(Tabla1[[#This Row],[HIPOTESIS_2]],listas!$D$1:$E$105,2,FALSE))),"")</f>
        <v>Impericia en el manejo.</v>
      </c>
      <c r="AR258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259" spans="1:44" x14ac:dyDescent="0.25">
      <c r="A259" s="12">
        <v>805</v>
      </c>
      <c r="B259" s="136">
        <v>1</v>
      </c>
      <c r="C259" s="136">
        <v>0</v>
      </c>
      <c r="D259" s="141">
        <v>0</v>
      </c>
      <c r="E259" s="18" t="str">
        <f t="shared" si="16"/>
        <v>SOLO DAÑO</v>
      </c>
      <c r="F259" s="26" t="s">
        <v>105</v>
      </c>
      <c r="G259" s="21">
        <v>5.3286638888888884</v>
      </c>
      <c r="H259" s="21">
        <v>-72.376721388888882</v>
      </c>
      <c r="I259" s="93" t="s">
        <v>697</v>
      </c>
      <c r="J259" s="36" t="s">
        <v>717</v>
      </c>
      <c r="K259" s="24" t="str">
        <f t="shared" si="17"/>
        <v>2024</v>
      </c>
      <c r="L259" s="24" t="str">
        <f t="shared" si="18"/>
        <v>NOVIEMBRE</v>
      </c>
      <c r="M259" s="224">
        <v>45600</v>
      </c>
      <c r="N259" s="24" t="str">
        <f t="shared" si="19"/>
        <v>LUNES</v>
      </c>
      <c r="O259" s="171">
        <v>0.77777777777777779</v>
      </c>
      <c r="P259" s="178" t="s">
        <v>469</v>
      </c>
      <c r="Q259" s="178" t="s">
        <v>447</v>
      </c>
      <c r="R259" s="36">
        <f>COUNTIF(Tabla1[[#This Row],[VEHICULOS_ACCIDENTADOS]:[VEHICULOS_ACCIDENTADOS2]],"MOTOCICLETA")</f>
        <v>1</v>
      </c>
      <c r="S259" s="36">
        <f>COUNTIF(Tabla1[[#This Row],[VEHICULOS_ACCIDENTADOS]:[VEHICULOS_ACCIDENTADOS2]],"MOTOCARRO")</f>
        <v>0</v>
      </c>
      <c r="T259" s="36">
        <f>COUNTIF(Tabla1[[#This Row],[VEHICULOS_ACCIDENTADOS]:[VEHICULOS_ACCIDENTADOS2]],"AUTOMOVIL")</f>
        <v>1</v>
      </c>
      <c r="U259" s="36">
        <f>COUNTIF(Tabla1[[#This Row],[VEHICULOS_ACCIDENTADOS]:[VEHICULOS_ACCIDENTADOS2]],"CAMPERO")</f>
        <v>0</v>
      </c>
      <c r="V259" s="36">
        <f>COUNTIF(Tabla1[[#This Row],[VEHICULOS_ACCIDENTADOS]:[VEHICULOS_ACCIDENTADOS2]],"CAMIONETA")</f>
        <v>0</v>
      </c>
      <c r="W259" s="36">
        <f>COUNTIF(Tabla1[[#This Row],[VEHICULOS_ACCIDENTADOS]:[VEHICULOS_ACCIDENTADOS2]],"MICROBUS")</f>
        <v>0</v>
      </c>
      <c r="X259" s="36">
        <f>COUNTIF(Tabla1[[#This Row],[VEHICULOS_ACCIDENTADOS]:[VEHICULOS_ACCIDENTADOS2]],"BUS")</f>
        <v>0</v>
      </c>
      <c r="Y259" s="36">
        <f>COUNTIF(Tabla1[[#This Row],[VEHICULOS_ACCIDENTADOS]:[VEHICULOS_ACCIDENTADOS2]],"BUSETA")</f>
        <v>0</v>
      </c>
      <c r="Z259" s="36">
        <f>COUNTIF(Tabla1[[#This Row],[VEHICULOS_ACCIDENTADOS]:[VEHICULOS_ACCIDENTADOS2]],"CAMION")</f>
        <v>0</v>
      </c>
      <c r="AA259" s="36">
        <f>COUNTIF(Tabla1[[#This Row],[VEHICULOS_ACCIDENTADOS]:[VEHICULOS_ACCIDENTADOS2]],"TRACTOCAMION")</f>
        <v>0</v>
      </c>
      <c r="AB259" s="36">
        <f>COUNTIF(Tabla1[[#This Row],[VEHICULOS_ACCIDENTADOS]:[VEHICULOS_ACCIDENTADOS2]],"VOLQUETA")</f>
        <v>0</v>
      </c>
      <c r="AC259" s="36">
        <f>COUNTIF(Tabla1[[#This Row],[VEHICULOS_ACCIDENTADOS]:[VEHICULOS_ACCIDENTADOS2]],"BICICLETA")</f>
        <v>0</v>
      </c>
      <c r="AD259" s="136" t="s">
        <v>471</v>
      </c>
      <c r="AE259" s="136" t="s">
        <v>472</v>
      </c>
      <c r="AF259" s="136">
        <f>COUNTIF(Tabla1[[#This Row],[GENERO_MASCULINO]:[GENERO_FEMENINO]],"MASCULINO")</f>
        <v>1</v>
      </c>
      <c r="AG259" s="36">
        <f>COUNTIF(Tabla1[[#This Row],[GENERO_MASCULINO]:[GENERO_FEMENINO]],"FEMENINO")</f>
        <v>1</v>
      </c>
      <c r="AH259" s="85">
        <v>23</v>
      </c>
      <c r="AI259" s="85">
        <v>24</v>
      </c>
      <c r="AJ259" s="85"/>
      <c r="AK259" s="85"/>
      <c r="AL259" s="85"/>
      <c r="AM259" s="136"/>
      <c r="AN259" s="85">
        <v>115</v>
      </c>
      <c r="AO259" s="36" t="str">
        <f>IFERROR(((VLOOKUP(Tabla1[[#This Row],[HIPOTESIS_1]],listas!$D$1:$E$105,2,FALSE))),"SIN INFORMACIÓN")</f>
        <v>Embriaguez o Sustancias alucinogenas</v>
      </c>
      <c r="AP259" s="136">
        <v>139</v>
      </c>
      <c r="AQ259" s="36" t="str">
        <f>IFERROR(((VLOOKUP(Tabla1[[#This Row],[HIPOTESIS_2]],listas!$D$1:$E$105,2,FALSE))),"")</f>
        <v>Impericia en el manejo.</v>
      </c>
      <c r="AR259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260" spans="1:44" x14ac:dyDescent="0.25">
      <c r="A260" s="12">
        <v>457</v>
      </c>
      <c r="B260" s="36">
        <v>0</v>
      </c>
      <c r="C260" s="36">
        <v>3</v>
      </c>
      <c r="D260" s="36">
        <v>0</v>
      </c>
      <c r="E260" s="18" t="str">
        <f t="shared" si="16"/>
        <v>LESIONADO</v>
      </c>
      <c r="F260" s="29" t="s">
        <v>1089</v>
      </c>
      <c r="G260" s="21">
        <v>5.3443941666666666</v>
      </c>
      <c r="H260" s="21">
        <v>-72.384084722222227</v>
      </c>
      <c r="I260" s="93" t="s">
        <v>697</v>
      </c>
      <c r="J260" s="36" t="s">
        <v>717</v>
      </c>
      <c r="K260" s="24" t="str">
        <f t="shared" si="17"/>
        <v>2023</v>
      </c>
      <c r="L260" s="24" t="str">
        <f t="shared" si="18"/>
        <v>ABRIL</v>
      </c>
      <c r="M260" s="225">
        <v>45039</v>
      </c>
      <c r="N260" s="24" t="str">
        <f t="shared" si="19"/>
        <v>DOMINGO</v>
      </c>
      <c r="O260" s="101">
        <v>0.79166666666666663</v>
      </c>
      <c r="P260" s="57" t="s">
        <v>469</v>
      </c>
      <c r="Q260" s="57" t="s">
        <v>447</v>
      </c>
      <c r="R260" s="36">
        <f>COUNTIF(Tabla1[[#This Row],[VEHICULOS_ACCIDENTADOS]:[VEHICULOS_ACCIDENTADOS2]],"MOTOCICLETA")</f>
        <v>1</v>
      </c>
      <c r="S260" s="36">
        <f>COUNTIF(Tabla1[[#This Row],[VEHICULOS_ACCIDENTADOS]:[VEHICULOS_ACCIDENTADOS2]],"MOTOCARRO")</f>
        <v>0</v>
      </c>
      <c r="T260" s="36">
        <f>COUNTIF(Tabla1[[#This Row],[VEHICULOS_ACCIDENTADOS]:[VEHICULOS_ACCIDENTADOS2]],"AUTOMOVIL")</f>
        <v>1</v>
      </c>
      <c r="U260" s="36">
        <f>COUNTIF(Tabla1[[#This Row],[VEHICULOS_ACCIDENTADOS]:[VEHICULOS_ACCIDENTADOS2]],"CAMPERO")</f>
        <v>0</v>
      </c>
      <c r="V260" s="36">
        <f>COUNTIF(Tabla1[[#This Row],[VEHICULOS_ACCIDENTADOS]:[VEHICULOS_ACCIDENTADOS2]],"CAMIONETA")</f>
        <v>0</v>
      </c>
      <c r="W260" s="36">
        <f>COUNTIF(Tabla1[[#This Row],[VEHICULOS_ACCIDENTADOS]:[VEHICULOS_ACCIDENTADOS2]],"MICROBUS")</f>
        <v>0</v>
      </c>
      <c r="X260" s="36">
        <f>COUNTIF(Tabla1[[#This Row],[VEHICULOS_ACCIDENTADOS]:[VEHICULOS_ACCIDENTADOS2]],"BUS")</f>
        <v>0</v>
      </c>
      <c r="Y260" s="36">
        <f>COUNTIF(Tabla1[[#This Row],[VEHICULOS_ACCIDENTADOS]:[VEHICULOS_ACCIDENTADOS2]],"BUSETA")</f>
        <v>0</v>
      </c>
      <c r="Z260" s="36">
        <f>COUNTIF(Tabla1[[#This Row],[VEHICULOS_ACCIDENTADOS]:[VEHICULOS_ACCIDENTADOS2]],"CAMION")</f>
        <v>0</v>
      </c>
      <c r="AA260" s="36">
        <f>COUNTIF(Tabla1[[#This Row],[VEHICULOS_ACCIDENTADOS]:[VEHICULOS_ACCIDENTADOS2]],"TRACTOCAMION")</f>
        <v>0</v>
      </c>
      <c r="AB260" s="36">
        <f>COUNTIF(Tabla1[[#This Row],[VEHICULOS_ACCIDENTADOS]:[VEHICULOS_ACCIDENTADOS2]],"VOLQUETA")</f>
        <v>0</v>
      </c>
      <c r="AC260" s="36">
        <f>COUNTIF(Tabla1[[#This Row],[VEHICULOS_ACCIDENTADOS]:[VEHICULOS_ACCIDENTADOS2]],"BICICLETA")</f>
        <v>0</v>
      </c>
      <c r="AD260" s="36" t="s">
        <v>471</v>
      </c>
      <c r="AE260" s="36" t="s">
        <v>472</v>
      </c>
      <c r="AF260" s="36">
        <f>COUNTIF(Tabla1[[#This Row],[GENERO_MASCULINO]:[GENERO_FEMENINO]],"MASCULINO")</f>
        <v>1</v>
      </c>
      <c r="AG260" s="36">
        <f>COUNTIF(Tabla1[[#This Row],[GENERO_MASCULINO]:[GENERO_FEMENINO]],"FEMENINO")</f>
        <v>1</v>
      </c>
      <c r="AH260" s="61">
        <v>27</v>
      </c>
      <c r="AI260" s="61">
        <v>32</v>
      </c>
      <c r="AJ260" s="61"/>
      <c r="AK260" s="61"/>
      <c r="AL260" s="61">
        <v>26</v>
      </c>
      <c r="AM260" s="36"/>
      <c r="AN260" s="61">
        <v>112</v>
      </c>
      <c r="AO260" s="36" t="str">
        <f>IFERROR(((VLOOKUP(Tabla1[[#This Row],[HIPOTESIS_1]],listas!$D$1:$E$105,2,FALSE))),"SIN INFORMACIÓN")</f>
        <v>Desobedecer señales o normas de tránsito.</v>
      </c>
      <c r="AP260" s="36">
        <v>139</v>
      </c>
      <c r="AQ260" s="36" t="str">
        <f>IFERROR(((VLOOKUP(Tabla1[[#This Row],[HIPOTESIS_2]],listas!$D$1:$E$105,2,FALSE))),"")</f>
        <v>Impericia en el manejo.</v>
      </c>
      <c r="AR260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261" spans="1:44" x14ac:dyDescent="0.25">
      <c r="A261" s="12">
        <v>895</v>
      </c>
      <c r="B261" s="36">
        <v>0</v>
      </c>
      <c r="C261" s="136">
        <v>1</v>
      </c>
      <c r="D261" s="137">
        <v>0</v>
      </c>
      <c r="E261" s="18" t="str">
        <f t="shared" si="16"/>
        <v>LESIONADO</v>
      </c>
      <c r="F261" s="26" t="s">
        <v>64</v>
      </c>
      <c r="G261" s="21">
        <v>5.3376539999999997</v>
      </c>
      <c r="H261" s="21">
        <v>-72.379295999999997</v>
      </c>
      <c r="I261" s="93" t="s">
        <v>697</v>
      </c>
      <c r="J261" s="167" t="s">
        <v>717</v>
      </c>
      <c r="K261" s="24" t="str">
        <f t="shared" si="17"/>
        <v>2025</v>
      </c>
      <c r="L261" s="24" t="str">
        <f t="shared" si="18"/>
        <v>MARZO</v>
      </c>
      <c r="M261" s="224">
        <v>45722</v>
      </c>
      <c r="N261" s="24" t="str">
        <f t="shared" si="19"/>
        <v>JUEVES</v>
      </c>
      <c r="O261" s="171">
        <v>0.59027777777777779</v>
      </c>
      <c r="P261" s="178" t="s">
        <v>445</v>
      </c>
      <c r="Q261" s="178" t="s">
        <v>469</v>
      </c>
      <c r="R261" s="36">
        <f>COUNTIF(Tabla1[[#This Row],[VEHICULOS_ACCIDENTADOS]:[VEHICULOS_ACCIDENTADOS2]],"MOTOCICLETA")</f>
        <v>1</v>
      </c>
      <c r="S261" s="36">
        <f>COUNTIF(Tabla1[[#This Row],[VEHICULOS_ACCIDENTADOS]:[VEHICULOS_ACCIDENTADOS2]],"MOTOCARRO")</f>
        <v>0</v>
      </c>
      <c r="T261" s="36">
        <f>COUNTIF(Tabla1[[#This Row],[VEHICULOS_ACCIDENTADOS]:[VEHICULOS_ACCIDENTADOS2]],"AUTOMOVIL")</f>
        <v>0</v>
      </c>
      <c r="U261" s="36">
        <f>COUNTIF(Tabla1[[#This Row],[VEHICULOS_ACCIDENTADOS]:[VEHICULOS_ACCIDENTADOS2]],"CAMPERO")</f>
        <v>0</v>
      </c>
      <c r="V261" s="36">
        <f>COUNTIF(Tabla1[[#This Row],[VEHICULOS_ACCIDENTADOS]:[VEHICULOS_ACCIDENTADOS2]],"CAMIONETA")</f>
        <v>1</v>
      </c>
      <c r="W261" s="36">
        <f>COUNTIF(Tabla1[[#This Row],[VEHICULOS_ACCIDENTADOS]:[VEHICULOS_ACCIDENTADOS2]],"MICROBUS")</f>
        <v>0</v>
      </c>
      <c r="X261" s="36">
        <f>COUNTIF(Tabla1[[#This Row],[VEHICULOS_ACCIDENTADOS]:[VEHICULOS_ACCIDENTADOS2]],"BUS")</f>
        <v>0</v>
      </c>
      <c r="Y261" s="36">
        <f>COUNTIF(Tabla1[[#This Row],[VEHICULOS_ACCIDENTADOS]:[VEHICULOS_ACCIDENTADOS2]],"BUSETA")</f>
        <v>0</v>
      </c>
      <c r="Z261" s="36">
        <f>COUNTIF(Tabla1[[#This Row],[VEHICULOS_ACCIDENTADOS]:[VEHICULOS_ACCIDENTADOS2]],"CAMION")</f>
        <v>0</v>
      </c>
      <c r="AA261" s="36">
        <f>COUNTIF(Tabla1[[#This Row],[VEHICULOS_ACCIDENTADOS]:[VEHICULOS_ACCIDENTADOS2]],"TRACTOCAMION")</f>
        <v>0</v>
      </c>
      <c r="AB261" s="36">
        <f>COUNTIF(Tabla1[[#This Row],[VEHICULOS_ACCIDENTADOS]:[VEHICULOS_ACCIDENTADOS2]],"VOLQUETA")</f>
        <v>0</v>
      </c>
      <c r="AC261" s="36">
        <f>COUNTIF(Tabla1[[#This Row],[VEHICULOS_ACCIDENTADOS]:[VEHICULOS_ACCIDENTADOS2]],"BICICLETA")</f>
        <v>0</v>
      </c>
      <c r="AD261" s="136" t="s">
        <v>471</v>
      </c>
      <c r="AE261" s="136" t="s">
        <v>471</v>
      </c>
      <c r="AF261" s="136">
        <f>COUNTIF(Tabla1[[#This Row],[GENERO_MASCULINO]:[GENERO_FEMENINO]],"MASCULINO")</f>
        <v>2</v>
      </c>
      <c r="AG261" s="36">
        <f>COUNTIF(Tabla1[[#This Row],[GENERO_MASCULINO]:[GENERO_FEMENINO]],"FEMENINO")</f>
        <v>0</v>
      </c>
      <c r="AH261" s="85">
        <v>38</v>
      </c>
      <c r="AI261" s="85">
        <v>20</v>
      </c>
      <c r="AJ261" s="85"/>
      <c r="AK261" s="85"/>
      <c r="AL261" s="85"/>
      <c r="AM261" s="136"/>
      <c r="AN261" s="85">
        <v>112</v>
      </c>
      <c r="AO261" s="36" t="str">
        <f>IFERROR(((VLOOKUP(Tabla1[[#This Row],[HIPOTESIS_1]],listas!$D$1:$E$105,2,FALSE))),"SIN INFORMACIÓN")</f>
        <v>Desobedecer señales o normas de tránsito.</v>
      </c>
      <c r="AP261" s="136">
        <v>139</v>
      </c>
      <c r="AQ261" s="36" t="str">
        <f>IFERROR(((VLOOKUP(Tabla1[[#This Row],[HIPOTESIS_2]],listas!$D$1:$E$105,2,FALSE))),"")</f>
        <v>Impericia en el manejo.</v>
      </c>
      <c r="AR261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262" spans="1:44" x14ac:dyDescent="0.25">
      <c r="A262" s="12">
        <v>737</v>
      </c>
      <c r="B262" s="135">
        <v>0</v>
      </c>
      <c r="C262" s="36">
        <v>2</v>
      </c>
      <c r="D262" s="36">
        <v>0</v>
      </c>
      <c r="E262" s="18" t="str">
        <f t="shared" si="16"/>
        <v>LESIONADO</v>
      </c>
      <c r="F262" s="29" t="s">
        <v>133</v>
      </c>
      <c r="G262" s="21">
        <v>5.337783611111111</v>
      </c>
      <c r="H262" s="21">
        <v>-72.379299722222214</v>
      </c>
      <c r="I262" s="93" t="s">
        <v>697</v>
      </c>
      <c r="J262" s="136" t="s">
        <v>717</v>
      </c>
      <c r="K262" s="24" t="str">
        <f t="shared" si="17"/>
        <v>2024</v>
      </c>
      <c r="L262" s="24" t="str">
        <f t="shared" si="18"/>
        <v>JUNIO</v>
      </c>
      <c r="M262" s="225">
        <v>45473</v>
      </c>
      <c r="N262" s="24" t="str">
        <f t="shared" si="19"/>
        <v>DOMINGO</v>
      </c>
      <c r="O262" s="101">
        <v>0.77083333333333337</v>
      </c>
      <c r="P262" s="57" t="s">
        <v>469</v>
      </c>
      <c r="Q262" s="57" t="s">
        <v>447</v>
      </c>
      <c r="R262" s="36">
        <f>COUNTIF(Tabla1[[#This Row],[VEHICULOS_ACCIDENTADOS]:[VEHICULOS_ACCIDENTADOS2]],"MOTOCICLETA")</f>
        <v>1</v>
      </c>
      <c r="S262" s="36">
        <f>COUNTIF(Tabla1[[#This Row],[VEHICULOS_ACCIDENTADOS]:[VEHICULOS_ACCIDENTADOS2]],"MOTOCARRO")</f>
        <v>0</v>
      </c>
      <c r="T262" s="36">
        <f>COUNTIF(Tabla1[[#This Row],[VEHICULOS_ACCIDENTADOS]:[VEHICULOS_ACCIDENTADOS2]],"AUTOMOVIL")</f>
        <v>1</v>
      </c>
      <c r="U262" s="36">
        <f>COUNTIF(Tabla1[[#This Row],[VEHICULOS_ACCIDENTADOS]:[VEHICULOS_ACCIDENTADOS2]],"CAMPERO")</f>
        <v>0</v>
      </c>
      <c r="V262" s="36">
        <f>COUNTIF(Tabla1[[#This Row],[VEHICULOS_ACCIDENTADOS]:[VEHICULOS_ACCIDENTADOS2]],"CAMIONETA")</f>
        <v>0</v>
      </c>
      <c r="W262" s="36">
        <f>COUNTIF(Tabla1[[#This Row],[VEHICULOS_ACCIDENTADOS]:[VEHICULOS_ACCIDENTADOS2]],"MICROBUS")</f>
        <v>0</v>
      </c>
      <c r="X262" s="36">
        <f>COUNTIF(Tabla1[[#This Row],[VEHICULOS_ACCIDENTADOS]:[VEHICULOS_ACCIDENTADOS2]],"BUS")</f>
        <v>0</v>
      </c>
      <c r="Y262" s="36">
        <f>COUNTIF(Tabla1[[#This Row],[VEHICULOS_ACCIDENTADOS]:[VEHICULOS_ACCIDENTADOS2]],"BUSETA")</f>
        <v>0</v>
      </c>
      <c r="Z262" s="36">
        <f>COUNTIF(Tabla1[[#This Row],[VEHICULOS_ACCIDENTADOS]:[VEHICULOS_ACCIDENTADOS2]],"CAMION")</f>
        <v>0</v>
      </c>
      <c r="AA262" s="36">
        <f>COUNTIF(Tabla1[[#This Row],[VEHICULOS_ACCIDENTADOS]:[VEHICULOS_ACCIDENTADOS2]],"TRACTOCAMION")</f>
        <v>0</v>
      </c>
      <c r="AB262" s="36">
        <f>COUNTIF(Tabla1[[#This Row],[VEHICULOS_ACCIDENTADOS]:[VEHICULOS_ACCIDENTADOS2]],"VOLQUETA")</f>
        <v>0</v>
      </c>
      <c r="AC262" s="36">
        <f>COUNTIF(Tabla1[[#This Row],[VEHICULOS_ACCIDENTADOS]:[VEHICULOS_ACCIDENTADOS2]],"BICICLETA")</f>
        <v>0</v>
      </c>
      <c r="AD262" s="36" t="s">
        <v>471</v>
      </c>
      <c r="AE262" s="36"/>
      <c r="AF262" s="36">
        <f>COUNTIF(Tabla1[[#This Row],[GENERO_MASCULINO]:[GENERO_FEMENINO]],"MASCULINO")</f>
        <v>1</v>
      </c>
      <c r="AG262" s="36">
        <f>COUNTIF(Tabla1[[#This Row],[GENERO_MASCULINO]:[GENERO_FEMENINO]],"FEMENINO")</f>
        <v>0</v>
      </c>
      <c r="AH262" s="61">
        <v>34</v>
      </c>
      <c r="AI262" s="61">
        <v>19</v>
      </c>
      <c r="AJ262" s="61">
        <v>36</v>
      </c>
      <c r="AK262" s="61"/>
      <c r="AL262" s="61"/>
      <c r="AM262" s="36"/>
      <c r="AN262" s="61">
        <v>114</v>
      </c>
      <c r="AO262" s="36" t="str">
        <f>IFERROR(((VLOOKUP(Tabla1[[#This Row],[HIPOTESIS_1]],listas!$D$1:$E$105,2,FALSE))),"SIN INFORMACIÓN")</f>
        <v>Embriaguez aparente.</v>
      </c>
      <c r="AP262" s="36">
        <v>139</v>
      </c>
      <c r="AQ262" s="36" t="str">
        <f>IFERROR(((VLOOKUP(Tabla1[[#This Row],[HIPOTESIS_2]],listas!$D$1:$E$105,2,FALSE))),"")</f>
        <v>Impericia en el manejo.</v>
      </c>
      <c r="AR262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263" spans="1:44" x14ac:dyDescent="0.25">
      <c r="A263" s="12">
        <v>128</v>
      </c>
      <c r="B263" s="36">
        <v>0</v>
      </c>
      <c r="C263" s="36">
        <v>1</v>
      </c>
      <c r="D263" s="36">
        <v>0</v>
      </c>
      <c r="E263" s="18" t="str">
        <f t="shared" si="16"/>
        <v>LESIONADO</v>
      </c>
      <c r="F263" s="29" t="s">
        <v>989</v>
      </c>
      <c r="G263" s="17">
        <v>5.3432777777777778</v>
      </c>
      <c r="H263" s="17">
        <v>-72.38069722222221</v>
      </c>
      <c r="I263" s="93" t="s">
        <v>697</v>
      </c>
      <c r="J263" s="36" t="s">
        <v>717</v>
      </c>
      <c r="K263" s="24" t="str">
        <f t="shared" si="17"/>
        <v>2022</v>
      </c>
      <c r="L263" s="24" t="str">
        <f t="shared" si="18"/>
        <v>ABRIL</v>
      </c>
      <c r="M263" s="225">
        <v>44661</v>
      </c>
      <c r="N263" s="24" t="str">
        <f t="shared" si="19"/>
        <v>DOMINGO</v>
      </c>
      <c r="O263" s="101">
        <v>0.40277777777777801</v>
      </c>
      <c r="P263" s="63" t="s">
        <v>469</v>
      </c>
      <c r="Q263" s="63" t="s">
        <v>441</v>
      </c>
      <c r="R263" s="36">
        <f>COUNTIF(Tabla1[[#This Row],[VEHICULOS_ACCIDENTADOS]:[VEHICULOS_ACCIDENTADOS2]],"MOTOCICLETA")</f>
        <v>1</v>
      </c>
      <c r="S263" s="36">
        <f>COUNTIF(Tabla1[[#This Row],[VEHICULOS_ACCIDENTADOS]:[VEHICULOS_ACCIDENTADOS2]],"MOTOCARRO")</f>
        <v>0</v>
      </c>
      <c r="T263" s="36">
        <f>COUNTIF(Tabla1[[#This Row],[VEHICULOS_ACCIDENTADOS]:[VEHICULOS_ACCIDENTADOS2]],"AUTOMOVIL")</f>
        <v>0</v>
      </c>
      <c r="U263" s="36">
        <f>COUNTIF(Tabla1[[#This Row],[VEHICULOS_ACCIDENTADOS]:[VEHICULOS_ACCIDENTADOS2]],"CAMPERO")</f>
        <v>0</v>
      </c>
      <c r="V263" s="36">
        <f>COUNTIF(Tabla1[[#This Row],[VEHICULOS_ACCIDENTADOS]:[VEHICULOS_ACCIDENTADOS2]],"CAMIONETA")</f>
        <v>0</v>
      </c>
      <c r="W263" s="36">
        <f>COUNTIF(Tabla1[[#This Row],[VEHICULOS_ACCIDENTADOS]:[VEHICULOS_ACCIDENTADOS2]],"MICROBUS")</f>
        <v>0</v>
      </c>
      <c r="X263" s="36">
        <f>COUNTIF(Tabla1[[#This Row],[VEHICULOS_ACCIDENTADOS]:[VEHICULOS_ACCIDENTADOS2]],"BUS")</f>
        <v>0</v>
      </c>
      <c r="Y263" s="36">
        <f>COUNTIF(Tabla1[[#This Row],[VEHICULOS_ACCIDENTADOS]:[VEHICULOS_ACCIDENTADOS2]],"BUSETA")</f>
        <v>0</v>
      </c>
      <c r="Z263" s="36">
        <f>COUNTIF(Tabla1[[#This Row],[VEHICULOS_ACCIDENTADOS]:[VEHICULOS_ACCIDENTADOS2]],"CAMION")</f>
        <v>1</v>
      </c>
      <c r="AA263" s="36">
        <f>COUNTIF(Tabla1[[#This Row],[VEHICULOS_ACCIDENTADOS]:[VEHICULOS_ACCIDENTADOS2]],"TRACTOCAMION")</f>
        <v>0</v>
      </c>
      <c r="AB263" s="36">
        <f>COUNTIF(Tabla1[[#This Row],[VEHICULOS_ACCIDENTADOS]:[VEHICULOS_ACCIDENTADOS2]],"VOLQUETA")</f>
        <v>0</v>
      </c>
      <c r="AC263" s="36">
        <f>COUNTIF(Tabla1[[#This Row],[VEHICULOS_ACCIDENTADOS]:[VEHICULOS_ACCIDENTADOS2]],"BICICLETA")</f>
        <v>0</v>
      </c>
      <c r="AD263" s="36" t="s">
        <v>471</v>
      </c>
      <c r="AE263" s="36"/>
      <c r="AF263" s="36">
        <f>COUNTIF(Tabla1[[#This Row],[GENERO_MASCULINO]:[GENERO_FEMENINO]],"MASCULINO")</f>
        <v>1</v>
      </c>
      <c r="AG263" s="36">
        <f>COUNTIF(Tabla1[[#This Row],[GENERO_MASCULINO]:[GENERO_FEMENINO]],"FEMENINO")</f>
        <v>0</v>
      </c>
      <c r="AH263" s="79">
        <v>25</v>
      </c>
      <c r="AI263" s="79"/>
      <c r="AJ263" s="80"/>
      <c r="AK263" s="79"/>
      <c r="AL263" s="79"/>
      <c r="AM263" s="55"/>
      <c r="AN263" s="79">
        <v>112</v>
      </c>
      <c r="AO263" s="36" t="str">
        <f>IFERROR(((VLOOKUP(Tabla1[[#This Row],[HIPOTESIS_1]],listas!$D$1:$E$105,2,FALSE))),"SIN INFORMACIÓN")</f>
        <v>Desobedecer señales o normas de tránsito.</v>
      </c>
      <c r="AP263" s="55">
        <v>139</v>
      </c>
      <c r="AQ263" s="36" t="str">
        <f>IFERROR(((VLOOKUP(Tabla1[[#This Row],[HIPOTESIS_2]],listas!$D$1:$E$105,2,FALSE))),"")</f>
        <v>Impericia en el manejo.</v>
      </c>
      <c r="AR263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264" spans="1:44" x14ac:dyDescent="0.25">
      <c r="A264" s="12">
        <v>308</v>
      </c>
      <c r="B264" s="36">
        <v>0</v>
      </c>
      <c r="C264" s="36">
        <v>1</v>
      </c>
      <c r="D264" s="36">
        <v>0</v>
      </c>
      <c r="E264" s="18" t="str">
        <f t="shared" si="16"/>
        <v>LESIONADO</v>
      </c>
      <c r="F264" s="29" t="s">
        <v>1093</v>
      </c>
      <c r="G264" s="17">
        <v>5.3348411111111105</v>
      </c>
      <c r="H264" s="17">
        <v>-72.372863055555555</v>
      </c>
      <c r="I264" s="93" t="s">
        <v>697</v>
      </c>
      <c r="J264" s="36" t="s">
        <v>717</v>
      </c>
      <c r="K264" s="24" t="str">
        <f t="shared" si="17"/>
        <v>2022</v>
      </c>
      <c r="L264" s="24" t="str">
        <f t="shared" si="18"/>
        <v>SEPTIEMBRE</v>
      </c>
      <c r="M264" s="225">
        <v>44813</v>
      </c>
      <c r="N264" s="24" t="str">
        <f t="shared" si="19"/>
        <v>VIERNES</v>
      </c>
      <c r="O264" s="102">
        <v>0.54166666666666696</v>
      </c>
      <c r="P264" s="53" t="s">
        <v>469</v>
      </c>
      <c r="Q264" s="53" t="s">
        <v>447</v>
      </c>
      <c r="R264" s="36">
        <f>COUNTIF(Tabla1[[#This Row],[VEHICULOS_ACCIDENTADOS]:[VEHICULOS_ACCIDENTADOS2]],"MOTOCICLETA")</f>
        <v>1</v>
      </c>
      <c r="S264" s="36">
        <f>COUNTIF(Tabla1[[#This Row],[VEHICULOS_ACCIDENTADOS]:[VEHICULOS_ACCIDENTADOS2]],"MOTOCARRO")</f>
        <v>0</v>
      </c>
      <c r="T264" s="36">
        <f>COUNTIF(Tabla1[[#This Row],[VEHICULOS_ACCIDENTADOS]:[VEHICULOS_ACCIDENTADOS2]],"AUTOMOVIL")</f>
        <v>1</v>
      </c>
      <c r="U264" s="36">
        <f>COUNTIF(Tabla1[[#This Row],[VEHICULOS_ACCIDENTADOS]:[VEHICULOS_ACCIDENTADOS2]],"CAMPERO")</f>
        <v>0</v>
      </c>
      <c r="V264" s="36">
        <f>COUNTIF(Tabla1[[#This Row],[VEHICULOS_ACCIDENTADOS]:[VEHICULOS_ACCIDENTADOS2]],"CAMIONETA")</f>
        <v>0</v>
      </c>
      <c r="W264" s="36">
        <f>COUNTIF(Tabla1[[#This Row],[VEHICULOS_ACCIDENTADOS]:[VEHICULOS_ACCIDENTADOS2]],"MICROBUS")</f>
        <v>0</v>
      </c>
      <c r="X264" s="36">
        <f>COUNTIF(Tabla1[[#This Row],[VEHICULOS_ACCIDENTADOS]:[VEHICULOS_ACCIDENTADOS2]],"BUS")</f>
        <v>0</v>
      </c>
      <c r="Y264" s="36">
        <f>COUNTIF(Tabla1[[#This Row],[VEHICULOS_ACCIDENTADOS]:[VEHICULOS_ACCIDENTADOS2]],"BUSETA")</f>
        <v>0</v>
      </c>
      <c r="Z264" s="36">
        <f>COUNTIF(Tabla1[[#This Row],[VEHICULOS_ACCIDENTADOS]:[VEHICULOS_ACCIDENTADOS2]],"CAMION")</f>
        <v>0</v>
      </c>
      <c r="AA264" s="36">
        <f>COUNTIF(Tabla1[[#This Row],[VEHICULOS_ACCIDENTADOS]:[VEHICULOS_ACCIDENTADOS2]],"TRACTOCAMION")</f>
        <v>0</v>
      </c>
      <c r="AB264" s="36">
        <f>COUNTIF(Tabla1[[#This Row],[VEHICULOS_ACCIDENTADOS]:[VEHICULOS_ACCIDENTADOS2]],"VOLQUETA")</f>
        <v>0</v>
      </c>
      <c r="AC264" s="36">
        <f>COUNTIF(Tabla1[[#This Row],[VEHICULOS_ACCIDENTADOS]:[VEHICULOS_ACCIDENTADOS2]],"BICICLETA")</f>
        <v>0</v>
      </c>
      <c r="AD264" s="36" t="s">
        <v>471</v>
      </c>
      <c r="AE264" s="36"/>
      <c r="AF264" s="36">
        <f>COUNTIF(Tabla1[[#This Row],[GENERO_MASCULINO]:[GENERO_FEMENINO]],"MASCULINO")</f>
        <v>1</v>
      </c>
      <c r="AG264" s="36">
        <f>COUNTIF(Tabla1[[#This Row],[GENERO_MASCULINO]:[GENERO_FEMENINO]],"FEMENINO")</f>
        <v>0</v>
      </c>
      <c r="AH264" s="61">
        <v>20</v>
      </c>
      <c r="AI264" s="61"/>
      <c r="AJ264" s="78"/>
      <c r="AK264" s="61"/>
      <c r="AL264" s="61"/>
      <c r="AM264" s="36"/>
      <c r="AN264" s="61">
        <v>123</v>
      </c>
      <c r="AO264" s="36" t="str">
        <f>IFERROR(((VLOOKUP(Tabla1[[#This Row],[HIPOTESIS_1]],listas!$D$1:$E$105,2,FALSE))),"SIN INFORMACIÓN")</f>
        <v>No respetar prelación de intersecciones o giros.</v>
      </c>
      <c r="AP264" s="36">
        <v>139</v>
      </c>
      <c r="AQ264" s="36" t="str">
        <f>IFERROR(((VLOOKUP(Tabla1[[#This Row],[HIPOTESIS_2]],listas!$D$1:$E$105,2,FALSE))),"")</f>
        <v>Impericia en el manejo.</v>
      </c>
      <c r="AR264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265" spans="1:44" x14ac:dyDescent="0.25">
      <c r="A265" s="12">
        <v>367</v>
      </c>
      <c r="B265" s="36">
        <v>0</v>
      </c>
      <c r="C265" s="36">
        <v>1</v>
      </c>
      <c r="D265" s="36">
        <v>0</v>
      </c>
      <c r="E265" s="18" t="str">
        <f t="shared" si="16"/>
        <v>LESIONADO</v>
      </c>
      <c r="F265" s="29" t="s">
        <v>1093</v>
      </c>
      <c r="G265" s="17">
        <v>5.3348411111111105</v>
      </c>
      <c r="H265" s="17">
        <v>-72.372863055555555</v>
      </c>
      <c r="I265" s="93" t="s">
        <v>697</v>
      </c>
      <c r="J265" s="36" t="s">
        <v>717</v>
      </c>
      <c r="K265" s="24" t="str">
        <f t="shared" si="17"/>
        <v>2022</v>
      </c>
      <c r="L265" s="24" t="str">
        <f t="shared" si="18"/>
        <v>DICIEMBRE</v>
      </c>
      <c r="M265" s="225">
        <v>44898</v>
      </c>
      <c r="N265" s="24" t="str">
        <f t="shared" si="19"/>
        <v>SÁBADO</v>
      </c>
      <c r="O265" s="102">
        <v>0.51736111111111105</v>
      </c>
      <c r="P265" s="53" t="s">
        <v>469</v>
      </c>
      <c r="Q265" s="53" t="s">
        <v>445</v>
      </c>
      <c r="R265" s="36">
        <f>COUNTIF(Tabla1[[#This Row],[VEHICULOS_ACCIDENTADOS]:[VEHICULOS_ACCIDENTADOS2]],"MOTOCICLETA")</f>
        <v>1</v>
      </c>
      <c r="S265" s="36">
        <f>COUNTIF(Tabla1[[#This Row],[VEHICULOS_ACCIDENTADOS]:[VEHICULOS_ACCIDENTADOS2]],"MOTOCARRO")</f>
        <v>0</v>
      </c>
      <c r="T265" s="36">
        <f>COUNTIF(Tabla1[[#This Row],[VEHICULOS_ACCIDENTADOS]:[VEHICULOS_ACCIDENTADOS2]],"AUTOMOVIL")</f>
        <v>0</v>
      </c>
      <c r="U265" s="36">
        <f>COUNTIF(Tabla1[[#This Row],[VEHICULOS_ACCIDENTADOS]:[VEHICULOS_ACCIDENTADOS2]],"CAMPERO")</f>
        <v>0</v>
      </c>
      <c r="V265" s="36">
        <f>COUNTIF(Tabla1[[#This Row],[VEHICULOS_ACCIDENTADOS]:[VEHICULOS_ACCIDENTADOS2]],"CAMIONETA")</f>
        <v>1</v>
      </c>
      <c r="W265" s="36">
        <f>COUNTIF(Tabla1[[#This Row],[VEHICULOS_ACCIDENTADOS]:[VEHICULOS_ACCIDENTADOS2]],"MICROBUS")</f>
        <v>0</v>
      </c>
      <c r="X265" s="36">
        <f>COUNTIF(Tabla1[[#This Row],[VEHICULOS_ACCIDENTADOS]:[VEHICULOS_ACCIDENTADOS2]],"BUS")</f>
        <v>0</v>
      </c>
      <c r="Y265" s="36">
        <f>COUNTIF(Tabla1[[#This Row],[VEHICULOS_ACCIDENTADOS]:[VEHICULOS_ACCIDENTADOS2]],"BUSETA")</f>
        <v>0</v>
      </c>
      <c r="Z265" s="36">
        <f>COUNTIF(Tabla1[[#This Row],[VEHICULOS_ACCIDENTADOS]:[VEHICULOS_ACCIDENTADOS2]],"CAMION")</f>
        <v>0</v>
      </c>
      <c r="AA265" s="36">
        <f>COUNTIF(Tabla1[[#This Row],[VEHICULOS_ACCIDENTADOS]:[VEHICULOS_ACCIDENTADOS2]],"TRACTOCAMION")</f>
        <v>0</v>
      </c>
      <c r="AB265" s="36">
        <f>COUNTIF(Tabla1[[#This Row],[VEHICULOS_ACCIDENTADOS]:[VEHICULOS_ACCIDENTADOS2]],"VOLQUETA")</f>
        <v>0</v>
      </c>
      <c r="AC265" s="36">
        <f>COUNTIF(Tabla1[[#This Row],[VEHICULOS_ACCIDENTADOS]:[VEHICULOS_ACCIDENTADOS2]],"BICICLETA")</f>
        <v>0</v>
      </c>
      <c r="AD265" s="36" t="s">
        <v>471</v>
      </c>
      <c r="AE265" s="36"/>
      <c r="AF265" s="36">
        <f>COUNTIF(Tabla1[[#This Row],[GENERO_MASCULINO]:[GENERO_FEMENINO]],"MASCULINO")</f>
        <v>1</v>
      </c>
      <c r="AG265" s="36">
        <f>COUNTIF(Tabla1[[#This Row],[GENERO_MASCULINO]:[GENERO_FEMENINO]],"FEMENINO")</f>
        <v>0</v>
      </c>
      <c r="AH265" s="61">
        <v>22</v>
      </c>
      <c r="AI265" s="61"/>
      <c r="AJ265" s="78"/>
      <c r="AK265" s="61"/>
      <c r="AL265" s="61"/>
      <c r="AM265" s="36"/>
      <c r="AN265" s="61">
        <v>123</v>
      </c>
      <c r="AO265" s="36" t="str">
        <f>IFERROR(((VLOOKUP(Tabla1[[#This Row],[HIPOTESIS_1]],listas!$D$1:$E$105,2,FALSE))),"SIN INFORMACIÓN")</f>
        <v>No respetar prelación de intersecciones o giros.</v>
      </c>
      <c r="AP265" s="36">
        <v>139</v>
      </c>
      <c r="AQ265" s="36" t="str">
        <f>IFERROR(((VLOOKUP(Tabla1[[#This Row],[HIPOTESIS_2]],listas!$D$1:$E$105,2,FALSE))),"")</f>
        <v>Impericia en el manejo.</v>
      </c>
      <c r="AR265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266" spans="1:44" x14ac:dyDescent="0.25">
      <c r="A266" s="12">
        <v>647</v>
      </c>
      <c r="B266" s="135">
        <v>0</v>
      </c>
      <c r="C266" s="136">
        <v>1</v>
      </c>
      <c r="D266" s="136">
        <v>0</v>
      </c>
      <c r="E266" s="18" t="str">
        <f t="shared" si="16"/>
        <v>LESIONADO</v>
      </c>
      <c r="F266" s="26" t="s">
        <v>168</v>
      </c>
      <c r="G266" s="21">
        <v>5.3079499999999999</v>
      </c>
      <c r="H266" s="21">
        <v>-72.403652777777779</v>
      </c>
      <c r="I266" s="93" t="s">
        <v>697</v>
      </c>
      <c r="J266" s="136" t="s">
        <v>717</v>
      </c>
      <c r="K266" s="24" t="str">
        <f t="shared" si="17"/>
        <v>2024</v>
      </c>
      <c r="L266" s="24" t="str">
        <f t="shared" si="18"/>
        <v>ENERO</v>
      </c>
      <c r="M266" s="224">
        <v>45311</v>
      </c>
      <c r="N266" s="24" t="str">
        <f t="shared" si="19"/>
        <v>SÁBADO</v>
      </c>
      <c r="O266" s="171">
        <v>0.70138888888888884</v>
      </c>
      <c r="P266" s="178" t="s">
        <v>440</v>
      </c>
      <c r="Q266" s="178" t="s">
        <v>469</v>
      </c>
      <c r="R266" s="36">
        <f>COUNTIF(Tabla1[[#This Row],[VEHICULOS_ACCIDENTADOS]:[VEHICULOS_ACCIDENTADOS2]],"MOTOCICLETA")</f>
        <v>1</v>
      </c>
      <c r="S266" s="36">
        <f>COUNTIF(Tabla1[[#This Row],[VEHICULOS_ACCIDENTADOS]:[VEHICULOS_ACCIDENTADOS2]],"MOTOCARRO")</f>
        <v>0</v>
      </c>
      <c r="T266" s="36">
        <f>COUNTIF(Tabla1[[#This Row],[VEHICULOS_ACCIDENTADOS]:[VEHICULOS_ACCIDENTADOS2]],"AUTOMOVIL")</f>
        <v>0</v>
      </c>
      <c r="U266" s="36">
        <f>COUNTIF(Tabla1[[#This Row],[VEHICULOS_ACCIDENTADOS]:[VEHICULOS_ACCIDENTADOS2]],"CAMPERO")</f>
        <v>0</v>
      </c>
      <c r="V266" s="36">
        <f>COUNTIF(Tabla1[[#This Row],[VEHICULOS_ACCIDENTADOS]:[VEHICULOS_ACCIDENTADOS2]],"CAMIONETA")</f>
        <v>0</v>
      </c>
      <c r="W266" s="36">
        <f>COUNTIF(Tabla1[[#This Row],[VEHICULOS_ACCIDENTADOS]:[VEHICULOS_ACCIDENTADOS2]],"MICROBUS")</f>
        <v>0</v>
      </c>
      <c r="X266" s="36">
        <f>COUNTIF(Tabla1[[#This Row],[VEHICULOS_ACCIDENTADOS]:[VEHICULOS_ACCIDENTADOS2]],"BUS")</f>
        <v>0</v>
      </c>
      <c r="Y266" s="36">
        <f>COUNTIF(Tabla1[[#This Row],[VEHICULOS_ACCIDENTADOS]:[VEHICULOS_ACCIDENTADOS2]],"BUSETA")</f>
        <v>0</v>
      </c>
      <c r="Z266" s="36">
        <f>COUNTIF(Tabla1[[#This Row],[VEHICULOS_ACCIDENTADOS]:[VEHICULOS_ACCIDENTADOS2]],"CAMION")</f>
        <v>0</v>
      </c>
      <c r="AA266" s="36">
        <f>COUNTIF(Tabla1[[#This Row],[VEHICULOS_ACCIDENTADOS]:[VEHICULOS_ACCIDENTADOS2]],"TRACTOCAMION")</f>
        <v>1</v>
      </c>
      <c r="AB266" s="36">
        <f>COUNTIF(Tabla1[[#This Row],[VEHICULOS_ACCIDENTADOS]:[VEHICULOS_ACCIDENTADOS2]],"VOLQUETA")</f>
        <v>0</v>
      </c>
      <c r="AC266" s="36">
        <f>COUNTIF(Tabla1[[#This Row],[VEHICULOS_ACCIDENTADOS]:[VEHICULOS_ACCIDENTADOS2]],"BICICLETA")</f>
        <v>0</v>
      </c>
      <c r="AD266" s="136" t="s">
        <v>471</v>
      </c>
      <c r="AE266" s="136"/>
      <c r="AF266" s="136">
        <f>COUNTIF(Tabla1[[#This Row],[GENERO_MASCULINO]:[GENERO_FEMENINO]],"MASCULINO")</f>
        <v>1</v>
      </c>
      <c r="AG266" s="36">
        <f>COUNTIF(Tabla1[[#This Row],[GENERO_MASCULINO]:[GENERO_FEMENINO]],"FEMENINO")</f>
        <v>0</v>
      </c>
      <c r="AH266" s="85">
        <v>41</v>
      </c>
      <c r="AI266" s="85">
        <v>30</v>
      </c>
      <c r="AJ266" s="85"/>
      <c r="AK266" s="85"/>
      <c r="AL266" s="85"/>
      <c r="AM266" s="136"/>
      <c r="AN266" s="85">
        <v>114</v>
      </c>
      <c r="AO266" s="36" t="str">
        <f>IFERROR(((VLOOKUP(Tabla1[[#This Row],[HIPOTESIS_1]],listas!$D$1:$E$105,2,FALSE))),"SIN INFORMACIÓN")</f>
        <v>Embriaguez aparente.</v>
      </c>
      <c r="AP266" s="136">
        <v>139</v>
      </c>
      <c r="AQ266" s="36" t="str">
        <f>IFERROR(((VLOOKUP(Tabla1[[#This Row],[HIPOTESIS_2]],listas!$D$1:$E$105,2,FALSE))),"")</f>
        <v>Impericia en el manejo.</v>
      </c>
      <c r="AR266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267" spans="1:44" x14ac:dyDescent="0.25">
      <c r="A267" s="12">
        <v>122</v>
      </c>
      <c r="B267" s="36">
        <v>0</v>
      </c>
      <c r="C267" s="36">
        <v>0</v>
      </c>
      <c r="D267" s="36">
        <v>1</v>
      </c>
      <c r="E267" s="18" t="str">
        <f t="shared" si="16"/>
        <v>FALLECIDO</v>
      </c>
      <c r="F267" s="29" t="s">
        <v>1094</v>
      </c>
      <c r="G267" s="17">
        <v>5.3187444444444445</v>
      </c>
      <c r="H267" s="17">
        <v>-72.404452777777777</v>
      </c>
      <c r="I267" s="93" t="s">
        <v>697</v>
      </c>
      <c r="J267" s="36" t="s">
        <v>717</v>
      </c>
      <c r="K267" s="24" t="str">
        <f t="shared" si="17"/>
        <v>2022</v>
      </c>
      <c r="L267" s="24" t="str">
        <f t="shared" si="18"/>
        <v>ABRIL</v>
      </c>
      <c r="M267" s="225">
        <v>44661</v>
      </c>
      <c r="N267" s="24" t="str">
        <f t="shared" si="19"/>
        <v>DOMINGO</v>
      </c>
      <c r="O267" s="101">
        <v>8.3333333333333301E-2</v>
      </c>
      <c r="P267" s="63" t="s">
        <v>469</v>
      </c>
      <c r="Q267" s="63"/>
      <c r="R267" s="36">
        <f>COUNTIF(Tabla1[[#This Row],[VEHICULOS_ACCIDENTADOS]:[VEHICULOS_ACCIDENTADOS2]],"MOTOCICLETA")</f>
        <v>1</v>
      </c>
      <c r="S267" s="36">
        <f>COUNTIF(Tabla1[[#This Row],[VEHICULOS_ACCIDENTADOS]:[VEHICULOS_ACCIDENTADOS2]],"MOTOCARRO")</f>
        <v>0</v>
      </c>
      <c r="T267" s="36">
        <f>COUNTIF(Tabla1[[#This Row],[VEHICULOS_ACCIDENTADOS]:[VEHICULOS_ACCIDENTADOS2]],"AUTOMOVIL")</f>
        <v>0</v>
      </c>
      <c r="U267" s="36">
        <f>COUNTIF(Tabla1[[#This Row],[VEHICULOS_ACCIDENTADOS]:[VEHICULOS_ACCIDENTADOS2]],"CAMPERO")</f>
        <v>0</v>
      </c>
      <c r="V267" s="36">
        <f>COUNTIF(Tabla1[[#This Row],[VEHICULOS_ACCIDENTADOS]:[VEHICULOS_ACCIDENTADOS2]],"CAMIONETA")</f>
        <v>0</v>
      </c>
      <c r="W267" s="36">
        <f>COUNTIF(Tabla1[[#This Row],[VEHICULOS_ACCIDENTADOS]:[VEHICULOS_ACCIDENTADOS2]],"MICROBUS")</f>
        <v>0</v>
      </c>
      <c r="X267" s="36">
        <f>COUNTIF(Tabla1[[#This Row],[VEHICULOS_ACCIDENTADOS]:[VEHICULOS_ACCIDENTADOS2]],"BUS")</f>
        <v>0</v>
      </c>
      <c r="Y267" s="36">
        <f>COUNTIF(Tabla1[[#This Row],[VEHICULOS_ACCIDENTADOS]:[VEHICULOS_ACCIDENTADOS2]],"BUSETA")</f>
        <v>0</v>
      </c>
      <c r="Z267" s="36">
        <f>COUNTIF(Tabla1[[#This Row],[VEHICULOS_ACCIDENTADOS]:[VEHICULOS_ACCIDENTADOS2]],"CAMION")</f>
        <v>0</v>
      </c>
      <c r="AA267" s="36">
        <f>COUNTIF(Tabla1[[#This Row],[VEHICULOS_ACCIDENTADOS]:[VEHICULOS_ACCIDENTADOS2]],"TRACTOCAMION")</f>
        <v>0</v>
      </c>
      <c r="AB267" s="36">
        <f>COUNTIF(Tabla1[[#This Row],[VEHICULOS_ACCIDENTADOS]:[VEHICULOS_ACCIDENTADOS2]],"VOLQUETA")</f>
        <v>0</v>
      </c>
      <c r="AC267" s="36">
        <f>COUNTIF(Tabla1[[#This Row],[VEHICULOS_ACCIDENTADOS]:[VEHICULOS_ACCIDENTADOS2]],"BICICLETA")</f>
        <v>0</v>
      </c>
      <c r="AD267" s="36" t="s">
        <v>471</v>
      </c>
      <c r="AE267" s="36" t="s">
        <v>472</v>
      </c>
      <c r="AF267" s="36">
        <f>COUNTIF(Tabla1[[#This Row],[GENERO_MASCULINO]:[GENERO_FEMENINO]],"MASCULINO")</f>
        <v>1</v>
      </c>
      <c r="AG267" s="36">
        <f>COUNTIF(Tabla1[[#This Row],[GENERO_MASCULINO]:[GENERO_FEMENINO]],"FEMENINO")</f>
        <v>1</v>
      </c>
      <c r="AH267" s="79"/>
      <c r="AI267" s="79"/>
      <c r="AJ267" s="80"/>
      <c r="AK267" s="79"/>
      <c r="AL267" s="79"/>
      <c r="AM267" s="55">
        <v>29</v>
      </c>
      <c r="AN267" s="79">
        <v>114</v>
      </c>
      <c r="AO267" s="36" t="str">
        <f>IFERROR(((VLOOKUP(Tabla1[[#This Row],[HIPOTESIS_1]],listas!$D$1:$E$105,2,FALSE))),"SIN INFORMACIÓN")</f>
        <v>Embriaguez aparente.</v>
      </c>
      <c r="AP267" s="55">
        <v>139</v>
      </c>
      <c r="AQ267" s="36" t="str">
        <f>IFERROR(((VLOOKUP(Tabla1[[#This Row],[HIPOTESIS_2]],listas!$D$1:$E$105,2,FALSE))),"")</f>
        <v>Impericia en el manejo.</v>
      </c>
      <c r="AR267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268" spans="1:44" x14ac:dyDescent="0.25">
      <c r="A268" s="12">
        <v>243</v>
      </c>
      <c r="B268" s="36">
        <v>0</v>
      </c>
      <c r="C268" s="36">
        <v>1</v>
      </c>
      <c r="D268" s="36">
        <v>0</v>
      </c>
      <c r="E268" s="18" t="str">
        <f t="shared" si="16"/>
        <v>LESIONADO</v>
      </c>
      <c r="F268" s="36" t="s">
        <v>344</v>
      </c>
      <c r="G268" s="17">
        <v>5.3293666666666661</v>
      </c>
      <c r="H268" s="17">
        <v>-72.40887027777778</v>
      </c>
      <c r="I268" s="93" t="s">
        <v>697</v>
      </c>
      <c r="J268" s="36" t="s">
        <v>717</v>
      </c>
      <c r="K268" s="24" t="str">
        <f t="shared" si="17"/>
        <v>2022</v>
      </c>
      <c r="L268" s="24" t="str">
        <f t="shared" si="18"/>
        <v>JULIO</v>
      </c>
      <c r="M268" s="225">
        <v>44747</v>
      </c>
      <c r="N268" s="24" t="str">
        <f t="shared" si="19"/>
        <v>MARTES</v>
      </c>
      <c r="O268" s="102">
        <v>0.43055555555555602</v>
      </c>
      <c r="P268" s="53" t="s">
        <v>469</v>
      </c>
      <c r="Q268" s="53"/>
      <c r="R268" s="36">
        <f>COUNTIF(Tabla1[[#This Row],[VEHICULOS_ACCIDENTADOS]:[VEHICULOS_ACCIDENTADOS2]],"MOTOCICLETA")</f>
        <v>1</v>
      </c>
      <c r="S268" s="36">
        <f>COUNTIF(Tabla1[[#This Row],[VEHICULOS_ACCIDENTADOS]:[VEHICULOS_ACCIDENTADOS2]],"MOTOCARRO")</f>
        <v>0</v>
      </c>
      <c r="T268" s="36">
        <f>COUNTIF(Tabla1[[#This Row],[VEHICULOS_ACCIDENTADOS]:[VEHICULOS_ACCIDENTADOS2]],"AUTOMOVIL")</f>
        <v>0</v>
      </c>
      <c r="U268" s="36">
        <f>COUNTIF(Tabla1[[#This Row],[VEHICULOS_ACCIDENTADOS]:[VEHICULOS_ACCIDENTADOS2]],"CAMPERO")</f>
        <v>0</v>
      </c>
      <c r="V268" s="36">
        <f>COUNTIF(Tabla1[[#This Row],[VEHICULOS_ACCIDENTADOS]:[VEHICULOS_ACCIDENTADOS2]],"CAMIONETA")</f>
        <v>0</v>
      </c>
      <c r="W268" s="36">
        <f>COUNTIF(Tabla1[[#This Row],[VEHICULOS_ACCIDENTADOS]:[VEHICULOS_ACCIDENTADOS2]],"MICROBUS")</f>
        <v>0</v>
      </c>
      <c r="X268" s="36">
        <f>COUNTIF(Tabla1[[#This Row],[VEHICULOS_ACCIDENTADOS]:[VEHICULOS_ACCIDENTADOS2]],"BUS")</f>
        <v>0</v>
      </c>
      <c r="Y268" s="36">
        <f>COUNTIF(Tabla1[[#This Row],[VEHICULOS_ACCIDENTADOS]:[VEHICULOS_ACCIDENTADOS2]],"BUSETA")</f>
        <v>0</v>
      </c>
      <c r="Z268" s="36">
        <f>COUNTIF(Tabla1[[#This Row],[VEHICULOS_ACCIDENTADOS]:[VEHICULOS_ACCIDENTADOS2]],"CAMION")</f>
        <v>0</v>
      </c>
      <c r="AA268" s="36">
        <f>COUNTIF(Tabla1[[#This Row],[VEHICULOS_ACCIDENTADOS]:[VEHICULOS_ACCIDENTADOS2]],"TRACTOCAMION")</f>
        <v>0</v>
      </c>
      <c r="AB268" s="36">
        <f>COUNTIF(Tabla1[[#This Row],[VEHICULOS_ACCIDENTADOS]:[VEHICULOS_ACCIDENTADOS2]],"VOLQUETA")</f>
        <v>0</v>
      </c>
      <c r="AC268" s="36">
        <f>COUNTIF(Tabla1[[#This Row],[VEHICULOS_ACCIDENTADOS]:[VEHICULOS_ACCIDENTADOS2]],"BICICLETA")</f>
        <v>0</v>
      </c>
      <c r="AD268" s="36" t="s">
        <v>471</v>
      </c>
      <c r="AE268" s="36"/>
      <c r="AF268" s="36">
        <f>COUNTIF(Tabla1[[#This Row],[GENERO_MASCULINO]:[GENERO_FEMENINO]],"MASCULINO")</f>
        <v>1</v>
      </c>
      <c r="AG268" s="36">
        <f>COUNTIF(Tabla1[[#This Row],[GENERO_MASCULINO]:[GENERO_FEMENINO]],"FEMENINO")</f>
        <v>0</v>
      </c>
      <c r="AH268" s="61">
        <v>30</v>
      </c>
      <c r="AI268" s="61"/>
      <c r="AJ268" s="78"/>
      <c r="AK268" s="61"/>
      <c r="AL268" s="61"/>
      <c r="AM268" s="36"/>
      <c r="AN268" s="61">
        <v>112</v>
      </c>
      <c r="AO268" s="36" t="str">
        <f>IFERROR(((VLOOKUP(Tabla1[[#This Row],[HIPOTESIS_1]],listas!$D$1:$E$105,2,FALSE))),"SIN INFORMACIÓN")</f>
        <v>Desobedecer señales o normas de tránsito.</v>
      </c>
      <c r="AP268" s="36">
        <v>139</v>
      </c>
      <c r="AQ268" s="36" t="str">
        <f>IFERROR(((VLOOKUP(Tabla1[[#This Row],[HIPOTESIS_2]],listas!$D$1:$E$105,2,FALSE))),"")</f>
        <v>Impericia en el manejo.</v>
      </c>
      <c r="AR268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269" spans="1:44" x14ac:dyDescent="0.25">
      <c r="A269" s="12">
        <v>829</v>
      </c>
      <c r="B269" s="135">
        <v>0</v>
      </c>
      <c r="C269" s="136">
        <v>1</v>
      </c>
      <c r="D269" s="141">
        <v>0</v>
      </c>
      <c r="E269" s="18" t="str">
        <f t="shared" si="16"/>
        <v>LESIONADO</v>
      </c>
      <c r="F269" s="26" t="s">
        <v>96</v>
      </c>
      <c r="G269" s="21">
        <v>5.3208277777777777</v>
      </c>
      <c r="H269" s="21">
        <v>-72.404562500000011</v>
      </c>
      <c r="I269" s="93" t="s">
        <v>697</v>
      </c>
      <c r="J269" s="36" t="s">
        <v>717</v>
      </c>
      <c r="K269" s="24" t="str">
        <f t="shared" si="17"/>
        <v>2024</v>
      </c>
      <c r="L269" s="24" t="str">
        <f t="shared" si="18"/>
        <v>DICIEMBRE</v>
      </c>
      <c r="M269" s="224">
        <v>45633</v>
      </c>
      <c r="N269" s="24" t="str">
        <f t="shared" si="19"/>
        <v>SÁBADO</v>
      </c>
      <c r="O269" s="171">
        <v>0.77083333333333337</v>
      </c>
      <c r="P269" s="178" t="s">
        <v>469</v>
      </c>
      <c r="Q269" s="178" t="s">
        <v>469</v>
      </c>
      <c r="R269" s="36">
        <f>COUNTIF(Tabla1[[#This Row],[VEHICULOS_ACCIDENTADOS]:[VEHICULOS_ACCIDENTADOS2]],"MOTOCICLETA")</f>
        <v>2</v>
      </c>
      <c r="S269" s="36">
        <f>COUNTIF(Tabla1[[#This Row],[VEHICULOS_ACCIDENTADOS]:[VEHICULOS_ACCIDENTADOS2]],"MOTOCARRO")</f>
        <v>0</v>
      </c>
      <c r="T269" s="36">
        <f>COUNTIF(Tabla1[[#This Row],[VEHICULOS_ACCIDENTADOS]:[VEHICULOS_ACCIDENTADOS2]],"AUTOMOVIL")</f>
        <v>0</v>
      </c>
      <c r="U269" s="36">
        <f>COUNTIF(Tabla1[[#This Row],[VEHICULOS_ACCIDENTADOS]:[VEHICULOS_ACCIDENTADOS2]],"CAMPERO")</f>
        <v>0</v>
      </c>
      <c r="V269" s="36">
        <f>COUNTIF(Tabla1[[#This Row],[VEHICULOS_ACCIDENTADOS]:[VEHICULOS_ACCIDENTADOS2]],"CAMIONETA")</f>
        <v>0</v>
      </c>
      <c r="W269" s="36">
        <f>COUNTIF(Tabla1[[#This Row],[VEHICULOS_ACCIDENTADOS]:[VEHICULOS_ACCIDENTADOS2]],"MICROBUS")</f>
        <v>0</v>
      </c>
      <c r="X269" s="36">
        <f>COUNTIF(Tabla1[[#This Row],[VEHICULOS_ACCIDENTADOS]:[VEHICULOS_ACCIDENTADOS2]],"BUS")</f>
        <v>0</v>
      </c>
      <c r="Y269" s="36">
        <f>COUNTIF(Tabla1[[#This Row],[VEHICULOS_ACCIDENTADOS]:[VEHICULOS_ACCIDENTADOS2]],"BUSETA")</f>
        <v>0</v>
      </c>
      <c r="Z269" s="36">
        <f>COUNTIF(Tabla1[[#This Row],[VEHICULOS_ACCIDENTADOS]:[VEHICULOS_ACCIDENTADOS2]],"CAMION")</f>
        <v>0</v>
      </c>
      <c r="AA269" s="36">
        <f>COUNTIF(Tabla1[[#This Row],[VEHICULOS_ACCIDENTADOS]:[VEHICULOS_ACCIDENTADOS2]],"TRACTOCAMION")</f>
        <v>0</v>
      </c>
      <c r="AB269" s="36">
        <f>COUNTIF(Tabla1[[#This Row],[VEHICULOS_ACCIDENTADOS]:[VEHICULOS_ACCIDENTADOS2]],"VOLQUETA")</f>
        <v>0</v>
      </c>
      <c r="AC269" s="36">
        <f>COUNTIF(Tabla1[[#This Row],[VEHICULOS_ACCIDENTADOS]:[VEHICULOS_ACCIDENTADOS2]],"BICICLETA")</f>
        <v>0</v>
      </c>
      <c r="AD269" s="136" t="s">
        <v>471</v>
      </c>
      <c r="AE269" s="136"/>
      <c r="AF269" s="136">
        <f>COUNTIF(Tabla1[[#This Row],[GENERO_MASCULINO]:[GENERO_FEMENINO]],"MASCULINO")</f>
        <v>1</v>
      </c>
      <c r="AG269" s="36">
        <f>COUNTIF(Tabla1[[#This Row],[GENERO_MASCULINO]:[GENERO_FEMENINO]],"FEMENINO")</f>
        <v>0</v>
      </c>
      <c r="AH269" s="85">
        <v>39</v>
      </c>
      <c r="AI269" s="85">
        <v>36</v>
      </c>
      <c r="AJ269" s="85"/>
      <c r="AK269" s="85"/>
      <c r="AL269" s="85"/>
      <c r="AM269" s="136"/>
      <c r="AN269" s="85">
        <v>1</v>
      </c>
      <c r="AO269" s="36" t="str">
        <f>IFERROR(((VLOOKUP(Tabla1[[#This Row],[HIPOTESIS_1]],listas!$D$1:$E$105,2,FALSE))),"SIN INFORMACIÓN")</f>
        <v>SIN INFORMACIÓN</v>
      </c>
      <c r="AP269" s="136">
        <v>139</v>
      </c>
      <c r="AQ269" s="36" t="str">
        <f>IFERROR(((VLOOKUP(Tabla1[[#This Row],[HIPOTESIS_2]],listas!$D$1:$E$105,2,FALSE))),"")</f>
        <v>Impericia en el manejo.</v>
      </c>
      <c r="AR269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270" spans="1:44" x14ac:dyDescent="0.25">
      <c r="A270" s="12">
        <v>242</v>
      </c>
      <c r="B270" s="36">
        <v>0</v>
      </c>
      <c r="C270" s="36">
        <v>1</v>
      </c>
      <c r="D270" s="36">
        <v>0</v>
      </c>
      <c r="E270" s="18" t="str">
        <f t="shared" si="16"/>
        <v>LESIONADO</v>
      </c>
      <c r="F270" s="29" t="s">
        <v>345</v>
      </c>
      <c r="G270" s="17">
        <v>5.3059377777777774</v>
      </c>
      <c r="H270" s="17">
        <v>-72.403483611111113</v>
      </c>
      <c r="I270" s="93" t="s">
        <v>697</v>
      </c>
      <c r="J270" s="36" t="s">
        <v>717</v>
      </c>
      <c r="K270" s="24" t="str">
        <f t="shared" si="17"/>
        <v>2022</v>
      </c>
      <c r="L270" s="24" t="str">
        <f t="shared" si="18"/>
        <v>JULIO</v>
      </c>
      <c r="M270" s="225">
        <v>44744</v>
      </c>
      <c r="N270" s="24" t="str">
        <f t="shared" si="19"/>
        <v>SÁBADO</v>
      </c>
      <c r="O270" s="102">
        <v>0.56597222222222199</v>
      </c>
      <c r="P270" s="53" t="s">
        <v>469</v>
      </c>
      <c r="Q270" s="53" t="s">
        <v>444</v>
      </c>
      <c r="R270" s="36">
        <f>COUNTIF(Tabla1[[#This Row],[VEHICULOS_ACCIDENTADOS]:[VEHICULOS_ACCIDENTADOS2]],"MOTOCICLETA")</f>
        <v>1</v>
      </c>
      <c r="S270" s="36">
        <f>COUNTIF(Tabla1[[#This Row],[VEHICULOS_ACCIDENTADOS]:[VEHICULOS_ACCIDENTADOS2]],"MOTOCARRO")</f>
        <v>0</v>
      </c>
      <c r="T270" s="36">
        <f>COUNTIF(Tabla1[[#This Row],[VEHICULOS_ACCIDENTADOS]:[VEHICULOS_ACCIDENTADOS2]],"AUTOMOVIL")</f>
        <v>0</v>
      </c>
      <c r="U270" s="36">
        <f>COUNTIF(Tabla1[[#This Row],[VEHICULOS_ACCIDENTADOS]:[VEHICULOS_ACCIDENTADOS2]],"CAMPERO")</f>
        <v>0</v>
      </c>
      <c r="V270" s="36">
        <f>COUNTIF(Tabla1[[#This Row],[VEHICULOS_ACCIDENTADOS]:[VEHICULOS_ACCIDENTADOS2]],"CAMIONETA")</f>
        <v>0</v>
      </c>
      <c r="W270" s="36">
        <f>COUNTIF(Tabla1[[#This Row],[VEHICULOS_ACCIDENTADOS]:[VEHICULOS_ACCIDENTADOS2]],"MICROBUS")</f>
        <v>1</v>
      </c>
      <c r="X270" s="36">
        <f>COUNTIF(Tabla1[[#This Row],[VEHICULOS_ACCIDENTADOS]:[VEHICULOS_ACCIDENTADOS2]],"BUS")</f>
        <v>0</v>
      </c>
      <c r="Y270" s="36">
        <f>COUNTIF(Tabla1[[#This Row],[VEHICULOS_ACCIDENTADOS]:[VEHICULOS_ACCIDENTADOS2]],"BUSETA")</f>
        <v>0</v>
      </c>
      <c r="Z270" s="36">
        <f>COUNTIF(Tabla1[[#This Row],[VEHICULOS_ACCIDENTADOS]:[VEHICULOS_ACCIDENTADOS2]],"CAMION")</f>
        <v>0</v>
      </c>
      <c r="AA270" s="36">
        <f>COUNTIF(Tabla1[[#This Row],[VEHICULOS_ACCIDENTADOS]:[VEHICULOS_ACCIDENTADOS2]],"TRACTOCAMION")</f>
        <v>0</v>
      </c>
      <c r="AB270" s="36">
        <f>COUNTIF(Tabla1[[#This Row],[VEHICULOS_ACCIDENTADOS]:[VEHICULOS_ACCIDENTADOS2]],"VOLQUETA")</f>
        <v>0</v>
      </c>
      <c r="AC270" s="36">
        <f>COUNTIF(Tabla1[[#This Row],[VEHICULOS_ACCIDENTADOS]:[VEHICULOS_ACCIDENTADOS2]],"BICICLETA")</f>
        <v>0</v>
      </c>
      <c r="AD270" s="36" t="s">
        <v>471</v>
      </c>
      <c r="AE270" s="36"/>
      <c r="AF270" s="36">
        <f>COUNTIF(Tabla1[[#This Row],[GENERO_MASCULINO]:[GENERO_FEMENINO]],"MASCULINO")</f>
        <v>1</v>
      </c>
      <c r="AG270" s="36">
        <f>COUNTIF(Tabla1[[#This Row],[GENERO_MASCULINO]:[GENERO_FEMENINO]],"FEMENINO")</f>
        <v>0</v>
      </c>
      <c r="AH270" s="61">
        <v>16</v>
      </c>
      <c r="AI270" s="61"/>
      <c r="AJ270" s="78"/>
      <c r="AK270" s="61"/>
      <c r="AL270" s="61"/>
      <c r="AM270" s="36"/>
      <c r="AN270" s="61">
        <v>137</v>
      </c>
      <c r="AO270" s="36" t="str">
        <f>IFERROR(((VLOOKUP(Tabla1[[#This Row],[HIPOTESIS_1]],listas!$D$1:$E$105,2,FALSE))),"SIN INFORMACIÓN")</f>
        <v>Falta de señales en vehículo varado</v>
      </c>
      <c r="AP270" s="36">
        <v>139</v>
      </c>
      <c r="AQ270" s="36" t="str">
        <f>IFERROR(((VLOOKUP(Tabla1[[#This Row],[HIPOTESIS_2]],listas!$D$1:$E$105,2,FALSE))),"")</f>
        <v>Impericia en el manejo.</v>
      </c>
      <c r="AR270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271" spans="1:44" x14ac:dyDescent="0.25">
      <c r="A271" s="12">
        <v>610</v>
      </c>
      <c r="B271" s="36">
        <v>0</v>
      </c>
      <c r="C271" s="36">
        <v>2</v>
      </c>
      <c r="D271" s="36">
        <v>0</v>
      </c>
      <c r="E271" s="18" t="str">
        <f t="shared" si="16"/>
        <v>LESIONADO</v>
      </c>
      <c r="F271" s="29" t="s">
        <v>1005</v>
      </c>
      <c r="G271" s="21">
        <v>5.3141416666666661</v>
      </c>
      <c r="H271" s="21">
        <v>-72.402022222222229</v>
      </c>
      <c r="I271" s="93" t="s">
        <v>697</v>
      </c>
      <c r="J271" s="36" t="s">
        <v>717</v>
      </c>
      <c r="K271" s="24" t="str">
        <f t="shared" si="17"/>
        <v>2023</v>
      </c>
      <c r="L271" s="24" t="str">
        <f t="shared" si="18"/>
        <v>NOVIEMBRE</v>
      </c>
      <c r="M271" s="225">
        <v>45245</v>
      </c>
      <c r="N271" s="24" t="str">
        <f t="shared" si="19"/>
        <v>MIÉRCOLES</v>
      </c>
      <c r="O271" s="101">
        <v>0.70833333333333337</v>
      </c>
      <c r="P271" s="57" t="s">
        <v>469</v>
      </c>
      <c r="Q271" s="57" t="s">
        <v>438</v>
      </c>
      <c r="R271" s="36">
        <f>COUNTIF(Tabla1[[#This Row],[VEHICULOS_ACCIDENTADOS]:[VEHICULOS_ACCIDENTADOS2]],"MOTOCICLETA")</f>
        <v>1</v>
      </c>
      <c r="S271" s="36">
        <f>COUNTIF(Tabla1[[#This Row],[VEHICULOS_ACCIDENTADOS]:[VEHICULOS_ACCIDENTADOS2]],"MOTOCARRO")</f>
        <v>0</v>
      </c>
      <c r="T271" s="36">
        <f>COUNTIF(Tabla1[[#This Row],[VEHICULOS_ACCIDENTADOS]:[VEHICULOS_ACCIDENTADOS2]],"AUTOMOVIL")</f>
        <v>0</v>
      </c>
      <c r="U271" s="36">
        <f>COUNTIF(Tabla1[[#This Row],[VEHICULOS_ACCIDENTADOS]:[VEHICULOS_ACCIDENTADOS2]],"CAMPERO")</f>
        <v>0</v>
      </c>
      <c r="V271" s="36">
        <f>COUNTIF(Tabla1[[#This Row],[VEHICULOS_ACCIDENTADOS]:[VEHICULOS_ACCIDENTADOS2]],"CAMIONETA")</f>
        <v>0</v>
      </c>
      <c r="W271" s="36">
        <f>COUNTIF(Tabla1[[#This Row],[VEHICULOS_ACCIDENTADOS]:[VEHICULOS_ACCIDENTADOS2]],"MICROBUS")</f>
        <v>0</v>
      </c>
      <c r="X271" s="36">
        <f>COUNTIF(Tabla1[[#This Row],[VEHICULOS_ACCIDENTADOS]:[VEHICULOS_ACCIDENTADOS2]],"BUS")</f>
        <v>0</v>
      </c>
      <c r="Y271" s="36">
        <f>COUNTIF(Tabla1[[#This Row],[VEHICULOS_ACCIDENTADOS]:[VEHICULOS_ACCIDENTADOS2]],"BUSETA")</f>
        <v>0</v>
      </c>
      <c r="Z271" s="36">
        <f>COUNTIF(Tabla1[[#This Row],[VEHICULOS_ACCIDENTADOS]:[VEHICULOS_ACCIDENTADOS2]],"CAMION")</f>
        <v>0</v>
      </c>
      <c r="AA271" s="36">
        <f>COUNTIF(Tabla1[[#This Row],[VEHICULOS_ACCIDENTADOS]:[VEHICULOS_ACCIDENTADOS2]],"TRACTOCAMION")</f>
        <v>0</v>
      </c>
      <c r="AB271" s="36">
        <f>COUNTIF(Tabla1[[#This Row],[VEHICULOS_ACCIDENTADOS]:[VEHICULOS_ACCIDENTADOS2]],"VOLQUETA")</f>
        <v>0</v>
      </c>
      <c r="AC271" s="36">
        <f>COUNTIF(Tabla1[[#This Row],[VEHICULOS_ACCIDENTADOS]:[VEHICULOS_ACCIDENTADOS2]],"BICICLETA")</f>
        <v>1</v>
      </c>
      <c r="AD271" s="36" t="s">
        <v>471</v>
      </c>
      <c r="AE271" s="36"/>
      <c r="AF271" s="36">
        <f>COUNTIF(Tabla1[[#This Row],[GENERO_MASCULINO]:[GENERO_FEMENINO]],"MASCULINO")</f>
        <v>1</v>
      </c>
      <c r="AG271" s="36">
        <f>COUNTIF(Tabla1[[#This Row],[GENERO_MASCULINO]:[GENERO_FEMENINO]],"FEMENINO")</f>
        <v>0</v>
      </c>
      <c r="AH271" s="61">
        <v>25</v>
      </c>
      <c r="AI271" s="61">
        <v>59</v>
      </c>
      <c r="AJ271" s="61"/>
      <c r="AK271" s="61"/>
      <c r="AL271" s="61"/>
      <c r="AM271" s="36"/>
      <c r="AN271" s="61">
        <v>121</v>
      </c>
      <c r="AO271" s="36" t="str">
        <f>IFERROR(((VLOOKUP(Tabla1[[#This Row],[HIPOTESIS_1]],listas!$D$1:$E$105,2,FALSE))),"SIN INFORMACIÓN")</f>
        <v>No mantener distancia de seguridad.</v>
      </c>
      <c r="AP271" s="36">
        <v>139</v>
      </c>
      <c r="AQ271" s="36" t="str">
        <f>IFERROR(((VLOOKUP(Tabla1[[#This Row],[HIPOTESIS_2]],listas!$D$1:$E$105,2,FALSE))),"")</f>
        <v>Impericia en el manejo.</v>
      </c>
      <c r="AR271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272" spans="1:44" x14ac:dyDescent="0.25">
      <c r="A272" s="12">
        <v>828</v>
      </c>
      <c r="B272" s="135">
        <v>0</v>
      </c>
      <c r="C272" s="136">
        <v>1</v>
      </c>
      <c r="D272" s="141">
        <v>0</v>
      </c>
      <c r="E272" s="18" t="str">
        <f t="shared" si="16"/>
        <v>LESIONADO</v>
      </c>
      <c r="F272" s="26" t="s">
        <v>70</v>
      </c>
      <c r="G272" s="17">
        <v>5.31</v>
      </c>
      <c r="H272" s="17">
        <v>-72.40162222222223</v>
      </c>
      <c r="I272" s="93" t="s">
        <v>697</v>
      </c>
      <c r="J272" s="36" t="s">
        <v>717</v>
      </c>
      <c r="K272" s="24" t="str">
        <f t="shared" si="17"/>
        <v>2024</v>
      </c>
      <c r="L272" s="24" t="str">
        <f t="shared" si="18"/>
        <v>DICIEMBRE</v>
      </c>
      <c r="M272" s="224">
        <v>45632</v>
      </c>
      <c r="N272" s="24" t="str">
        <f t="shared" si="19"/>
        <v>VIERNES</v>
      </c>
      <c r="O272" s="171">
        <v>0.51041666666666663</v>
      </c>
      <c r="P272" s="136" t="s">
        <v>469</v>
      </c>
      <c r="Q272" s="136" t="s">
        <v>442</v>
      </c>
      <c r="R272" s="36">
        <f>COUNTIF(Tabla1[[#This Row],[VEHICULOS_ACCIDENTADOS]:[VEHICULOS_ACCIDENTADOS2]],"MOTOCICLETA")</f>
        <v>1</v>
      </c>
      <c r="S272" s="36">
        <f>COUNTIF(Tabla1[[#This Row],[VEHICULOS_ACCIDENTADOS]:[VEHICULOS_ACCIDENTADOS2]],"MOTOCARRO")</f>
        <v>0</v>
      </c>
      <c r="T272" s="36">
        <f>COUNTIF(Tabla1[[#This Row],[VEHICULOS_ACCIDENTADOS]:[VEHICULOS_ACCIDENTADOS2]],"AUTOMOVIL")</f>
        <v>0</v>
      </c>
      <c r="U272" s="36">
        <f>COUNTIF(Tabla1[[#This Row],[VEHICULOS_ACCIDENTADOS]:[VEHICULOS_ACCIDENTADOS2]],"CAMPERO")</f>
        <v>0</v>
      </c>
      <c r="V272" s="36">
        <f>COUNTIF(Tabla1[[#This Row],[VEHICULOS_ACCIDENTADOS]:[VEHICULOS_ACCIDENTADOS2]],"CAMIONETA")</f>
        <v>0</v>
      </c>
      <c r="W272" s="36">
        <f>COUNTIF(Tabla1[[#This Row],[VEHICULOS_ACCIDENTADOS]:[VEHICULOS_ACCIDENTADOS2]],"MICROBUS")</f>
        <v>0</v>
      </c>
      <c r="X272" s="36">
        <f>COUNTIF(Tabla1[[#This Row],[VEHICULOS_ACCIDENTADOS]:[VEHICULOS_ACCIDENTADOS2]],"BUS")</f>
        <v>0</v>
      </c>
      <c r="Y272" s="36">
        <f>COUNTIF(Tabla1[[#This Row],[VEHICULOS_ACCIDENTADOS]:[VEHICULOS_ACCIDENTADOS2]],"BUSETA")</f>
        <v>1</v>
      </c>
      <c r="Z272" s="36">
        <f>COUNTIF(Tabla1[[#This Row],[VEHICULOS_ACCIDENTADOS]:[VEHICULOS_ACCIDENTADOS2]],"CAMION")</f>
        <v>0</v>
      </c>
      <c r="AA272" s="36">
        <f>COUNTIF(Tabla1[[#This Row],[VEHICULOS_ACCIDENTADOS]:[VEHICULOS_ACCIDENTADOS2]],"TRACTOCAMION")</f>
        <v>0</v>
      </c>
      <c r="AB272" s="36">
        <f>COUNTIF(Tabla1[[#This Row],[VEHICULOS_ACCIDENTADOS]:[VEHICULOS_ACCIDENTADOS2]],"VOLQUETA")</f>
        <v>0</v>
      </c>
      <c r="AC272" s="36">
        <f>COUNTIF(Tabla1[[#This Row],[VEHICULOS_ACCIDENTADOS]:[VEHICULOS_ACCIDENTADOS2]],"BICICLETA")</f>
        <v>0</v>
      </c>
      <c r="AD272" s="136" t="s">
        <v>471</v>
      </c>
      <c r="AE272" s="136"/>
      <c r="AF272" s="136">
        <f>COUNTIF(Tabla1[[#This Row],[GENERO_MASCULINO]:[GENERO_FEMENINO]],"MASCULINO")</f>
        <v>1</v>
      </c>
      <c r="AG272" s="36">
        <f>COUNTIF(Tabla1[[#This Row],[GENERO_MASCULINO]:[GENERO_FEMENINO]],"FEMENINO")</f>
        <v>0</v>
      </c>
      <c r="AH272" s="85">
        <v>58</v>
      </c>
      <c r="AI272" s="85"/>
      <c r="AJ272" s="85"/>
      <c r="AK272" s="85"/>
      <c r="AL272" s="85"/>
      <c r="AM272" s="136"/>
      <c r="AN272" s="85">
        <v>123</v>
      </c>
      <c r="AO272" s="36" t="str">
        <f>IFERROR(((VLOOKUP(Tabla1[[#This Row],[HIPOTESIS_1]],listas!$D$1:$E$105,2,FALSE))),"SIN INFORMACIÓN")</f>
        <v>No respetar prelación de intersecciones o giros.</v>
      </c>
      <c r="AP272" s="136">
        <v>139</v>
      </c>
      <c r="AQ272" s="36" t="str">
        <f>IFERROR(((VLOOKUP(Tabla1[[#This Row],[HIPOTESIS_2]],listas!$D$1:$E$105,2,FALSE))),"")</f>
        <v>Impericia en el manejo.</v>
      </c>
      <c r="AR272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273" spans="1:44" x14ac:dyDescent="0.25">
      <c r="A273" s="12">
        <v>724</v>
      </c>
      <c r="B273" s="36">
        <v>0</v>
      </c>
      <c r="C273" s="36">
        <v>1</v>
      </c>
      <c r="D273" s="144">
        <v>1</v>
      </c>
      <c r="E273" s="18" t="str">
        <f t="shared" si="16"/>
        <v>FALLECIDO</v>
      </c>
      <c r="F273" s="36" t="s">
        <v>139</v>
      </c>
      <c r="G273" s="21">
        <v>5.3183388888888885</v>
      </c>
      <c r="H273" s="21">
        <v>-72.400169444444444</v>
      </c>
      <c r="I273" s="93" t="s">
        <v>697</v>
      </c>
      <c r="J273" s="136" t="s">
        <v>717</v>
      </c>
      <c r="K273" s="24" t="str">
        <f t="shared" si="17"/>
        <v>2024</v>
      </c>
      <c r="L273" s="24" t="str">
        <f t="shared" si="18"/>
        <v>JUNIO</v>
      </c>
      <c r="M273" s="225">
        <v>45445</v>
      </c>
      <c r="N273" s="24" t="str">
        <f t="shared" si="19"/>
        <v>DOMINGO</v>
      </c>
      <c r="O273" s="101">
        <v>0.95833333333333337</v>
      </c>
      <c r="P273" s="57" t="s">
        <v>469</v>
      </c>
      <c r="Q273" s="57"/>
      <c r="R273" s="36">
        <f>COUNTIF(Tabla1[[#This Row],[VEHICULOS_ACCIDENTADOS]:[VEHICULOS_ACCIDENTADOS2]],"MOTOCICLETA")</f>
        <v>1</v>
      </c>
      <c r="S273" s="36">
        <f>COUNTIF(Tabla1[[#This Row],[VEHICULOS_ACCIDENTADOS]:[VEHICULOS_ACCIDENTADOS2]],"MOTOCARRO")</f>
        <v>0</v>
      </c>
      <c r="T273" s="36">
        <f>COUNTIF(Tabla1[[#This Row],[VEHICULOS_ACCIDENTADOS]:[VEHICULOS_ACCIDENTADOS2]],"AUTOMOVIL")</f>
        <v>0</v>
      </c>
      <c r="U273" s="36">
        <f>COUNTIF(Tabla1[[#This Row],[VEHICULOS_ACCIDENTADOS]:[VEHICULOS_ACCIDENTADOS2]],"CAMPERO")</f>
        <v>0</v>
      </c>
      <c r="V273" s="36">
        <f>COUNTIF(Tabla1[[#This Row],[VEHICULOS_ACCIDENTADOS]:[VEHICULOS_ACCIDENTADOS2]],"CAMIONETA")</f>
        <v>0</v>
      </c>
      <c r="W273" s="36">
        <f>COUNTIF(Tabla1[[#This Row],[VEHICULOS_ACCIDENTADOS]:[VEHICULOS_ACCIDENTADOS2]],"MICROBUS")</f>
        <v>0</v>
      </c>
      <c r="X273" s="36">
        <f>COUNTIF(Tabla1[[#This Row],[VEHICULOS_ACCIDENTADOS]:[VEHICULOS_ACCIDENTADOS2]],"BUS")</f>
        <v>0</v>
      </c>
      <c r="Y273" s="36">
        <f>COUNTIF(Tabla1[[#This Row],[VEHICULOS_ACCIDENTADOS]:[VEHICULOS_ACCIDENTADOS2]],"BUSETA")</f>
        <v>0</v>
      </c>
      <c r="Z273" s="36">
        <f>COUNTIF(Tabla1[[#This Row],[VEHICULOS_ACCIDENTADOS]:[VEHICULOS_ACCIDENTADOS2]],"CAMION")</f>
        <v>0</v>
      </c>
      <c r="AA273" s="36">
        <f>COUNTIF(Tabla1[[#This Row],[VEHICULOS_ACCIDENTADOS]:[VEHICULOS_ACCIDENTADOS2]],"TRACTOCAMION")</f>
        <v>0</v>
      </c>
      <c r="AB273" s="36">
        <f>COUNTIF(Tabla1[[#This Row],[VEHICULOS_ACCIDENTADOS]:[VEHICULOS_ACCIDENTADOS2]],"VOLQUETA")</f>
        <v>0</v>
      </c>
      <c r="AC273" s="36">
        <f>COUNTIF(Tabla1[[#This Row],[VEHICULOS_ACCIDENTADOS]:[VEHICULOS_ACCIDENTADOS2]],"BICICLETA")</f>
        <v>0</v>
      </c>
      <c r="AD273" s="36" t="s">
        <v>471</v>
      </c>
      <c r="AE273" s="36" t="s">
        <v>472</v>
      </c>
      <c r="AF273" s="36">
        <f>COUNTIF(Tabla1[[#This Row],[GENERO_MASCULINO]:[GENERO_FEMENINO]],"MASCULINO")</f>
        <v>1</v>
      </c>
      <c r="AG273" s="36">
        <f>COUNTIF(Tabla1[[#This Row],[GENERO_MASCULINO]:[GENERO_FEMENINO]],"FEMENINO")</f>
        <v>1</v>
      </c>
      <c r="AH273" s="61"/>
      <c r="AI273" s="61">
        <v>70</v>
      </c>
      <c r="AJ273" s="61"/>
      <c r="AK273" s="61"/>
      <c r="AL273" s="61"/>
      <c r="AM273" s="36">
        <v>24</v>
      </c>
      <c r="AN273" s="61">
        <v>115</v>
      </c>
      <c r="AO273" s="36" t="str">
        <f>IFERROR(((VLOOKUP(Tabla1[[#This Row],[HIPOTESIS_1]],listas!$D$1:$E$105,2,FALSE))),"SIN INFORMACIÓN")</f>
        <v>Embriaguez o Sustancias alucinogenas</v>
      </c>
      <c r="AP273" s="36">
        <v>139</v>
      </c>
      <c r="AQ273" s="36" t="str">
        <f>IFERROR(((VLOOKUP(Tabla1[[#This Row],[HIPOTESIS_2]],listas!$D$1:$E$105,2,FALSE))),"")</f>
        <v>Impericia en el manejo.</v>
      </c>
      <c r="AR273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274" spans="1:44" x14ac:dyDescent="0.25">
      <c r="A274" s="12">
        <v>315</v>
      </c>
      <c r="B274" s="36">
        <v>0</v>
      </c>
      <c r="C274" s="36">
        <v>2</v>
      </c>
      <c r="D274" s="36">
        <v>0</v>
      </c>
      <c r="E274" s="18" t="str">
        <f t="shared" si="16"/>
        <v>LESIONADO</v>
      </c>
      <c r="F274" s="29" t="s">
        <v>319</v>
      </c>
      <c r="G274" s="17">
        <v>5.3268024999999994</v>
      </c>
      <c r="H274" s="17">
        <v>-72.399525555555556</v>
      </c>
      <c r="I274" s="93" t="s">
        <v>697</v>
      </c>
      <c r="J274" s="36" t="s">
        <v>717</v>
      </c>
      <c r="K274" s="24" t="str">
        <f t="shared" si="17"/>
        <v>2022</v>
      </c>
      <c r="L274" s="24" t="str">
        <f t="shared" si="18"/>
        <v>SEPTIEMBRE</v>
      </c>
      <c r="M274" s="225">
        <v>44830</v>
      </c>
      <c r="N274" s="24" t="str">
        <f t="shared" si="19"/>
        <v>LUNES</v>
      </c>
      <c r="O274" s="102">
        <v>0.64583333333333337</v>
      </c>
      <c r="P274" s="53" t="s">
        <v>469</v>
      </c>
      <c r="Q274" s="53" t="s">
        <v>469</v>
      </c>
      <c r="R274" s="36">
        <f>COUNTIF(Tabla1[[#This Row],[VEHICULOS_ACCIDENTADOS]:[VEHICULOS_ACCIDENTADOS2]],"MOTOCICLETA")</f>
        <v>2</v>
      </c>
      <c r="S274" s="36">
        <f>COUNTIF(Tabla1[[#This Row],[VEHICULOS_ACCIDENTADOS]:[VEHICULOS_ACCIDENTADOS2]],"MOTOCARRO")</f>
        <v>0</v>
      </c>
      <c r="T274" s="36">
        <f>COUNTIF(Tabla1[[#This Row],[VEHICULOS_ACCIDENTADOS]:[VEHICULOS_ACCIDENTADOS2]],"AUTOMOVIL")</f>
        <v>0</v>
      </c>
      <c r="U274" s="36">
        <f>COUNTIF(Tabla1[[#This Row],[VEHICULOS_ACCIDENTADOS]:[VEHICULOS_ACCIDENTADOS2]],"CAMPERO")</f>
        <v>0</v>
      </c>
      <c r="V274" s="36">
        <f>COUNTIF(Tabla1[[#This Row],[VEHICULOS_ACCIDENTADOS]:[VEHICULOS_ACCIDENTADOS2]],"CAMIONETA")</f>
        <v>0</v>
      </c>
      <c r="W274" s="36">
        <f>COUNTIF(Tabla1[[#This Row],[VEHICULOS_ACCIDENTADOS]:[VEHICULOS_ACCIDENTADOS2]],"MICROBUS")</f>
        <v>0</v>
      </c>
      <c r="X274" s="36">
        <f>COUNTIF(Tabla1[[#This Row],[VEHICULOS_ACCIDENTADOS]:[VEHICULOS_ACCIDENTADOS2]],"BUS")</f>
        <v>0</v>
      </c>
      <c r="Y274" s="36">
        <f>COUNTIF(Tabla1[[#This Row],[VEHICULOS_ACCIDENTADOS]:[VEHICULOS_ACCIDENTADOS2]],"BUSETA")</f>
        <v>0</v>
      </c>
      <c r="Z274" s="36">
        <f>COUNTIF(Tabla1[[#This Row],[VEHICULOS_ACCIDENTADOS]:[VEHICULOS_ACCIDENTADOS2]],"CAMION")</f>
        <v>0</v>
      </c>
      <c r="AA274" s="36">
        <f>COUNTIF(Tabla1[[#This Row],[VEHICULOS_ACCIDENTADOS]:[VEHICULOS_ACCIDENTADOS2]],"TRACTOCAMION")</f>
        <v>0</v>
      </c>
      <c r="AB274" s="36">
        <f>COUNTIF(Tabla1[[#This Row],[VEHICULOS_ACCIDENTADOS]:[VEHICULOS_ACCIDENTADOS2]],"VOLQUETA")</f>
        <v>0</v>
      </c>
      <c r="AC274" s="36">
        <f>COUNTIF(Tabla1[[#This Row],[VEHICULOS_ACCIDENTADOS]:[VEHICULOS_ACCIDENTADOS2]],"BICICLETA")</f>
        <v>0</v>
      </c>
      <c r="AD274" s="36" t="s">
        <v>471</v>
      </c>
      <c r="AE274" s="36" t="s">
        <v>472</v>
      </c>
      <c r="AF274" s="36">
        <f>COUNTIF(Tabla1[[#This Row],[GENERO_MASCULINO]:[GENERO_FEMENINO]],"MASCULINO")</f>
        <v>1</v>
      </c>
      <c r="AG274" s="36">
        <f>COUNTIF(Tabla1[[#This Row],[GENERO_MASCULINO]:[GENERO_FEMENINO]],"FEMENINO")</f>
        <v>1</v>
      </c>
      <c r="AH274" s="61">
        <v>23</v>
      </c>
      <c r="AI274" s="61">
        <v>24</v>
      </c>
      <c r="AJ274" s="78"/>
      <c r="AK274" s="61"/>
      <c r="AL274" s="61"/>
      <c r="AM274" s="36"/>
      <c r="AN274" s="61">
        <v>123</v>
      </c>
      <c r="AO274" s="36" t="str">
        <f>IFERROR(((VLOOKUP(Tabla1[[#This Row],[HIPOTESIS_1]],listas!$D$1:$E$105,2,FALSE))),"SIN INFORMACIÓN")</f>
        <v>No respetar prelación de intersecciones o giros.</v>
      </c>
      <c r="AP274" s="36">
        <v>139</v>
      </c>
      <c r="AQ274" s="36" t="str">
        <f>IFERROR(((VLOOKUP(Tabla1[[#This Row],[HIPOTESIS_2]],listas!$D$1:$E$105,2,FALSE))),"")</f>
        <v>Impericia en el manejo.</v>
      </c>
      <c r="AR274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275" spans="1:44" x14ac:dyDescent="0.25">
      <c r="A275" s="12">
        <v>953</v>
      </c>
      <c r="B275" s="135">
        <v>0</v>
      </c>
      <c r="C275" s="136">
        <v>0</v>
      </c>
      <c r="D275" s="141">
        <v>1</v>
      </c>
      <c r="E275" s="18" t="str">
        <f t="shared" si="16"/>
        <v>FALLECIDO</v>
      </c>
      <c r="F275" s="26" t="s">
        <v>32</v>
      </c>
      <c r="G275" s="20">
        <v>5.4378440000000001</v>
      </c>
      <c r="H275" s="20">
        <v>-72.250613999999999</v>
      </c>
      <c r="I275" s="94" t="s">
        <v>662</v>
      </c>
      <c r="J275" s="135" t="s">
        <v>1</v>
      </c>
      <c r="K275" s="24" t="str">
        <f t="shared" si="17"/>
        <v>2025</v>
      </c>
      <c r="L275" s="24" t="str">
        <f t="shared" si="18"/>
        <v>MAYO</v>
      </c>
      <c r="M275" s="224">
        <v>45781</v>
      </c>
      <c r="N275" s="24" t="str">
        <f t="shared" si="19"/>
        <v>DOMINGO</v>
      </c>
      <c r="O275" s="171">
        <v>0.84722222222222221</v>
      </c>
      <c r="P275" s="63" t="s">
        <v>469</v>
      </c>
      <c r="Q275" s="63"/>
      <c r="R275" s="36">
        <f>COUNTIF(Tabla1[[#This Row],[VEHICULOS_ACCIDENTADOS]:[VEHICULOS_ACCIDENTADOS2]],"MOTOCICLETA")</f>
        <v>1</v>
      </c>
      <c r="S275" s="36">
        <f>COUNTIF(Tabla1[[#This Row],[VEHICULOS_ACCIDENTADOS]:[VEHICULOS_ACCIDENTADOS2]],"MOTOCARRO")</f>
        <v>0</v>
      </c>
      <c r="T275" s="36">
        <f>COUNTIF(Tabla1[[#This Row],[VEHICULOS_ACCIDENTADOS]:[VEHICULOS_ACCIDENTADOS2]],"AUTOMOVIL")</f>
        <v>0</v>
      </c>
      <c r="U275" s="36">
        <f>COUNTIF(Tabla1[[#This Row],[VEHICULOS_ACCIDENTADOS]:[VEHICULOS_ACCIDENTADOS2]],"CAMPERO")</f>
        <v>0</v>
      </c>
      <c r="V275" s="36">
        <f>COUNTIF(Tabla1[[#This Row],[VEHICULOS_ACCIDENTADOS]:[VEHICULOS_ACCIDENTADOS2]],"CAMIONETA")</f>
        <v>0</v>
      </c>
      <c r="W275" s="36">
        <f>COUNTIF(Tabla1[[#This Row],[VEHICULOS_ACCIDENTADOS]:[VEHICULOS_ACCIDENTADOS2]],"MICROBUS")</f>
        <v>0</v>
      </c>
      <c r="X275" s="36">
        <f>COUNTIF(Tabla1[[#This Row],[VEHICULOS_ACCIDENTADOS]:[VEHICULOS_ACCIDENTADOS2]],"BUS")</f>
        <v>0</v>
      </c>
      <c r="Y275" s="36">
        <f>COUNTIF(Tabla1[[#This Row],[VEHICULOS_ACCIDENTADOS]:[VEHICULOS_ACCIDENTADOS2]],"BUSETA")</f>
        <v>0</v>
      </c>
      <c r="Z275" s="36">
        <f>COUNTIF(Tabla1[[#This Row],[VEHICULOS_ACCIDENTADOS]:[VEHICULOS_ACCIDENTADOS2]],"CAMION")</f>
        <v>0</v>
      </c>
      <c r="AA275" s="36">
        <f>COUNTIF(Tabla1[[#This Row],[VEHICULOS_ACCIDENTADOS]:[VEHICULOS_ACCIDENTADOS2]],"TRACTOCAMION")</f>
        <v>0</v>
      </c>
      <c r="AB275" s="36">
        <f>COUNTIF(Tabla1[[#This Row],[VEHICULOS_ACCIDENTADOS]:[VEHICULOS_ACCIDENTADOS2]],"VOLQUETA")</f>
        <v>0</v>
      </c>
      <c r="AC275" s="36">
        <f>COUNTIF(Tabla1[[#This Row],[VEHICULOS_ACCIDENTADOS]:[VEHICULOS_ACCIDENTADOS2]],"BICICLETA")</f>
        <v>0</v>
      </c>
      <c r="AD275" s="36" t="s">
        <v>471</v>
      </c>
      <c r="AE275" s="36"/>
      <c r="AF275" s="36">
        <f>COUNTIF(Tabla1[[#This Row],[GENERO_MASCULINO]:[GENERO_FEMENINO]],"MASCULINO")</f>
        <v>1</v>
      </c>
      <c r="AG275" s="36">
        <f>COUNTIF(Tabla1[[#This Row],[GENERO_MASCULINO]:[GENERO_FEMENINO]],"FEMENINO")</f>
        <v>0</v>
      </c>
      <c r="AH275" s="85">
        <v>43</v>
      </c>
      <c r="AI275" s="85"/>
      <c r="AJ275" s="85"/>
      <c r="AK275" s="85"/>
      <c r="AL275" s="78"/>
      <c r="AM275" s="59"/>
      <c r="AN275" s="85">
        <v>114</v>
      </c>
      <c r="AO275" s="36" t="str">
        <f>IFERROR(((VLOOKUP(Tabla1[[#This Row],[HIPOTESIS_1]],listas!$D$1:$E$105,2,FALSE))),"SIN INFORMACIÓN")</f>
        <v>Embriaguez aparente.</v>
      </c>
      <c r="AP275" s="36">
        <v>139</v>
      </c>
      <c r="AQ275" s="36" t="str">
        <f>IFERROR(((VLOOKUP(Tabla1[[#This Row],[HIPOTESIS_2]],listas!$D$1:$E$105,2,FALSE))),"")</f>
        <v>Impericia en el manejo.</v>
      </c>
      <c r="AR275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276" spans="1:44" x14ac:dyDescent="0.25">
      <c r="A276" s="12">
        <v>876</v>
      </c>
      <c r="B276" s="136">
        <v>1</v>
      </c>
      <c r="C276" s="136">
        <v>0</v>
      </c>
      <c r="D276" s="136">
        <v>0</v>
      </c>
      <c r="E276" s="18" t="str">
        <f t="shared" si="16"/>
        <v>SOLO DAÑO</v>
      </c>
      <c r="F276" s="26" t="s">
        <v>71</v>
      </c>
      <c r="G276" s="21">
        <v>5.264526</v>
      </c>
      <c r="H276" s="21">
        <v>-72.399467000000001</v>
      </c>
      <c r="I276" s="93" t="s">
        <v>697</v>
      </c>
      <c r="J276" s="167" t="s">
        <v>1</v>
      </c>
      <c r="K276" s="24" t="str">
        <f t="shared" si="17"/>
        <v>2025</v>
      </c>
      <c r="L276" s="24" t="str">
        <f t="shared" si="18"/>
        <v>FEBRERO</v>
      </c>
      <c r="M276" s="224">
        <v>45705</v>
      </c>
      <c r="N276" s="24" t="str">
        <f t="shared" si="19"/>
        <v>LUNES</v>
      </c>
      <c r="O276" s="171">
        <v>0.23958333333333334</v>
      </c>
      <c r="P276" s="178" t="s">
        <v>469</v>
      </c>
      <c r="Q276" s="178" t="s">
        <v>469</v>
      </c>
      <c r="R276" s="36">
        <f>COUNTIF(Tabla1[[#This Row],[VEHICULOS_ACCIDENTADOS]:[VEHICULOS_ACCIDENTADOS2]],"MOTOCICLETA")</f>
        <v>2</v>
      </c>
      <c r="S276" s="36">
        <f>COUNTIF(Tabla1[[#This Row],[VEHICULOS_ACCIDENTADOS]:[VEHICULOS_ACCIDENTADOS2]],"MOTOCARRO")</f>
        <v>0</v>
      </c>
      <c r="T276" s="36">
        <f>COUNTIF(Tabla1[[#This Row],[VEHICULOS_ACCIDENTADOS]:[VEHICULOS_ACCIDENTADOS2]],"AUTOMOVIL")</f>
        <v>0</v>
      </c>
      <c r="U276" s="36">
        <f>COUNTIF(Tabla1[[#This Row],[VEHICULOS_ACCIDENTADOS]:[VEHICULOS_ACCIDENTADOS2]],"CAMPERO")</f>
        <v>0</v>
      </c>
      <c r="V276" s="36">
        <f>COUNTIF(Tabla1[[#This Row],[VEHICULOS_ACCIDENTADOS]:[VEHICULOS_ACCIDENTADOS2]],"CAMIONETA")</f>
        <v>0</v>
      </c>
      <c r="W276" s="36">
        <f>COUNTIF(Tabla1[[#This Row],[VEHICULOS_ACCIDENTADOS]:[VEHICULOS_ACCIDENTADOS2]],"MICROBUS")</f>
        <v>0</v>
      </c>
      <c r="X276" s="36">
        <f>COUNTIF(Tabla1[[#This Row],[VEHICULOS_ACCIDENTADOS]:[VEHICULOS_ACCIDENTADOS2]],"BUS")</f>
        <v>0</v>
      </c>
      <c r="Y276" s="36">
        <f>COUNTIF(Tabla1[[#This Row],[VEHICULOS_ACCIDENTADOS]:[VEHICULOS_ACCIDENTADOS2]],"BUSETA")</f>
        <v>0</v>
      </c>
      <c r="Z276" s="36">
        <f>COUNTIF(Tabla1[[#This Row],[VEHICULOS_ACCIDENTADOS]:[VEHICULOS_ACCIDENTADOS2]],"CAMION")</f>
        <v>0</v>
      </c>
      <c r="AA276" s="36">
        <f>COUNTIF(Tabla1[[#This Row],[VEHICULOS_ACCIDENTADOS]:[VEHICULOS_ACCIDENTADOS2]],"TRACTOCAMION")</f>
        <v>0</v>
      </c>
      <c r="AB276" s="36">
        <f>COUNTIF(Tabla1[[#This Row],[VEHICULOS_ACCIDENTADOS]:[VEHICULOS_ACCIDENTADOS2]],"VOLQUETA")</f>
        <v>0</v>
      </c>
      <c r="AC276" s="36">
        <f>COUNTIF(Tabla1[[#This Row],[VEHICULOS_ACCIDENTADOS]:[VEHICULOS_ACCIDENTADOS2]],"BICICLETA")</f>
        <v>0</v>
      </c>
      <c r="AD276" s="136" t="s">
        <v>471</v>
      </c>
      <c r="AE276" s="136" t="s">
        <v>471</v>
      </c>
      <c r="AF276" s="136">
        <f>COUNTIF(Tabla1[[#This Row],[GENERO_MASCULINO]:[GENERO_FEMENINO]],"MASCULINO")</f>
        <v>2</v>
      </c>
      <c r="AG276" s="36">
        <f>COUNTIF(Tabla1[[#This Row],[GENERO_MASCULINO]:[GENERO_FEMENINO]],"FEMENINO")</f>
        <v>0</v>
      </c>
      <c r="AH276" s="85">
        <v>76</v>
      </c>
      <c r="AI276" s="85">
        <v>24</v>
      </c>
      <c r="AJ276" s="85"/>
      <c r="AK276" s="85"/>
      <c r="AL276" s="85"/>
      <c r="AM276" s="136"/>
      <c r="AN276" s="85">
        <v>115</v>
      </c>
      <c r="AO276" s="36" t="str">
        <f>IFERROR(((VLOOKUP(Tabla1[[#This Row],[HIPOTESIS_1]],listas!$D$1:$E$105,2,FALSE))),"SIN INFORMACIÓN")</f>
        <v>Embriaguez o Sustancias alucinogenas</v>
      </c>
      <c r="AP276" s="136">
        <v>139</v>
      </c>
      <c r="AQ276" s="36" t="str">
        <f>IFERROR(((VLOOKUP(Tabla1[[#This Row],[HIPOTESIS_2]],listas!$D$1:$E$105,2,FALSE))),"")</f>
        <v>Impericia en el manejo.</v>
      </c>
      <c r="AR276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277" spans="1:44" x14ac:dyDescent="0.25">
      <c r="A277" s="12">
        <v>470</v>
      </c>
      <c r="B277" s="36">
        <v>0</v>
      </c>
      <c r="C277" s="36">
        <v>1</v>
      </c>
      <c r="D277" s="36">
        <v>1</v>
      </c>
      <c r="E277" s="18" t="str">
        <f t="shared" si="16"/>
        <v>FALLECIDO</v>
      </c>
      <c r="F277" s="29" t="s">
        <v>250</v>
      </c>
      <c r="G277" s="21">
        <v>5.3422227777777778</v>
      </c>
      <c r="H277" s="21">
        <v>-72.198367222222231</v>
      </c>
      <c r="I277" s="94" t="s">
        <v>662</v>
      </c>
      <c r="J277" s="36" t="s">
        <v>1</v>
      </c>
      <c r="K277" s="24" t="str">
        <f t="shared" si="17"/>
        <v>2023</v>
      </c>
      <c r="L277" s="24" t="str">
        <f t="shared" si="18"/>
        <v>MAYO</v>
      </c>
      <c r="M277" s="225">
        <v>45053</v>
      </c>
      <c r="N277" s="24" t="str">
        <f t="shared" si="19"/>
        <v>DOMINGO</v>
      </c>
      <c r="O277" s="101">
        <v>0.66666666666666663</v>
      </c>
      <c r="P277" s="57" t="s">
        <v>469</v>
      </c>
      <c r="Q277" s="57"/>
      <c r="R277" s="36">
        <f>COUNTIF(Tabla1[[#This Row],[VEHICULOS_ACCIDENTADOS]:[VEHICULOS_ACCIDENTADOS2]],"MOTOCICLETA")</f>
        <v>1</v>
      </c>
      <c r="S277" s="36">
        <f>COUNTIF(Tabla1[[#This Row],[VEHICULOS_ACCIDENTADOS]:[VEHICULOS_ACCIDENTADOS2]],"MOTOCARRO")</f>
        <v>0</v>
      </c>
      <c r="T277" s="36">
        <f>COUNTIF(Tabla1[[#This Row],[VEHICULOS_ACCIDENTADOS]:[VEHICULOS_ACCIDENTADOS2]],"AUTOMOVIL")</f>
        <v>0</v>
      </c>
      <c r="U277" s="36">
        <f>COUNTIF(Tabla1[[#This Row],[VEHICULOS_ACCIDENTADOS]:[VEHICULOS_ACCIDENTADOS2]],"CAMPERO")</f>
        <v>0</v>
      </c>
      <c r="V277" s="36">
        <f>COUNTIF(Tabla1[[#This Row],[VEHICULOS_ACCIDENTADOS]:[VEHICULOS_ACCIDENTADOS2]],"CAMIONETA")</f>
        <v>0</v>
      </c>
      <c r="W277" s="36">
        <f>COUNTIF(Tabla1[[#This Row],[VEHICULOS_ACCIDENTADOS]:[VEHICULOS_ACCIDENTADOS2]],"MICROBUS")</f>
        <v>0</v>
      </c>
      <c r="X277" s="36">
        <f>COUNTIF(Tabla1[[#This Row],[VEHICULOS_ACCIDENTADOS]:[VEHICULOS_ACCIDENTADOS2]],"BUS")</f>
        <v>0</v>
      </c>
      <c r="Y277" s="36">
        <f>COUNTIF(Tabla1[[#This Row],[VEHICULOS_ACCIDENTADOS]:[VEHICULOS_ACCIDENTADOS2]],"BUSETA")</f>
        <v>0</v>
      </c>
      <c r="Z277" s="36">
        <f>COUNTIF(Tabla1[[#This Row],[VEHICULOS_ACCIDENTADOS]:[VEHICULOS_ACCIDENTADOS2]],"CAMION")</f>
        <v>0</v>
      </c>
      <c r="AA277" s="36">
        <f>COUNTIF(Tabla1[[#This Row],[VEHICULOS_ACCIDENTADOS]:[VEHICULOS_ACCIDENTADOS2]],"TRACTOCAMION")</f>
        <v>0</v>
      </c>
      <c r="AB277" s="36">
        <f>COUNTIF(Tabla1[[#This Row],[VEHICULOS_ACCIDENTADOS]:[VEHICULOS_ACCIDENTADOS2]],"VOLQUETA")</f>
        <v>0</v>
      </c>
      <c r="AC277" s="36">
        <f>COUNTIF(Tabla1[[#This Row],[VEHICULOS_ACCIDENTADOS]:[VEHICULOS_ACCIDENTADOS2]],"BICICLETA")</f>
        <v>0</v>
      </c>
      <c r="AD277" s="36" t="s">
        <v>471</v>
      </c>
      <c r="AE277" s="36"/>
      <c r="AF277" s="36">
        <f>COUNTIF(Tabla1[[#This Row],[GENERO_MASCULINO]:[GENERO_FEMENINO]],"MASCULINO")</f>
        <v>1</v>
      </c>
      <c r="AG277" s="36">
        <f>COUNTIF(Tabla1[[#This Row],[GENERO_MASCULINO]:[GENERO_FEMENINO]],"FEMENINO")</f>
        <v>0</v>
      </c>
      <c r="AH277" s="61">
        <v>21</v>
      </c>
      <c r="AI277" s="61"/>
      <c r="AJ277" s="61"/>
      <c r="AK277" s="61"/>
      <c r="AL277" s="61"/>
      <c r="AM277" s="36">
        <v>19</v>
      </c>
      <c r="AN277" s="61">
        <v>116</v>
      </c>
      <c r="AO277" s="36" t="str">
        <f>IFERROR(((VLOOKUP(Tabla1[[#This Row],[HIPOTESIS_1]],listas!$D$1:$E$105,2,FALSE))),"SIN INFORMACIÓN")</f>
        <v>Exceso de velocidad</v>
      </c>
      <c r="AP277" s="36">
        <v>139</v>
      </c>
      <c r="AQ277" s="36" t="str">
        <f>IFERROR(((VLOOKUP(Tabla1[[#This Row],[HIPOTESIS_2]],listas!$D$1:$E$105,2,FALSE))),"")</f>
        <v>Impericia en el manejo.</v>
      </c>
      <c r="AR277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278" spans="1:44" x14ac:dyDescent="0.25">
      <c r="A278" s="12">
        <v>967</v>
      </c>
      <c r="B278" s="141">
        <v>0</v>
      </c>
      <c r="C278" s="141">
        <v>0</v>
      </c>
      <c r="D278" s="141">
        <v>1</v>
      </c>
      <c r="E278" s="18" t="str">
        <f t="shared" si="16"/>
        <v>FALLECIDO</v>
      </c>
      <c r="F278" s="141" t="s">
        <v>24</v>
      </c>
      <c r="G278" s="22">
        <v>5.2938340000000004</v>
      </c>
      <c r="H278" s="22">
        <v>-72.178768000000005</v>
      </c>
      <c r="I278" s="94" t="s">
        <v>662</v>
      </c>
      <c r="J278" s="36" t="s">
        <v>1</v>
      </c>
      <c r="K278" s="24" t="str">
        <f t="shared" si="17"/>
        <v>2025</v>
      </c>
      <c r="L278" s="24" t="str">
        <f t="shared" si="18"/>
        <v>MAYO</v>
      </c>
      <c r="M278" s="229">
        <v>45788</v>
      </c>
      <c r="N278" s="24" t="str">
        <f t="shared" si="19"/>
        <v>DOMINGO</v>
      </c>
      <c r="O278" s="171">
        <v>0.70833333333333337</v>
      </c>
      <c r="P278" s="63" t="s">
        <v>469</v>
      </c>
      <c r="Q278" s="63"/>
      <c r="R278" s="36">
        <f>COUNTIF(Tabla1[[#This Row],[VEHICULOS_ACCIDENTADOS]:[VEHICULOS_ACCIDENTADOS2]],"MOTOCICLETA")</f>
        <v>1</v>
      </c>
      <c r="S278" s="36">
        <f>COUNTIF(Tabla1[[#This Row],[VEHICULOS_ACCIDENTADOS]:[VEHICULOS_ACCIDENTADOS2]],"MOTOCARRO")</f>
        <v>0</v>
      </c>
      <c r="T278" s="36">
        <f>COUNTIF(Tabla1[[#This Row],[VEHICULOS_ACCIDENTADOS]:[VEHICULOS_ACCIDENTADOS2]],"AUTOMOVIL")</f>
        <v>0</v>
      </c>
      <c r="U278" s="36">
        <f>COUNTIF(Tabla1[[#This Row],[VEHICULOS_ACCIDENTADOS]:[VEHICULOS_ACCIDENTADOS2]],"CAMPERO")</f>
        <v>0</v>
      </c>
      <c r="V278" s="36">
        <f>COUNTIF(Tabla1[[#This Row],[VEHICULOS_ACCIDENTADOS]:[VEHICULOS_ACCIDENTADOS2]],"CAMIONETA")</f>
        <v>0</v>
      </c>
      <c r="W278" s="36">
        <f>COUNTIF(Tabla1[[#This Row],[VEHICULOS_ACCIDENTADOS]:[VEHICULOS_ACCIDENTADOS2]],"MICROBUS")</f>
        <v>0</v>
      </c>
      <c r="X278" s="36">
        <f>COUNTIF(Tabla1[[#This Row],[VEHICULOS_ACCIDENTADOS]:[VEHICULOS_ACCIDENTADOS2]],"BUS")</f>
        <v>0</v>
      </c>
      <c r="Y278" s="36">
        <f>COUNTIF(Tabla1[[#This Row],[VEHICULOS_ACCIDENTADOS]:[VEHICULOS_ACCIDENTADOS2]],"BUSETA")</f>
        <v>0</v>
      </c>
      <c r="Z278" s="36">
        <f>COUNTIF(Tabla1[[#This Row],[VEHICULOS_ACCIDENTADOS]:[VEHICULOS_ACCIDENTADOS2]],"CAMION")</f>
        <v>0</v>
      </c>
      <c r="AA278" s="36">
        <f>COUNTIF(Tabla1[[#This Row],[VEHICULOS_ACCIDENTADOS]:[VEHICULOS_ACCIDENTADOS2]],"TRACTOCAMION")</f>
        <v>0</v>
      </c>
      <c r="AB278" s="36">
        <f>COUNTIF(Tabla1[[#This Row],[VEHICULOS_ACCIDENTADOS]:[VEHICULOS_ACCIDENTADOS2]],"VOLQUETA")</f>
        <v>0</v>
      </c>
      <c r="AC278" s="36">
        <f>COUNTIF(Tabla1[[#This Row],[VEHICULOS_ACCIDENTADOS]:[VEHICULOS_ACCIDENTADOS2]],"BICICLETA")</f>
        <v>0</v>
      </c>
      <c r="AD278" s="36" t="s">
        <v>471</v>
      </c>
      <c r="AE278" s="36"/>
      <c r="AF278" s="36">
        <f>COUNTIF(Tabla1[[#This Row],[GENERO_MASCULINO]:[GENERO_FEMENINO]],"MASCULINO")</f>
        <v>1</v>
      </c>
      <c r="AG278" s="36">
        <f>COUNTIF(Tabla1[[#This Row],[GENERO_MASCULINO]:[GENERO_FEMENINO]],"FEMENINO")</f>
        <v>0</v>
      </c>
      <c r="AH278" s="198">
        <v>58</v>
      </c>
      <c r="AI278" s="85"/>
      <c r="AJ278" s="85"/>
      <c r="AK278" s="85"/>
      <c r="AL278" s="78"/>
      <c r="AM278" s="59"/>
      <c r="AN278" s="85">
        <v>114</v>
      </c>
      <c r="AO278" s="36" t="str">
        <f>IFERROR(((VLOOKUP(Tabla1[[#This Row],[HIPOTESIS_1]],listas!$D$1:$E$105,2,FALSE))),"SIN INFORMACIÓN")</f>
        <v>Embriaguez aparente.</v>
      </c>
      <c r="AP278" s="36">
        <v>139</v>
      </c>
      <c r="AQ278" s="36" t="str">
        <f>IFERROR(((VLOOKUP(Tabla1[[#This Row],[HIPOTESIS_2]],listas!$D$1:$E$105,2,FALSE))),"")</f>
        <v>Impericia en el manejo.</v>
      </c>
      <c r="AR278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279" spans="1:44" x14ac:dyDescent="0.25">
      <c r="A279" s="12">
        <v>628</v>
      </c>
      <c r="B279" s="36">
        <v>0</v>
      </c>
      <c r="C279" s="36">
        <v>3</v>
      </c>
      <c r="D279" s="36">
        <v>0</v>
      </c>
      <c r="E279" s="18" t="str">
        <f t="shared" si="16"/>
        <v>LESIONADO</v>
      </c>
      <c r="F279" s="29" t="s">
        <v>176</v>
      </c>
      <c r="G279" s="21">
        <v>5.274952777777778</v>
      </c>
      <c r="H279" s="21">
        <v>-72.400394444444444</v>
      </c>
      <c r="I279" s="93" t="s">
        <v>697</v>
      </c>
      <c r="J279" s="36" t="s">
        <v>1</v>
      </c>
      <c r="K279" s="24" t="str">
        <f t="shared" si="17"/>
        <v>2023</v>
      </c>
      <c r="L279" s="24" t="str">
        <f t="shared" si="18"/>
        <v>DICIEMBRE</v>
      </c>
      <c r="M279" s="225">
        <v>45270</v>
      </c>
      <c r="N279" s="24" t="str">
        <f t="shared" si="19"/>
        <v>DOMINGO</v>
      </c>
      <c r="O279" s="101">
        <v>0.79861111111111116</v>
      </c>
      <c r="P279" s="57" t="s">
        <v>469</v>
      </c>
      <c r="Q279" s="57"/>
      <c r="R279" s="36">
        <f>COUNTIF(Tabla1[[#This Row],[VEHICULOS_ACCIDENTADOS]:[VEHICULOS_ACCIDENTADOS2]],"MOTOCICLETA")</f>
        <v>1</v>
      </c>
      <c r="S279" s="36">
        <f>COUNTIF(Tabla1[[#This Row],[VEHICULOS_ACCIDENTADOS]:[VEHICULOS_ACCIDENTADOS2]],"MOTOCARRO")</f>
        <v>0</v>
      </c>
      <c r="T279" s="36">
        <f>COUNTIF(Tabla1[[#This Row],[VEHICULOS_ACCIDENTADOS]:[VEHICULOS_ACCIDENTADOS2]],"AUTOMOVIL")</f>
        <v>0</v>
      </c>
      <c r="U279" s="36">
        <f>COUNTIF(Tabla1[[#This Row],[VEHICULOS_ACCIDENTADOS]:[VEHICULOS_ACCIDENTADOS2]],"CAMPERO")</f>
        <v>0</v>
      </c>
      <c r="V279" s="36">
        <f>COUNTIF(Tabla1[[#This Row],[VEHICULOS_ACCIDENTADOS]:[VEHICULOS_ACCIDENTADOS2]],"CAMIONETA")</f>
        <v>0</v>
      </c>
      <c r="W279" s="36">
        <f>COUNTIF(Tabla1[[#This Row],[VEHICULOS_ACCIDENTADOS]:[VEHICULOS_ACCIDENTADOS2]],"MICROBUS")</f>
        <v>0</v>
      </c>
      <c r="X279" s="36">
        <f>COUNTIF(Tabla1[[#This Row],[VEHICULOS_ACCIDENTADOS]:[VEHICULOS_ACCIDENTADOS2]],"BUS")</f>
        <v>0</v>
      </c>
      <c r="Y279" s="36">
        <f>COUNTIF(Tabla1[[#This Row],[VEHICULOS_ACCIDENTADOS]:[VEHICULOS_ACCIDENTADOS2]],"BUSETA")</f>
        <v>0</v>
      </c>
      <c r="Z279" s="36">
        <f>COUNTIF(Tabla1[[#This Row],[VEHICULOS_ACCIDENTADOS]:[VEHICULOS_ACCIDENTADOS2]],"CAMION")</f>
        <v>0</v>
      </c>
      <c r="AA279" s="36">
        <f>COUNTIF(Tabla1[[#This Row],[VEHICULOS_ACCIDENTADOS]:[VEHICULOS_ACCIDENTADOS2]],"TRACTOCAMION")</f>
        <v>0</v>
      </c>
      <c r="AB279" s="36">
        <f>COUNTIF(Tabla1[[#This Row],[VEHICULOS_ACCIDENTADOS]:[VEHICULOS_ACCIDENTADOS2]],"VOLQUETA")</f>
        <v>0</v>
      </c>
      <c r="AC279" s="36">
        <f>COUNTIF(Tabla1[[#This Row],[VEHICULOS_ACCIDENTADOS]:[VEHICULOS_ACCIDENTADOS2]],"BICICLETA")</f>
        <v>0</v>
      </c>
      <c r="AD279" s="36" t="s">
        <v>471</v>
      </c>
      <c r="AE279" s="36" t="s">
        <v>472</v>
      </c>
      <c r="AF279" s="36">
        <f>COUNTIF(Tabla1[[#This Row],[GENERO_MASCULINO]:[GENERO_FEMENINO]],"MASCULINO")</f>
        <v>1</v>
      </c>
      <c r="AG279" s="36">
        <f>COUNTIF(Tabla1[[#This Row],[GENERO_MASCULINO]:[GENERO_FEMENINO]],"FEMENINO")</f>
        <v>1</v>
      </c>
      <c r="AH279" s="61">
        <v>32</v>
      </c>
      <c r="AI279" s="61">
        <v>44</v>
      </c>
      <c r="AJ279" s="61"/>
      <c r="AK279" s="61"/>
      <c r="AL279" s="61">
        <v>28</v>
      </c>
      <c r="AM279" s="36"/>
      <c r="AN279" s="61">
        <v>114</v>
      </c>
      <c r="AO279" s="36" t="str">
        <f>IFERROR(((VLOOKUP(Tabla1[[#This Row],[HIPOTESIS_1]],listas!$D$1:$E$105,2,FALSE))),"SIN INFORMACIÓN")</f>
        <v>Embriaguez aparente.</v>
      </c>
      <c r="AP279" s="36">
        <v>139</v>
      </c>
      <c r="AQ279" s="36" t="str">
        <f>IFERROR(((VLOOKUP(Tabla1[[#This Row],[HIPOTESIS_2]],listas!$D$1:$E$105,2,FALSE))),"")</f>
        <v>Impericia en el manejo.</v>
      </c>
      <c r="AR279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280" spans="1:44" x14ac:dyDescent="0.25">
      <c r="A280" s="12">
        <v>401</v>
      </c>
      <c r="B280" s="36">
        <v>0</v>
      </c>
      <c r="C280" s="36">
        <v>4</v>
      </c>
      <c r="D280" s="36">
        <v>0</v>
      </c>
      <c r="E280" s="18" t="str">
        <f t="shared" si="16"/>
        <v>LESIONADO</v>
      </c>
      <c r="F280" s="36" t="s">
        <v>778</v>
      </c>
      <c r="G280" s="21">
        <v>5.3127424999999997</v>
      </c>
      <c r="H280" s="21">
        <v>-72.265044444444442</v>
      </c>
      <c r="I280" s="93" t="s">
        <v>697</v>
      </c>
      <c r="J280" s="36" t="s">
        <v>1</v>
      </c>
      <c r="K280" s="24" t="str">
        <f t="shared" si="17"/>
        <v>2023</v>
      </c>
      <c r="L280" s="24" t="str">
        <f t="shared" si="18"/>
        <v>FEBRERO</v>
      </c>
      <c r="M280" s="225">
        <v>44959</v>
      </c>
      <c r="N280" s="24" t="str">
        <f t="shared" si="19"/>
        <v>JUEVES</v>
      </c>
      <c r="O280" s="101">
        <v>0.93055555555555503</v>
      </c>
      <c r="P280" s="57" t="s">
        <v>469</v>
      </c>
      <c r="Q280" s="57" t="s">
        <v>469</v>
      </c>
      <c r="R280" s="36">
        <f>COUNTIF(Tabla1[[#This Row],[VEHICULOS_ACCIDENTADOS]:[VEHICULOS_ACCIDENTADOS2]],"MOTOCICLETA")</f>
        <v>2</v>
      </c>
      <c r="S280" s="36">
        <f>COUNTIF(Tabla1[[#This Row],[VEHICULOS_ACCIDENTADOS]:[VEHICULOS_ACCIDENTADOS2]],"MOTOCARRO")</f>
        <v>0</v>
      </c>
      <c r="T280" s="36">
        <f>COUNTIF(Tabla1[[#This Row],[VEHICULOS_ACCIDENTADOS]:[VEHICULOS_ACCIDENTADOS2]],"AUTOMOVIL")</f>
        <v>0</v>
      </c>
      <c r="U280" s="36">
        <f>COUNTIF(Tabla1[[#This Row],[VEHICULOS_ACCIDENTADOS]:[VEHICULOS_ACCIDENTADOS2]],"CAMPERO")</f>
        <v>0</v>
      </c>
      <c r="V280" s="36">
        <f>COUNTIF(Tabla1[[#This Row],[VEHICULOS_ACCIDENTADOS]:[VEHICULOS_ACCIDENTADOS2]],"CAMIONETA")</f>
        <v>0</v>
      </c>
      <c r="W280" s="36">
        <f>COUNTIF(Tabla1[[#This Row],[VEHICULOS_ACCIDENTADOS]:[VEHICULOS_ACCIDENTADOS2]],"MICROBUS")</f>
        <v>0</v>
      </c>
      <c r="X280" s="36">
        <f>COUNTIF(Tabla1[[#This Row],[VEHICULOS_ACCIDENTADOS]:[VEHICULOS_ACCIDENTADOS2]],"BUS")</f>
        <v>0</v>
      </c>
      <c r="Y280" s="36">
        <f>COUNTIF(Tabla1[[#This Row],[VEHICULOS_ACCIDENTADOS]:[VEHICULOS_ACCIDENTADOS2]],"BUSETA")</f>
        <v>0</v>
      </c>
      <c r="Z280" s="36">
        <f>COUNTIF(Tabla1[[#This Row],[VEHICULOS_ACCIDENTADOS]:[VEHICULOS_ACCIDENTADOS2]],"CAMION")</f>
        <v>0</v>
      </c>
      <c r="AA280" s="36">
        <f>COUNTIF(Tabla1[[#This Row],[VEHICULOS_ACCIDENTADOS]:[VEHICULOS_ACCIDENTADOS2]],"TRACTOCAMION")</f>
        <v>0</v>
      </c>
      <c r="AB280" s="36">
        <f>COUNTIF(Tabla1[[#This Row],[VEHICULOS_ACCIDENTADOS]:[VEHICULOS_ACCIDENTADOS2]],"VOLQUETA")</f>
        <v>0</v>
      </c>
      <c r="AC280" s="36">
        <f>COUNTIF(Tabla1[[#This Row],[VEHICULOS_ACCIDENTADOS]:[VEHICULOS_ACCIDENTADOS2]],"BICICLETA")</f>
        <v>0</v>
      </c>
      <c r="AD280" s="36" t="s">
        <v>471</v>
      </c>
      <c r="AE280" s="36" t="s">
        <v>472</v>
      </c>
      <c r="AF280" s="36">
        <f>COUNTIF(Tabla1[[#This Row],[GENERO_MASCULINO]:[GENERO_FEMENINO]],"MASCULINO")</f>
        <v>1</v>
      </c>
      <c r="AG280" s="36">
        <f>COUNTIF(Tabla1[[#This Row],[GENERO_MASCULINO]:[GENERO_FEMENINO]],"FEMENINO")</f>
        <v>1</v>
      </c>
      <c r="AH280" s="61">
        <v>21</v>
      </c>
      <c r="AI280" s="61">
        <v>20</v>
      </c>
      <c r="AJ280" s="61"/>
      <c r="AK280" s="61"/>
      <c r="AL280" s="61">
        <v>20</v>
      </c>
      <c r="AM280" s="36"/>
      <c r="AN280" s="61">
        <v>157</v>
      </c>
      <c r="AO280" s="36" t="str">
        <f>IFERROR(((VLOOKUP(Tabla1[[#This Row],[HIPOTESIS_1]],listas!$D$1:$E$105,2,FALSE))),"SIN INFORMACIÓN")</f>
        <v>Otra</v>
      </c>
      <c r="AP280" s="36">
        <v>139</v>
      </c>
      <c r="AQ280" s="36" t="str">
        <f>IFERROR(((VLOOKUP(Tabla1[[#This Row],[HIPOTESIS_2]],listas!$D$1:$E$105,2,FALSE))),"")</f>
        <v>Impericia en el manejo.</v>
      </c>
      <c r="AR280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281" spans="1:44" x14ac:dyDescent="0.25">
      <c r="A281" s="12">
        <v>823</v>
      </c>
      <c r="B281" s="136">
        <v>0</v>
      </c>
      <c r="C281" s="136">
        <v>1</v>
      </c>
      <c r="D281" s="141">
        <v>2</v>
      </c>
      <c r="E281" s="18" t="str">
        <f t="shared" si="16"/>
        <v>FALLECIDO</v>
      </c>
      <c r="F281" s="26" t="s">
        <v>786</v>
      </c>
      <c r="G281" s="21">
        <v>5.2309952777777777</v>
      </c>
      <c r="H281" s="21">
        <v>-72.387313333333339</v>
      </c>
      <c r="I281" s="93" t="s">
        <v>697</v>
      </c>
      <c r="J281" s="36" t="s">
        <v>717</v>
      </c>
      <c r="K281" s="24" t="str">
        <f t="shared" si="17"/>
        <v>2024</v>
      </c>
      <c r="L281" s="24" t="str">
        <f t="shared" si="18"/>
        <v>NOVIEMBRE</v>
      </c>
      <c r="M281" s="224">
        <v>45621</v>
      </c>
      <c r="N281" s="24" t="str">
        <f t="shared" si="19"/>
        <v>LUNES</v>
      </c>
      <c r="O281" s="171">
        <v>0.69791666666666663</v>
      </c>
      <c r="P281" s="178" t="s">
        <v>469</v>
      </c>
      <c r="Q281" s="178"/>
      <c r="R281" s="36">
        <f>COUNTIF(Tabla1[[#This Row],[VEHICULOS_ACCIDENTADOS]:[VEHICULOS_ACCIDENTADOS2]],"MOTOCICLETA")</f>
        <v>1</v>
      </c>
      <c r="S281" s="36">
        <f>COUNTIF(Tabla1[[#This Row],[VEHICULOS_ACCIDENTADOS]:[VEHICULOS_ACCIDENTADOS2]],"MOTOCARRO")</f>
        <v>0</v>
      </c>
      <c r="T281" s="36">
        <f>COUNTIF(Tabla1[[#This Row],[VEHICULOS_ACCIDENTADOS]:[VEHICULOS_ACCIDENTADOS2]],"AUTOMOVIL")</f>
        <v>0</v>
      </c>
      <c r="U281" s="36">
        <f>COUNTIF(Tabla1[[#This Row],[VEHICULOS_ACCIDENTADOS]:[VEHICULOS_ACCIDENTADOS2]],"CAMPERO")</f>
        <v>0</v>
      </c>
      <c r="V281" s="36">
        <f>COUNTIF(Tabla1[[#This Row],[VEHICULOS_ACCIDENTADOS]:[VEHICULOS_ACCIDENTADOS2]],"CAMIONETA")</f>
        <v>0</v>
      </c>
      <c r="W281" s="36">
        <f>COUNTIF(Tabla1[[#This Row],[VEHICULOS_ACCIDENTADOS]:[VEHICULOS_ACCIDENTADOS2]],"MICROBUS")</f>
        <v>0</v>
      </c>
      <c r="X281" s="36">
        <f>COUNTIF(Tabla1[[#This Row],[VEHICULOS_ACCIDENTADOS]:[VEHICULOS_ACCIDENTADOS2]],"BUS")</f>
        <v>0</v>
      </c>
      <c r="Y281" s="36">
        <f>COUNTIF(Tabla1[[#This Row],[VEHICULOS_ACCIDENTADOS]:[VEHICULOS_ACCIDENTADOS2]],"BUSETA")</f>
        <v>0</v>
      </c>
      <c r="Z281" s="36">
        <f>COUNTIF(Tabla1[[#This Row],[VEHICULOS_ACCIDENTADOS]:[VEHICULOS_ACCIDENTADOS2]],"CAMION")</f>
        <v>0</v>
      </c>
      <c r="AA281" s="36">
        <f>COUNTIF(Tabla1[[#This Row],[VEHICULOS_ACCIDENTADOS]:[VEHICULOS_ACCIDENTADOS2]],"TRACTOCAMION")</f>
        <v>0</v>
      </c>
      <c r="AB281" s="36">
        <f>COUNTIF(Tabla1[[#This Row],[VEHICULOS_ACCIDENTADOS]:[VEHICULOS_ACCIDENTADOS2]],"VOLQUETA")</f>
        <v>0</v>
      </c>
      <c r="AC281" s="36">
        <f>COUNTIF(Tabla1[[#This Row],[VEHICULOS_ACCIDENTADOS]:[VEHICULOS_ACCIDENTADOS2]],"BICICLETA")</f>
        <v>0</v>
      </c>
      <c r="AD281" s="136" t="s">
        <v>471</v>
      </c>
      <c r="AE281" s="136" t="s">
        <v>472</v>
      </c>
      <c r="AF281" s="136">
        <f>COUNTIF(Tabla1[[#This Row],[GENERO_MASCULINO]:[GENERO_FEMENINO]],"MASCULINO")</f>
        <v>1</v>
      </c>
      <c r="AG281" s="36">
        <f>COUNTIF(Tabla1[[#This Row],[GENERO_MASCULINO]:[GENERO_FEMENINO]],"FEMENINO")</f>
        <v>1</v>
      </c>
      <c r="AH281" s="85"/>
      <c r="AI281" s="85"/>
      <c r="AJ281" s="85"/>
      <c r="AK281" s="85"/>
      <c r="AL281" s="85"/>
      <c r="AM281" s="136"/>
      <c r="AN281" s="85">
        <v>157</v>
      </c>
      <c r="AO281" s="36" t="str">
        <f>IFERROR(((VLOOKUP(Tabla1[[#This Row],[HIPOTESIS_1]],listas!$D$1:$E$105,2,FALSE))),"SIN INFORMACIÓN")</f>
        <v>Otra</v>
      </c>
      <c r="AP281" s="136">
        <v>139</v>
      </c>
      <c r="AQ281" s="36" t="str">
        <f>IFERROR(((VLOOKUP(Tabla1[[#This Row],[HIPOTESIS_2]],listas!$D$1:$E$105,2,FALSE))),"")</f>
        <v>Impericia en el manejo.</v>
      </c>
      <c r="AR281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282" spans="1:44" x14ac:dyDescent="0.25">
      <c r="A282" s="12">
        <v>178</v>
      </c>
      <c r="B282" s="36">
        <v>0</v>
      </c>
      <c r="C282" s="36">
        <v>2</v>
      </c>
      <c r="D282" s="36">
        <v>0</v>
      </c>
      <c r="E282" s="18" t="str">
        <f t="shared" si="16"/>
        <v>LESIONADO</v>
      </c>
      <c r="F282" s="154" t="s">
        <v>368</v>
      </c>
      <c r="G282" s="17">
        <v>5.2184805555555558</v>
      </c>
      <c r="H282" s="17">
        <v>-72.383572222222227</v>
      </c>
      <c r="I282" s="93" t="s">
        <v>697</v>
      </c>
      <c r="J282" s="36" t="s">
        <v>717</v>
      </c>
      <c r="K282" s="24" t="str">
        <f t="shared" si="17"/>
        <v>2022</v>
      </c>
      <c r="L282" s="24" t="str">
        <f t="shared" si="18"/>
        <v>MAYO</v>
      </c>
      <c r="M282" s="225">
        <v>44692</v>
      </c>
      <c r="N282" s="24" t="str">
        <f t="shared" si="19"/>
        <v>MIÉRCOLES</v>
      </c>
      <c r="O282" s="102">
        <v>0.33333333333333298</v>
      </c>
      <c r="P282" s="53" t="s">
        <v>469</v>
      </c>
      <c r="Q282" s="53" t="s">
        <v>468</v>
      </c>
      <c r="R282" s="36">
        <f>COUNTIF(Tabla1[[#This Row],[VEHICULOS_ACCIDENTADOS]:[VEHICULOS_ACCIDENTADOS2]],"MOTOCICLETA")</f>
        <v>1</v>
      </c>
      <c r="S282" s="36">
        <f>COUNTIF(Tabla1[[#This Row],[VEHICULOS_ACCIDENTADOS]:[VEHICULOS_ACCIDENTADOS2]],"MOTOCARRO")</f>
        <v>1</v>
      </c>
      <c r="T282" s="36">
        <f>COUNTIF(Tabla1[[#This Row],[VEHICULOS_ACCIDENTADOS]:[VEHICULOS_ACCIDENTADOS2]],"AUTOMOVIL")</f>
        <v>0</v>
      </c>
      <c r="U282" s="36">
        <f>COUNTIF(Tabla1[[#This Row],[VEHICULOS_ACCIDENTADOS]:[VEHICULOS_ACCIDENTADOS2]],"CAMPERO")</f>
        <v>0</v>
      </c>
      <c r="V282" s="36">
        <f>COUNTIF(Tabla1[[#This Row],[VEHICULOS_ACCIDENTADOS]:[VEHICULOS_ACCIDENTADOS2]],"CAMIONETA")</f>
        <v>0</v>
      </c>
      <c r="W282" s="36">
        <f>COUNTIF(Tabla1[[#This Row],[VEHICULOS_ACCIDENTADOS]:[VEHICULOS_ACCIDENTADOS2]],"MICROBUS")</f>
        <v>0</v>
      </c>
      <c r="X282" s="36">
        <f>COUNTIF(Tabla1[[#This Row],[VEHICULOS_ACCIDENTADOS]:[VEHICULOS_ACCIDENTADOS2]],"BUS")</f>
        <v>0</v>
      </c>
      <c r="Y282" s="36">
        <f>COUNTIF(Tabla1[[#This Row],[VEHICULOS_ACCIDENTADOS]:[VEHICULOS_ACCIDENTADOS2]],"BUSETA")</f>
        <v>0</v>
      </c>
      <c r="Z282" s="36">
        <f>COUNTIF(Tabla1[[#This Row],[VEHICULOS_ACCIDENTADOS]:[VEHICULOS_ACCIDENTADOS2]],"CAMION")</f>
        <v>0</v>
      </c>
      <c r="AA282" s="36">
        <f>COUNTIF(Tabla1[[#This Row],[VEHICULOS_ACCIDENTADOS]:[VEHICULOS_ACCIDENTADOS2]],"TRACTOCAMION")</f>
        <v>0</v>
      </c>
      <c r="AB282" s="36">
        <f>COUNTIF(Tabla1[[#This Row],[VEHICULOS_ACCIDENTADOS]:[VEHICULOS_ACCIDENTADOS2]],"VOLQUETA")</f>
        <v>0</v>
      </c>
      <c r="AC282" s="36">
        <f>COUNTIF(Tabla1[[#This Row],[VEHICULOS_ACCIDENTADOS]:[VEHICULOS_ACCIDENTADOS2]],"BICICLETA")</f>
        <v>0</v>
      </c>
      <c r="AD282" s="36" t="s">
        <v>471</v>
      </c>
      <c r="AE282" s="36"/>
      <c r="AF282" s="36">
        <f>COUNTIF(Tabla1[[#This Row],[GENERO_MASCULINO]:[GENERO_FEMENINO]],"MASCULINO")</f>
        <v>1</v>
      </c>
      <c r="AG282" s="36">
        <f>COUNTIF(Tabla1[[#This Row],[GENERO_MASCULINO]:[GENERO_FEMENINO]],"FEMENINO")</f>
        <v>0</v>
      </c>
      <c r="AH282" s="61">
        <v>24</v>
      </c>
      <c r="AI282" s="61">
        <v>66</v>
      </c>
      <c r="AJ282" s="61"/>
      <c r="AK282" s="61"/>
      <c r="AL282" s="61"/>
      <c r="AM282" s="36"/>
      <c r="AN282" s="61">
        <v>123</v>
      </c>
      <c r="AO282" s="36" t="str">
        <f>IFERROR(((VLOOKUP(Tabla1[[#This Row],[HIPOTESIS_1]],listas!$D$1:$E$105,2,FALSE))),"SIN INFORMACIÓN")</f>
        <v>No respetar prelación de intersecciones o giros.</v>
      </c>
      <c r="AP282" s="36">
        <v>139</v>
      </c>
      <c r="AQ282" s="36" t="str">
        <f>IFERROR(((VLOOKUP(Tabla1[[#This Row],[HIPOTESIS_2]],listas!$D$1:$E$105,2,FALSE))),"")</f>
        <v>Impericia en el manejo.</v>
      </c>
      <c r="AR282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283" spans="1:44" x14ac:dyDescent="0.25">
      <c r="A283" s="12">
        <v>5</v>
      </c>
      <c r="B283" s="36">
        <v>0</v>
      </c>
      <c r="C283" s="36">
        <v>2</v>
      </c>
      <c r="D283" s="36">
        <v>0</v>
      </c>
      <c r="E283" s="18" t="str">
        <f t="shared" si="16"/>
        <v>LESIONADO</v>
      </c>
      <c r="F283" s="154" t="s">
        <v>437</v>
      </c>
      <c r="G283" s="17">
        <v>5.2000147222222228</v>
      </c>
      <c r="H283" s="17">
        <v>-72.358561388888887</v>
      </c>
      <c r="I283" s="93" t="s">
        <v>697</v>
      </c>
      <c r="J283" s="36" t="s">
        <v>1</v>
      </c>
      <c r="K283" s="24" t="str">
        <f t="shared" si="17"/>
        <v>2022</v>
      </c>
      <c r="L283" s="24" t="str">
        <f t="shared" si="18"/>
        <v>ENERO</v>
      </c>
      <c r="M283" s="225">
        <v>44570</v>
      </c>
      <c r="N283" s="24" t="str">
        <f t="shared" si="19"/>
        <v>DOMINGO</v>
      </c>
      <c r="O283" s="101">
        <v>0.8125</v>
      </c>
      <c r="P283" s="63" t="s">
        <v>469</v>
      </c>
      <c r="Q283" s="63" t="s">
        <v>469</v>
      </c>
      <c r="R283" s="36">
        <f>COUNTIF(Tabla1[[#This Row],[VEHICULOS_ACCIDENTADOS]:[VEHICULOS_ACCIDENTADOS2]],"MOTOCICLETA")</f>
        <v>2</v>
      </c>
      <c r="S283" s="36">
        <f>COUNTIF(Tabla1[[#This Row],[VEHICULOS_ACCIDENTADOS]:[VEHICULOS_ACCIDENTADOS2]],"MOTOCARRO")</f>
        <v>0</v>
      </c>
      <c r="T283" s="36">
        <f>COUNTIF(Tabla1[[#This Row],[VEHICULOS_ACCIDENTADOS]:[VEHICULOS_ACCIDENTADOS2]],"AUTOMOVIL")</f>
        <v>0</v>
      </c>
      <c r="U283" s="36">
        <f>COUNTIF(Tabla1[[#This Row],[VEHICULOS_ACCIDENTADOS]:[VEHICULOS_ACCIDENTADOS2]],"CAMPERO")</f>
        <v>0</v>
      </c>
      <c r="V283" s="36">
        <f>COUNTIF(Tabla1[[#This Row],[VEHICULOS_ACCIDENTADOS]:[VEHICULOS_ACCIDENTADOS2]],"CAMIONETA")</f>
        <v>0</v>
      </c>
      <c r="W283" s="36">
        <f>COUNTIF(Tabla1[[#This Row],[VEHICULOS_ACCIDENTADOS]:[VEHICULOS_ACCIDENTADOS2]],"MICROBUS")</f>
        <v>0</v>
      </c>
      <c r="X283" s="36">
        <f>COUNTIF(Tabla1[[#This Row],[VEHICULOS_ACCIDENTADOS]:[VEHICULOS_ACCIDENTADOS2]],"BUS")</f>
        <v>0</v>
      </c>
      <c r="Y283" s="36">
        <f>COUNTIF(Tabla1[[#This Row],[VEHICULOS_ACCIDENTADOS]:[VEHICULOS_ACCIDENTADOS2]],"BUSETA")</f>
        <v>0</v>
      </c>
      <c r="Z283" s="36">
        <f>COUNTIF(Tabla1[[#This Row],[VEHICULOS_ACCIDENTADOS]:[VEHICULOS_ACCIDENTADOS2]],"CAMION")</f>
        <v>0</v>
      </c>
      <c r="AA283" s="36">
        <f>COUNTIF(Tabla1[[#This Row],[VEHICULOS_ACCIDENTADOS]:[VEHICULOS_ACCIDENTADOS2]],"TRACTOCAMION")</f>
        <v>0</v>
      </c>
      <c r="AB283" s="36">
        <f>COUNTIF(Tabla1[[#This Row],[VEHICULOS_ACCIDENTADOS]:[VEHICULOS_ACCIDENTADOS2]],"VOLQUETA")</f>
        <v>0</v>
      </c>
      <c r="AC283" s="36">
        <f>COUNTIF(Tabla1[[#This Row],[VEHICULOS_ACCIDENTADOS]:[VEHICULOS_ACCIDENTADOS2]],"BICICLETA")</f>
        <v>0</v>
      </c>
      <c r="AD283" s="36" t="s">
        <v>471</v>
      </c>
      <c r="AE283" s="36"/>
      <c r="AF283" s="36">
        <f>COUNTIF(Tabla1[[#This Row],[GENERO_MASCULINO]:[GENERO_FEMENINO]],"MASCULINO")</f>
        <v>1</v>
      </c>
      <c r="AG283" s="36">
        <f>COUNTIF(Tabla1[[#This Row],[GENERO_MASCULINO]:[GENERO_FEMENINO]],"FEMENINO")</f>
        <v>0</v>
      </c>
      <c r="AH283" s="61">
        <v>31</v>
      </c>
      <c r="AI283" s="61">
        <v>28</v>
      </c>
      <c r="AJ283" s="61"/>
      <c r="AK283" s="61"/>
      <c r="AL283" s="61"/>
      <c r="AM283" s="36"/>
      <c r="AN283" s="61">
        <v>139</v>
      </c>
      <c r="AO283" s="36" t="str">
        <f>IFERROR(((VLOOKUP(Tabla1[[#This Row],[HIPOTESIS_1]],listas!$D$1:$E$105,2,FALSE))),"SIN INFORMACIÓN")</f>
        <v>Impericia en el manejo.</v>
      </c>
      <c r="AP283" s="36">
        <v>139</v>
      </c>
      <c r="AQ283" s="36" t="str">
        <f>IFERROR(((VLOOKUP(Tabla1[[#This Row],[HIPOTESIS_2]],listas!$D$1:$E$105,2,FALSE))),"")</f>
        <v>Impericia en el manejo.</v>
      </c>
      <c r="AR283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284" spans="1:44" ht="15" x14ac:dyDescent="0.25">
      <c r="A284" s="12">
        <v>62</v>
      </c>
      <c r="B284" s="36">
        <v>0</v>
      </c>
      <c r="C284" s="36">
        <v>3</v>
      </c>
      <c r="D284" s="36">
        <v>0</v>
      </c>
      <c r="E284" s="18" t="str">
        <f t="shared" si="16"/>
        <v>LESIONADO</v>
      </c>
      <c r="F284" s="153" t="s">
        <v>418</v>
      </c>
      <c r="G284" s="17">
        <v>5.3027499999999996</v>
      </c>
      <c r="H284" s="17">
        <v>-72.403122222222223</v>
      </c>
      <c r="I284" s="93" t="s">
        <v>697</v>
      </c>
      <c r="J284" s="36" t="s">
        <v>717</v>
      </c>
      <c r="K284" s="24" t="str">
        <f t="shared" si="17"/>
        <v>2022</v>
      </c>
      <c r="L284" s="24" t="str">
        <f t="shared" si="18"/>
        <v>FEBRERO</v>
      </c>
      <c r="M284" s="225">
        <v>44611</v>
      </c>
      <c r="N284" s="24" t="str">
        <f t="shared" si="19"/>
        <v>SÁBADO</v>
      </c>
      <c r="O284" s="101">
        <v>0.81944444444444497</v>
      </c>
      <c r="P284" s="63" t="s">
        <v>469</v>
      </c>
      <c r="Q284" s="63" t="s">
        <v>469</v>
      </c>
      <c r="R284" s="36">
        <f>COUNTIF(Tabla1[[#This Row],[VEHICULOS_ACCIDENTADOS]:[VEHICULOS_ACCIDENTADOS2]],"MOTOCICLETA")</f>
        <v>2</v>
      </c>
      <c r="S284" s="36">
        <f>COUNTIF(Tabla1[[#This Row],[VEHICULOS_ACCIDENTADOS]:[VEHICULOS_ACCIDENTADOS2]],"MOTOCARRO")</f>
        <v>0</v>
      </c>
      <c r="T284" s="36">
        <f>COUNTIF(Tabla1[[#This Row],[VEHICULOS_ACCIDENTADOS]:[VEHICULOS_ACCIDENTADOS2]],"AUTOMOVIL")</f>
        <v>0</v>
      </c>
      <c r="U284" s="36">
        <f>COUNTIF(Tabla1[[#This Row],[VEHICULOS_ACCIDENTADOS]:[VEHICULOS_ACCIDENTADOS2]],"CAMPERO")</f>
        <v>0</v>
      </c>
      <c r="V284" s="36">
        <f>COUNTIF(Tabla1[[#This Row],[VEHICULOS_ACCIDENTADOS]:[VEHICULOS_ACCIDENTADOS2]],"CAMIONETA")</f>
        <v>0</v>
      </c>
      <c r="W284" s="36">
        <f>COUNTIF(Tabla1[[#This Row],[VEHICULOS_ACCIDENTADOS]:[VEHICULOS_ACCIDENTADOS2]],"MICROBUS")</f>
        <v>0</v>
      </c>
      <c r="X284" s="36">
        <f>COUNTIF(Tabla1[[#This Row],[VEHICULOS_ACCIDENTADOS]:[VEHICULOS_ACCIDENTADOS2]],"BUS")</f>
        <v>0</v>
      </c>
      <c r="Y284" s="36">
        <f>COUNTIF(Tabla1[[#This Row],[VEHICULOS_ACCIDENTADOS]:[VEHICULOS_ACCIDENTADOS2]],"BUSETA")</f>
        <v>0</v>
      </c>
      <c r="Z284" s="36">
        <f>COUNTIF(Tabla1[[#This Row],[VEHICULOS_ACCIDENTADOS]:[VEHICULOS_ACCIDENTADOS2]],"CAMION")</f>
        <v>0</v>
      </c>
      <c r="AA284" s="36">
        <f>COUNTIF(Tabla1[[#This Row],[VEHICULOS_ACCIDENTADOS]:[VEHICULOS_ACCIDENTADOS2]],"TRACTOCAMION")</f>
        <v>0</v>
      </c>
      <c r="AB284" s="36">
        <f>COUNTIF(Tabla1[[#This Row],[VEHICULOS_ACCIDENTADOS]:[VEHICULOS_ACCIDENTADOS2]],"VOLQUETA")</f>
        <v>0</v>
      </c>
      <c r="AC284" s="36">
        <f>COUNTIF(Tabla1[[#This Row],[VEHICULOS_ACCIDENTADOS]:[VEHICULOS_ACCIDENTADOS2]],"BICICLETA")</f>
        <v>0</v>
      </c>
      <c r="AD284" s="36" t="s">
        <v>471</v>
      </c>
      <c r="AE284" s="36" t="s">
        <v>472</v>
      </c>
      <c r="AF284" s="36">
        <f>COUNTIF(Tabla1[[#This Row],[GENERO_MASCULINO]:[GENERO_FEMENINO]],"MASCULINO")</f>
        <v>1</v>
      </c>
      <c r="AG284" s="36">
        <f>COUNTIF(Tabla1[[#This Row],[GENERO_MASCULINO]:[GENERO_FEMENINO]],"FEMENINO")</f>
        <v>1</v>
      </c>
      <c r="AH284" s="61">
        <v>27</v>
      </c>
      <c r="AI284" s="61">
        <v>41</v>
      </c>
      <c r="AJ284" s="61"/>
      <c r="AK284" s="61"/>
      <c r="AL284" s="61">
        <v>11</v>
      </c>
      <c r="AM284" s="36"/>
      <c r="AN284" s="61">
        <v>116</v>
      </c>
      <c r="AO284" s="36" t="str">
        <f>IFERROR(((VLOOKUP(Tabla1[[#This Row],[HIPOTESIS_1]],listas!$D$1:$E$105,2,FALSE))),"SIN INFORMACIÓN")</f>
        <v>Exceso de velocidad</v>
      </c>
      <c r="AP284" s="36">
        <v>139</v>
      </c>
      <c r="AQ284" s="36" t="str">
        <f>IFERROR(((VLOOKUP(Tabla1[[#This Row],[HIPOTESIS_2]],listas!$D$1:$E$105,2,FALSE))),"")</f>
        <v>Impericia en el manejo.</v>
      </c>
      <c r="AR284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285" spans="1:44" x14ac:dyDescent="0.25">
      <c r="A285" s="12">
        <v>255</v>
      </c>
      <c r="B285" s="36">
        <v>0</v>
      </c>
      <c r="C285" s="36">
        <v>1</v>
      </c>
      <c r="D285" s="36">
        <v>0</v>
      </c>
      <c r="E285" s="18" t="str">
        <f t="shared" si="16"/>
        <v>LESIONADO</v>
      </c>
      <c r="F285" s="154" t="s">
        <v>339</v>
      </c>
      <c r="G285" s="17">
        <v>5.3925219444444448</v>
      </c>
      <c r="H285" s="17">
        <v>-72.426863333333344</v>
      </c>
      <c r="I285" s="93" t="s">
        <v>697</v>
      </c>
      <c r="J285" s="36" t="s">
        <v>1</v>
      </c>
      <c r="K285" s="24" t="str">
        <f t="shared" si="17"/>
        <v>2022</v>
      </c>
      <c r="L285" s="24" t="str">
        <f t="shared" si="18"/>
        <v>JULIO</v>
      </c>
      <c r="M285" s="225">
        <v>44761</v>
      </c>
      <c r="N285" s="24" t="str">
        <f t="shared" si="19"/>
        <v>MARTES</v>
      </c>
      <c r="O285" s="102">
        <v>0.75</v>
      </c>
      <c r="P285" s="53" t="s">
        <v>469</v>
      </c>
      <c r="Q285" s="53" t="s">
        <v>444</v>
      </c>
      <c r="R285" s="36">
        <f>COUNTIF(Tabla1[[#This Row],[VEHICULOS_ACCIDENTADOS]:[VEHICULOS_ACCIDENTADOS2]],"MOTOCICLETA")</f>
        <v>1</v>
      </c>
      <c r="S285" s="36">
        <f>COUNTIF(Tabla1[[#This Row],[VEHICULOS_ACCIDENTADOS]:[VEHICULOS_ACCIDENTADOS2]],"MOTOCARRO")</f>
        <v>0</v>
      </c>
      <c r="T285" s="36">
        <f>COUNTIF(Tabla1[[#This Row],[VEHICULOS_ACCIDENTADOS]:[VEHICULOS_ACCIDENTADOS2]],"AUTOMOVIL")</f>
        <v>0</v>
      </c>
      <c r="U285" s="36">
        <f>COUNTIF(Tabla1[[#This Row],[VEHICULOS_ACCIDENTADOS]:[VEHICULOS_ACCIDENTADOS2]],"CAMPERO")</f>
        <v>0</v>
      </c>
      <c r="V285" s="36">
        <f>COUNTIF(Tabla1[[#This Row],[VEHICULOS_ACCIDENTADOS]:[VEHICULOS_ACCIDENTADOS2]],"CAMIONETA")</f>
        <v>0</v>
      </c>
      <c r="W285" s="36">
        <f>COUNTIF(Tabla1[[#This Row],[VEHICULOS_ACCIDENTADOS]:[VEHICULOS_ACCIDENTADOS2]],"MICROBUS")</f>
        <v>1</v>
      </c>
      <c r="X285" s="36">
        <f>COUNTIF(Tabla1[[#This Row],[VEHICULOS_ACCIDENTADOS]:[VEHICULOS_ACCIDENTADOS2]],"BUS")</f>
        <v>0</v>
      </c>
      <c r="Y285" s="36">
        <f>COUNTIF(Tabla1[[#This Row],[VEHICULOS_ACCIDENTADOS]:[VEHICULOS_ACCIDENTADOS2]],"BUSETA")</f>
        <v>0</v>
      </c>
      <c r="Z285" s="36">
        <f>COUNTIF(Tabla1[[#This Row],[VEHICULOS_ACCIDENTADOS]:[VEHICULOS_ACCIDENTADOS2]],"CAMION")</f>
        <v>0</v>
      </c>
      <c r="AA285" s="36">
        <f>COUNTIF(Tabla1[[#This Row],[VEHICULOS_ACCIDENTADOS]:[VEHICULOS_ACCIDENTADOS2]],"TRACTOCAMION")</f>
        <v>0</v>
      </c>
      <c r="AB285" s="36">
        <f>COUNTIF(Tabla1[[#This Row],[VEHICULOS_ACCIDENTADOS]:[VEHICULOS_ACCIDENTADOS2]],"VOLQUETA")</f>
        <v>0</v>
      </c>
      <c r="AC285" s="36">
        <f>COUNTIF(Tabla1[[#This Row],[VEHICULOS_ACCIDENTADOS]:[VEHICULOS_ACCIDENTADOS2]],"BICICLETA")</f>
        <v>0</v>
      </c>
      <c r="AD285" s="36" t="s">
        <v>471</v>
      </c>
      <c r="AE285" s="36"/>
      <c r="AF285" s="36">
        <f>COUNTIF(Tabla1[[#This Row],[GENERO_MASCULINO]:[GENERO_FEMENINO]],"MASCULINO")</f>
        <v>1</v>
      </c>
      <c r="AG285" s="36">
        <f>COUNTIF(Tabla1[[#This Row],[GENERO_MASCULINO]:[GENERO_FEMENINO]],"FEMENINO")</f>
        <v>0</v>
      </c>
      <c r="AH285" s="61">
        <v>46</v>
      </c>
      <c r="AI285" s="61"/>
      <c r="AJ285" s="78"/>
      <c r="AK285" s="61"/>
      <c r="AL285" s="61"/>
      <c r="AM285" s="36"/>
      <c r="AN285" s="61">
        <v>104</v>
      </c>
      <c r="AO285" s="36" t="str">
        <f>IFERROR(((VLOOKUP(Tabla1[[#This Row],[HIPOTESIS_1]],listas!$D$1:$E$105,2,FALSE))),"SIN INFORMACIÓN")</f>
        <v>Adelantar invadiendo carril de sentido contrario.</v>
      </c>
      <c r="AP285" s="36">
        <v>139</v>
      </c>
      <c r="AQ285" s="36" t="str">
        <f>IFERROR(((VLOOKUP(Tabla1[[#This Row],[HIPOTESIS_2]],listas!$D$1:$E$105,2,FALSE))),"")</f>
        <v>Impericia en el manejo.</v>
      </c>
      <c r="AR285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286" spans="1:44" x14ac:dyDescent="0.25">
      <c r="A286" s="12">
        <v>22</v>
      </c>
      <c r="B286" s="36">
        <v>0</v>
      </c>
      <c r="C286" s="36">
        <v>1</v>
      </c>
      <c r="D286" s="36">
        <v>0</v>
      </c>
      <c r="E286" s="18" t="str">
        <f t="shared" si="16"/>
        <v>LESIONADO</v>
      </c>
      <c r="F286" s="212" t="s">
        <v>431</v>
      </c>
      <c r="G286" s="17">
        <v>5.1733527777777777</v>
      </c>
      <c r="H286" s="17">
        <v>-72.274497222222223</v>
      </c>
      <c r="I286" s="93" t="s">
        <v>697</v>
      </c>
      <c r="J286" s="36" t="s">
        <v>1</v>
      </c>
      <c r="K286" s="24" t="str">
        <f t="shared" si="17"/>
        <v>2022</v>
      </c>
      <c r="L286" s="24" t="str">
        <f t="shared" si="18"/>
        <v>ENERO</v>
      </c>
      <c r="M286" s="225">
        <v>44583</v>
      </c>
      <c r="N286" s="24" t="str">
        <f t="shared" si="19"/>
        <v>SÁBADO</v>
      </c>
      <c r="O286" s="101">
        <v>0.77083333333333337</v>
      </c>
      <c r="P286" s="63" t="s">
        <v>469</v>
      </c>
      <c r="Q286" s="63" t="s">
        <v>445</v>
      </c>
      <c r="R286" s="36">
        <f>COUNTIF(Tabla1[[#This Row],[VEHICULOS_ACCIDENTADOS]:[VEHICULOS_ACCIDENTADOS2]],"MOTOCICLETA")</f>
        <v>1</v>
      </c>
      <c r="S286" s="36">
        <f>COUNTIF(Tabla1[[#This Row],[VEHICULOS_ACCIDENTADOS]:[VEHICULOS_ACCIDENTADOS2]],"MOTOCARRO")</f>
        <v>0</v>
      </c>
      <c r="T286" s="36">
        <f>COUNTIF(Tabla1[[#This Row],[VEHICULOS_ACCIDENTADOS]:[VEHICULOS_ACCIDENTADOS2]],"AUTOMOVIL")</f>
        <v>0</v>
      </c>
      <c r="U286" s="36">
        <f>COUNTIF(Tabla1[[#This Row],[VEHICULOS_ACCIDENTADOS]:[VEHICULOS_ACCIDENTADOS2]],"CAMPERO")</f>
        <v>0</v>
      </c>
      <c r="V286" s="36">
        <f>COUNTIF(Tabla1[[#This Row],[VEHICULOS_ACCIDENTADOS]:[VEHICULOS_ACCIDENTADOS2]],"CAMIONETA")</f>
        <v>1</v>
      </c>
      <c r="W286" s="36">
        <f>COUNTIF(Tabla1[[#This Row],[VEHICULOS_ACCIDENTADOS]:[VEHICULOS_ACCIDENTADOS2]],"MICROBUS")</f>
        <v>0</v>
      </c>
      <c r="X286" s="36">
        <f>COUNTIF(Tabla1[[#This Row],[VEHICULOS_ACCIDENTADOS]:[VEHICULOS_ACCIDENTADOS2]],"BUS")</f>
        <v>0</v>
      </c>
      <c r="Y286" s="36">
        <f>COUNTIF(Tabla1[[#This Row],[VEHICULOS_ACCIDENTADOS]:[VEHICULOS_ACCIDENTADOS2]],"BUSETA")</f>
        <v>0</v>
      </c>
      <c r="Z286" s="36">
        <f>COUNTIF(Tabla1[[#This Row],[VEHICULOS_ACCIDENTADOS]:[VEHICULOS_ACCIDENTADOS2]],"CAMION")</f>
        <v>0</v>
      </c>
      <c r="AA286" s="36">
        <f>COUNTIF(Tabla1[[#This Row],[VEHICULOS_ACCIDENTADOS]:[VEHICULOS_ACCIDENTADOS2]],"TRACTOCAMION")</f>
        <v>0</v>
      </c>
      <c r="AB286" s="36">
        <f>COUNTIF(Tabla1[[#This Row],[VEHICULOS_ACCIDENTADOS]:[VEHICULOS_ACCIDENTADOS2]],"VOLQUETA")</f>
        <v>0</v>
      </c>
      <c r="AC286" s="36">
        <f>COUNTIF(Tabla1[[#This Row],[VEHICULOS_ACCIDENTADOS]:[VEHICULOS_ACCIDENTADOS2]],"BICICLETA")</f>
        <v>0</v>
      </c>
      <c r="AD286" s="36"/>
      <c r="AE286" s="36" t="s">
        <v>472</v>
      </c>
      <c r="AF286" s="36">
        <f>COUNTIF(Tabla1[[#This Row],[GENERO_MASCULINO]:[GENERO_FEMENINO]],"MASCULINO")</f>
        <v>0</v>
      </c>
      <c r="AG286" s="36">
        <f>COUNTIF(Tabla1[[#This Row],[GENERO_MASCULINO]:[GENERO_FEMENINO]],"FEMENINO")</f>
        <v>1</v>
      </c>
      <c r="AH286" s="61">
        <v>58</v>
      </c>
      <c r="AI286" s="61"/>
      <c r="AJ286" s="61"/>
      <c r="AK286" s="61"/>
      <c r="AL286" s="61"/>
      <c r="AM286" s="36"/>
      <c r="AN286" s="61">
        <v>137</v>
      </c>
      <c r="AO286" s="36" t="str">
        <f>IFERROR(((VLOOKUP(Tabla1[[#This Row],[HIPOTESIS_1]],listas!$D$1:$E$105,2,FALSE))),"SIN INFORMACIÓN")</f>
        <v>Falta de señales en vehículo varado</v>
      </c>
      <c r="AP286" s="36">
        <v>139</v>
      </c>
      <c r="AQ286" s="36" t="str">
        <f>IFERROR(((VLOOKUP(Tabla1[[#This Row],[HIPOTESIS_2]],listas!$D$1:$E$105,2,FALSE))),"")</f>
        <v>Impericia en el manejo.</v>
      </c>
      <c r="AR286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287" spans="1:44" x14ac:dyDescent="0.25">
      <c r="A287" s="12">
        <v>1012</v>
      </c>
      <c r="B287" s="137">
        <v>0</v>
      </c>
      <c r="C287" s="137">
        <v>1</v>
      </c>
      <c r="D287" s="137">
        <v>0</v>
      </c>
      <c r="E287" s="18" t="str">
        <f t="shared" si="16"/>
        <v>LESIONADO</v>
      </c>
      <c r="F287" s="152" t="s">
        <v>766</v>
      </c>
      <c r="G287" s="30">
        <v>5.2635829999999997</v>
      </c>
      <c r="H287" s="30">
        <v>-72.399395999999996</v>
      </c>
      <c r="I287" s="93" t="s">
        <v>697</v>
      </c>
      <c r="J287" s="36" t="s">
        <v>1</v>
      </c>
      <c r="K287" s="24" t="str">
        <f t="shared" si="17"/>
        <v>2025</v>
      </c>
      <c r="L287" s="24" t="str">
        <f t="shared" si="18"/>
        <v>JULIO</v>
      </c>
      <c r="M287" s="225">
        <v>45853</v>
      </c>
      <c r="N287" s="24" t="str">
        <f t="shared" si="19"/>
        <v>MARTES</v>
      </c>
      <c r="O287" s="101">
        <v>0.68055555555555547</v>
      </c>
      <c r="P287" s="63" t="s">
        <v>469</v>
      </c>
      <c r="Q287" s="63" t="s">
        <v>440</v>
      </c>
      <c r="R287" s="36">
        <f>COUNTIF(Tabla1[[#This Row],[VEHICULOS_ACCIDENTADOS]:[VEHICULOS_ACCIDENTADOS2]],"MOTOCICLETA")</f>
        <v>1</v>
      </c>
      <c r="S287" s="36">
        <f>COUNTIF(Tabla1[[#This Row],[VEHICULOS_ACCIDENTADOS]:[VEHICULOS_ACCIDENTADOS2]],"MOTOCARRO")</f>
        <v>0</v>
      </c>
      <c r="T287" s="36">
        <f>COUNTIF(Tabla1[[#This Row],[VEHICULOS_ACCIDENTADOS]:[VEHICULOS_ACCIDENTADOS2]],"AUTOMOVIL")</f>
        <v>0</v>
      </c>
      <c r="U287" s="36">
        <f>COUNTIF(Tabla1[[#This Row],[VEHICULOS_ACCIDENTADOS]:[VEHICULOS_ACCIDENTADOS2]],"CAMPERO")</f>
        <v>0</v>
      </c>
      <c r="V287" s="36">
        <f>COUNTIF(Tabla1[[#This Row],[VEHICULOS_ACCIDENTADOS]:[VEHICULOS_ACCIDENTADOS2]],"CAMIONETA")</f>
        <v>0</v>
      </c>
      <c r="W287" s="36">
        <f>COUNTIF(Tabla1[[#This Row],[VEHICULOS_ACCIDENTADOS]:[VEHICULOS_ACCIDENTADOS2]],"MICROBUS")</f>
        <v>0</v>
      </c>
      <c r="X287" s="36">
        <f>COUNTIF(Tabla1[[#This Row],[VEHICULOS_ACCIDENTADOS]:[VEHICULOS_ACCIDENTADOS2]],"BUS")</f>
        <v>0</v>
      </c>
      <c r="Y287" s="36">
        <f>COUNTIF(Tabla1[[#This Row],[VEHICULOS_ACCIDENTADOS]:[VEHICULOS_ACCIDENTADOS2]],"BUSETA")</f>
        <v>0</v>
      </c>
      <c r="Z287" s="36">
        <f>COUNTIF(Tabla1[[#This Row],[VEHICULOS_ACCIDENTADOS]:[VEHICULOS_ACCIDENTADOS2]],"CAMION")</f>
        <v>0</v>
      </c>
      <c r="AA287" s="36">
        <f>COUNTIF(Tabla1[[#This Row],[VEHICULOS_ACCIDENTADOS]:[VEHICULOS_ACCIDENTADOS2]],"TRACTOCAMION")</f>
        <v>1</v>
      </c>
      <c r="AB287" s="36">
        <f>COUNTIF(Tabla1[[#This Row],[VEHICULOS_ACCIDENTADOS]:[VEHICULOS_ACCIDENTADOS2]],"VOLQUETA")</f>
        <v>0</v>
      </c>
      <c r="AC287" s="36">
        <f>COUNTIF(Tabla1[[#This Row],[VEHICULOS_ACCIDENTADOS]:[VEHICULOS_ACCIDENTADOS2]],"BICICLETA")</f>
        <v>0</v>
      </c>
      <c r="AD287" s="36" t="s">
        <v>471</v>
      </c>
      <c r="AE287" s="36" t="s">
        <v>471</v>
      </c>
      <c r="AF287" s="36">
        <f>COUNTIF(Tabla1[[#This Row],[GENERO_MASCULINO]:[GENERO_FEMENINO]],"MASCULINO")</f>
        <v>2</v>
      </c>
      <c r="AG287" s="36">
        <f>COUNTIF(Tabla1[[#This Row],[GENERO_MASCULINO]:[GENERO_FEMENINO]],"FEMENINO")</f>
        <v>0</v>
      </c>
      <c r="AH287" s="85">
        <v>75</v>
      </c>
      <c r="AI287" s="85">
        <v>44</v>
      </c>
      <c r="AJ287" s="85"/>
      <c r="AK287" s="78"/>
      <c r="AL287" s="78"/>
      <c r="AM287" s="59"/>
      <c r="AN287" s="61">
        <v>132</v>
      </c>
      <c r="AO287" s="36" t="str">
        <f>IFERROR(((VLOOKUP(Tabla1[[#This Row],[HIPOTESIS_1]],listas!$D$1:$E$105,2,FALSE))),"SIN INFORMACIÓN")</f>
        <v>No respetar prelación.</v>
      </c>
      <c r="AP287" s="36">
        <v>139</v>
      </c>
      <c r="AQ287" s="36" t="str">
        <f>IFERROR(((VLOOKUP(Tabla1[[#This Row],[HIPOTESIS_2]],listas!$D$1:$E$105,2,FALSE))),"")</f>
        <v>Impericia en el manejo.</v>
      </c>
      <c r="AR287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288" spans="1:44" x14ac:dyDescent="0.25">
      <c r="A288" s="12">
        <v>1107</v>
      </c>
      <c r="B288" s="137">
        <v>0</v>
      </c>
      <c r="C288" s="137">
        <v>0</v>
      </c>
      <c r="D288" s="137">
        <v>1</v>
      </c>
      <c r="E288" s="24" t="str">
        <f t="shared" si="16"/>
        <v>FALLECIDO</v>
      </c>
      <c r="F288" s="152" t="s">
        <v>755</v>
      </c>
      <c r="G288" s="30">
        <v>5.0691360000000003</v>
      </c>
      <c r="H288" s="30">
        <v>-72.173591000000002</v>
      </c>
      <c r="I288" s="165" t="s">
        <v>697</v>
      </c>
      <c r="J288" s="36" t="s">
        <v>1</v>
      </c>
      <c r="K288" s="24" t="str">
        <f t="shared" si="17"/>
        <v>2025</v>
      </c>
      <c r="L288" s="24" t="str">
        <f t="shared" si="18"/>
        <v>OCTUBRE</v>
      </c>
      <c r="M288" s="225">
        <v>45933</v>
      </c>
      <c r="N288" s="24" t="str">
        <f t="shared" si="19"/>
        <v>VIERNES</v>
      </c>
      <c r="O288" s="101">
        <v>0.84027777777777779</v>
      </c>
      <c r="P288" s="63" t="s">
        <v>469</v>
      </c>
      <c r="Q288" s="63"/>
      <c r="R288" s="36">
        <f>COUNTIF(Tabla1[[#This Row],[VEHICULOS_ACCIDENTADOS]:[VEHICULOS_ACCIDENTADOS2]],"MOTOCICLETA")</f>
        <v>1</v>
      </c>
      <c r="S288" s="36">
        <f>COUNTIF(Tabla1[[#This Row],[VEHICULOS_ACCIDENTADOS]:[VEHICULOS_ACCIDENTADOS2]],"MOTOCARRO")</f>
        <v>0</v>
      </c>
      <c r="T288" s="36">
        <f>COUNTIF(Tabla1[[#This Row],[VEHICULOS_ACCIDENTADOS]:[VEHICULOS_ACCIDENTADOS2]],"AUTOMOVIL")</f>
        <v>0</v>
      </c>
      <c r="U288" s="36">
        <f>COUNTIF(Tabla1[[#This Row],[VEHICULOS_ACCIDENTADOS]:[VEHICULOS_ACCIDENTADOS2]],"CAMPERO")</f>
        <v>0</v>
      </c>
      <c r="V288" s="36">
        <f>COUNTIF(Tabla1[[#This Row],[VEHICULOS_ACCIDENTADOS]:[VEHICULOS_ACCIDENTADOS2]],"CAMIONETA")</f>
        <v>0</v>
      </c>
      <c r="W288" s="36">
        <f>COUNTIF(Tabla1[[#This Row],[VEHICULOS_ACCIDENTADOS]:[VEHICULOS_ACCIDENTADOS2]],"MICROBUS")</f>
        <v>0</v>
      </c>
      <c r="X288" s="36">
        <f>COUNTIF(Tabla1[[#This Row],[VEHICULOS_ACCIDENTADOS]:[VEHICULOS_ACCIDENTADOS2]],"BUS")</f>
        <v>0</v>
      </c>
      <c r="Y288" s="36">
        <f>COUNTIF(Tabla1[[#This Row],[VEHICULOS_ACCIDENTADOS]:[VEHICULOS_ACCIDENTADOS2]],"BUSETA")</f>
        <v>0</v>
      </c>
      <c r="Z288" s="36">
        <f>COUNTIF(Tabla1[[#This Row],[VEHICULOS_ACCIDENTADOS]:[VEHICULOS_ACCIDENTADOS2]],"CAMION")</f>
        <v>0</v>
      </c>
      <c r="AA288" s="36">
        <f>COUNTIF(Tabla1[[#This Row],[VEHICULOS_ACCIDENTADOS]:[VEHICULOS_ACCIDENTADOS2]],"TRACTOCAMION")</f>
        <v>0</v>
      </c>
      <c r="AB288" s="36">
        <f>COUNTIF(Tabla1[[#This Row],[VEHICULOS_ACCIDENTADOS]:[VEHICULOS_ACCIDENTADOS2]],"VOLQUETA")</f>
        <v>0</v>
      </c>
      <c r="AC288" s="36">
        <f>COUNTIF(Tabla1[[#This Row],[VEHICULOS_ACCIDENTADOS]:[VEHICULOS_ACCIDENTADOS2]],"BICICLETA")</f>
        <v>0</v>
      </c>
      <c r="AD288" s="61" t="s">
        <v>471</v>
      </c>
      <c r="AE288" s="61"/>
      <c r="AF288" s="36">
        <f>COUNTIF(Tabla1[[#This Row],[GENERO_MASCULINO]:[GENERO_FEMENINO]],"MASCULINO")</f>
        <v>1</v>
      </c>
      <c r="AG288" s="36">
        <f>COUNTIF(Tabla1[[#This Row],[GENERO_MASCULINO]:[GENERO_FEMENINO]],"FEMENINO")</f>
        <v>0</v>
      </c>
      <c r="AH288" s="85">
        <v>18</v>
      </c>
      <c r="AI288" s="85"/>
      <c r="AJ288" s="85"/>
      <c r="AK288" s="78"/>
      <c r="AL288" s="78"/>
      <c r="AM288" s="59"/>
      <c r="AN288" s="61">
        <v>114</v>
      </c>
      <c r="AO288" s="59" t="str">
        <f>IFERROR(((VLOOKUP(Tabla1[[#This Row],[HIPOTESIS_1]],listas!$D$1:$E$105,2,FALSE))),"SIN INFORMACIÓN")</f>
        <v>Embriaguez aparente.</v>
      </c>
      <c r="AP288" s="36">
        <v>139</v>
      </c>
      <c r="AQ288" s="36" t="str">
        <f>IFERROR(((VLOOKUP(Tabla1[[#This Row],[HIPOTESIS_2]],listas!$D$1:$E$105,2,FALSE))),"")</f>
        <v>Impericia en el manejo.</v>
      </c>
      <c r="AR288" s="2" t="str">
        <f>IF(HOUR(Tabla1[[#This Row],[HORA_ACCIDENTE]])&lt;6,"MAÑANA",
 IF(HOUR(Tabla1[[#This Row],[HORA_ACCIDENTE]])&lt;12,"MAÑANA",
 IF(HOUR(Tabla1[[#This Row],[HORA_ACCIDENTE]])&lt;18,"TARDE","NOCHE")))</f>
        <v>NOCHE</v>
      </c>
    </row>
    <row r="289" spans="1:44" x14ac:dyDescent="0.25">
      <c r="A289" s="12">
        <v>846</v>
      </c>
      <c r="B289" s="136">
        <v>0</v>
      </c>
      <c r="C289" s="136">
        <v>1</v>
      </c>
      <c r="D289" s="141">
        <v>1</v>
      </c>
      <c r="E289" s="18" t="str">
        <f t="shared" si="16"/>
        <v>FALLECIDO</v>
      </c>
      <c r="F289" s="26" t="s">
        <v>1021</v>
      </c>
      <c r="G289" s="21">
        <v>5.3121111111111112</v>
      </c>
      <c r="H289" s="21">
        <v>-72.379643055555547</v>
      </c>
      <c r="I289" s="94" t="s">
        <v>662</v>
      </c>
      <c r="J289" s="36" t="s">
        <v>1</v>
      </c>
      <c r="K289" s="24" t="str">
        <f t="shared" si="17"/>
        <v>2024</v>
      </c>
      <c r="L289" s="24" t="str">
        <f t="shared" si="18"/>
        <v>DICIEMBRE</v>
      </c>
      <c r="M289" s="224">
        <v>45650</v>
      </c>
      <c r="N289" s="24" t="str">
        <f t="shared" si="19"/>
        <v>MARTES</v>
      </c>
      <c r="O289" s="171">
        <v>0.46875</v>
      </c>
      <c r="P289" s="178" t="s">
        <v>469</v>
      </c>
      <c r="Q289" s="178"/>
      <c r="R289" s="36">
        <f>COUNTIF(Tabla1[[#This Row],[VEHICULOS_ACCIDENTADOS]:[VEHICULOS_ACCIDENTADOS2]],"MOTOCICLETA")</f>
        <v>1</v>
      </c>
      <c r="S289" s="36">
        <f>COUNTIF(Tabla1[[#This Row],[VEHICULOS_ACCIDENTADOS]:[VEHICULOS_ACCIDENTADOS2]],"MOTOCARRO")</f>
        <v>0</v>
      </c>
      <c r="T289" s="36">
        <f>COUNTIF(Tabla1[[#This Row],[VEHICULOS_ACCIDENTADOS]:[VEHICULOS_ACCIDENTADOS2]],"AUTOMOVIL")</f>
        <v>0</v>
      </c>
      <c r="U289" s="36">
        <f>COUNTIF(Tabla1[[#This Row],[VEHICULOS_ACCIDENTADOS]:[VEHICULOS_ACCIDENTADOS2]],"CAMPERO")</f>
        <v>0</v>
      </c>
      <c r="V289" s="36">
        <f>COUNTIF(Tabla1[[#This Row],[VEHICULOS_ACCIDENTADOS]:[VEHICULOS_ACCIDENTADOS2]],"CAMIONETA")</f>
        <v>0</v>
      </c>
      <c r="W289" s="36">
        <f>COUNTIF(Tabla1[[#This Row],[VEHICULOS_ACCIDENTADOS]:[VEHICULOS_ACCIDENTADOS2]],"MICROBUS")</f>
        <v>0</v>
      </c>
      <c r="X289" s="36">
        <f>COUNTIF(Tabla1[[#This Row],[VEHICULOS_ACCIDENTADOS]:[VEHICULOS_ACCIDENTADOS2]],"BUS")</f>
        <v>0</v>
      </c>
      <c r="Y289" s="36">
        <f>COUNTIF(Tabla1[[#This Row],[VEHICULOS_ACCIDENTADOS]:[VEHICULOS_ACCIDENTADOS2]],"BUSETA")</f>
        <v>0</v>
      </c>
      <c r="Z289" s="36">
        <f>COUNTIF(Tabla1[[#This Row],[VEHICULOS_ACCIDENTADOS]:[VEHICULOS_ACCIDENTADOS2]],"CAMION")</f>
        <v>0</v>
      </c>
      <c r="AA289" s="36">
        <f>COUNTIF(Tabla1[[#This Row],[VEHICULOS_ACCIDENTADOS]:[VEHICULOS_ACCIDENTADOS2]],"TRACTOCAMION")</f>
        <v>0</v>
      </c>
      <c r="AB289" s="36">
        <f>COUNTIF(Tabla1[[#This Row],[VEHICULOS_ACCIDENTADOS]:[VEHICULOS_ACCIDENTADOS2]],"VOLQUETA")</f>
        <v>0</v>
      </c>
      <c r="AC289" s="36">
        <f>COUNTIF(Tabla1[[#This Row],[VEHICULOS_ACCIDENTADOS]:[VEHICULOS_ACCIDENTADOS2]],"BICICLETA")</f>
        <v>0</v>
      </c>
      <c r="AD289" s="136" t="s">
        <v>471</v>
      </c>
      <c r="AE289" s="136"/>
      <c r="AF289" s="136">
        <f>COUNTIF(Tabla1[[#This Row],[GENERO_MASCULINO]:[GENERO_FEMENINO]],"MASCULINO")</f>
        <v>1</v>
      </c>
      <c r="AG289" s="36">
        <f>COUNTIF(Tabla1[[#This Row],[GENERO_MASCULINO]:[GENERO_FEMENINO]],"FEMENINO")</f>
        <v>0</v>
      </c>
      <c r="AH289" s="85"/>
      <c r="AI289" s="85">
        <v>30</v>
      </c>
      <c r="AJ289" s="85"/>
      <c r="AK289" s="85"/>
      <c r="AL289" s="85"/>
      <c r="AM289" s="136">
        <v>23</v>
      </c>
      <c r="AN289" s="85">
        <v>115</v>
      </c>
      <c r="AO289" s="36" t="str">
        <f>IFERROR(((VLOOKUP(Tabla1[[#This Row],[HIPOTESIS_1]],listas!$D$1:$E$105,2,FALSE))),"SIN INFORMACIÓN")</f>
        <v>Embriaguez o Sustancias alucinogenas</v>
      </c>
      <c r="AP289" s="136">
        <v>139</v>
      </c>
      <c r="AQ289" s="36" t="str">
        <f>IFERROR(((VLOOKUP(Tabla1[[#This Row],[HIPOTESIS_2]],listas!$D$1:$E$105,2,FALSE))),"")</f>
        <v>Impericia en el manejo.</v>
      </c>
      <c r="AR289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290" spans="1:44" x14ac:dyDescent="0.25">
      <c r="A290" s="12">
        <v>688</v>
      </c>
      <c r="B290" s="36">
        <v>0</v>
      </c>
      <c r="C290" s="136">
        <v>0</v>
      </c>
      <c r="D290" s="141">
        <v>1</v>
      </c>
      <c r="E290" s="18" t="str">
        <f t="shared" si="16"/>
        <v>FALLECIDO</v>
      </c>
      <c r="F290" s="136" t="s">
        <v>118</v>
      </c>
      <c r="G290" s="21">
        <v>5.4211613888888888</v>
      </c>
      <c r="H290" s="21">
        <v>-72.311060833333329</v>
      </c>
      <c r="I290" s="94" t="s">
        <v>662</v>
      </c>
      <c r="J290" s="136" t="s">
        <v>1</v>
      </c>
      <c r="K290" s="24" t="str">
        <f t="shared" si="17"/>
        <v>2024</v>
      </c>
      <c r="L290" s="24" t="str">
        <f t="shared" si="18"/>
        <v>ABRIL</v>
      </c>
      <c r="M290" s="224">
        <v>45388</v>
      </c>
      <c r="N290" s="24" t="str">
        <f t="shared" si="19"/>
        <v>SÁBADO</v>
      </c>
      <c r="O290" s="171">
        <v>0.89930555555555547</v>
      </c>
      <c r="P290" s="178" t="s">
        <v>469</v>
      </c>
      <c r="Q290" s="178"/>
      <c r="R290" s="36">
        <f>COUNTIF(Tabla1[[#This Row],[VEHICULOS_ACCIDENTADOS]:[VEHICULOS_ACCIDENTADOS2]],"MOTOCICLETA")</f>
        <v>1</v>
      </c>
      <c r="S290" s="36">
        <f>COUNTIF(Tabla1[[#This Row],[VEHICULOS_ACCIDENTADOS]:[VEHICULOS_ACCIDENTADOS2]],"MOTOCARRO")</f>
        <v>0</v>
      </c>
      <c r="T290" s="36">
        <f>COUNTIF(Tabla1[[#This Row],[VEHICULOS_ACCIDENTADOS]:[VEHICULOS_ACCIDENTADOS2]],"AUTOMOVIL")</f>
        <v>0</v>
      </c>
      <c r="U290" s="36">
        <f>COUNTIF(Tabla1[[#This Row],[VEHICULOS_ACCIDENTADOS]:[VEHICULOS_ACCIDENTADOS2]],"CAMPERO")</f>
        <v>0</v>
      </c>
      <c r="V290" s="36">
        <f>COUNTIF(Tabla1[[#This Row],[VEHICULOS_ACCIDENTADOS]:[VEHICULOS_ACCIDENTADOS2]],"CAMIONETA")</f>
        <v>0</v>
      </c>
      <c r="W290" s="36">
        <f>COUNTIF(Tabla1[[#This Row],[VEHICULOS_ACCIDENTADOS]:[VEHICULOS_ACCIDENTADOS2]],"MICROBUS")</f>
        <v>0</v>
      </c>
      <c r="X290" s="36">
        <f>COUNTIF(Tabla1[[#This Row],[VEHICULOS_ACCIDENTADOS]:[VEHICULOS_ACCIDENTADOS2]],"BUS")</f>
        <v>0</v>
      </c>
      <c r="Y290" s="36">
        <f>COUNTIF(Tabla1[[#This Row],[VEHICULOS_ACCIDENTADOS]:[VEHICULOS_ACCIDENTADOS2]],"BUSETA")</f>
        <v>0</v>
      </c>
      <c r="Z290" s="36">
        <f>COUNTIF(Tabla1[[#This Row],[VEHICULOS_ACCIDENTADOS]:[VEHICULOS_ACCIDENTADOS2]],"CAMION")</f>
        <v>0</v>
      </c>
      <c r="AA290" s="36">
        <f>COUNTIF(Tabla1[[#This Row],[VEHICULOS_ACCIDENTADOS]:[VEHICULOS_ACCIDENTADOS2]],"TRACTOCAMION")</f>
        <v>0</v>
      </c>
      <c r="AB290" s="36">
        <f>COUNTIF(Tabla1[[#This Row],[VEHICULOS_ACCIDENTADOS]:[VEHICULOS_ACCIDENTADOS2]],"VOLQUETA")</f>
        <v>0</v>
      </c>
      <c r="AC290" s="36">
        <f>COUNTIF(Tabla1[[#This Row],[VEHICULOS_ACCIDENTADOS]:[VEHICULOS_ACCIDENTADOS2]],"BICICLETA")</f>
        <v>0</v>
      </c>
      <c r="AD290" s="36" t="s">
        <v>471</v>
      </c>
      <c r="AE290" s="36"/>
      <c r="AF290" s="36">
        <f>COUNTIF(Tabla1[[#This Row],[GENERO_MASCULINO]:[GENERO_FEMENINO]],"MASCULINO")</f>
        <v>1</v>
      </c>
      <c r="AG290" s="36">
        <f>COUNTIF(Tabla1[[#This Row],[GENERO_MASCULINO]:[GENERO_FEMENINO]],"FEMENINO")</f>
        <v>0</v>
      </c>
      <c r="AH290" s="85"/>
      <c r="AI290" s="85"/>
      <c r="AJ290" s="85"/>
      <c r="AK290" s="85"/>
      <c r="AL290" s="85"/>
      <c r="AM290" s="136"/>
      <c r="AN290" s="85">
        <v>122</v>
      </c>
      <c r="AO290" s="36" t="str">
        <f>IFERROR(((VLOOKUP(Tabla1[[#This Row],[HIPOTESIS_1]],listas!$D$1:$E$105,2,FALSE))),"SIN INFORMACIÓN")</f>
        <v>Girar bruscamente.</v>
      </c>
      <c r="AP290" s="136">
        <v>139</v>
      </c>
      <c r="AQ290" s="36" t="str">
        <f>IFERROR(((VLOOKUP(Tabla1[[#This Row],[HIPOTESIS_2]],listas!$D$1:$E$105,2,FALSE))),"")</f>
        <v>Impericia en el manejo.</v>
      </c>
      <c r="AR290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291" spans="1:44" x14ac:dyDescent="0.25">
      <c r="A291" s="12">
        <v>545</v>
      </c>
      <c r="B291" s="36">
        <v>1</v>
      </c>
      <c r="C291" s="36">
        <v>0</v>
      </c>
      <c r="D291" s="36">
        <v>0</v>
      </c>
      <c r="E291" s="18" t="str">
        <f t="shared" si="16"/>
        <v>SOLO DAÑO</v>
      </c>
      <c r="F291" s="29" t="s">
        <v>211</v>
      </c>
      <c r="G291" s="21">
        <v>5.3369669444444439</v>
      </c>
      <c r="H291" s="21">
        <v>-72.405804722222229</v>
      </c>
      <c r="I291" s="93" t="s">
        <v>697</v>
      </c>
      <c r="J291" s="36" t="s">
        <v>717</v>
      </c>
      <c r="K291" s="24" t="str">
        <f t="shared" si="17"/>
        <v>2023</v>
      </c>
      <c r="L291" s="24" t="str">
        <f t="shared" si="18"/>
        <v>AGOSTO</v>
      </c>
      <c r="M291" s="225">
        <v>45169</v>
      </c>
      <c r="N291" s="24" t="str">
        <f t="shared" si="19"/>
        <v>JUEVES</v>
      </c>
      <c r="O291" s="101">
        <v>0.65625</v>
      </c>
      <c r="P291" s="57" t="s">
        <v>447</v>
      </c>
      <c r="Q291" s="57"/>
      <c r="R291" s="36">
        <f>COUNTIF(Tabla1[[#This Row],[VEHICULOS_ACCIDENTADOS]:[VEHICULOS_ACCIDENTADOS2]],"MOTOCICLETA")</f>
        <v>0</v>
      </c>
      <c r="S291" s="36">
        <f>COUNTIF(Tabla1[[#This Row],[VEHICULOS_ACCIDENTADOS]:[VEHICULOS_ACCIDENTADOS2]],"MOTOCARRO")</f>
        <v>0</v>
      </c>
      <c r="T291" s="36">
        <f>COUNTIF(Tabla1[[#This Row],[VEHICULOS_ACCIDENTADOS]:[VEHICULOS_ACCIDENTADOS2]],"AUTOMOVIL")</f>
        <v>1</v>
      </c>
      <c r="U291" s="36">
        <f>COUNTIF(Tabla1[[#This Row],[VEHICULOS_ACCIDENTADOS]:[VEHICULOS_ACCIDENTADOS2]],"CAMPERO")</f>
        <v>0</v>
      </c>
      <c r="V291" s="36">
        <f>COUNTIF(Tabla1[[#This Row],[VEHICULOS_ACCIDENTADOS]:[VEHICULOS_ACCIDENTADOS2]],"CAMIONETA")</f>
        <v>0</v>
      </c>
      <c r="W291" s="36">
        <f>COUNTIF(Tabla1[[#This Row],[VEHICULOS_ACCIDENTADOS]:[VEHICULOS_ACCIDENTADOS2]],"MICROBUS")</f>
        <v>0</v>
      </c>
      <c r="X291" s="36">
        <f>COUNTIF(Tabla1[[#This Row],[VEHICULOS_ACCIDENTADOS]:[VEHICULOS_ACCIDENTADOS2]],"BUS")</f>
        <v>0</v>
      </c>
      <c r="Y291" s="36">
        <f>COUNTIF(Tabla1[[#This Row],[VEHICULOS_ACCIDENTADOS]:[VEHICULOS_ACCIDENTADOS2]],"BUSETA")</f>
        <v>0</v>
      </c>
      <c r="Z291" s="36">
        <f>COUNTIF(Tabla1[[#This Row],[VEHICULOS_ACCIDENTADOS]:[VEHICULOS_ACCIDENTADOS2]],"CAMION")</f>
        <v>0</v>
      </c>
      <c r="AA291" s="36">
        <f>COUNTIF(Tabla1[[#This Row],[VEHICULOS_ACCIDENTADOS]:[VEHICULOS_ACCIDENTADOS2]],"TRACTOCAMION")</f>
        <v>0</v>
      </c>
      <c r="AB291" s="36">
        <f>COUNTIF(Tabla1[[#This Row],[VEHICULOS_ACCIDENTADOS]:[VEHICULOS_ACCIDENTADOS2]],"VOLQUETA")</f>
        <v>0</v>
      </c>
      <c r="AC291" s="36">
        <f>COUNTIF(Tabla1[[#This Row],[VEHICULOS_ACCIDENTADOS]:[VEHICULOS_ACCIDENTADOS2]],"BICICLETA")</f>
        <v>0</v>
      </c>
      <c r="AD291" s="36"/>
      <c r="AE291" s="36" t="s">
        <v>472</v>
      </c>
      <c r="AF291" s="36">
        <f>COUNTIF(Tabla1[[#This Row],[GENERO_MASCULINO]:[GENERO_FEMENINO]],"MASCULINO")</f>
        <v>0</v>
      </c>
      <c r="AG291" s="36">
        <f>COUNTIF(Tabla1[[#This Row],[GENERO_MASCULINO]:[GENERO_FEMENINO]],"FEMENINO")</f>
        <v>1</v>
      </c>
      <c r="AH291" s="61"/>
      <c r="AI291" s="61"/>
      <c r="AJ291" s="61"/>
      <c r="AK291" s="61"/>
      <c r="AL291" s="61"/>
      <c r="AM291" s="36"/>
      <c r="AN291" s="61">
        <v>115</v>
      </c>
      <c r="AO291" s="36" t="str">
        <f>IFERROR(((VLOOKUP(Tabla1[[#This Row],[HIPOTESIS_1]],listas!$D$1:$E$105,2,FALSE))),"SIN INFORMACIÓN")</f>
        <v>Embriaguez o Sustancias alucinogenas</v>
      </c>
      <c r="AP291" s="36">
        <v>139</v>
      </c>
      <c r="AQ291" s="36" t="str">
        <f>IFERROR(((VLOOKUP(Tabla1[[#This Row],[HIPOTESIS_2]],listas!$D$1:$E$105,2,FALSE))),"")</f>
        <v>Impericia en el manejo.</v>
      </c>
      <c r="AR291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292" spans="1:44" x14ac:dyDescent="0.25">
      <c r="A292" s="12">
        <v>667</v>
      </c>
      <c r="B292" s="136">
        <v>0</v>
      </c>
      <c r="C292" s="136">
        <v>1</v>
      </c>
      <c r="D292" s="136">
        <v>0</v>
      </c>
      <c r="E292" s="18" t="str">
        <f t="shared" si="16"/>
        <v>LESIONADO</v>
      </c>
      <c r="F292" s="26" t="s">
        <v>1030</v>
      </c>
      <c r="G292" s="21">
        <v>5.3307500000000001</v>
      </c>
      <c r="H292" s="21">
        <v>-72.394819444444451</v>
      </c>
      <c r="I292" s="93" t="s">
        <v>697</v>
      </c>
      <c r="J292" s="136" t="s">
        <v>717</v>
      </c>
      <c r="K292" s="24" t="str">
        <f t="shared" si="17"/>
        <v>2024</v>
      </c>
      <c r="L292" s="24" t="str">
        <f t="shared" si="18"/>
        <v>FEBRERO</v>
      </c>
      <c r="M292" s="224">
        <v>45344</v>
      </c>
      <c r="N292" s="24" t="str">
        <f t="shared" si="19"/>
        <v>JUEVES</v>
      </c>
      <c r="O292" s="171">
        <v>0.50347222222222221</v>
      </c>
      <c r="P292" s="178" t="s">
        <v>469</v>
      </c>
      <c r="Q292" s="178" t="s">
        <v>447</v>
      </c>
      <c r="R292" s="36">
        <f>COUNTIF(Tabla1[[#This Row],[VEHICULOS_ACCIDENTADOS]:[VEHICULOS_ACCIDENTADOS2]],"MOTOCICLETA")</f>
        <v>1</v>
      </c>
      <c r="S292" s="36">
        <f>COUNTIF(Tabla1[[#This Row],[VEHICULOS_ACCIDENTADOS]:[VEHICULOS_ACCIDENTADOS2]],"MOTOCARRO")</f>
        <v>0</v>
      </c>
      <c r="T292" s="36">
        <f>COUNTIF(Tabla1[[#This Row],[VEHICULOS_ACCIDENTADOS]:[VEHICULOS_ACCIDENTADOS2]],"AUTOMOVIL")</f>
        <v>1</v>
      </c>
      <c r="U292" s="36">
        <f>COUNTIF(Tabla1[[#This Row],[VEHICULOS_ACCIDENTADOS]:[VEHICULOS_ACCIDENTADOS2]],"CAMPERO")</f>
        <v>0</v>
      </c>
      <c r="V292" s="36">
        <f>COUNTIF(Tabla1[[#This Row],[VEHICULOS_ACCIDENTADOS]:[VEHICULOS_ACCIDENTADOS2]],"CAMIONETA")</f>
        <v>0</v>
      </c>
      <c r="W292" s="36">
        <f>COUNTIF(Tabla1[[#This Row],[VEHICULOS_ACCIDENTADOS]:[VEHICULOS_ACCIDENTADOS2]],"MICROBUS")</f>
        <v>0</v>
      </c>
      <c r="X292" s="36">
        <f>COUNTIF(Tabla1[[#This Row],[VEHICULOS_ACCIDENTADOS]:[VEHICULOS_ACCIDENTADOS2]],"BUS")</f>
        <v>0</v>
      </c>
      <c r="Y292" s="36">
        <f>COUNTIF(Tabla1[[#This Row],[VEHICULOS_ACCIDENTADOS]:[VEHICULOS_ACCIDENTADOS2]],"BUSETA")</f>
        <v>0</v>
      </c>
      <c r="Z292" s="36">
        <f>COUNTIF(Tabla1[[#This Row],[VEHICULOS_ACCIDENTADOS]:[VEHICULOS_ACCIDENTADOS2]],"CAMION")</f>
        <v>0</v>
      </c>
      <c r="AA292" s="36">
        <f>COUNTIF(Tabla1[[#This Row],[VEHICULOS_ACCIDENTADOS]:[VEHICULOS_ACCIDENTADOS2]],"TRACTOCAMION")</f>
        <v>0</v>
      </c>
      <c r="AB292" s="36">
        <f>COUNTIF(Tabla1[[#This Row],[VEHICULOS_ACCIDENTADOS]:[VEHICULOS_ACCIDENTADOS2]],"VOLQUETA")</f>
        <v>0</v>
      </c>
      <c r="AC292" s="36">
        <f>COUNTIF(Tabla1[[#This Row],[VEHICULOS_ACCIDENTADOS]:[VEHICULOS_ACCIDENTADOS2]],"BICICLETA")</f>
        <v>0</v>
      </c>
      <c r="AD292" s="136" t="s">
        <v>471</v>
      </c>
      <c r="AE292" s="136" t="s">
        <v>472</v>
      </c>
      <c r="AF292" s="136">
        <f>COUNTIF(Tabla1[[#This Row],[GENERO_MASCULINO]:[GENERO_FEMENINO]],"MASCULINO")</f>
        <v>1</v>
      </c>
      <c r="AG292" s="36">
        <f>COUNTIF(Tabla1[[#This Row],[GENERO_MASCULINO]:[GENERO_FEMENINO]],"FEMENINO")</f>
        <v>1</v>
      </c>
      <c r="AH292" s="85">
        <v>31</v>
      </c>
      <c r="AI292" s="85">
        <v>27</v>
      </c>
      <c r="AJ292" s="85">
        <v>0</v>
      </c>
      <c r="AK292" s="85"/>
      <c r="AL292" s="85"/>
      <c r="AM292" s="136"/>
      <c r="AN292" s="85">
        <v>122</v>
      </c>
      <c r="AO292" s="36" t="str">
        <f>IFERROR(((VLOOKUP(Tabla1[[#This Row],[HIPOTESIS_1]],listas!$D$1:$E$105,2,FALSE))),"SIN INFORMACIÓN")</f>
        <v>Girar bruscamente.</v>
      </c>
      <c r="AP292" s="136">
        <v>139</v>
      </c>
      <c r="AQ292" s="36" t="str">
        <f>IFERROR(((VLOOKUP(Tabla1[[#This Row],[HIPOTESIS_2]],listas!$D$1:$E$105,2,FALSE))),"")</f>
        <v>Impericia en el manejo.</v>
      </c>
      <c r="AR292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293" spans="1:44" x14ac:dyDescent="0.25">
      <c r="A293" s="12">
        <v>437</v>
      </c>
      <c r="B293" s="36">
        <v>0</v>
      </c>
      <c r="C293" s="36">
        <v>2</v>
      </c>
      <c r="D293" s="36">
        <v>0</v>
      </c>
      <c r="E293" s="18" t="str">
        <f t="shared" si="16"/>
        <v>LESIONADO</v>
      </c>
      <c r="F293" s="29" t="s">
        <v>266</v>
      </c>
      <c r="G293" s="21">
        <v>5.3236527777777773</v>
      </c>
      <c r="H293" s="21">
        <v>-72.393595555555564</v>
      </c>
      <c r="I293" s="93" t="s">
        <v>697</v>
      </c>
      <c r="J293" s="36" t="s">
        <v>717</v>
      </c>
      <c r="K293" s="24" t="str">
        <f t="shared" si="17"/>
        <v>2023</v>
      </c>
      <c r="L293" s="24" t="str">
        <f t="shared" si="18"/>
        <v>MARZO</v>
      </c>
      <c r="M293" s="225">
        <v>45010</v>
      </c>
      <c r="N293" s="24" t="str">
        <f t="shared" si="19"/>
        <v>SÁBADO</v>
      </c>
      <c r="O293" s="101">
        <v>0.70833333333333337</v>
      </c>
      <c r="P293" s="57" t="s">
        <v>469</v>
      </c>
      <c r="Q293" s="57"/>
      <c r="R293" s="36">
        <f>COUNTIF(Tabla1[[#This Row],[VEHICULOS_ACCIDENTADOS]:[VEHICULOS_ACCIDENTADOS2]],"MOTOCICLETA")</f>
        <v>1</v>
      </c>
      <c r="S293" s="36">
        <f>COUNTIF(Tabla1[[#This Row],[VEHICULOS_ACCIDENTADOS]:[VEHICULOS_ACCIDENTADOS2]],"MOTOCARRO")</f>
        <v>0</v>
      </c>
      <c r="T293" s="36">
        <f>COUNTIF(Tabla1[[#This Row],[VEHICULOS_ACCIDENTADOS]:[VEHICULOS_ACCIDENTADOS2]],"AUTOMOVIL")</f>
        <v>0</v>
      </c>
      <c r="U293" s="36">
        <f>COUNTIF(Tabla1[[#This Row],[VEHICULOS_ACCIDENTADOS]:[VEHICULOS_ACCIDENTADOS2]],"CAMPERO")</f>
        <v>0</v>
      </c>
      <c r="V293" s="36">
        <f>COUNTIF(Tabla1[[#This Row],[VEHICULOS_ACCIDENTADOS]:[VEHICULOS_ACCIDENTADOS2]],"CAMIONETA")</f>
        <v>0</v>
      </c>
      <c r="W293" s="36">
        <f>COUNTIF(Tabla1[[#This Row],[VEHICULOS_ACCIDENTADOS]:[VEHICULOS_ACCIDENTADOS2]],"MICROBUS")</f>
        <v>0</v>
      </c>
      <c r="X293" s="36">
        <f>COUNTIF(Tabla1[[#This Row],[VEHICULOS_ACCIDENTADOS]:[VEHICULOS_ACCIDENTADOS2]],"BUS")</f>
        <v>0</v>
      </c>
      <c r="Y293" s="36">
        <f>COUNTIF(Tabla1[[#This Row],[VEHICULOS_ACCIDENTADOS]:[VEHICULOS_ACCIDENTADOS2]],"BUSETA")</f>
        <v>0</v>
      </c>
      <c r="Z293" s="36">
        <f>COUNTIF(Tabla1[[#This Row],[VEHICULOS_ACCIDENTADOS]:[VEHICULOS_ACCIDENTADOS2]],"CAMION")</f>
        <v>0</v>
      </c>
      <c r="AA293" s="36">
        <f>COUNTIF(Tabla1[[#This Row],[VEHICULOS_ACCIDENTADOS]:[VEHICULOS_ACCIDENTADOS2]],"TRACTOCAMION")</f>
        <v>0</v>
      </c>
      <c r="AB293" s="36">
        <f>COUNTIF(Tabla1[[#This Row],[VEHICULOS_ACCIDENTADOS]:[VEHICULOS_ACCIDENTADOS2]],"VOLQUETA")</f>
        <v>0</v>
      </c>
      <c r="AC293" s="36">
        <f>COUNTIF(Tabla1[[#This Row],[VEHICULOS_ACCIDENTADOS]:[VEHICULOS_ACCIDENTADOS2]],"BICICLETA")</f>
        <v>0</v>
      </c>
      <c r="AD293" s="36" t="s">
        <v>471</v>
      </c>
      <c r="AE293" s="36" t="s">
        <v>472</v>
      </c>
      <c r="AF293" s="36">
        <f>COUNTIF(Tabla1[[#This Row],[GENERO_MASCULINO]:[GENERO_FEMENINO]],"MASCULINO")</f>
        <v>1</v>
      </c>
      <c r="AG293" s="36">
        <f>COUNTIF(Tabla1[[#This Row],[GENERO_MASCULINO]:[GENERO_FEMENINO]],"FEMENINO")</f>
        <v>1</v>
      </c>
      <c r="AH293" s="61">
        <v>20</v>
      </c>
      <c r="AI293" s="61"/>
      <c r="AJ293" s="61"/>
      <c r="AK293" s="61"/>
      <c r="AL293" s="61">
        <v>12</v>
      </c>
      <c r="AM293" s="36"/>
      <c r="AN293" s="61">
        <v>114</v>
      </c>
      <c r="AO293" s="36" t="str">
        <f>IFERROR(((VLOOKUP(Tabla1[[#This Row],[HIPOTESIS_1]],listas!$D$1:$E$105,2,FALSE))),"SIN INFORMACIÓN")</f>
        <v>Embriaguez aparente.</v>
      </c>
      <c r="AP293" s="36">
        <v>139</v>
      </c>
      <c r="AQ293" s="36" t="str">
        <f>IFERROR(((VLOOKUP(Tabla1[[#This Row],[HIPOTESIS_2]],listas!$D$1:$E$105,2,FALSE))),"")</f>
        <v>Impericia en el manejo.</v>
      </c>
      <c r="AR293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294" spans="1:44" x14ac:dyDescent="0.25">
      <c r="A294" s="12">
        <v>89</v>
      </c>
      <c r="B294" s="36">
        <v>0</v>
      </c>
      <c r="C294" s="36">
        <v>1</v>
      </c>
      <c r="D294" s="36">
        <v>0</v>
      </c>
      <c r="E294" s="18" t="str">
        <f t="shared" si="16"/>
        <v>LESIONADO</v>
      </c>
      <c r="F294" s="29" t="s">
        <v>406</v>
      </c>
      <c r="G294" s="17">
        <v>5.3207249999999995</v>
      </c>
      <c r="H294" s="17">
        <v>-72.393052777777783</v>
      </c>
      <c r="I294" s="93" t="s">
        <v>697</v>
      </c>
      <c r="J294" s="36" t="s">
        <v>717</v>
      </c>
      <c r="K294" s="24" t="str">
        <f t="shared" si="17"/>
        <v>2022</v>
      </c>
      <c r="L294" s="24" t="str">
        <f t="shared" si="18"/>
        <v>MARZO</v>
      </c>
      <c r="M294" s="225">
        <v>44638</v>
      </c>
      <c r="N294" s="24" t="str">
        <f t="shared" si="19"/>
        <v>VIERNES</v>
      </c>
      <c r="O294" s="101">
        <v>0.51388888888888895</v>
      </c>
      <c r="P294" s="63" t="s">
        <v>469</v>
      </c>
      <c r="Q294" s="63" t="s">
        <v>445</v>
      </c>
      <c r="R294" s="36">
        <f>COUNTIF(Tabla1[[#This Row],[VEHICULOS_ACCIDENTADOS]:[VEHICULOS_ACCIDENTADOS2]],"MOTOCICLETA")</f>
        <v>1</v>
      </c>
      <c r="S294" s="36">
        <f>COUNTIF(Tabla1[[#This Row],[VEHICULOS_ACCIDENTADOS]:[VEHICULOS_ACCIDENTADOS2]],"MOTOCARRO")</f>
        <v>0</v>
      </c>
      <c r="T294" s="36">
        <f>COUNTIF(Tabla1[[#This Row],[VEHICULOS_ACCIDENTADOS]:[VEHICULOS_ACCIDENTADOS2]],"AUTOMOVIL")</f>
        <v>0</v>
      </c>
      <c r="U294" s="36">
        <f>COUNTIF(Tabla1[[#This Row],[VEHICULOS_ACCIDENTADOS]:[VEHICULOS_ACCIDENTADOS2]],"CAMPERO")</f>
        <v>0</v>
      </c>
      <c r="V294" s="36">
        <f>COUNTIF(Tabla1[[#This Row],[VEHICULOS_ACCIDENTADOS]:[VEHICULOS_ACCIDENTADOS2]],"CAMIONETA")</f>
        <v>1</v>
      </c>
      <c r="W294" s="36">
        <f>COUNTIF(Tabla1[[#This Row],[VEHICULOS_ACCIDENTADOS]:[VEHICULOS_ACCIDENTADOS2]],"MICROBUS")</f>
        <v>0</v>
      </c>
      <c r="X294" s="36">
        <f>COUNTIF(Tabla1[[#This Row],[VEHICULOS_ACCIDENTADOS]:[VEHICULOS_ACCIDENTADOS2]],"BUS")</f>
        <v>0</v>
      </c>
      <c r="Y294" s="36">
        <f>COUNTIF(Tabla1[[#This Row],[VEHICULOS_ACCIDENTADOS]:[VEHICULOS_ACCIDENTADOS2]],"BUSETA")</f>
        <v>0</v>
      </c>
      <c r="Z294" s="36">
        <f>COUNTIF(Tabla1[[#This Row],[VEHICULOS_ACCIDENTADOS]:[VEHICULOS_ACCIDENTADOS2]],"CAMION")</f>
        <v>0</v>
      </c>
      <c r="AA294" s="36">
        <f>COUNTIF(Tabla1[[#This Row],[VEHICULOS_ACCIDENTADOS]:[VEHICULOS_ACCIDENTADOS2]],"TRACTOCAMION")</f>
        <v>0</v>
      </c>
      <c r="AB294" s="36">
        <f>COUNTIF(Tabla1[[#This Row],[VEHICULOS_ACCIDENTADOS]:[VEHICULOS_ACCIDENTADOS2]],"VOLQUETA")</f>
        <v>0</v>
      </c>
      <c r="AC294" s="36">
        <f>COUNTIF(Tabla1[[#This Row],[VEHICULOS_ACCIDENTADOS]:[VEHICULOS_ACCIDENTADOS2]],"BICICLETA")</f>
        <v>0</v>
      </c>
      <c r="AD294" s="36" t="s">
        <v>471</v>
      </c>
      <c r="AE294" s="36"/>
      <c r="AF294" s="36">
        <f>COUNTIF(Tabla1[[#This Row],[GENERO_MASCULINO]:[GENERO_FEMENINO]],"MASCULINO")</f>
        <v>1</v>
      </c>
      <c r="AG294" s="36">
        <f>COUNTIF(Tabla1[[#This Row],[GENERO_MASCULINO]:[GENERO_FEMENINO]],"FEMENINO")</f>
        <v>0</v>
      </c>
      <c r="AH294" s="61">
        <v>23</v>
      </c>
      <c r="AI294" s="61"/>
      <c r="AJ294" s="61"/>
      <c r="AK294" s="61"/>
      <c r="AL294" s="61"/>
      <c r="AM294" s="36"/>
      <c r="AN294" s="61">
        <v>122</v>
      </c>
      <c r="AO294" s="36" t="str">
        <f>IFERROR(((VLOOKUP(Tabla1[[#This Row],[HIPOTESIS_1]],listas!$D$1:$E$105,2,FALSE))),"SIN INFORMACIÓN")</f>
        <v>Girar bruscamente.</v>
      </c>
      <c r="AP294" s="36">
        <v>139</v>
      </c>
      <c r="AQ294" s="36" t="str">
        <f>IFERROR(((VLOOKUP(Tabla1[[#This Row],[HIPOTESIS_2]],listas!$D$1:$E$105,2,FALSE))),"")</f>
        <v>Impericia en el manejo.</v>
      </c>
      <c r="AR294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295" spans="1:44" x14ac:dyDescent="0.25">
      <c r="A295" s="12">
        <v>945</v>
      </c>
      <c r="B295" s="135">
        <v>0</v>
      </c>
      <c r="C295" s="136">
        <v>1</v>
      </c>
      <c r="D295" s="136">
        <v>0</v>
      </c>
      <c r="E295" s="18" t="str">
        <f t="shared" si="16"/>
        <v>LESIONADO</v>
      </c>
      <c r="F295" s="26" t="s">
        <v>38</v>
      </c>
      <c r="G295" s="17">
        <v>5.336271</v>
      </c>
      <c r="H295" s="17">
        <v>-72.407182000000006</v>
      </c>
      <c r="I295" s="93" t="s">
        <v>697</v>
      </c>
      <c r="J295" s="136" t="s">
        <v>717</v>
      </c>
      <c r="K295" s="24" t="str">
        <f t="shared" si="17"/>
        <v>2025</v>
      </c>
      <c r="L295" s="24" t="str">
        <f t="shared" si="18"/>
        <v>ABRIL</v>
      </c>
      <c r="M295" s="224">
        <v>45760</v>
      </c>
      <c r="N295" s="24" t="str">
        <f t="shared" si="19"/>
        <v>DOMINGO</v>
      </c>
      <c r="O295" s="171">
        <v>0.82638888888888884</v>
      </c>
      <c r="P295" s="136" t="s">
        <v>446</v>
      </c>
      <c r="Q295" s="136" t="s">
        <v>469</v>
      </c>
      <c r="R295" s="36">
        <f>COUNTIF(Tabla1[[#This Row],[VEHICULOS_ACCIDENTADOS]:[VEHICULOS_ACCIDENTADOS2]],"MOTOCICLETA")</f>
        <v>1</v>
      </c>
      <c r="S295" s="36">
        <f>COUNTIF(Tabla1[[#This Row],[VEHICULOS_ACCIDENTADOS]:[VEHICULOS_ACCIDENTADOS2]],"MOTOCARRO")</f>
        <v>0</v>
      </c>
      <c r="T295" s="36">
        <f>COUNTIF(Tabla1[[#This Row],[VEHICULOS_ACCIDENTADOS]:[VEHICULOS_ACCIDENTADOS2]],"AUTOMOVIL")</f>
        <v>0</v>
      </c>
      <c r="U295" s="36">
        <f>COUNTIF(Tabla1[[#This Row],[VEHICULOS_ACCIDENTADOS]:[VEHICULOS_ACCIDENTADOS2]],"CAMPERO")</f>
        <v>1</v>
      </c>
      <c r="V295" s="36">
        <f>COUNTIF(Tabla1[[#This Row],[VEHICULOS_ACCIDENTADOS]:[VEHICULOS_ACCIDENTADOS2]],"CAMIONETA")</f>
        <v>0</v>
      </c>
      <c r="W295" s="36">
        <f>COUNTIF(Tabla1[[#This Row],[VEHICULOS_ACCIDENTADOS]:[VEHICULOS_ACCIDENTADOS2]],"MICROBUS")</f>
        <v>0</v>
      </c>
      <c r="X295" s="36">
        <f>COUNTIF(Tabla1[[#This Row],[VEHICULOS_ACCIDENTADOS]:[VEHICULOS_ACCIDENTADOS2]],"BUS")</f>
        <v>0</v>
      </c>
      <c r="Y295" s="36">
        <f>COUNTIF(Tabla1[[#This Row],[VEHICULOS_ACCIDENTADOS]:[VEHICULOS_ACCIDENTADOS2]],"BUSETA")</f>
        <v>0</v>
      </c>
      <c r="Z295" s="36">
        <f>COUNTIF(Tabla1[[#This Row],[VEHICULOS_ACCIDENTADOS]:[VEHICULOS_ACCIDENTADOS2]],"CAMION")</f>
        <v>0</v>
      </c>
      <c r="AA295" s="36">
        <f>COUNTIF(Tabla1[[#This Row],[VEHICULOS_ACCIDENTADOS]:[VEHICULOS_ACCIDENTADOS2]],"TRACTOCAMION")</f>
        <v>0</v>
      </c>
      <c r="AB295" s="36">
        <f>COUNTIF(Tabla1[[#This Row],[VEHICULOS_ACCIDENTADOS]:[VEHICULOS_ACCIDENTADOS2]],"VOLQUETA")</f>
        <v>0</v>
      </c>
      <c r="AC295" s="36">
        <f>COUNTIF(Tabla1[[#This Row],[VEHICULOS_ACCIDENTADOS]:[VEHICULOS_ACCIDENTADOS2]],"BICICLETA")</f>
        <v>0</v>
      </c>
      <c r="AD295" s="136" t="s">
        <v>471</v>
      </c>
      <c r="AE295" s="136" t="s">
        <v>471</v>
      </c>
      <c r="AF295" s="136">
        <f>COUNTIF(Tabla1[[#This Row],[GENERO_MASCULINO]:[GENERO_FEMENINO]],"MASCULINO")</f>
        <v>2</v>
      </c>
      <c r="AG295" s="36">
        <f>COUNTIF(Tabla1[[#This Row],[GENERO_MASCULINO]:[GENERO_FEMENINO]],"FEMENINO")</f>
        <v>0</v>
      </c>
      <c r="AH295" s="85">
        <v>74</v>
      </c>
      <c r="AI295" s="85">
        <v>18</v>
      </c>
      <c r="AJ295" s="85">
        <v>16</v>
      </c>
      <c r="AK295" s="78"/>
      <c r="AL295" s="78"/>
      <c r="AM295" s="59"/>
      <c r="AN295" s="85">
        <v>122</v>
      </c>
      <c r="AO295" s="36" t="str">
        <f>IFERROR(((VLOOKUP(Tabla1[[#This Row],[HIPOTESIS_1]],listas!$D$1:$E$105,2,FALSE))),"SIN INFORMACIÓN")</f>
        <v>Girar bruscamente.</v>
      </c>
      <c r="AP295" s="36">
        <v>139</v>
      </c>
      <c r="AQ295" s="36" t="str">
        <f>IFERROR(((VLOOKUP(Tabla1[[#This Row],[HIPOTESIS_2]],listas!$D$1:$E$105,2,FALSE))),"")</f>
        <v>Impericia en el manejo.</v>
      </c>
      <c r="AR295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296" spans="1:44" x14ac:dyDescent="0.25">
      <c r="A296" s="12">
        <v>670</v>
      </c>
      <c r="B296" s="135">
        <v>0</v>
      </c>
      <c r="C296" s="136">
        <v>1</v>
      </c>
      <c r="D296" s="136">
        <v>0</v>
      </c>
      <c r="E296" s="18" t="str">
        <f t="shared" si="16"/>
        <v>LESIONADO</v>
      </c>
      <c r="F296" s="29" t="s">
        <v>46</v>
      </c>
      <c r="G296" s="21">
        <v>5.3165166666666668</v>
      </c>
      <c r="H296" s="21">
        <v>-72.392266666666671</v>
      </c>
      <c r="I296" s="93" t="s">
        <v>697</v>
      </c>
      <c r="J296" s="136" t="s">
        <v>717</v>
      </c>
      <c r="K296" s="24" t="str">
        <f t="shared" si="17"/>
        <v>2024</v>
      </c>
      <c r="L296" s="24" t="str">
        <f t="shared" si="18"/>
        <v>MARZO</v>
      </c>
      <c r="M296" s="224">
        <v>45353</v>
      </c>
      <c r="N296" s="24" t="str">
        <f t="shared" si="19"/>
        <v>SÁBADO</v>
      </c>
      <c r="O296" s="171">
        <v>0.80555555555555547</v>
      </c>
      <c r="P296" s="178" t="s">
        <v>469</v>
      </c>
      <c r="Q296" s="178" t="s">
        <v>447</v>
      </c>
      <c r="R296" s="36">
        <f>COUNTIF(Tabla1[[#This Row],[VEHICULOS_ACCIDENTADOS]:[VEHICULOS_ACCIDENTADOS2]],"MOTOCICLETA")</f>
        <v>1</v>
      </c>
      <c r="S296" s="36">
        <f>COUNTIF(Tabla1[[#This Row],[VEHICULOS_ACCIDENTADOS]:[VEHICULOS_ACCIDENTADOS2]],"MOTOCARRO")</f>
        <v>0</v>
      </c>
      <c r="T296" s="36">
        <f>COUNTIF(Tabla1[[#This Row],[VEHICULOS_ACCIDENTADOS]:[VEHICULOS_ACCIDENTADOS2]],"AUTOMOVIL")</f>
        <v>1</v>
      </c>
      <c r="U296" s="36">
        <f>COUNTIF(Tabla1[[#This Row],[VEHICULOS_ACCIDENTADOS]:[VEHICULOS_ACCIDENTADOS2]],"CAMPERO")</f>
        <v>0</v>
      </c>
      <c r="V296" s="36">
        <f>COUNTIF(Tabla1[[#This Row],[VEHICULOS_ACCIDENTADOS]:[VEHICULOS_ACCIDENTADOS2]],"CAMIONETA")</f>
        <v>0</v>
      </c>
      <c r="W296" s="36">
        <f>COUNTIF(Tabla1[[#This Row],[VEHICULOS_ACCIDENTADOS]:[VEHICULOS_ACCIDENTADOS2]],"MICROBUS")</f>
        <v>0</v>
      </c>
      <c r="X296" s="36">
        <f>COUNTIF(Tabla1[[#This Row],[VEHICULOS_ACCIDENTADOS]:[VEHICULOS_ACCIDENTADOS2]],"BUS")</f>
        <v>0</v>
      </c>
      <c r="Y296" s="36">
        <f>COUNTIF(Tabla1[[#This Row],[VEHICULOS_ACCIDENTADOS]:[VEHICULOS_ACCIDENTADOS2]],"BUSETA")</f>
        <v>0</v>
      </c>
      <c r="Z296" s="36">
        <f>COUNTIF(Tabla1[[#This Row],[VEHICULOS_ACCIDENTADOS]:[VEHICULOS_ACCIDENTADOS2]],"CAMION")</f>
        <v>0</v>
      </c>
      <c r="AA296" s="36">
        <f>COUNTIF(Tabla1[[#This Row],[VEHICULOS_ACCIDENTADOS]:[VEHICULOS_ACCIDENTADOS2]],"TRACTOCAMION")</f>
        <v>0</v>
      </c>
      <c r="AB296" s="36">
        <f>COUNTIF(Tabla1[[#This Row],[VEHICULOS_ACCIDENTADOS]:[VEHICULOS_ACCIDENTADOS2]],"VOLQUETA")</f>
        <v>0</v>
      </c>
      <c r="AC296" s="36">
        <f>COUNTIF(Tabla1[[#This Row],[VEHICULOS_ACCIDENTADOS]:[VEHICULOS_ACCIDENTADOS2]],"BICICLETA")</f>
        <v>0</v>
      </c>
      <c r="AD296" s="136" t="s">
        <v>471</v>
      </c>
      <c r="AE296" s="136"/>
      <c r="AF296" s="136">
        <f>COUNTIF(Tabla1[[#This Row],[GENERO_MASCULINO]:[GENERO_FEMENINO]],"MASCULINO")</f>
        <v>1</v>
      </c>
      <c r="AG296" s="36">
        <f>COUNTIF(Tabla1[[#This Row],[GENERO_MASCULINO]:[GENERO_FEMENINO]],"FEMENINO")</f>
        <v>0</v>
      </c>
      <c r="AH296" s="85">
        <v>23</v>
      </c>
      <c r="AI296" s="85">
        <v>48</v>
      </c>
      <c r="AJ296" s="85"/>
      <c r="AK296" s="85"/>
      <c r="AL296" s="85"/>
      <c r="AM296" s="136"/>
      <c r="AN296" s="85">
        <v>123</v>
      </c>
      <c r="AO296" s="36" t="str">
        <f>IFERROR(((VLOOKUP(Tabla1[[#This Row],[HIPOTESIS_1]],listas!$D$1:$E$105,2,FALSE))),"SIN INFORMACIÓN")</f>
        <v>No respetar prelación de intersecciones o giros.</v>
      </c>
      <c r="AP296" s="136">
        <v>139</v>
      </c>
      <c r="AQ296" s="36" t="str">
        <f>IFERROR(((VLOOKUP(Tabla1[[#This Row],[HIPOTESIS_2]],listas!$D$1:$E$105,2,FALSE))),"")</f>
        <v>Impericia en el manejo.</v>
      </c>
      <c r="AR296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297" spans="1:44" x14ac:dyDescent="0.25">
      <c r="A297" s="12">
        <v>104</v>
      </c>
      <c r="B297" s="36">
        <v>0</v>
      </c>
      <c r="C297" s="36">
        <v>1</v>
      </c>
      <c r="D297" s="36">
        <v>0</v>
      </c>
      <c r="E297" s="18" t="str">
        <f t="shared" si="16"/>
        <v>LESIONADO</v>
      </c>
      <c r="F297" s="29" t="s">
        <v>46</v>
      </c>
      <c r="G297" s="21">
        <v>5.3165166666666668</v>
      </c>
      <c r="H297" s="21">
        <v>-72.392266666666671</v>
      </c>
      <c r="I297" s="93" t="s">
        <v>697</v>
      </c>
      <c r="J297" s="36" t="s">
        <v>717</v>
      </c>
      <c r="K297" s="24" t="str">
        <f t="shared" si="17"/>
        <v>2022</v>
      </c>
      <c r="L297" s="24" t="str">
        <f t="shared" si="18"/>
        <v>MARZO</v>
      </c>
      <c r="M297" s="225">
        <v>44649</v>
      </c>
      <c r="N297" s="24" t="str">
        <f t="shared" si="19"/>
        <v>MARTES</v>
      </c>
      <c r="O297" s="101">
        <v>0.54166666666666696</v>
      </c>
      <c r="P297" s="63" t="s">
        <v>469</v>
      </c>
      <c r="Q297" s="63" t="s">
        <v>469</v>
      </c>
      <c r="R297" s="36">
        <f>COUNTIF(Tabla1[[#This Row],[VEHICULOS_ACCIDENTADOS]:[VEHICULOS_ACCIDENTADOS2]],"MOTOCICLETA")</f>
        <v>2</v>
      </c>
      <c r="S297" s="36">
        <f>COUNTIF(Tabla1[[#This Row],[VEHICULOS_ACCIDENTADOS]:[VEHICULOS_ACCIDENTADOS2]],"MOTOCARRO")</f>
        <v>0</v>
      </c>
      <c r="T297" s="36">
        <f>COUNTIF(Tabla1[[#This Row],[VEHICULOS_ACCIDENTADOS]:[VEHICULOS_ACCIDENTADOS2]],"AUTOMOVIL")</f>
        <v>0</v>
      </c>
      <c r="U297" s="36">
        <f>COUNTIF(Tabla1[[#This Row],[VEHICULOS_ACCIDENTADOS]:[VEHICULOS_ACCIDENTADOS2]],"CAMPERO")</f>
        <v>0</v>
      </c>
      <c r="V297" s="36">
        <f>COUNTIF(Tabla1[[#This Row],[VEHICULOS_ACCIDENTADOS]:[VEHICULOS_ACCIDENTADOS2]],"CAMIONETA")</f>
        <v>0</v>
      </c>
      <c r="W297" s="36">
        <f>COUNTIF(Tabla1[[#This Row],[VEHICULOS_ACCIDENTADOS]:[VEHICULOS_ACCIDENTADOS2]],"MICROBUS")</f>
        <v>0</v>
      </c>
      <c r="X297" s="36">
        <f>COUNTIF(Tabla1[[#This Row],[VEHICULOS_ACCIDENTADOS]:[VEHICULOS_ACCIDENTADOS2]],"BUS")</f>
        <v>0</v>
      </c>
      <c r="Y297" s="36">
        <f>COUNTIF(Tabla1[[#This Row],[VEHICULOS_ACCIDENTADOS]:[VEHICULOS_ACCIDENTADOS2]],"BUSETA")</f>
        <v>0</v>
      </c>
      <c r="Z297" s="36">
        <f>COUNTIF(Tabla1[[#This Row],[VEHICULOS_ACCIDENTADOS]:[VEHICULOS_ACCIDENTADOS2]],"CAMION")</f>
        <v>0</v>
      </c>
      <c r="AA297" s="36">
        <f>COUNTIF(Tabla1[[#This Row],[VEHICULOS_ACCIDENTADOS]:[VEHICULOS_ACCIDENTADOS2]],"TRACTOCAMION")</f>
        <v>0</v>
      </c>
      <c r="AB297" s="36">
        <f>COUNTIF(Tabla1[[#This Row],[VEHICULOS_ACCIDENTADOS]:[VEHICULOS_ACCIDENTADOS2]],"VOLQUETA")</f>
        <v>0</v>
      </c>
      <c r="AC297" s="36">
        <f>COUNTIF(Tabla1[[#This Row],[VEHICULOS_ACCIDENTADOS]:[VEHICULOS_ACCIDENTADOS2]],"BICICLETA")</f>
        <v>0</v>
      </c>
      <c r="AD297" s="36" t="s">
        <v>471</v>
      </c>
      <c r="AE297" s="36"/>
      <c r="AF297" s="36">
        <f>COUNTIF(Tabla1[[#This Row],[GENERO_MASCULINO]:[GENERO_FEMENINO]],"MASCULINO")</f>
        <v>1</v>
      </c>
      <c r="AG297" s="36">
        <f>COUNTIF(Tabla1[[#This Row],[GENERO_MASCULINO]:[GENERO_FEMENINO]],"FEMENINO")</f>
        <v>0</v>
      </c>
      <c r="AH297" s="61">
        <v>35</v>
      </c>
      <c r="AI297" s="61"/>
      <c r="AJ297" s="78"/>
      <c r="AK297" s="61"/>
      <c r="AL297" s="61"/>
      <c r="AM297" s="36"/>
      <c r="AN297" s="61">
        <v>122</v>
      </c>
      <c r="AO297" s="36" t="str">
        <f>IFERROR(((VLOOKUP(Tabla1[[#This Row],[HIPOTESIS_1]],listas!$D$1:$E$105,2,FALSE))),"SIN INFORMACIÓN")</f>
        <v>Girar bruscamente.</v>
      </c>
      <c r="AP297" s="36">
        <v>139</v>
      </c>
      <c r="AQ297" s="36" t="str">
        <f>IFERROR(((VLOOKUP(Tabla1[[#This Row],[HIPOTESIS_2]],listas!$D$1:$E$105,2,FALSE))),"")</f>
        <v>Impericia en el manejo.</v>
      </c>
      <c r="AR297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298" spans="1:44" x14ac:dyDescent="0.25">
      <c r="A298" s="12">
        <v>1030</v>
      </c>
      <c r="B298" s="137">
        <v>0</v>
      </c>
      <c r="C298" s="137">
        <v>2</v>
      </c>
      <c r="D298" s="137">
        <v>0</v>
      </c>
      <c r="E298" s="18" t="str">
        <f t="shared" si="16"/>
        <v>LESIONADO</v>
      </c>
      <c r="F298" s="152" t="s">
        <v>670</v>
      </c>
      <c r="G298" s="30">
        <v>5.347658</v>
      </c>
      <c r="H298" s="30">
        <v>-72.402497999999994</v>
      </c>
      <c r="I298" s="93" t="s">
        <v>697</v>
      </c>
      <c r="J298" s="36" t="s">
        <v>717</v>
      </c>
      <c r="K298" s="24" t="str">
        <f t="shared" si="17"/>
        <v>2025</v>
      </c>
      <c r="L298" s="24" t="str">
        <f t="shared" si="18"/>
        <v>AGOSTO</v>
      </c>
      <c r="M298" s="225">
        <v>45870</v>
      </c>
      <c r="N298" s="24" t="str">
        <f t="shared" si="19"/>
        <v>VIERNES</v>
      </c>
      <c r="O298" s="101">
        <v>0.35069444444444442</v>
      </c>
      <c r="P298" s="63" t="s">
        <v>469</v>
      </c>
      <c r="Q298" s="63"/>
      <c r="R298" s="36">
        <f>COUNTIF(Tabla1[[#This Row],[VEHICULOS_ACCIDENTADOS]:[VEHICULOS_ACCIDENTADOS2]],"MOTOCICLETA")</f>
        <v>1</v>
      </c>
      <c r="S298" s="36">
        <f>COUNTIF(Tabla1[[#This Row],[VEHICULOS_ACCIDENTADOS]:[VEHICULOS_ACCIDENTADOS2]],"MOTOCARRO")</f>
        <v>0</v>
      </c>
      <c r="T298" s="36">
        <f>COUNTIF(Tabla1[[#This Row],[VEHICULOS_ACCIDENTADOS]:[VEHICULOS_ACCIDENTADOS2]],"AUTOMOVIL")</f>
        <v>0</v>
      </c>
      <c r="U298" s="36">
        <f>COUNTIF(Tabla1[[#This Row],[VEHICULOS_ACCIDENTADOS]:[VEHICULOS_ACCIDENTADOS2]],"CAMPERO")</f>
        <v>0</v>
      </c>
      <c r="V298" s="36">
        <f>COUNTIF(Tabla1[[#This Row],[VEHICULOS_ACCIDENTADOS]:[VEHICULOS_ACCIDENTADOS2]],"CAMIONETA")</f>
        <v>0</v>
      </c>
      <c r="W298" s="36">
        <f>COUNTIF(Tabla1[[#This Row],[VEHICULOS_ACCIDENTADOS]:[VEHICULOS_ACCIDENTADOS2]],"MICROBUS")</f>
        <v>0</v>
      </c>
      <c r="X298" s="36">
        <f>COUNTIF(Tabla1[[#This Row],[VEHICULOS_ACCIDENTADOS]:[VEHICULOS_ACCIDENTADOS2]],"BUS")</f>
        <v>0</v>
      </c>
      <c r="Y298" s="36">
        <f>COUNTIF(Tabla1[[#This Row],[VEHICULOS_ACCIDENTADOS]:[VEHICULOS_ACCIDENTADOS2]],"BUSETA")</f>
        <v>0</v>
      </c>
      <c r="Z298" s="36">
        <f>COUNTIF(Tabla1[[#This Row],[VEHICULOS_ACCIDENTADOS]:[VEHICULOS_ACCIDENTADOS2]],"CAMION")</f>
        <v>0</v>
      </c>
      <c r="AA298" s="36">
        <f>COUNTIF(Tabla1[[#This Row],[VEHICULOS_ACCIDENTADOS]:[VEHICULOS_ACCIDENTADOS2]],"TRACTOCAMION")</f>
        <v>0</v>
      </c>
      <c r="AB298" s="36">
        <f>COUNTIF(Tabla1[[#This Row],[VEHICULOS_ACCIDENTADOS]:[VEHICULOS_ACCIDENTADOS2]],"VOLQUETA")</f>
        <v>0</v>
      </c>
      <c r="AC298" s="36">
        <f>COUNTIF(Tabla1[[#This Row],[VEHICULOS_ACCIDENTADOS]:[VEHICULOS_ACCIDENTADOS2]],"BICICLETA")</f>
        <v>0</v>
      </c>
      <c r="AD298" s="61" t="s">
        <v>472</v>
      </c>
      <c r="AE298" s="61" t="s">
        <v>472</v>
      </c>
      <c r="AF298" s="36">
        <f>COUNTIF(Tabla1[[#This Row],[GENERO_MASCULINO]:[GENERO_FEMENINO]],"MASCULINO")</f>
        <v>0</v>
      </c>
      <c r="AG298" s="36">
        <f>COUNTIF(Tabla1[[#This Row],[GENERO_MASCULINO]:[GENERO_FEMENINO]],"FEMENINO")</f>
        <v>2</v>
      </c>
      <c r="AH298" s="85">
        <v>31</v>
      </c>
      <c r="AI298" s="85">
        <v>61</v>
      </c>
      <c r="AJ298" s="85"/>
      <c r="AK298" s="78"/>
      <c r="AL298" s="78"/>
      <c r="AM298" s="59"/>
      <c r="AN298" s="61">
        <v>157</v>
      </c>
      <c r="AO298" s="59" t="str">
        <f>IFERROR(((VLOOKUP(Tabla1[[#This Row],[HIPOTESIS_1]],listas!$D$1:$E$105,2,FALSE))),"SIN INFORMACIÓN")</f>
        <v>Otra</v>
      </c>
      <c r="AP298" s="36">
        <v>139</v>
      </c>
      <c r="AQ298" s="36" t="str">
        <f>IFERROR(((VLOOKUP(Tabla1[[#This Row],[HIPOTESIS_2]],listas!$D$1:$E$105,2,FALSE))),"")</f>
        <v>Impericia en el manejo.</v>
      </c>
      <c r="AR298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299" spans="1:44" x14ac:dyDescent="0.25">
      <c r="A299" s="12">
        <v>359</v>
      </c>
      <c r="B299" s="36">
        <v>0</v>
      </c>
      <c r="C299" s="36">
        <v>2</v>
      </c>
      <c r="D299" s="36">
        <v>0</v>
      </c>
      <c r="E299" s="18" t="str">
        <f t="shared" si="16"/>
        <v>LESIONADO</v>
      </c>
      <c r="F299" s="154" t="s">
        <v>302</v>
      </c>
      <c r="G299" s="17">
        <v>5.3290833333333332</v>
      </c>
      <c r="H299" s="17">
        <v>-72.384372222222225</v>
      </c>
      <c r="I299" s="93" t="s">
        <v>697</v>
      </c>
      <c r="J299" s="36" t="s">
        <v>717</v>
      </c>
      <c r="K299" s="24" t="str">
        <f t="shared" si="17"/>
        <v>2022</v>
      </c>
      <c r="L299" s="24" t="str">
        <f t="shared" si="18"/>
        <v>NOVIEMBRE</v>
      </c>
      <c r="M299" s="225">
        <v>44888</v>
      </c>
      <c r="N299" s="24" t="str">
        <f t="shared" si="19"/>
        <v>MIÉRCOLES</v>
      </c>
      <c r="O299" s="102">
        <v>0.34027777777777801</v>
      </c>
      <c r="P299" s="53" t="s">
        <v>469</v>
      </c>
      <c r="Q299" s="53" t="s">
        <v>447</v>
      </c>
      <c r="R299" s="36">
        <f>COUNTIF(Tabla1[[#This Row],[VEHICULOS_ACCIDENTADOS]:[VEHICULOS_ACCIDENTADOS2]],"MOTOCICLETA")</f>
        <v>1</v>
      </c>
      <c r="S299" s="36">
        <f>COUNTIF(Tabla1[[#This Row],[VEHICULOS_ACCIDENTADOS]:[VEHICULOS_ACCIDENTADOS2]],"MOTOCARRO")</f>
        <v>0</v>
      </c>
      <c r="T299" s="36">
        <f>COUNTIF(Tabla1[[#This Row],[VEHICULOS_ACCIDENTADOS]:[VEHICULOS_ACCIDENTADOS2]],"AUTOMOVIL")</f>
        <v>1</v>
      </c>
      <c r="U299" s="36">
        <f>COUNTIF(Tabla1[[#This Row],[VEHICULOS_ACCIDENTADOS]:[VEHICULOS_ACCIDENTADOS2]],"CAMPERO")</f>
        <v>0</v>
      </c>
      <c r="V299" s="36">
        <f>COUNTIF(Tabla1[[#This Row],[VEHICULOS_ACCIDENTADOS]:[VEHICULOS_ACCIDENTADOS2]],"CAMIONETA")</f>
        <v>0</v>
      </c>
      <c r="W299" s="36">
        <f>COUNTIF(Tabla1[[#This Row],[VEHICULOS_ACCIDENTADOS]:[VEHICULOS_ACCIDENTADOS2]],"MICROBUS")</f>
        <v>0</v>
      </c>
      <c r="X299" s="36">
        <f>COUNTIF(Tabla1[[#This Row],[VEHICULOS_ACCIDENTADOS]:[VEHICULOS_ACCIDENTADOS2]],"BUS")</f>
        <v>0</v>
      </c>
      <c r="Y299" s="36">
        <f>COUNTIF(Tabla1[[#This Row],[VEHICULOS_ACCIDENTADOS]:[VEHICULOS_ACCIDENTADOS2]],"BUSETA")</f>
        <v>0</v>
      </c>
      <c r="Z299" s="36">
        <f>COUNTIF(Tabla1[[#This Row],[VEHICULOS_ACCIDENTADOS]:[VEHICULOS_ACCIDENTADOS2]],"CAMION")</f>
        <v>0</v>
      </c>
      <c r="AA299" s="36">
        <f>COUNTIF(Tabla1[[#This Row],[VEHICULOS_ACCIDENTADOS]:[VEHICULOS_ACCIDENTADOS2]],"TRACTOCAMION")</f>
        <v>0</v>
      </c>
      <c r="AB299" s="36">
        <f>COUNTIF(Tabla1[[#This Row],[VEHICULOS_ACCIDENTADOS]:[VEHICULOS_ACCIDENTADOS2]],"VOLQUETA")</f>
        <v>0</v>
      </c>
      <c r="AC299" s="36">
        <f>COUNTIF(Tabla1[[#This Row],[VEHICULOS_ACCIDENTADOS]:[VEHICULOS_ACCIDENTADOS2]],"BICICLETA")</f>
        <v>0</v>
      </c>
      <c r="AD299" s="36"/>
      <c r="AE299" s="36" t="s">
        <v>472</v>
      </c>
      <c r="AF299" s="36">
        <f>COUNTIF(Tabla1[[#This Row],[GENERO_MASCULINO]:[GENERO_FEMENINO]],"MASCULINO")</f>
        <v>0</v>
      </c>
      <c r="AG299" s="36">
        <f>COUNTIF(Tabla1[[#This Row],[GENERO_MASCULINO]:[GENERO_FEMENINO]],"FEMENINO")</f>
        <v>1</v>
      </c>
      <c r="AH299" s="61">
        <v>32</v>
      </c>
      <c r="AI299" s="61"/>
      <c r="AJ299" s="61"/>
      <c r="AK299" s="61"/>
      <c r="AL299" s="61">
        <v>20</v>
      </c>
      <c r="AM299" s="36"/>
      <c r="AN299" s="61">
        <v>132</v>
      </c>
      <c r="AO299" s="36" t="str">
        <f>IFERROR(((VLOOKUP(Tabla1[[#This Row],[HIPOTESIS_1]],listas!$D$1:$E$105,2,FALSE))),"SIN INFORMACIÓN")</f>
        <v>No respetar prelación.</v>
      </c>
      <c r="AP299" s="36">
        <v>139</v>
      </c>
      <c r="AQ299" s="36" t="str">
        <f>IFERROR(((VLOOKUP(Tabla1[[#This Row],[HIPOTESIS_2]],listas!$D$1:$E$105,2,FALSE))),"")</f>
        <v>Impericia en el manejo.</v>
      </c>
      <c r="AR299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300" spans="1:44" x14ac:dyDescent="0.25">
      <c r="A300" s="12">
        <v>857</v>
      </c>
      <c r="B300" s="135">
        <v>0</v>
      </c>
      <c r="C300" s="136">
        <v>1</v>
      </c>
      <c r="D300" s="136">
        <v>0</v>
      </c>
      <c r="E300" s="18" t="str">
        <f t="shared" si="16"/>
        <v>LESIONADO</v>
      </c>
      <c r="F300" s="26" t="s">
        <v>82</v>
      </c>
      <c r="G300" s="21">
        <v>5.3247020000000003</v>
      </c>
      <c r="H300" s="21">
        <v>-72.384179000000003</v>
      </c>
      <c r="I300" s="93" t="s">
        <v>697</v>
      </c>
      <c r="J300" s="167" t="s">
        <v>717</v>
      </c>
      <c r="K300" s="24" t="str">
        <f t="shared" si="17"/>
        <v>2025</v>
      </c>
      <c r="L300" s="24" t="str">
        <f t="shared" si="18"/>
        <v>ENERO</v>
      </c>
      <c r="M300" s="224">
        <v>45671</v>
      </c>
      <c r="N300" s="24" t="str">
        <f t="shared" si="19"/>
        <v>MARTES</v>
      </c>
      <c r="O300" s="171">
        <v>0.93055555555555547</v>
      </c>
      <c r="P300" s="178" t="s">
        <v>447</v>
      </c>
      <c r="Q300" s="178" t="s">
        <v>445</v>
      </c>
      <c r="R300" s="36">
        <f>COUNTIF(Tabla1[[#This Row],[VEHICULOS_ACCIDENTADOS]:[VEHICULOS_ACCIDENTADOS2]],"MOTOCICLETA")</f>
        <v>0</v>
      </c>
      <c r="S300" s="36">
        <f>COUNTIF(Tabla1[[#This Row],[VEHICULOS_ACCIDENTADOS]:[VEHICULOS_ACCIDENTADOS2]],"MOTOCARRO")</f>
        <v>0</v>
      </c>
      <c r="T300" s="36">
        <f>COUNTIF(Tabla1[[#This Row],[VEHICULOS_ACCIDENTADOS]:[VEHICULOS_ACCIDENTADOS2]],"AUTOMOVIL")</f>
        <v>1</v>
      </c>
      <c r="U300" s="36">
        <f>COUNTIF(Tabla1[[#This Row],[VEHICULOS_ACCIDENTADOS]:[VEHICULOS_ACCIDENTADOS2]],"CAMPERO")</f>
        <v>0</v>
      </c>
      <c r="V300" s="36">
        <f>COUNTIF(Tabla1[[#This Row],[VEHICULOS_ACCIDENTADOS]:[VEHICULOS_ACCIDENTADOS2]],"CAMIONETA")</f>
        <v>1</v>
      </c>
      <c r="W300" s="36">
        <f>COUNTIF(Tabla1[[#This Row],[VEHICULOS_ACCIDENTADOS]:[VEHICULOS_ACCIDENTADOS2]],"MICROBUS")</f>
        <v>0</v>
      </c>
      <c r="X300" s="36">
        <f>COUNTIF(Tabla1[[#This Row],[VEHICULOS_ACCIDENTADOS]:[VEHICULOS_ACCIDENTADOS2]],"BUS")</f>
        <v>0</v>
      </c>
      <c r="Y300" s="36">
        <f>COUNTIF(Tabla1[[#This Row],[VEHICULOS_ACCIDENTADOS]:[VEHICULOS_ACCIDENTADOS2]],"BUSETA")</f>
        <v>0</v>
      </c>
      <c r="Z300" s="36">
        <f>COUNTIF(Tabla1[[#This Row],[VEHICULOS_ACCIDENTADOS]:[VEHICULOS_ACCIDENTADOS2]],"CAMION")</f>
        <v>0</v>
      </c>
      <c r="AA300" s="36">
        <f>COUNTIF(Tabla1[[#This Row],[VEHICULOS_ACCIDENTADOS]:[VEHICULOS_ACCIDENTADOS2]],"TRACTOCAMION")</f>
        <v>0</v>
      </c>
      <c r="AB300" s="36">
        <f>COUNTIF(Tabla1[[#This Row],[VEHICULOS_ACCIDENTADOS]:[VEHICULOS_ACCIDENTADOS2]],"VOLQUETA")</f>
        <v>0</v>
      </c>
      <c r="AC300" s="36">
        <f>COUNTIF(Tabla1[[#This Row],[VEHICULOS_ACCIDENTADOS]:[VEHICULOS_ACCIDENTADOS2]],"BICICLETA")</f>
        <v>0</v>
      </c>
      <c r="AD300" s="136" t="s">
        <v>471</v>
      </c>
      <c r="AE300" s="136" t="s">
        <v>472</v>
      </c>
      <c r="AF300" s="136">
        <f>COUNTIF(Tabla1[[#This Row],[GENERO_MASCULINO]:[GENERO_FEMENINO]],"MASCULINO")</f>
        <v>1</v>
      </c>
      <c r="AG300" s="36">
        <f>COUNTIF(Tabla1[[#This Row],[GENERO_MASCULINO]:[GENERO_FEMENINO]],"FEMENINO")</f>
        <v>1</v>
      </c>
      <c r="AH300" s="85">
        <v>41</v>
      </c>
      <c r="AI300" s="85">
        <v>26</v>
      </c>
      <c r="AJ300" s="85">
        <v>27</v>
      </c>
      <c r="AK300" s="85"/>
      <c r="AL300" s="85"/>
      <c r="AM300" s="136"/>
      <c r="AN300" s="85">
        <v>115</v>
      </c>
      <c r="AO300" s="36" t="str">
        <f>IFERROR(((VLOOKUP(Tabla1[[#This Row],[HIPOTESIS_1]],listas!$D$1:$E$105,2,FALSE))),"SIN INFORMACIÓN")</f>
        <v>Embriaguez o Sustancias alucinogenas</v>
      </c>
      <c r="AP300" s="136">
        <v>139</v>
      </c>
      <c r="AQ300" s="36" t="str">
        <f>IFERROR(((VLOOKUP(Tabla1[[#This Row],[HIPOTESIS_2]],listas!$D$1:$E$105,2,FALSE))),"")</f>
        <v>Impericia en el manejo.</v>
      </c>
      <c r="AR300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301" spans="1:44" x14ac:dyDescent="0.25">
      <c r="A301" s="12">
        <v>868</v>
      </c>
      <c r="B301" s="135">
        <v>0</v>
      </c>
      <c r="C301" s="136">
        <v>1</v>
      </c>
      <c r="D301" s="136">
        <v>0</v>
      </c>
      <c r="E301" s="18" t="str">
        <f t="shared" si="16"/>
        <v>LESIONADO</v>
      </c>
      <c r="F301" s="26" t="s">
        <v>74</v>
      </c>
      <c r="G301" s="17">
        <v>5.3293799999999996</v>
      </c>
      <c r="H301" s="21">
        <v>-72.384707000000006</v>
      </c>
      <c r="I301" s="93" t="s">
        <v>697</v>
      </c>
      <c r="J301" s="167" t="s">
        <v>717</v>
      </c>
      <c r="K301" s="24" t="str">
        <f t="shared" si="17"/>
        <v>2025</v>
      </c>
      <c r="L301" s="24" t="str">
        <f t="shared" si="18"/>
        <v>FEBRERO</v>
      </c>
      <c r="M301" s="224">
        <v>45693</v>
      </c>
      <c r="N301" s="24" t="str">
        <f t="shared" si="19"/>
        <v>MIÉRCOLES</v>
      </c>
      <c r="O301" s="171">
        <v>0.625</v>
      </c>
      <c r="P301" s="178" t="s">
        <v>469</v>
      </c>
      <c r="Q301" s="178" t="s">
        <v>447</v>
      </c>
      <c r="R301" s="36">
        <f>COUNTIF(Tabla1[[#This Row],[VEHICULOS_ACCIDENTADOS]:[VEHICULOS_ACCIDENTADOS2]],"MOTOCICLETA")</f>
        <v>1</v>
      </c>
      <c r="S301" s="36">
        <f>COUNTIF(Tabla1[[#This Row],[VEHICULOS_ACCIDENTADOS]:[VEHICULOS_ACCIDENTADOS2]],"MOTOCARRO")</f>
        <v>0</v>
      </c>
      <c r="T301" s="36">
        <f>COUNTIF(Tabla1[[#This Row],[VEHICULOS_ACCIDENTADOS]:[VEHICULOS_ACCIDENTADOS2]],"AUTOMOVIL")</f>
        <v>1</v>
      </c>
      <c r="U301" s="36">
        <f>COUNTIF(Tabla1[[#This Row],[VEHICULOS_ACCIDENTADOS]:[VEHICULOS_ACCIDENTADOS2]],"CAMPERO")</f>
        <v>0</v>
      </c>
      <c r="V301" s="36">
        <f>COUNTIF(Tabla1[[#This Row],[VEHICULOS_ACCIDENTADOS]:[VEHICULOS_ACCIDENTADOS2]],"CAMIONETA")</f>
        <v>0</v>
      </c>
      <c r="W301" s="36">
        <f>COUNTIF(Tabla1[[#This Row],[VEHICULOS_ACCIDENTADOS]:[VEHICULOS_ACCIDENTADOS2]],"MICROBUS")</f>
        <v>0</v>
      </c>
      <c r="X301" s="36">
        <f>COUNTIF(Tabla1[[#This Row],[VEHICULOS_ACCIDENTADOS]:[VEHICULOS_ACCIDENTADOS2]],"BUS")</f>
        <v>0</v>
      </c>
      <c r="Y301" s="36">
        <f>COUNTIF(Tabla1[[#This Row],[VEHICULOS_ACCIDENTADOS]:[VEHICULOS_ACCIDENTADOS2]],"BUSETA")</f>
        <v>0</v>
      </c>
      <c r="Z301" s="36">
        <f>COUNTIF(Tabla1[[#This Row],[VEHICULOS_ACCIDENTADOS]:[VEHICULOS_ACCIDENTADOS2]],"CAMION")</f>
        <v>0</v>
      </c>
      <c r="AA301" s="36">
        <f>COUNTIF(Tabla1[[#This Row],[VEHICULOS_ACCIDENTADOS]:[VEHICULOS_ACCIDENTADOS2]],"TRACTOCAMION")</f>
        <v>0</v>
      </c>
      <c r="AB301" s="36">
        <f>COUNTIF(Tabla1[[#This Row],[VEHICULOS_ACCIDENTADOS]:[VEHICULOS_ACCIDENTADOS2]],"VOLQUETA")</f>
        <v>0</v>
      </c>
      <c r="AC301" s="36">
        <f>COUNTIF(Tabla1[[#This Row],[VEHICULOS_ACCIDENTADOS]:[VEHICULOS_ACCIDENTADOS2]],"BICICLETA")</f>
        <v>0</v>
      </c>
      <c r="AD301" s="136" t="s">
        <v>471</v>
      </c>
      <c r="AE301" s="136" t="s">
        <v>471</v>
      </c>
      <c r="AF301" s="136">
        <f>COUNTIF(Tabla1[[#This Row],[GENERO_MASCULINO]:[GENERO_FEMENINO]],"MASCULINO")</f>
        <v>2</v>
      </c>
      <c r="AG301" s="36">
        <f>COUNTIF(Tabla1[[#This Row],[GENERO_MASCULINO]:[GENERO_FEMENINO]],"FEMENINO")</f>
        <v>0</v>
      </c>
      <c r="AH301" s="85">
        <v>23</v>
      </c>
      <c r="AI301" s="85">
        <v>62</v>
      </c>
      <c r="AJ301" s="85"/>
      <c r="AK301" s="85"/>
      <c r="AL301" s="85"/>
      <c r="AM301" s="136"/>
      <c r="AN301" s="85">
        <v>112</v>
      </c>
      <c r="AO301" s="36" t="str">
        <f>IFERROR(((VLOOKUP(Tabla1[[#This Row],[HIPOTESIS_1]],listas!$D$1:$E$105,2,FALSE))),"SIN INFORMACIÓN")</f>
        <v>Desobedecer señales o normas de tránsito.</v>
      </c>
      <c r="AP301" s="136">
        <v>139</v>
      </c>
      <c r="AQ301" s="36" t="str">
        <f>IFERROR(((VLOOKUP(Tabla1[[#This Row],[HIPOTESIS_2]],listas!$D$1:$E$105,2,FALSE))),"")</f>
        <v>Impericia en el manejo.</v>
      </c>
      <c r="AR301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302" spans="1:44" x14ac:dyDescent="0.25">
      <c r="A302" s="12">
        <v>1070</v>
      </c>
      <c r="B302" s="137">
        <v>0</v>
      </c>
      <c r="C302" s="137">
        <v>1</v>
      </c>
      <c r="D302" s="137">
        <v>0</v>
      </c>
      <c r="E302" s="24" t="str">
        <f t="shared" si="16"/>
        <v>LESIONADO</v>
      </c>
      <c r="F302" s="158" t="s">
        <v>1038</v>
      </c>
      <c r="G302" s="30">
        <v>5.3221558995263001</v>
      </c>
      <c r="H302" s="30">
        <v>-72.401646765274194</v>
      </c>
      <c r="I302" s="165" t="s">
        <v>697</v>
      </c>
      <c r="J302" s="36" t="s">
        <v>717</v>
      </c>
      <c r="K302" s="24" t="str">
        <f t="shared" si="17"/>
        <v>2025</v>
      </c>
      <c r="L302" s="24" t="str">
        <f t="shared" si="18"/>
        <v>SEPTIEMBRE</v>
      </c>
      <c r="M302" s="225">
        <v>45914</v>
      </c>
      <c r="N302" s="24" t="str">
        <f t="shared" si="19"/>
        <v>DOMINGO</v>
      </c>
      <c r="O302" s="101">
        <v>0.61111111111111116</v>
      </c>
      <c r="P302" s="63" t="s">
        <v>445</v>
      </c>
      <c r="Q302" s="63" t="s">
        <v>469</v>
      </c>
      <c r="R302" s="36">
        <f>COUNTIF(Tabla1[[#This Row],[VEHICULOS_ACCIDENTADOS]:[VEHICULOS_ACCIDENTADOS2]],"MOTOCICLETA")</f>
        <v>1</v>
      </c>
      <c r="S302" s="36">
        <f>COUNTIF(Tabla1[[#This Row],[VEHICULOS_ACCIDENTADOS]:[VEHICULOS_ACCIDENTADOS2]],"MOTOCARRO")</f>
        <v>0</v>
      </c>
      <c r="T302" s="36">
        <f>COUNTIF(Tabla1[[#This Row],[VEHICULOS_ACCIDENTADOS]:[VEHICULOS_ACCIDENTADOS2]],"AUTOMOVIL")</f>
        <v>0</v>
      </c>
      <c r="U302" s="36">
        <f>COUNTIF(Tabla1[[#This Row],[VEHICULOS_ACCIDENTADOS]:[VEHICULOS_ACCIDENTADOS2]],"CAMPERO")</f>
        <v>0</v>
      </c>
      <c r="V302" s="36">
        <f>COUNTIF(Tabla1[[#This Row],[VEHICULOS_ACCIDENTADOS]:[VEHICULOS_ACCIDENTADOS2]],"CAMIONETA")</f>
        <v>1</v>
      </c>
      <c r="W302" s="36">
        <f>COUNTIF(Tabla1[[#This Row],[VEHICULOS_ACCIDENTADOS]:[VEHICULOS_ACCIDENTADOS2]],"MICROBUS")</f>
        <v>0</v>
      </c>
      <c r="X302" s="36">
        <f>COUNTIF(Tabla1[[#This Row],[VEHICULOS_ACCIDENTADOS]:[VEHICULOS_ACCIDENTADOS2]],"BUS")</f>
        <v>0</v>
      </c>
      <c r="Y302" s="36">
        <f>COUNTIF(Tabla1[[#This Row],[VEHICULOS_ACCIDENTADOS]:[VEHICULOS_ACCIDENTADOS2]],"BUSETA")</f>
        <v>0</v>
      </c>
      <c r="Z302" s="36">
        <f>COUNTIF(Tabla1[[#This Row],[VEHICULOS_ACCIDENTADOS]:[VEHICULOS_ACCIDENTADOS2]],"CAMION")</f>
        <v>0</v>
      </c>
      <c r="AA302" s="36">
        <f>COUNTIF(Tabla1[[#This Row],[VEHICULOS_ACCIDENTADOS]:[VEHICULOS_ACCIDENTADOS2]],"TRACTOCAMION")</f>
        <v>0</v>
      </c>
      <c r="AB302" s="36">
        <f>COUNTIF(Tabla1[[#This Row],[VEHICULOS_ACCIDENTADOS]:[VEHICULOS_ACCIDENTADOS2]],"VOLQUETA")</f>
        <v>0</v>
      </c>
      <c r="AC302" s="36">
        <f>COUNTIF(Tabla1[[#This Row],[VEHICULOS_ACCIDENTADOS]:[VEHICULOS_ACCIDENTADOS2]],"BICICLETA")</f>
        <v>0</v>
      </c>
      <c r="AD302" s="61" t="s">
        <v>471</v>
      </c>
      <c r="AE302" s="61" t="s">
        <v>471</v>
      </c>
      <c r="AF302" s="36">
        <f>COUNTIF(Tabla1[[#This Row],[GENERO_MASCULINO]:[GENERO_FEMENINO]],"MASCULINO")</f>
        <v>2</v>
      </c>
      <c r="AG302" s="36">
        <f>COUNTIF(Tabla1[[#This Row],[GENERO_MASCULINO]:[GENERO_FEMENINO]],"FEMENINO")</f>
        <v>0</v>
      </c>
      <c r="AH302" s="85">
        <v>22</v>
      </c>
      <c r="AI302" s="85">
        <v>60</v>
      </c>
      <c r="AJ302" s="85"/>
      <c r="AK302" s="78"/>
      <c r="AL302" s="78"/>
      <c r="AM302" s="59"/>
      <c r="AN302" s="61">
        <v>122</v>
      </c>
      <c r="AO302" s="59" t="str">
        <f>IFERROR(((VLOOKUP(Tabla1[[#This Row],[HIPOTESIS_1]],listas!$D$1:$E$105,2,FALSE))),"SIN INFORMACIÓN")</f>
        <v>Girar bruscamente.</v>
      </c>
      <c r="AP302" s="36">
        <v>139</v>
      </c>
      <c r="AQ302" s="36" t="str">
        <f>IFERROR(((VLOOKUP(Tabla1[[#This Row],[HIPOTESIS_2]],listas!$D$1:$E$105,2,FALSE))),"")</f>
        <v>Impericia en el manejo.</v>
      </c>
      <c r="AR302" s="2" t="str">
        <f>IF(HOUR(Tabla1[[#This Row],[HORA_ACCIDENTE]])&lt;6,"MAÑANA",
 IF(HOUR(Tabla1[[#This Row],[HORA_ACCIDENTE]])&lt;12,"MAÑANA",
 IF(HOUR(Tabla1[[#This Row],[HORA_ACCIDENTE]])&lt;18,"TARDE","NOCHE")))</f>
        <v>TARDE</v>
      </c>
    </row>
    <row r="303" spans="1:44" x14ac:dyDescent="0.25">
      <c r="A303" s="12">
        <v>390</v>
      </c>
      <c r="B303" s="36">
        <v>1</v>
      </c>
      <c r="C303" s="36">
        <v>0</v>
      </c>
      <c r="D303" s="36">
        <v>0</v>
      </c>
      <c r="E303" s="18" t="str">
        <f t="shared" si="16"/>
        <v>SOLO DAÑO</v>
      </c>
      <c r="F303" s="29" t="s">
        <v>291</v>
      </c>
      <c r="G303" s="21">
        <v>5.3255202777777777</v>
      </c>
      <c r="H303" s="21">
        <v>-72.403247777777779</v>
      </c>
      <c r="I303" s="93" t="s">
        <v>697</v>
      </c>
      <c r="J303" s="36" t="s">
        <v>717</v>
      </c>
      <c r="K303" s="24" t="str">
        <f t="shared" si="17"/>
        <v>2023</v>
      </c>
      <c r="L303" s="24" t="str">
        <f t="shared" si="18"/>
        <v>ENERO</v>
      </c>
      <c r="M303" s="225">
        <v>44941</v>
      </c>
      <c r="N303" s="24" t="str">
        <f t="shared" si="19"/>
        <v>DOMINGO</v>
      </c>
      <c r="O303" s="101">
        <v>0.75694444444444497</v>
      </c>
      <c r="P303" s="57" t="s">
        <v>469</v>
      </c>
      <c r="Q303" s="57" t="s">
        <v>469</v>
      </c>
      <c r="R303" s="36">
        <f>COUNTIF(Tabla1[[#This Row],[VEHICULOS_ACCIDENTADOS]:[VEHICULOS_ACCIDENTADOS2]],"MOTOCICLETA")</f>
        <v>2</v>
      </c>
      <c r="S303" s="36">
        <f>COUNTIF(Tabla1[[#This Row],[VEHICULOS_ACCIDENTADOS]:[VEHICULOS_ACCIDENTADOS2]],"MOTOCARRO")</f>
        <v>0</v>
      </c>
      <c r="T303" s="36">
        <f>COUNTIF(Tabla1[[#This Row],[VEHICULOS_ACCIDENTADOS]:[VEHICULOS_ACCIDENTADOS2]],"AUTOMOVIL")</f>
        <v>0</v>
      </c>
      <c r="U303" s="36">
        <f>COUNTIF(Tabla1[[#This Row],[VEHICULOS_ACCIDENTADOS]:[VEHICULOS_ACCIDENTADOS2]],"CAMPERO")</f>
        <v>0</v>
      </c>
      <c r="V303" s="36">
        <f>COUNTIF(Tabla1[[#This Row],[VEHICULOS_ACCIDENTADOS]:[VEHICULOS_ACCIDENTADOS2]],"CAMIONETA")</f>
        <v>0</v>
      </c>
      <c r="W303" s="36">
        <f>COUNTIF(Tabla1[[#This Row],[VEHICULOS_ACCIDENTADOS]:[VEHICULOS_ACCIDENTADOS2]],"MICROBUS")</f>
        <v>0</v>
      </c>
      <c r="X303" s="36">
        <f>COUNTIF(Tabla1[[#This Row],[VEHICULOS_ACCIDENTADOS]:[VEHICULOS_ACCIDENTADOS2]],"BUS")</f>
        <v>0</v>
      </c>
      <c r="Y303" s="36">
        <f>COUNTIF(Tabla1[[#This Row],[VEHICULOS_ACCIDENTADOS]:[VEHICULOS_ACCIDENTADOS2]],"BUSETA")</f>
        <v>0</v>
      </c>
      <c r="Z303" s="36">
        <f>COUNTIF(Tabla1[[#This Row],[VEHICULOS_ACCIDENTADOS]:[VEHICULOS_ACCIDENTADOS2]],"CAMION")</f>
        <v>0</v>
      </c>
      <c r="AA303" s="36">
        <f>COUNTIF(Tabla1[[#This Row],[VEHICULOS_ACCIDENTADOS]:[VEHICULOS_ACCIDENTADOS2]],"TRACTOCAMION")</f>
        <v>0</v>
      </c>
      <c r="AB303" s="36">
        <f>COUNTIF(Tabla1[[#This Row],[VEHICULOS_ACCIDENTADOS]:[VEHICULOS_ACCIDENTADOS2]],"VOLQUETA")</f>
        <v>0</v>
      </c>
      <c r="AC303" s="36">
        <f>COUNTIF(Tabla1[[#This Row],[VEHICULOS_ACCIDENTADOS]:[VEHICULOS_ACCIDENTADOS2]],"BICICLETA")</f>
        <v>0</v>
      </c>
      <c r="AD303" s="36" t="s">
        <v>471</v>
      </c>
      <c r="AE303" s="36" t="s">
        <v>472</v>
      </c>
      <c r="AF303" s="36">
        <f>COUNTIF(Tabla1[[#This Row],[GENERO_MASCULINO]:[GENERO_FEMENINO]],"MASCULINO")</f>
        <v>1</v>
      </c>
      <c r="AG303" s="36">
        <f>COUNTIF(Tabla1[[#This Row],[GENERO_MASCULINO]:[GENERO_FEMENINO]],"FEMENINO")</f>
        <v>1</v>
      </c>
      <c r="AH303" s="61">
        <v>42</v>
      </c>
      <c r="AI303" s="61">
        <v>25</v>
      </c>
      <c r="AJ303" s="61"/>
      <c r="AK303" s="61"/>
      <c r="AL303" s="61"/>
      <c r="AM303" s="36"/>
      <c r="AN303" s="61">
        <v>121</v>
      </c>
      <c r="AO303" s="36" t="str">
        <f>IFERROR(((VLOOKUP(Tabla1[[#This Row],[HIPOTESIS_1]],listas!$D$1:$E$105,2,FALSE))),"SIN INFORMACIÓN")</f>
        <v>No mantener distancia de seguridad.</v>
      </c>
      <c r="AP303" s="36">
        <v>139</v>
      </c>
      <c r="AQ303" s="36" t="str">
        <f>IFERROR(((VLOOKUP(Tabla1[[#This Row],[HIPOTESIS_2]],listas!$D$1:$E$105,2,FALSE))),"")</f>
        <v>Impericia en el manejo.</v>
      </c>
      <c r="AR303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304" spans="1:44" x14ac:dyDescent="0.25">
      <c r="A304" s="12">
        <v>641</v>
      </c>
      <c r="B304" s="36">
        <v>0</v>
      </c>
      <c r="C304" s="36">
        <v>0</v>
      </c>
      <c r="D304" s="36">
        <v>1</v>
      </c>
      <c r="E304" s="18" t="str">
        <f t="shared" si="16"/>
        <v>FALLECIDO</v>
      </c>
      <c r="F304" s="29" t="s">
        <v>171</v>
      </c>
      <c r="G304" s="21">
        <v>5.3410413888888888</v>
      </c>
      <c r="H304" s="21">
        <v>-72.405252222222231</v>
      </c>
      <c r="I304" s="93" t="s">
        <v>697</v>
      </c>
      <c r="J304" s="36" t="s">
        <v>717</v>
      </c>
      <c r="K304" s="24" t="str">
        <f t="shared" si="17"/>
        <v>2023</v>
      </c>
      <c r="L304" s="24" t="str">
        <f t="shared" si="18"/>
        <v>DICIEMBRE</v>
      </c>
      <c r="M304" s="225">
        <v>45290</v>
      </c>
      <c r="N304" s="24" t="str">
        <f t="shared" si="19"/>
        <v>SÁBADO</v>
      </c>
      <c r="O304" s="101">
        <v>0.2013888888888889</v>
      </c>
      <c r="P304" s="57" t="s">
        <v>469</v>
      </c>
      <c r="Q304" s="57"/>
      <c r="R304" s="36">
        <f>COUNTIF(Tabla1[[#This Row],[VEHICULOS_ACCIDENTADOS]:[VEHICULOS_ACCIDENTADOS2]],"MOTOCICLETA")</f>
        <v>1</v>
      </c>
      <c r="S304" s="36">
        <f>COUNTIF(Tabla1[[#This Row],[VEHICULOS_ACCIDENTADOS]:[VEHICULOS_ACCIDENTADOS2]],"MOTOCARRO")</f>
        <v>0</v>
      </c>
      <c r="T304" s="36">
        <f>COUNTIF(Tabla1[[#This Row],[VEHICULOS_ACCIDENTADOS]:[VEHICULOS_ACCIDENTADOS2]],"AUTOMOVIL")</f>
        <v>0</v>
      </c>
      <c r="U304" s="36">
        <f>COUNTIF(Tabla1[[#This Row],[VEHICULOS_ACCIDENTADOS]:[VEHICULOS_ACCIDENTADOS2]],"CAMPERO")</f>
        <v>0</v>
      </c>
      <c r="V304" s="36">
        <f>COUNTIF(Tabla1[[#This Row],[VEHICULOS_ACCIDENTADOS]:[VEHICULOS_ACCIDENTADOS2]],"CAMIONETA")</f>
        <v>0</v>
      </c>
      <c r="W304" s="36">
        <f>COUNTIF(Tabla1[[#This Row],[VEHICULOS_ACCIDENTADOS]:[VEHICULOS_ACCIDENTADOS2]],"MICROBUS")</f>
        <v>0</v>
      </c>
      <c r="X304" s="36">
        <f>COUNTIF(Tabla1[[#This Row],[VEHICULOS_ACCIDENTADOS]:[VEHICULOS_ACCIDENTADOS2]],"BUS")</f>
        <v>0</v>
      </c>
      <c r="Y304" s="36">
        <f>COUNTIF(Tabla1[[#This Row],[VEHICULOS_ACCIDENTADOS]:[VEHICULOS_ACCIDENTADOS2]],"BUSETA")</f>
        <v>0</v>
      </c>
      <c r="Z304" s="36">
        <f>COUNTIF(Tabla1[[#This Row],[VEHICULOS_ACCIDENTADOS]:[VEHICULOS_ACCIDENTADOS2]],"CAMION")</f>
        <v>0</v>
      </c>
      <c r="AA304" s="36">
        <f>COUNTIF(Tabla1[[#This Row],[VEHICULOS_ACCIDENTADOS]:[VEHICULOS_ACCIDENTADOS2]],"TRACTOCAMION")</f>
        <v>0</v>
      </c>
      <c r="AB304" s="36">
        <f>COUNTIF(Tabla1[[#This Row],[VEHICULOS_ACCIDENTADOS]:[VEHICULOS_ACCIDENTADOS2]],"VOLQUETA")</f>
        <v>0</v>
      </c>
      <c r="AC304" s="36">
        <f>COUNTIF(Tabla1[[#This Row],[VEHICULOS_ACCIDENTADOS]:[VEHICULOS_ACCIDENTADOS2]],"BICICLETA")</f>
        <v>0</v>
      </c>
      <c r="AD304" s="36"/>
      <c r="AE304" s="36" t="s">
        <v>472</v>
      </c>
      <c r="AF304" s="36">
        <f>COUNTIF(Tabla1[[#This Row],[GENERO_MASCULINO]:[GENERO_FEMENINO]],"MASCULINO")</f>
        <v>0</v>
      </c>
      <c r="AG304" s="36">
        <f>COUNTIF(Tabla1[[#This Row],[GENERO_MASCULINO]:[GENERO_FEMENINO]],"FEMENINO")</f>
        <v>1</v>
      </c>
      <c r="AH304" s="61"/>
      <c r="AI304" s="61"/>
      <c r="AJ304" s="61"/>
      <c r="AK304" s="61"/>
      <c r="AL304" s="61"/>
      <c r="AM304" s="36"/>
      <c r="AN304" s="61">
        <v>116</v>
      </c>
      <c r="AO304" s="36" t="str">
        <f>IFERROR(((VLOOKUP(Tabla1[[#This Row],[HIPOTESIS_1]],listas!$D$1:$E$105,2,FALSE))),"SIN INFORMACIÓN")</f>
        <v>Exceso de velocidad</v>
      </c>
      <c r="AP304" s="36">
        <v>139</v>
      </c>
      <c r="AQ304" s="36" t="str">
        <f>IFERROR(((VLOOKUP(Tabla1[[#This Row],[HIPOTESIS_2]],listas!$D$1:$E$105,2,FALSE))),"")</f>
        <v>Impericia en el manejo.</v>
      </c>
      <c r="AR304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305" spans="1:44" x14ac:dyDescent="0.25">
      <c r="A305" s="12">
        <v>1083</v>
      </c>
      <c r="B305" s="137">
        <v>0</v>
      </c>
      <c r="C305" s="137">
        <v>1</v>
      </c>
      <c r="D305" s="137">
        <v>0</v>
      </c>
      <c r="E305" s="24" t="str">
        <f t="shared" si="16"/>
        <v>LESIONADO</v>
      </c>
      <c r="F305" s="152" t="s">
        <v>1040</v>
      </c>
      <c r="G305" s="30">
        <v>5.3367712860926897</v>
      </c>
      <c r="H305" s="30">
        <v>-72.404163703322396</v>
      </c>
      <c r="I305" s="165" t="s">
        <v>697</v>
      </c>
      <c r="J305" s="36" t="s">
        <v>717</v>
      </c>
      <c r="K305" s="24" t="str">
        <f t="shared" si="17"/>
        <v>2025</v>
      </c>
      <c r="L305" s="24" t="str">
        <f t="shared" si="18"/>
        <v>SEPTIEMBRE</v>
      </c>
      <c r="M305" s="225">
        <v>45915</v>
      </c>
      <c r="N305" s="24" t="str">
        <f t="shared" si="19"/>
        <v>LUNES</v>
      </c>
      <c r="O305" s="101">
        <v>0.69652777777777775</v>
      </c>
      <c r="P305" s="63" t="s">
        <v>469</v>
      </c>
      <c r="Q305" s="63" t="s">
        <v>447</v>
      </c>
      <c r="R305" s="36">
        <f>COUNTIF(Tabla1[[#This Row],[VEHICULOS_ACCIDENTADOS]:[VEHICULOS_ACCIDENTADOS2]],"MOTOCICLETA")</f>
        <v>1</v>
      </c>
      <c r="S305" s="36">
        <f>COUNTIF(Tabla1[[#This Row],[VEHICULOS_ACCIDENTADOS]:[VEHICULOS_ACCIDENTADOS2]],"MOTOCARRO")</f>
        <v>0</v>
      </c>
      <c r="T305" s="36">
        <f>COUNTIF(Tabla1[[#This Row],[VEHICULOS_ACCIDENTADOS]:[VEHICULOS_ACCIDENTADOS2]],"AUTOMOVIL")</f>
        <v>1</v>
      </c>
      <c r="U305" s="36">
        <f>COUNTIF(Tabla1[[#This Row],[VEHICULOS_ACCIDENTADOS]:[VEHICULOS_ACCIDENTADOS2]],"CAMPERO")</f>
        <v>0</v>
      </c>
      <c r="V305" s="36">
        <f>COUNTIF(Tabla1[[#This Row],[VEHICULOS_ACCIDENTADOS]:[VEHICULOS_ACCIDENTADOS2]],"CAMIONETA")</f>
        <v>0</v>
      </c>
      <c r="W305" s="36">
        <f>COUNTIF(Tabla1[[#This Row],[VEHICULOS_ACCIDENTADOS]:[VEHICULOS_ACCIDENTADOS2]],"MICROBUS")</f>
        <v>0</v>
      </c>
      <c r="X305" s="36">
        <f>COUNTIF(Tabla1[[#This Row],[VEHICULOS_ACCIDENTADOS]:[VEHICULOS_ACCIDENTADOS2]],"BUS")</f>
        <v>0</v>
      </c>
      <c r="Y305" s="36">
        <f>COUNTIF(Tabla1[[#This Row],[VEHICULOS_ACCIDENTADOS]:[VEHICULOS_ACCIDENTADOS2]],"BUSETA")</f>
        <v>0</v>
      </c>
      <c r="Z305" s="36">
        <f>COUNTIF(Tabla1[[#This Row],[VEHICULOS_ACCIDENTADOS]:[VEHICULOS_ACCIDENTADOS2]],"CAMION")</f>
        <v>0</v>
      </c>
      <c r="AA305" s="36">
        <f>COUNTIF(Tabla1[[#This Row],[VEHICULOS_ACCIDENTADOS]:[VEHICULOS_ACCIDENTADOS2]],"TRACTOCAMION")</f>
        <v>0</v>
      </c>
      <c r="AB305" s="36">
        <f>COUNTIF(Tabla1[[#This Row],[VEHICULOS_ACCIDENTADOS]:[VEHICULOS_ACCIDENTADOS2]],"VOLQUETA")</f>
        <v>0</v>
      </c>
      <c r="AC305" s="36">
        <f>COUNTIF(Tabla1[[#This Row],[VEHICULOS_ACCIDENTADOS]:[VEHICULOS_ACCIDENTADOS2]],"BICICLETA")</f>
        <v>0</v>
      </c>
      <c r="AD305" s="61" t="s">
        <v>471</v>
      </c>
      <c r="AE305" s="61"/>
      <c r="AF305" s="36">
        <f>COUNTIF(Tabla1[[#This Row],[GENERO_MASCULINO]:[GENERO_FEMENINO]],"MASCULINO")</f>
        <v>1</v>
      </c>
      <c r="AG305" s="36">
        <f>COUNTIF(Tabla1[[#This Row],[GENERO_MASCULINO]:[GENERO_FEMENINO]],"FEMENINO")</f>
        <v>0</v>
      </c>
      <c r="AH305" s="85">
        <v>21</v>
      </c>
      <c r="AI305" s="85"/>
      <c r="AJ305" s="85"/>
      <c r="AK305" s="78"/>
      <c r="AL305" s="78"/>
      <c r="AM305" s="59"/>
      <c r="AN305" s="61">
        <v>128</v>
      </c>
      <c r="AO305" s="59" t="str">
        <f>IFERROR(((VLOOKUP(Tabla1[[#This Row],[HIPOTESIS_1]],listas!$D$1:$E$105,2,FALSE))),"SIN INFORMACIÓN")</f>
        <v>Recoger o dejar pasajeros sobre la calzada.</v>
      </c>
      <c r="AP305" s="36">
        <v>139</v>
      </c>
      <c r="AQ305" s="36" t="str">
        <f>IFERROR(((VLOOKUP(Tabla1[[#This Row],[HIPOTESIS_2]],listas!$D$1:$E$105,2,FALSE))),"")</f>
        <v>Impericia en el manejo.</v>
      </c>
      <c r="AR305" s="2" t="str">
        <f>IF(HOUR(Tabla1[[#This Row],[HORA_ACCIDENTE]])&lt;6,"MAÑANA",
 IF(HOUR(Tabla1[[#This Row],[HORA_ACCIDENTE]])&lt;12,"MAÑANA",
 IF(HOUR(Tabla1[[#This Row],[HORA_ACCIDENTE]])&lt;18,"TARDE","NOCHE")))</f>
        <v>TARDE</v>
      </c>
    </row>
    <row r="306" spans="1:44" x14ac:dyDescent="0.25">
      <c r="A306" s="12">
        <v>439</v>
      </c>
      <c r="B306" s="36">
        <v>0</v>
      </c>
      <c r="C306" s="36">
        <v>2</v>
      </c>
      <c r="D306" s="36">
        <v>0</v>
      </c>
      <c r="E306" s="18" t="str">
        <f t="shared" si="16"/>
        <v>LESIONADO</v>
      </c>
      <c r="F306" s="29" t="s">
        <v>264</v>
      </c>
      <c r="G306" s="21">
        <v>5.4337997222222221</v>
      </c>
      <c r="H306" s="21">
        <v>-72.262676666666664</v>
      </c>
      <c r="I306" s="93" t="s">
        <v>697</v>
      </c>
      <c r="J306" s="36" t="s">
        <v>717</v>
      </c>
      <c r="K306" s="24" t="str">
        <f t="shared" si="17"/>
        <v>2023</v>
      </c>
      <c r="L306" s="24" t="str">
        <f t="shared" si="18"/>
        <v>MARZO</v>
      </c>
      <c r="M306" s="225">
        <v>45013</v>
      </c>
      <c r="N306" s="24" t="str">
        <f t="shared" si="19"/>
        <v>MARTES</v>
      </c>
      <c r="O306" s="101">
        <v>0.45833333333333331</v>
      </c>
      <c r="P306" s="57" t="s">
        <v>469</v>
      </c>
      <c r="Q306" s="57" t="s">
        <v>469</v>
      </c>
      <c r="R306" s="36">
        <f>COUNTIF(Tabla1[[#This Row],[VEHICULOS_ACCIDENTADOS]:[VEHICULOS_ACCIDENTADOS2]],"MOTOCICLETA")</f>
        <v>2</v>
      </c>
      <c r="S306" s="36">
        <f>COUNTIF(Tabla1[[#This Row],[VEHICULOS_ACCIDENTADOS]:[VEHICULOS_ACCIDENTADOS2]],"MOTOCARRO")</f>
        <v>0</v>
      </c>
      <c r="T306" s="36">
        <f>COUNTIF(Tabla1[[#This Row],[VEHICULOS_ACCIDENTADOS]:[VEHICULOS_ACCIDENTADOS2]],"AUTOMOVIL")</f>
        <v>0</v>
      </c>
      <c r="U306" s="36">
        <f>COUNTIF(Tabla1[[#This Row],[VEHICULOS_ACCIDENTADOS]:[VEHICULOS_ACCIDENTADOS2]],"CAMPERO")</f>
        <v>0</v>
      </c>
      <c r="V306" s="36">
        <f>COUNTIF(Tabla1[[#This Row],[VEHICULOS_ACCIDENTADOS]:[VEHICULOS_ACCIDENTADOS2]],"CAMIONETA")</f>
        <v>0</v>
      </c>
      <c r="W306" s="36">
        <f>COUNTIF(Tabla1[[#This Row],[VEHICULOS_ACCIDENTADOS]:[VEHICULOS_ACCIDENTADOS2]],"MICROBUS")</f>
        <v>0</v>
      </c>
      <c r="X306" s="36">
        <f>COUNTIF(Tabla1[[#This Row],[VEHICULOS_ACCIDENTADOS]:[VEHICULOS_ACCIDENTADOS2]],"BUS")</f>
        <v>0</v>
      </c>
      <c r="Y306" s="36">
        <f>COUNTIF(Tabla1[[#This Row],[VEHICULOS_ACCIDENTADOS]:[VEHICULOS_ACCIDENTADOS2]],"BUSETA")</f>
        <v>0</v>
      </c>
      <c r="Z306" s="36">
        <f>COUNTIF(Tabla1[[#This Row],[VEHICULOS_ACCIDENTADOS]:[VEHICULOS_ACCIDENTADOS2]],"CAMION")</f>
        <v>0</v>
      </c>
      <c r="AA306" s="36">
        <f>COUNTIF(Tabla1[[#This Row],[VEHICULOS_ACCIDENTADOS]:[VEHICULOS_ACCIDENTADOS2]],"TRACTOCAMION")</f>
        <v>0</v>
      </c>
      <c r="AB306" s="36">
        <f>COUNTIF(Tabla1[[#This Row],[VEHICULOS_ACCIDENTADOS]:[VEHICULOS_ACCIDENTADOS2]],"VOLQUETA")</f>
        <v>0</v>
      </c>
      <c r="AC306" s="36">
        <f>COUNTIF(Tabla1[[#This Row],[VEHICULOS_ACCIDENTADOS]:[VEHICULOS_ACCIDENTADOS2]],"BICICLETA")</f>
        <v>0</v>
      </c>
      <c r="AD306" s="36" t="s">
        <v>471</v>
      </c>
      <c r="AE306" s="36"/>
      <c r="AF306" s="36">
        <f>COUNTIF(Tabla1[[#This Row],[GENERO_MASCULINO]:[GENERO_FEMENINO]],"MASCULINO")</f>
        <v>1</v>
      </c>
      <c r="AG306" s="36">
        <f>COUNTIF(Tabla1[[#This Row],[GENERO_MASCULINO]:[GENERO_FEMENINO]],"FEMENINO")</f>
        <v>0</v>
      </c>
      <c r="AH306" s="61">
        <v>64</v>
      </c>
      <c r="AI306" s="61">
        <v>28</v>
      </c>
      <c r="AJ306" s="61"/>
      <c r="AK306" s="61"/>
      <c r="AL306" s="61"/>
      <c r="AM306" s="36"/>
      <c r="AN306" s="61">
        <v>132</v>
      </c>
      <c r="AO306" s="36" t="str">
        <f>IFERROR(((VLOOKUP(Tabla1[[#This Row],[HIPOTESIS_1]],listas!$D$1:$E$105,2,FALSE))),"SIN INFORMACIÓN")</f>
        <v>No respetar prelación.</v>
      </c>
      <c r="AP306" s="36">
        <v>139</v>
      </c>
      <c r="AQ306" s="36" t="str">
        <f>IFERROR(((VLOOKUP(Tabla1[[#This Row],[HIPOTESIS_2]],listas!$D$1:$E$105,2,FALSE))),"")</f>
        <v>Impericia en el manejo.</v>
      </c>
      <c r="AR306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307" spans="1:44" x14ac:dyDescent="0.25">
      <c r="A307" s="12">
        <v>1016</v>
      </c>
      <c r="B307" s="137">
        <v>0</v>
      </c>
      <c r="C307" s="137">
        <v>0</v>
      </c>
      <c r="D307" s="137">
        <v>1</v>
      </c>
      <c r="E307" s="18" t="str">
        <f t="shared" si="16"/>
        <v>FALLECIDO</v>
      </c>
      <c r="F307" s="152" t="s">
        <v>463</v>
      </c>
      <c r="G307" s="30">
        <v>5.3839579999999998</v>
      </c>
      <c r="H307" s="30">
        <v>-72.355430999999996</v>
      </c>
      <c r="I307" s="94" t="s">
        <v>662</v>
      </c>
      <c r="J307" s="36" t="s">
        <v>1</v>
      </c>
      <c r="K307" s="24" t="str">
        <f t="shared" si="17"/>
        <v>2025</v>
      </c>
      <c r="L307" s="24" t="str">
        <f t="shared" si="18"/>
        <v>JULIO</v>
      </c>
      <c r="M307" s="225">
        <v>45859</v>
      </c>
      <c r="N307" s="24" t="str">
        <f t="shared" si="19"/>
        <v>LUNES</v>
      </c>
      <c r="O307" s="101">
        <v>2.7777777777777776E-2</v>
      </c>
      <c r="P307" s="63" t="s">
        <v>470</v>
      </c>
      <c r="Q307" s="63"/>
      <c r="R307" s="36">
        <f>COUNTIF(Tabla1[[#This Row],[VEHICULOS_ACCIDENTADOS]:[VEHICULOS_ACCIDENTADOS2]],"MOTOCICLETA")</f>
        <v>0</v>
      </c>
      <c r="S307" s="36">
        <f>COUNTIF(Tabla1[[#This Row],[VEHICULOS_ACCIDENTADOS]:[VEHICULOS_ACCIDENTADOS2]],"MOTOCARRO")</f>
        <v>0</v>
      </c>
      <c r="T307" s="36">
        <f>COUNTIF(Tabla1[[#This Row],[VEHICULOS_ACCIDENTADOS]:[VEHICULOS_ACCIDENTADOS2]],"AUTOMOVIL")</f>
        <v>0</v>
      </c>
      <c r="U307" s="36">
        <f>COUNTIF(Tabla1[[#This Row],[VEHICULOS_ACCIDENTADOS]:[VEHICULOS_ACCIDENTADOS2]],"CAMPERO")</f>
        <v>0</v>
      </c>
      <c r="V307" s="36">
        <f>COUNTIF(Tabla1[[#This Row],[VEHICULOS_ACCIDENTADOS]:[VEHICULOS_ACCIDENTADOS2]],"CAMIONETA")</f>
        <v>0</v>
      </c>
      <c r="W307" s="36">
        <f>COUNTIF(Tabla1[[#This Row],[VEHICULOS_ACCIDENTADOS]:[VEHICULOS_ACCIDENTADOS2]],"MICROBUS")</f>
        <v>0</v>
      </c>
      <c r="X307" s="36">
        <f>COUNTIF(Tabla1[[#This Row],[VEHICULOS_ACCIDENTADOS]:[VEHICULOS_ACCIDENTADOS2]],"BUS")</f>
        <v>0</v>
      </c>
      <c r="Y307" s="36">
        <f>COUNTIF(Tabla1[[#This Row],[VEHICULOS_ACCIDENTADOS]:[VEHICULOS_ACCIDENTADOS2]],"BUSETA")</f>
        <v>0</v>
      </c>
      <c r="Z307" s="36">
        <f>COUNTIF(Tabla1[[#This Row],[VEHICULOS_ACCIDENTADOS]:[VEHICULOS_ACCIDENTADOS2]],"CAMION")</f>
        <v>0</v>
      </c>
      <c r="AA307" s="36">
        <f>COUNTIF(Tabla1[[#This Row],[VEHICULOS_ACCIDENTADOS]:[VEHICULOS_ACCIDENTADOS2]],"TRACTOCAMION")</f>
        <v>0</v>
      </c>
      <c r="AB307" s="36">
        <f>COUNTIF(Tabla1[[#This Row],[VEHICULOS_ACCIDENTADOS]:[VEHICULOS_ACCIDENTADOS2]],"VOLQUETA")</f>
        <v>0</v>
      </c>
      <c r="AC307" s="36">
        <f>COUNTIF(Tabla1[[#This Row],[VEHICULOS_ACCIDENTADOS]:[VEHICULOS_ACCIDENTADOS2]],"BICICLETA")</f>
        <v>0</v>
      </c>
      <c r="AD307" s="36" t="s">
        <v>471</v>
      </c>
      <c r="AE307" s="36"/>
      <c r="AF307" s="36">
        <f>COUNTIF(Tabla1[[#This Row],[GENERO_MASCULINO]:[GENERO_FEMENINO]],"MASCULINO")</f>
        <v>1</v>
      </c>
      <c r="AG307" s="36">
        <f>COUNTIF(Tabla1[[#This Row],[GENERO_MASCULINO]:[GENERO_FEMENINO]],"FEMENINO")</f>
        <v>0</v>
      </c>
      <c r="AH307" s="85">
        <v>34</v>
      </c>
      <c r="AI307" s="85"/>
      <c r="AJ307" s="85"/>
      <c r="AK307" s="78"/>
      <c r="AL307" s="78"/>
      <c r="AM307" s="59"/>
      <c r="AN307" s="61">
        <v>1</v>
      </c>
      <c r="AO307" s="36" t="str">
        <f>IFERROR(((VLOOKUP(Tabla1[[#This Row],[HIPOTESIS_1]],listas!$D$1:$E$105,2,FALSE))),"SIN INFORMACIÓN")</f>
        <v>SIN INFORMACIÓN</v>
      </c>
      <c r="AP307" s="36">
        <v>139</v>
      </c>
      <c r="AQ307" s="36" t="str">
        <f>IFERROR(((VLOOKUP(Tabla1[[#This Row],[HIPOTESIS_2]],listas!$D$1:$E$105,2,FALSE))),"")</f>
        <v>Impericia en el manejo.</v>
      </c>
      <c r="AR307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308" spans="1:44" x14ac:dyDescent="0.25">
      <c r="A308" s="12">
        <v>563</v>
      </c>
      <c r="B308" s="36">
        <v>0</v>
      </c>
      <c r="C308" s="36">
        <v>1</v>
      </c>
      <c r="D308" s="36">
        <v>0</v>
      </c>
      <c r="E308" s="18" t="str">
        <f t="shared" si="16"/>
        <v>LESIONADO</v>
      </c>
      <c r="F308" s="36" t="s">
        <v>1157</v>
      </c>
      <c r="G308" s="21">
        <v>5.3355380555555554</v>
      </c>
      <c r="H308" s="21">
        <v>-72.405320000000003</v>
      </c>
      <c r="I308" s="93" t="s">
        <v>697</v>
      </c>
      <c r="J308" s="36" t="s">
        <v>717</v>
      </c>
      <c r="K308" s="24" t="str">
        <f t="shared" si="17"/>
        <v>2023</v>
      </c>
      <c r="L308" s="24" t="str">
        <f t="shared" si="18"/>
        <v>SEPTIEMBRE</v>
      </c>
      <c r="M308" s="225">
        <v>45195</v>
      </c>
      <c r="N308" s="24" t="str">
        <f t="shared" si="19"/>
        <v>MARTES</v>
      </c>
      <c r="O308" s="101">
        <v>0.54166666666666663</v>
      </c>
      <c r="P308" s="57" t="s">
        <v>469</v>
      </c>
      <c r="Q308" s="57" t="s">
        <v>447</v>
      </c>
      <c r="R308" s="36">
        <f>COUNTIF(Tabla1[[#This Row],[VEHICULOS_ACCIDENTADOS]:[VEHICULOS_ACCIDENTADOS2]],"MOTOCICLETA")</f>
        <v>1</v>
      </c>
      <c r="S308" s="36">
        <f>COUNTIF(Tabla1[[#This Row],[VEHICULOS_ACCIDENTADOS]:[VEHICULOS_ACCIDENTADOS2]],"MOTOCARRO")</f>
        <v>0</v>
      </c>
      <c r="T308" s="36">
        <f>COUNTIF(Tabla1[[#This Row],[VEHICULOS_ACCIDENTADOS]:[VEHICULOS_ACCIDENTADOS2]],"AUTOMOVIL")</f>
        <v>1</v>
      </c>
      <c r="U308" s="36">
        <f>COUNTIF(Tabla1[[#This Row],[VEHICULOS_ACCIDENTADOS]:[VEHICULOS_ACCIDENTADOS2]],"CAMPERO")</f>
        <v>0</v>
      </c>
      <c r="V308" s="36">
        <f>COUNTIF(Tabla1[[#This Row],[VEHICULOS_ACCIDENTADOS]:[VEHICULOS_ACCIDENTADOS2]],"CAMIONETA")</f>
        <v>0</v>
      </c>
      <c r="W308" s="36">
        <f>COUNTIF(Tabla1[[#This Row],[VEHICULOS_ACCIDENTADOS]:[VEHICULOS_ACCIDENTADOS2]],"MICROBUS")</f>
        <v>0</v>
      </c>
      <c r="X308" s="36">
        <f>COUNTIF(Tabla1[[#This Row],[VEHICULOS_ACCIDENTADOS]:[VEHICULOS_ACCIDENTADOS2]],"BUS")</f>
        <v>0</v>
      </c>
      <c r="Y308" s="36">
        <f>COUNTIF(Tabla1[[#This Row],[VEHICULOS_ACCIDENTADOS]:[VEHICULOS_ACCIDENTADOS2]],"BUSETA")</f>
        <v>0</v>
      </c>
      <c r="Z308" s="36">
        <f>COUNTIF(Tabla1[[#This Row],[VEHICULOS_ACCIDENTADOS]:[VEHICULOS_ACCIDENTADOS2]],"CAMION")</f>
        <v>0</v>
      </c>
      <c r="AA308" s="36">
        <f>COUNTIF(Tabla1[[#This Row],[VEHICULOS_ACCIDENTADOS]:[VEHICULOS_ACCIDENTADOS2]],"TRACTOCAMION")</f>
        <v>0</v>
      </c>
      <c r="AB308" s="36">
        <f>COUNTIF(Tabla1[[#This Row],[VEHICULOS_ACCIDENTADOS]:[VEHICULOS_ACCIDENTADOS2]],"VOLQUETA")</f>
        <v>0</v>
      </c>
      <c r="AC308" s="36">
        <f>COUNTIF(Tabla1[[#This Row],[VEHICULOS_ACCIDENTADOS]:[VEHICULOS_ACCIDENTADOS2]],"BICICLETA")</f>
        <v>0</v>
      </c>
      <c r="AD308" s="36" t="s">
        <v>471</v>
      </c>
      <c r="AE308" s="36"/>
      <c r="AF308" s="36">
        <f>COUNTIF(Tabla1[[#This Row],[GENERO_MASCULINO]:[GENERO_FEMENINO]],"MASCULINO")</f>
        <v>1</v>
      </c>
      <c r="AG308" s="36">
        <f>COUNTIF(Tabla1[[#This Row],[GENERO_MASCULINO]:[GENERO_FEMENINO]],"FEMENINO")</f>
        <v>0</v>
      </c>
      <c r="AH308" s="61">
        <v>19</v>
      </c>
      <c r="AI308" s="61"/>
      <c r="AJ308" s="61"/>
      <c r="AK308" s="61"/>
      <c r="AL308" s="61"/>
      <c r="AM308" s="36"/>
      <c r="AN308" s="61">
        <v>121</v>
      </c>
      <c r="AO308" s="36" t="str">
        <f>IFERROR(((VLOOKUP(Tabla1[[#This Row],[HIPOTESIS_1]],listas!$D$1:$E$105,2,FALSE))),"SIN INFORMACIÓN")</f>
        <v>No mantener distancia de seguridad.</v>
      </c>
      <c r="AP308" s="36">
        <v>122</v>
      </c>
      <c r="AQ308" s="36" t="str">
        <f>IFERROR(((VLOOKUP(Tabla1[[#This Row],[HIPOTESIS_2]],listas!$D$1:$E$105,2,FALSE))),"")</f>
        <v>Girar bruscamente.</v>
      </c>
      <c r="AR308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309" spans="1:44" x14ac:dyDescent="0.25">
      <c r="A309" s="12">
        <v>1054</v>
      </c>
      <c r="B309" s="137">
        <v>0</v>
      </c>
      <c r="C309" s="137">
        <v>1</v>
      </c>
      <c r="D309" s="137">
        <v>0</v>
      </c>
      <c r="E309" s="18" t="str">
        <f t="shared" si="16"/>
        <v>LESIONADO</v>
      </c>
      <c r="F309" s="152" t="s">
        <v>696</v>
      </c>
      <c r="G309" s="37">
        <v>5.3333281000000001</v>
      </c>
      <c r="H309" s="37">
        <v>-72.401508699999994</v>
      </c>
      <c r="I309" s="93" t="s">
        <v>697</v>
      </c>
      <c r="J309" s="36" t="s">
        <v>717</v>
      </c>
      <c r="K309" s="24" t="str">
        <f t="shared" si="17"/>
        <v>2025</v>
      </c>
      <c r="L309" s="24" t="str">
        <f t="shared" si="18"/>
        <v>AGOSTO</v>
      </c>
      <c r="M309" s="225">
        <v>45890</v>
      </c>
      <c r="N309" s="24" t="str">
        <f t="shared" si="19"/>
        <v>JUEVES</v>
      </c>
      <c r="O309" s="101">
        <v>0.96666666666666667</v>
      </c>
      <c r="P309" s="63" t="s">
        <v>469</v>
      </c>
      <c r="Q309" s="63" t="s">
        <v>447</v>
      </c>
      <c r="R309" s="36">
        <f>COUNTIF(Tabla1[[#This Row],[VEHICULOS_ACCIDENTADOS]:[VEHICULOS_ACCIDENTADOS2]],"MOTOCICLETA")</f>
        <v>1</v>
      </c>
      <c r="S309" s="36">
        <f>COUNTIF(Tabla1[[#This Row],[VEHICULOS_ACCIDENTADOS]:[VEHICULOS_ACCIDENTADOS2]],"MOTOCARRO")</f>
        <v>0</v>
      </c>
      <c r="T309" s="36">
        <f>COUNTIF(Tabla1[[#This Row],[VEHICULOS_ACCIDENTADOS]:[VEHICULOS_ACCIDENTADOS2]],"AUTOMOVIL")</f>
        <v>1</v>
      </c>
      <c r="U309" s="36">
        <f>COUNTIF(Tabla1[[#This Row],[VEHICULOS_ACCIDENTADOS]:[VEHICULOS_ACCIDENTADOS2]],"CAMPERO")</f>
        <v>0</v>
      </c>
      <c r="V309" s="36">
        <f>COUNTIF(Tabla1[[#This Row],[VEHICULOS_ACCIDENTADOS]:[VEHICULOS_ACCIDENTADOS2]],"CAMIONETA")</f>
        <v>0</v>
      </c>
      <c r="W309" s="36">
        <f>COUNTIF(Tabla1[[#This Row],[VEHICULOS_ACCIDENTADOS]:[VEHICULOS_ACCIDENTADOS2]],"MICROBUS")</f>
        <v>0</v>
      </c>
      <c r="X309" s="36">
        <f>COUNTIF(Tabla1[[#This Row],[VEHICULOS_ACCIDENTADOS]:[VEHICULOS_ACCIDENTADOS2]],"BUS")</f>
        <v>0</v>
      </c>
      <c r="Y309" s="36">
        <f>COUNTIF(Tabla1[[#This Row],[VEHICULOS_ACCIDENTADOS]:[VEHICULOS_ACCIDENTADOS2]],"BUSETA")</f>
        <v>0</v>
      </c>
      <c r="Z309" s="36">
        <f>COUNTIF(Tabla1[[#This Row],[VEHICULOS_ACCIDENTADOS]:[VEHICULOS_ACCIDENTADOS2]],"CAMION")</f>
        <v>0</v>
      </c>
      <c r="AA309" s="36">
        <f>COUNTIF(Tabla1[[#This Row],[VEHICULOS_ACCIDENTADOS]:[VEHICULOS_ACCIDENTADOS2]],"TRACTOCAMION")</f>
        <v>0</v>
      </c>
      <c r="AB309" s="36">
        <f>COUNTIF(Tabla1[[#This Row],[VEHICULOS_ACCIDENTADOS]:[VEHICULOS_ACCIDENTADOS2]],"VOLQUETA")</f>
        <v>0</v>
      </c>
      <c r="AC309" s="36">
        <f>COUNTIF(Tabla1[[#This Row],[VEHICULOS_ACCIDENTADOS]:[VEHICULOS_ACCIDENTADOS2]],"BICICLETA")</f>
        <v>0</v>
      </c>
      <c r="AD309" s="61" t="s">
        <v>472</v>
      </c>
      <c r="AE309" s="61"/>
      <c r="AF309" s="36">
        <f>COUNTIF(Tabla1[[#This Row],[GENERO_MASCULINO]:[GENERO_FEMENINO]],"MASCULINO")</f>
        <v>0</v>
      </c>
      <c r="AG309" s="36">
        <f>COUNTIF(Tabla1[[#This Row],[GENERO_MASCULINO]:[GENERO_FEMENINO]],"FEMENINO")</f>
        <v>1</v>
      </c>
      <c r="AH309" s="85">
        <v>23</v>
      </c>
      <c r="AI309" s="85"/>
      <c r="AJ309" s="85"/>
      <c r="AK309" s="78"/>
      <c r="AL309" s="78"/>
      <c r="AM309" s="59"/>
      <c r="AN309" s="61">
        <v>139</v>
      </c>
      <c r="AO309" s="59" t="str">
        <f>IFERROR(((VLOOKUP(Tabla1[[#This Row],[HIPOTESIS_1]],listas!$D$1:$E$105,2,FALSE))),"SIN INFORMACIÓN")</f>
        <v>Impericia en el manejo.</v>
      </c>
      <c r="AP309" s="36">
        <v>122</v>
      </c>
      <c r="AQ309" s="36" t="str">
        <f>IFERROR(((VLOOKUP(Tabla1[[#This Row],[HIPOTESIS_2]],listas!$D$1:$E$105,2,FALSE))),"")</f>
        <v>Girar bruscamente.</v>
      </c>
      <c r="AR309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310" spans="1:44" x14ac:dyDescent="0.25">
      <c r="A310" s="12">
        <v>309</v>
      </c>
      <c r="B310" s="36">
        <v>0</v>
      </c>
      <c r="C310" s="36">
        <v>2</v>
      </c>
      <c r="D310" s="36">
        <v>0</v>
      </c>
      <c r="E310" s="18" t="str">
        <f t="shared" si="16"/>
        <v>LESIONADO</v>
      </c>
      <c r="F310" s="26" t="s">
        <v>849</v>
      </c>
      <c r="G310" s="21">
        <v>5.3266361111111111</v>
      </c>
      <c r="H310" s="21">
        <v>-72.402225000000001</v>
      </c>
      <c r="I310" s="93" t="s">
        <v>697</v>
      </c>
      <c r="J310" s="36" t="s">
        <v>717</v>
      </c>
      <c r="K310" s="24" t="str">
        <f t="shared" si="17"/>
        <v>2022</v>
      </c>
      <c r="L310" s="24" t="str">
        <f t="shared" si="18"/>
        <v>SEPTIEMBRE</v>
      </c>
      <c r="M310" s="225">
        <v>44818</v>
      </c>
      <c r="N310" s="24" t="str">
        <f t="shared" si="19"/>
        <v>MIÉRCOLES</v>
      </c>
      <c r="O310" s="102">
        <v>0.88888888888888895</v>
      </c>
      <c r="P310" s="53" t="s">
        <v>469</v>
      </c>
      <c r="Q310" s="53" t="s">
        <v>445</v>
      </c>
      <c r="R310" s="36">
        <f>COUNTIF(Tabla1[[#This Row],[VEHICULOS_ACCIDENTADOS]:[VEHICULOS_ACCIDENTADOS2]],"MOTOCICLETA")</f>
        <v>1</v>
      </c>
      <c r="S310" s="36">
        <f>COUNTIF(Tabla1[[#This Row],[VEHICULOS_ACCIDENTADOS]:[VEHICULOS_ACCIDENTADOS2]],"MOTOCARRO")</f>
        <v>0</v>
      </c>
      <c r="T310" s="36">
        <f>COUNTIF(Tabla1[[#This Row],[VEHICULOS_ACCIDENTADOS]:[VEHICULOS_ACCIDENTADOS2]],"AUTOMOVIL")</f>
        <v>0</v>
      </c>
      <c r="U310" s="36">
        <f>COUNTIF(Tabla1[[#This Row],[VEHICULOS_ACCIDENTADOS]:[VEHICULOS_ACCIDENTADOS2]],"CAMPERO")</f>
        <v>0</v>
      </c>
      <c r="V310" s="36">
        <f>COUNTIF(Tabla1[[#This Row],[VEHICULOS_ACCIDENTADOS]:[VEHICULOS_ACCIDENTADOS2]],"CAMIONETA")</f>
        <v>1</v>
      </c>
      <c r="W310" s="36">
        <f>COUNTIF(Tabla1[[#This Row],[VEHICULOS_ACCIDENTADOS]:[VEHICULOS_ACCIDENTADOS2]],"MICROBUS")</f>
        <v>0</v>
      </c>
      <c r="X310" s="36">
        <f>COUNTIF(Tabla1[[#This Row],[VEHICULOS_ACCIDENTADOS]:[VEHICULOS_ACCIDENTADOS2]],"BUS")</f>
        <v>0</v>
      </c>
      <c r="Y310" s="36">
        <f>COUNTIF(Tabla1[[#This Row],[VEHICULOS_ACCIDENTADOS]:[VEHICULOS_ACCIDENTADOS2]],"BUSETA")</f>
        <v>0</v>
      </c>
      <c r="Z310" s="36">
        <f>COUNTIF(Tabla1[[#This Row],[VEHICULOS_ACCIDENTADOS]:[VEHICULOS_ACCIDENTADOS2]],"CAMION")</f>
        <v>0</v>
      </c>
      <c r="AA310" s="36">
        <f>COUNTIF(Tabla1[[#This Row],[VEHICULOS_ACCIDENTADOS]:[VEHICULOS_ACCIDENTADOS2]],"TRACTOCAMION")</f>
        <v>0</v>
      </c>
      <c r="AB310" s="36">
        <f>COUNTIF(Tabla1[[#This Row],[VEHICULOS_ACCIDENTADOS]:[VEHICULOS_ACCIDENTADOS2]],"VOLQUETA")</f>
        <v>0</v>
      </c>
      <c r="AC310" s="36">
        <f>COUNTIF(Tabla1[[#This Row],[VEHICULOS_ACCIDENTADOS]:[VEHICULOS_ACCIDENTADOS2]],"BICICLETA")</f>
        <v>0</v>
      </c>
      <c r="AD310" s="36" t="s">
        <v>471</v>
      </c>
      <c r="AE310" s="36" t="s">
        <v>472</v>
      </c>
      <c r="AF310" s="36">
        <f>COUNTIF(Tabla1[[#This Row],[GENERO_MASCULINO]:[GENERO_FEMENINO]],"MASCULINO")</f>
        <v>1</v>
      </c>
      <c r="AG310" s="36">
        <f>COUNTIF(Tabla1[[#This Row],[GENERO_MASCULINO]:[GENERO_FEMENINO]],"FEMENINO")</f>
        <v>1</v>
      </c>
      <c r="AH310" s="61">
        <v>17</v>
      </c>
      <c r="AI310" s="61"/>
      <c r="AJ310" s="78"/>
      <c r="AK310" s="61"/>
      <c r="AL310" s="61">
        <v>41</v>
      </c>
      <c r="AM310" s="36"/>
      <c r="AN310" s="61">
        <v>139</v>
      </c>
      <c r="AO310" s="36" t="str">
        <f>IFERROR(((VLOOKUP(Tabla1[[#This Row],[HIPOTESIS_1]],listas!$D$1:$E$105,2,FALSE))),"SIN INFORMACIÓN")</f>
        <v>Impericia en el manejo.</v>
      </c>
      <c r="AP310" s="36">
        <v>122</v>
      </c>
      <c r="AQ310" s="36" t="str">
        <f>IFERROR(((VLOOKUP(Tabla1[[#This Row],[HIPOTESIS_2]],listas!$D$1:$E$105,2,FALSE))),"")</f>
        <v>Girar bruscamente.</v>
      </c>
      <c r="AR310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311" spans="1:44" x14ac:dyDescent="0.25">
      <c r="A311" s="12">
        <v>878</v>
      </c>
      <c r="B311" s="135">
        <v>0</v>
      </c>
      <c r="C311" s="136">
        <v>2</v>
      </c>
      <c r="D311" s="136">
        <v>0</v>
      </c>
      <c r="E311" s="18" t="str">
        <f t="shared" si="16"/>
        <v>LESIONADO</v>
      </c>
      <c r="F311" s="26" t="s">
        <v>69</v>
      </c>
      <c r="G311" s="21">
        <v>5.3187620000000004</v>
      </c>
      <c r="H311" s="21">
        <v>-72.409020999999996</v>
      </c>
      <c r="I311" s="93" t="s">
        <v>697</v>
      </c>
      <c r="J311" s="167" t="s">
        <v>717</v>
      </c>
      <c r="K311" s="24" t="str">
        <f t="shared" si="17"/>
        <v>2025</v>
      </c>
      <c r="L311" s="24" t="str">
        <f t="shared" si="18"/>
        <v>FEBRERO</v>
      </c>
      <c r="M311" s="224">
        <v>45707</v>
      </c>
      <c r="N311" s="24" t="str">
        <f t="shared" si="19"/>
        <v>MIÉRCOLES</v>
      </c>
      <c r="O311" s="171">
        <v>0.54861111111111105</v>
      </c>
      <c r="P311" s="178" t="s">
        <v>438</v>
      </c>
      <c r="Q311" s="178" t="s">
        <v>469</v>
      </c>
      <c r="R311" s="36">
        <f>COUNTIF(Tabla1[[#This Row],[VEHICULOS_ACCIDENTADOS]:[VEHICULOS_ACCIDENTADOS2]],"MOTOCICLETA")</f>
        <v>1</v>
      </c>
      <c r="S311" s="36">
        <f>COUNTIF(Tabla1[[#This Row],[VEHICULOS_ACCIDENTADOS]:[VEHICULOS_ACCIDENTADOS2]],"MOTOCARRO")</f>
        <v>0</v>
      </c>
      <c r="T311" s="36">
        <f>COUNTIF(Tabla1[[#This Row],[VEHICULOS_ACCIDENTADOS]:[VEHICULOS_ACCIDENTADOS2]],"AUTOMOVIL")</f>
        <v>0</v>
      </c>
      <c r="U311" s="36">
        <f>COUNTIF(Tabla1[[#This Row],[VEHICULOS_ACCIDENTADOS]:[VEHICULOS_ACCIDENTADOS2]],"CAMPERO")</f>
        <v>0</v>
      </c>
      <c r="V311" s="36">
        <f>COUNTIF(Tabla1[[#This Row],[VEHICULOS_ACCIDENTADOS]:[VEHICULOS_ACCIDENTADOS2]],"CAMIONETA")</f>
        <v>0</v>
      </c>
      <c r="W311" s="36">
        <f>COUNTIF(Tabla1[[#This Row],[VEHICULOS_ACCIDENTADOS]:[VEHICULOS_ACCIDENTADOS2]],"MICROBUS")</f>
        <v>0</v>
      </c>
      <c r="X311" s="36">
        <f>COUNTIF(Tabla1[[#This Row],[VEHICULOS_ACCIDENTADOS]:[VEHICULOS_ACCIDENTADOS2]],"BUS")</f>
        <v>0</v>
      </c>
      <c r="Y311" s="36">
        <f>COUNTIF(Tabla1[[#This Row],[VEHICULOS_ACCIDENTADOS]:[VEHICULOS_ACCIDENTADOS2]],"BUSETA")</f>
        <v>0</v>
      </c>
      <c r="Z311" s="36">
        <f>COUNTIF(Tabla1[[#This Row],[VEHICULOS_ACCIDENTADOS]:[VEHICULOS_ACCIDENTADOS2]],"CAMION")</f>
        <v>0</v>
      </c>
      <c r="AA311" s="36">
        <f>COUNTIF(Tabla1[[#This Row],[VEHICULOS_ACCIDENTADOS]:[VEHICULOS_ACCIDENTADOS2]],"TRACTOCAMION")</f>
        <v>0</v>
      </c>
      <c r="AB311" s="36">
        <f>COUNTIF(Tabla1[[#This Row],[VEHICULOS_ACCIDENTADOS]:[VEHICULOS_ACCIDENTADOS2]],"VOLQUETA")</f>
        <v>0</v>
      </c>
      <c r="AC311" s="36">
        <f>COUNTIF(Tabla1[[#This Row],[VEHICULOS_ACCIDENTADOS]:[VEHICULOS_ACCIDENTADOS2]],"BICICLETA")</f>
        <v>1</v>
      </c>
      <c r="AD311" s="136" t="s">
        <v>472</v>
      </c>
      <c r="AE311" s="136" t="s">
        <v>472</v>
      </c>
      <c r="AF311" s="136">
        <f>COUNTIF(Tabla1[[#This Row],[GENERO_MASCULINO]:[GENERO_FEMENINO]],"MASCULINO")</f>
        <v>0</v>
      </c>
      <c r="AG311" s="36">
        <f>COUNTIF(Tabla1[[#This Row],[GENERO_MASCULINO]:[GENERO_FEMENINO]],"FEMENINO")</f>
        <v>2</v>
      </c>
      <c r="AH311" s="85">
        <v>51</v>
      </c>
      <c r="AI311" s="85">
        <v>22</v>
      </c>
      <c r="AJ311" s="85"/>
      <c r="AK311" s="85"/>
      <c r="AL311" s="85"/>
      <c r="AM311" s="136"/>
      <c r="AN311" s="85">
        <v>139</v>
      </c>
      <c r="AO311" s="36" t="str">
        <f>IFERROR(((VLOOKUP(Tabla1[[#This Row],[HIPOTESIS_1]],listas!$D$1:$E$105,2,FALSE))),"SIN INFORMACIÓN")</f>
        <v>Impericia en el manejo.</v>
      </c>
      <c r="AP311" s="136">
        <v>122</v>
      </c>
      <c r="AQ311" s="36" t="str">
        <f>IFERROR(((VLOOKUP(Tabla1[[#This Row],[HIPOTESIS_2]],listas!$D$1:$E$105,2,FALSE))),"")</f>
        <v>Girar bruscamente.</v>
      </c>
      <c r="AR311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312" spans="1:44" x14ac:dyDescent="0.25">
      <c r="A312" s="12">
        <v>451</v>
      </c>
      <c r="B312" s="36">
        <v>0</v>
      </c>
      <c r="C312" s="36">
        <v>2</v>
      </c>
      <c r="D312" s="36">
        <v>0</v>
      </c>
      <c r="E312" s="18" t="str">
        <f t="shared" si="16"/>
        <v>LESIONADO</v>
      </c>
      <c r="F312" s="36" t="s">
        <v>887</v>
      </c>
      <c r="G312" s="21">
        <v>5.3019138888888886</v>
      </c>
      <c r="H312" s="21">
        <v>-72.410328055555567</v>
      </c>
      <c r="I312" s="93" t="s">
        <v>697</v>
      </c>
      <c r="J312" s="36" t="s">
        <v>717</v>
      </c>
      <c r="K312" s="24" t="str">
        <f t="shared" si="17"/>
        <v>2023</v>
      </c>
      <c r="L312" s="24" t="str">
        <f t="shared" si="18"/>
        <v>ABRIL</v>
      </c>
      <c r="M312" s="225">
        <v>45031</v>
      </c>
      <c r="N312" s="24" t="str">
        <f t="shared" si="19"/>
        <v>SÁBADO</v>
      </c>
      <c r="O312" s="101">
        <v>0.29166666666666669</v>
      </c>
      <c r="P312" s="57" t="s">
        <v>469</v>
      </c>
      <c r="Q312" s="57" t="s">
        <v>469</v>
      </c>
      <c r="R312" s="36">
        <f>COUNTIF(Tabla1[[#This Row],[VEHICULOS_ACCIDENTADOS]:[VEHICULOS_ACCIDENTADOS2]],"MOTOCICLETA")</f>
        <v>2</v>
      </c>
      <c r="S312" s="36">
        <f>COUNTIF(Tabla1[[#This Row],[VEHICULOS_ACCIDENTADOS]:[VEHICULOS_ACCIDENTADOS2]],"MOTOCARRO")</f>
        <v>0</v>
      </c>
      <c r="T312" s="36">
        <f>COUNTIF(Tabla1[[#This Row],[VEHICULOS_ACCIDENTADOS]:[VEHICULOS_ACCIDENTADOS2]],"AUTOMOVIL")</f>
        <v>0</v>
      </c>
      <c r="U312" s="36">
        <f>COUNTIF(Tabla1[[#This Row],[VEHICULOS_ACCIDENTADOS]:[VEHICULOS_ACCIDENTADOS2]],"CAMPERO")</f>
        <v>0</v>
      </c>
      <c r="V312" s="36">
        <f>COUNTIF(Tabla1[[#This Row],[VEHICULOS_ACCIDENTADOS]:[VEHICULOS_ACCIDENTADOS2]],"CAMIONETA")</f>
        <v>0</v>
      </c>
      <c r="W312" s="36">
        <f>COUNTIF(Tabla1[[#This Row],[VEHICULOS_ACCIDENTADOS]:[VEHICULOS_ACCIDENTADOS2]],"MICROBUS")</f>
        <v>0</v>
      </c>
      <c r="X312" s="36">
        <f>COUNTIF(Tabla1[[#This Row],[VEHICULOS_ACCIDENTADOS]:[VEHICULOS_ACCIDENTADOS2]],"BUS")</f>
        <v>0</v>
      </c>
      <c r="Y312" s="36">
        <f>COUNTIF(Tabla1[[#This Row],[VEHICULOS_ACCIDENTADOS]:[VEHICULOS_ACCIDENTADOS2]],"BUSETA")</f>
        <v>0</v>
      </c>
      <c r="Z312" s="36">
        <f>COUNTIF(Tabla1[[#This Row],[VEHICULOS_ACCIDENTADOS]:[VEHICULOS_ACCIDENTADOS2]],"CAMION")</f>
        <v>0</v>
      </c>
      <c r="AA312" s="36">
        <f>COUNTIF(Tabla1[[#This Row],[VEHICULOS_ACCIDENTADOS]:[VEHICULOS_ACCIDENTADOS2]],"TRACTOCAMION")</f>
        <v>0</v>
      </c>
      <c r="AB312" s="36">
        <f>COUNTIF(Tabla1[[#This Row],[VEHICULOS_ACCIDENTADOS]:[VEHICULOS_ACCIDENTADOS2]],"VOLQUETA")</f>
        <v>0</v>
      </c>
      <c r="AC312" s="36">
        <f>COUNTIF(Tabla1[[#This Row],[VEHICULOS_ACCIDENTADOS]:[VEHICULOS_ACCIDENTADOS2]],"BICICLETA")</f>
        <v>0</v>
      </c>
      <c r="AD312" s="36" t="s">
        <v>471</v>
      </c>
      <c r="AE312" s="36" t="s">
        <v>472</v>
      </c>
      <c r="AF312" s="36">
        <f>COUNTIF(Tabla1[[#This Row],[GENERO_MASCULINO]:[GENERO_FEMENINO]],"MASCULINO")</f>
        <v>1</v>
      </c>
      <c r="AG312" s="36">
        <f>COUNTIF(Tabla1[[#This Row],[GENERO_MASCULINO]:[GENERO_FEMENINO]],"FEMENINO")</f>
        <v>1</v>
      </c>
      <c r="AH312" s="61">
        <v>19</v>
      </c>
      <c r="AI312" s="61">
        <v>17</v>
      </c>
      <c r="AJ312" s="61"/>
      <c r="AK312" s="61"/>
      <c r="AL312" s="61"/>
      <c r="AM312" s="36"/>
      <c r="AN312" s="61">
        <v>139</v>
      </c>
      <c r="AO312" s="36" t="str">
        <f>IFERROR(((VLOOKUP(Tabla1[[#This Row],[HIPOTESIS_1]],listas!$D$1:$E$105,2,FALSE))),"SIN INFORMACIÓN")</f>
        <v>Impericia en el manejo.</v>
      </c>
      <c r="AP312" s="36">
        <v>122</v>
      </c>
      <c r="AQ312" s="36" t="str">
        <f>IFERROR(((VLOOKUP(Tabla1[[#This Row],[HIPOTESIS_2]],listas!$D$1:$E$105,2,FALSE))),"")</f>
        <v>Girar bruscamente.</v>
      </c>
      <c r="AR312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313" spans="1:44" x14ac:dyDescent="0.25">
      <c r="A313" s="12">
        <v>286</v>
      </c>
      <c r="B313" s="36">
        <v>0</v>
      </c>
      <c r="C313" s="36">
        <v>1</v>
      </c>
      <c r="D313" s="36">
        <v>0</v>
      </c>
      <c r="E313" s="18" t="str">
        <f t="shared" si="16"/>
        <v>LESIONADO</v>
      </c>
      <c r="F313" s="29" t="s">
        <v>1051</v>
      </c>
      <c r="G313" s="17">
        <v>5.3499786111111112</v>
      </c>
      <c r="H313" s="17">
        <v>-72.391285000000011</v>
      </c>
      <c r="I313" s="93" t="s">
        <v>697</v>
      </c>
      <c r="J313" s="36" t="s">
        <v>717</v>
      </c>
      <c r="K313" s="24" t="str">
        <f t="shared" si="17"/>
        <v>2022</v>
      </c>
      <c r="L313" s="24" t="str">
        <f t="shared" si="18"/>
        <v>AGOSTO</v>
      </c>
      <c r="M313" s="225">
        <v>44794</v>
      </c>
      <c r="N313" s="24" t="str">
        <f t="shared" si="19"/>
        <v>DOMINGO</v>
      </c>
      <c r="O313" s="102">
        <v>0.14583333333333301</v>
      </c>
      <c r="P313" s="53" t="s">
        <v>469</v>
      </c>
      <c r="Q313" s="53" t="s">
        <v>447</v>
      </c>
      <c r="R313" s="36">
        <f>COUNTIF(Tabla1[[#This Row],[VEHICULOS_ACCIDENTADOS]:[VEHICULOS_ACCIDENTADOS2]],"MOTOCICLETA")</f>
        <v>1</v>
      </c>
      <c r="S313" s="36">
        <f>COUNTIF(Tabla1[[#This Row],[VEHICULOS_ACCIDENTADOS]:[VEHICULOS_ACCIDENTADOS2]],"MOTOCARRO")</f>
        <v>0</v>
      </c>
      <c r="T313" s="36">
        <f>COUNTIF(Tabla1[[#This Row],[VEHICULOS_ACCIDENTADOS]:[VEHICULOS_ACCIDENTADOS2]],"AUTOMOVIL")</f>
        <v>1</v>
      </c>
      <c r="U313" s="36">
        <f>COUNTIF(Tabla1[[#This Row],[VEHICULOS_ACCIDENTADOS]:[VEHICULOS_ACCIDENTADOS2]],"CAMPERO")</f>
        <v>0</v>
      </c>
      <c r="V313" s="36">
        <f>COUNTIF(Tabla1[[#This Row],[VEHICULOS_ACCIDENTADOS]:[VEHICULOS_ACCIDENTADOS2]],"CAMIONETA")</f>
        <v>0</v>
      </c>
      <c r="W313" s="36">
        <f>COUNTIF(Tabla1[[#This Row],[VEHICULOS_ACCIDENTADOS]:[VEHICULOS_ACCIDENTADOS2]],"MICROBUS")</f>
        <v>0</v>
      </c>
      <c r="X313" s="36">
        <f>COUNTIF(Tabla1[[#This Row],[VEHICULOS_ACCIDENTADOS]:[VEHICULOS_ACCIDENTADOS2]],"BUS")</f>
        <v>0</v>
      </c>
      <c r="Y313" s="36">
        <f>COUNTIF(Tabla1[[#This Row],[VEHICULOS_ACCIDENTADOS]:[VEHICULOS_ACCIDENTADOS2]],"BUSETA")</f>
        <v>0</v>
      </c>
      <c r="Z313" s="36">
        <f>COUNTIF(Tabla1[[#This Row],[VEHICULOS_ACCIDENTADOS]:[VEHICULOS_ACCIDENTADOS2]],"CAMION")</f>
        <v>0</v>
      </c>
      <c r="AA313" s="36">
        <f>COUNTIF(Tabla1[[#This Row],[VEHICULOS_ACCIDENTADOS]:[VEHICULOS_ACCIDENTADOS2]],"TRACTOCAMION")</f>
        <v>0</v>
      </c>
      <c r="AB313" s="36">
        <f>COUNTIF(Tabla1[[#This Row],[VEHICULOS_ACCIDENTADOS]:[VEHICULOS_ACCIDENTADOS2]],"VOLQUETA")</f>
        <v>0</v>
      </c>
      <c r="AC313" s="36">
        <f>COUNTIF(Tabla1[[#This Row],[VEHICULOS_ACCIDENTADOS]:[VEHICULOS_ACCIDENTADOS2]],"BICICLETA")</f>
        <v>0</v>
      </c>
      <c r="AD313" s="36" t="s">
        <v>471</v>
      </c>
      <c r="AE313" s="36"/>
      <c r="AF313" s="36">
        <f>COUNTIF(Tabla1[[#This Row],[GENERO_MASCULINO]:[GENERO_FEMENINO]],"MASCULINO")</f>
        <v>1</v>
      </c>
      <c r="AG313" s="36">
        <f>COUNTIF(Tabla1[[#This Row],[GENERO_MASCULINO]:[GENERO_FEMENINO]],"FEMENINO")</f>
        <v>0</v>
      </c>
      <c r="AH313" s="61">
        <v>30</v>
      </c>
      <c r="AI313" s="61"/>
      <c r="AJ313" s="61"/>
      <c r="AK313" s="61"/>
      <c r="AL313" s="61"/>
      <c r="AM313" s="36"/>
      <c r="AN313" s="61">
        <v>115</v>
      </c>
      <c r="AO313" s="36" t="str">
        <f>IFERROR(((VLOOKUP(Tabla1[[#This Row],[HIPOTESIS_1]],listas!$D$1:$E$105,2,FALSE))),"SIN INFORMACIÓN")</f>
        <v>Embriaguez o Sustancias alucinogenas</v>
      </c>
      <c r="AP313" s="36">
        <v>122</v>
      </c>
      <c r="AQ313" s="36" t="str">
        <f>IFERROR(((VLOOKUP(Tabla1[[#This Row],[HIPOTESIS_2]],listas!$D$1:$E$105,2,FALSE))),"")</f>
        <v>Girar bruscamente.</v>
      </c>
      <c r="AR313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314" spans="1:44" x14ac:dyDescent="0.25">
      <c r="A314" s="12">
        <v>158</v>
      </c>
      <c r="B314" s="36">
        <v>0</v>
      </c>
      <c r="C314" s="36">
        <v>1</v>
      </c>
      <c r="D314" s="36">
        <v>0</v>
      </c>
      <c r="E314" s="18" t="str">
        <f t="shared" si="16"/>
        <v>LESIONADO</v>
      </c>
      <c r="F314" s="29" t="s">
        <v>1055</v>
      </c>
      <c r="G314" s="17">
        <v>5.3187705555555551</v>
      </c>
      <c r="H314" s="17">
        <v>-72.395789722222233</v>
      </c>
      <c r="I314" s="93" t="s">
        <v>697</v>
      </c>
      <c r="J314" s="36" t="s">
        <v>717</v>
      </c>
      <c r="K314" s="24" t="str">
        <f t="shared" si="17"/>
        <v>2022</v>
      </c>
      <c r="L314" s="24" t="str">
        <f t="shared" si="18"/>
        <v>ABRIL</v>
      </c>
      <c r="M314" s="225">
        <v>44681</v>
      </c>
      <c r="N314" s="24" t="str">
        <f t="shared" si="19"/>
        <v>SÁBADO</v>
      </c>
      <c r="O314" s="101">
        <v>0.66666666666666696</v>
      </c>
      <c r="P314" s="63" t="s">
        <v>469</v>
      </c>
      <c r="Q314" s="63" t="s">
        <v>445</v>
      </c>
      <c r="R314" s="36">
        <f>COUNTIF(Tabla1[[#This Row],[VEHICULOS_ACCIDENTADOS]:[VEHICULOS_ACCIDENTADOS2]],"MOTOCICLETA")</f>
        <v>1</v>
      </c>
      <c r="S314" s="36">
        <f>COUNTIF(Tabla1[[#This Row],[VEHICULOS_ACCIDENTADOS]:[VEHICULOS_ACCIDENTADOS2]],"MOTOCARRO")</f>
        <v>0</v>
      </c>
      <c r="T314" s="36">
        <f>COUNTIF(Tabla1[[#This Row],[VEHICULOS_ACCIDENTADOS]:[VEHICULOS_ACCIDENTADOS2]],"AUTOMOVIL")</f>
        <v>0</v>
      </c>
      <c r="U314" s="36">
        <f>COUNTIF(Tabla1[[#This Row],[VEHICULOS_ACCIDENTADOS]:[VEHICULOS_ACCIDENTADOS2]],"CAMPERO")</f>
        <v>0</v>
      </c>
      <c r="V314" s="36">
        <f>COUNTIF(Tabla1[[#This Row],[VEHICULOS_ACCIDENTADOS]:[VEHICULOS_ACCIDENTADOS2]],"CAMIONETA")</f>
        <v>1</v>
      </c>
      <c r="W314" s="36">
        <f>COUNTIF(Tabla1[[#This Row],[VEHICULOS_ACCIDENTADOS]:[VEHICULOS_ACCIDENTADOS2]],"MICROBUS")</f>
        <v>0</v>
      </c>
      <c r="X314" s="36">
        <f>COUNTIF(Tabla1[[#This Row],[VEHICULOS_ACCIDENTADOS]:[VEHICULOS_ACCIDENTADOS2]],"BUS")</f>
        <v>0</v>
      </c>
      <c r="Y314" s="36">
        <f>COUNTIF(Tabla1[[#This Row],[VEHICULOS_ACCIDENTADOS]:[VEHICULOS_ACCIDENTADOS2]],"BUSETA")</f>
        <v>0</v>
      </c>
      <c r="Z314" s="36">
        <f>COUNTIF(Tabla1[[#This Row],[VEHICULOS_ACCIDENTADOS]:[VEHICULOS_ACCIDENTADOS2]],"CAMION")</f>
        <v>0</v>
      </c>
      <c r="AA314" s="36">
        <f>COUNTIF(Tabla1[[#This Row],[VEHICULOS_ACCIDENTADOS]:[VEHICULOS_ACCIDENTADOS2]],"TRACTOCAMION")</f>
        <v>0</v>
      </c>
      <c r="AB314" s="36">
        <f>COUNTIF(Tabla1[[#This Row],[VEHICULOS_ACCIDENTADOS]:[VEHICULOS_ACCIDENTADOS2]],"VOLQUETA")</f>
        <v>0</v>
      </c>
      <c r="AC314" s="36">
        <f>COUNTIF(Tabla1[[#This Row],[VEHICULOS_ACCIDENTADOS]:[VEHICULOS_ACCIDENTADOS2]],"BICICLETA")</f>
        <v>0</v>
      </c>
      <c r="AD314" s="36" t="s">
        <v>471</v>
      </c>
      <c r="AE314" s="36"/>
      <c r="AF314" s="36">
        <f>COUNTIF(Tabla1[[#This Row],[GENERO_MASCULINO]:[GENERO_FEMENINO]],"MASCULINO")</f>
        <v>1</v>
      </c>
      <c r="AG314" s="36">
        <f>COUNTIF(Tabla1[[#This Row],[GENERO_MASCULINO]:[GENERO_FEMENINO]],"FEMENINO")</f>
        <v>0</v>
      </c>
      <c r="AH314" s="61">
        <v>15</v>
      </c>
      <c r="AI314" s="61"/>
      <c r="AJ314" s="61"/>
      <c r="AK314" s="61"/>
      <c r="AL314" s="61"/>
      <c r="AM314" s="36"/>
      <c r="AN314" s="61">
        <v>139</v>
      </c>
      <c r="AO314" s="36" t="str">
        <f>IFERROR(((VLOOKUP(Tabla1[[#This Row],[HIPOTESIS_1]],listas!$D$1:$E$105,2,FALSE))),"SIN INFORMACIÓN")</f>
        <v>Impericia en el manejo.</v>
      </c>
      <c r="AP314" s="36">
        <v>122</v>
      </c>
      <c r="AQ314" s="36" t="str">
        <f>IFERROR(((VLOOKUP(Tabla1[[#This Row],[HIPOTESIS_2]],listas!$D$1:$E$105,2,FALSE))),"")</f>
        <v>Girar bruscamente.</v>
      </c>
      <c r="AR314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315" spans="1:44" x14ac:dyDescent="0.25">
      <c r="A315" s="12">
        <v>944</v>
      </c>
      <c r="B315" s="135">
        <v>0</v>
      </c>
      <c r="C315" s="136">
        <v>1</v>
      </c>
      <c r="D315" s="136">
        <v>0</v>
      </c>
      <c r="E315" s="18" t="str">
        <f t="shared" si="16"/>
        <v>LESIONADO</v>
      </c>
      <c r="F315" s="26" t="s">
        <v>39</v>
      </c>
      <c r="G315" s="20">
        <v>5.3254989999999998</v>
      </c>
      <c r="H315" s="20">
        <v>-72.397363999999996</v>
      </c>
      <c r="I315" s="93" t="s">
        <v>697</v>
      </c>
      <c r="J315" s="136" t="s">
        <v>717</v>
      </c>
      <c r="K315" s="24" t="str">
        <f t="shared" si="17"/>
        <v>2025</v>
      </c>
      <c r="L315" s="24" t="str">
        <f t="shared" si="18"/>
        <v>ABRIL</v>
      </c>
      <c r="M315" s="224">
        <v>45769</v>
      </c>
      <c r="N315" s="24" t="str">
        <f t="shared" si="19"/>
        <v>MARTES</v>
      </c>
      <c r="O315" s="171">
        <v>0.49305555555555558</v>
      </c>
      <c r="P315" s="136" t="s">
        <v>469</v>
      </c>
      <c r="Q315" s="136" t="s">
        <v>469</v>
      </c>
      <c r="R315" s="36">
        <f>COUNTIF(Tabla1[[#This Row],[VEHICULOS_ACCIDENTADOS]:[VEHICULOS_ACCIDENTADOS2]],"MOTOCICLETA")</f>
        <v>2</v>
      </c>
      <c r="S315" s="36">
        <f>COUNTIF(Tabla1[[#This Row],[VEHICULOS_ACCIDENTADOS]:[VEHICULOS_ACCIDENTADOS2]],"MOTOCARRO")</f>
        <v>0</v>
      </c>
      <c r="T315" s="36">
        <f>COUNTIF(Tabla1[[#This Row],[VEHICULOS_ACCIDENTADOS]:[VEHICULOS_ACCIDENTADOS2]],"AUTOMOVIL")</f>
        <v>0</v>
      </c>
      <c r="U315" s="36">
        <f>COUNTIF(Tabla1[[#This Row],[VEHICULOS_ACCIDENTADOS]:[VEHICULOS_ACCIDENTADOS2]],"CAMPERO")</f>
        <v>0</v>
      </c>
      <c r="V315" s="36">
        <f>COUNTIF(Tabla1[[#This Row],[VEHICULOS_ACCIDENTADOS]:[VEHICULOS_ACCIDENTADOS2]],"CAMIONETA")</f>
        <v>0</v>
      </c>
      <c r="W315" s="36">
        <f>COUNTIF(Tabla1[[#This Row],[VEHICULOS_ACCIDENTADOS]:[VEHICULOS_ACCIDENTADOS2]],"MICROBUS")</f>
        <v>0</v>
      </c>
      <c r="X315" s="36">
        <f>COUNTIF(Tabla1[[#This Row],[VEHICULOS_ACCIDENTADOS]:[VEHICULOS_ACCIDENTADOS2]],"BUS")</f>
        <v>0</v>
      </c>
      <c r="Y315" s="36">
        <f>COUNTIF(Tabla1[[#This Row],[VEHICULOS_ACCIDENTADOS]:[VEHICULOS_ACCIDENTADOS2]],"BUSETA")</f>
        <v>0</v>
      </c>
      <c r="Z315" s="36">
        <f>COUNTIF(Tabla1[[#This Row],[VEHICULOS_ACCIDENTADOS]:[VEHICULOS_ACCIDENTADOS2]],"CAMION")</f>
        <v>0</v>
      </c>
      <c r="AA315" s="36">
        <f>COUNTIF(Tabla1[[#This Row],[VEHICULOS_ACCIDENTADOS]:[VEHICULOS_ACCIDENTADOS2]],"TRACTOCAMION")</f>
        <v>0</v>
      </c>
      <c r="AB315" s="36">
        <f>COUNTIF(Tabla1[[#This Row],[VEHICULOS_ACCIDENTADOS]:[VEHICULOS_ACCIDENTADOS2]],"VOLQUETA")</f>
        <v>0</v>
      </c>
      <c r="AC315" s="36">
        <f>COUNTIF(Tabla1[[#This Row],[VEHICULOS_ACCIDENTADOS]:[VEHICULOS_ACCIDENTADOS2]],"BICICLETA")</f>
        <v>0</v>
      </c>
      <c r="AD315" s="136" t="s">
        <v>471</v>
      </c>
      <c r="AE315" s="136" t="s">
        <v>471</v>
      </c>
      <c r="AF315" s="136">
        <f>COUNTIF(Tabla1[[#This Row],[GENERO_MASCULINO]:[GENERO_FEMENINO]],"MASCULINO")</f>
        <v>2</v>
      </c>
      <c r="AG315" s="36">
        <f>COUNTIF(Tabla1[[#This Row],[GENERO_MASCULINO]:[GENERO_FEMENINO]],"FEMENINO")</f>
        <v>0</v>
      </c>
      <c r="AH315" s="85">
        <v>22</v>
      </c>
      <c r="AI315" s="85">
        <v>25</v>
      </c>
      <c r="AJ315" s="85"/>
      <c r="AK315" s="78"/>
      <c r="AL315" s="78"/>
      <c r="AM315" s="59"/>
      <c r="AN315" s="85">
        <v>139</v>
      </c>
      <c r="AO315" s="36" t="str">
        <f>IFERROR(((VLOOKUP(Tabla1[[#This Row],[HIPOTESIS_1]],listas!$D$1:$E$105,2,FALSE))),"SIN INFORMACIÓN")</f>
        <v>Impericia en el manejo.</v>
      </c>
      <c r="AP315" s="36">
        <v>122</v>
      </c>
      <c r="AQ315" s="36" t="str">
        <f>IFERROR(((VLOOKUP(Tabla1[[#This Row],[HIPOTESIS_2]],listas!$D$1:$E$105,2,FALSE))),"")</f>
        <v>Girar bruscamente.</v>
      </c>
      <c r="AR315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316" spans="1:44" x14ac:dyDescent="0.25">
      <c r="A316" s="12">
        <v>102</v>
      </c>
      <c r="B316" s="36">
        <v>1</v>
      </c>
      <c r="C316" s="36">
        <v>0</v>
      </c>
      <c r="D316" s="36">
        <v>0</v>
      </c>
      <c r="E316" s="18" t="str">
        <f t="shared" si="16"/>
        <v>SOLO DAÑO</v>
      </c>
      <c r="F316" s="29" t="s">
        <v>1111</v>
      </c>
      <c r="G316" s="17">
        <v>5.3336027777777772</v>
      </c>
      <c r="H316" s="17">
        <v>-72.393975000000012</v>
      </c>
      <c r="I316" s="93" t="s">
        <v>697</v>
      </c>
      <c r="J316" s="36" t="s">
        <v>717</v>
      </c>
      <c r="K316" s="24" t="str">
        <f t="shared" si="17"/>
        <v>2022</v>
      </c>
      <c r="L316" s="24" t="str">
        <f t="shared" si="18"/>
        <v>MARZO</v>
      </c>
      <c r="M316" s="225">
        <v>44646</v>
      </c>
      <c r="N316" s="24" t="str">
        <f t="shared" si="19"/>
        <v>SÁBADO</v>
      </c>
      <c r="O316" s="101">
        <v>0.131944444444444</v>
      </c>
      <c r="P316" s="63" t="s">
        <v>469</v>
      </c>
      <c r="Q316" s="63" t="s">
        <v>447</v>
      </c>
      <c r="R316" s="36">
        <f>COUNTIF(Tabla1[[#This Row],[VEHICULOS_ACCIDENTADOS]:[VEHICULOS_ACCIDENTADOS2]],"MOTOCICLETA")</f>
        <v>1</v>
      </c>
      <c r="S316" s="36">
        <f>COUNTIF(Tabla1[[#This Row],[VEHICULOS_ACCIDENTADOS]:[VEHICULOS_ACCIDENTADOS2]],"MOTOCARRO")</f>
        <v>0</v>
      </c>
      <c r="T316" s="36">
        <f>COUNTIF(Tabla1[[#This Row],[VEHICULOS_ACCIDENTADOS]:[VEHICULOS_ACCIDENTADOS2]],"AUTOMOVIL")</f>
        <v>1</v>
      </c>
      <c r="U316" s="36">
        <f>COUNTIF(Tabla1[[#This Row],[VEHICULOS_ACCIDENTADOS]:[VEHICULOS_ACCIDENTADOS2]],"CAMPERO")</f>
        <v>0</v>
      </c>
      <c r="V316" s="36">
        <f>COUNTIF(Tabla1[[#This Row],[VEHICULOS_ACCIDENTADOS]:[VEHICULOS_ACCIDENTADOS2]],"CAMIONETA")</f>
        <v>0</v>
      </c>
      <c r="W316" s="36">
        <f>COUNTIF(Tabla1[[#This Row],[VEHICULOS_ACCIDENTADOS]:[VEHICULOS_ACCIDENTADOS2]],"MICROBUS")</f>
        <v>0</v>
      </c>
      <c r="X316" s="36">
        <f>COUNTIF(Tabla1[[#This Row],[VEHICULOS_ACCIDENTADOS]:[VEHICULOS_ACCIDENTADOS2]],"BUS")</f>
        <v>0</v>
      </c>
      <c r="Y316" s="36">
        <f>COUNTIF(Tabla1[[#This Row],[VEHICULOS_ACCIDENTADOS]:[VEHICULOS_ACCIDENTADOS2]],"BUSETA")</f>
        <v>0</v>
      </c>
      <c r="Z316" s="36">
        <f>COUNTIF(Tabla1[[#This Row],[VEHICULOS_ACCIDENTADOS]:[VEHICULOS_ACCIDENTADOS2]],"CAMION")</f>
        <v>0</v>
      </c>
      <c r="AA316" s="36">
        <f>COUNTIF(Tabla1[[#This Row],[VEHICULOS_ACCIDENTADOS]:[VEHICULOS_ACCIDENTADOS2]],"TRACTOCAMION")</f>
        <v>0</v>
      </c>
      <c r="AB316" s="36">
        <f>COUNTIF(Tabla1[[#This Row],[VEHICULOS_ACCIDENTADOS]:[VEHICULOS_ACCIDENTADOS2]],"VOLQUETA")</f>
        <v>0</v>
      </c>
      <c r="AC316" s="36">
        <f>COUNTIF(Tabla1[[#This Row],[VEHICULOS_ACCIDENTADOS]:[VEHICULOS_ACCIDENTADOS2]],"BICICLETA")</f>
        <v>0</v>
      </c>
      <c r="AD316" s="36"/>
      <c r="AE316" s="36" t="s">
        <v>472</v>
      </c>
      <c r="AF316" s="36">
        <f>COUNTIF(Tabla1[[#This Row],[GENERO_MASCULINO]:[GENERO_FEMENINO]],"MASCULINO")</f>
        <v>0</v>
      </c>
      <c r="AG316" s="36">
        <f>COUNTIF(Tabla1[[#This Row],[GENERO_MASCULINO]:[GENERO_FEMENINO]],"FEMENINO")</f>
        <v>1</v>
      </c>
      <c r="AH316" s="61"/>
      <c r="AI316" s="61"/>
      <c r="AJ316" s="78"/>
      <c r="AK316" s="61"/>
      <c r="AL316" s="61"/>
      <c r="AM316" s="36"/>
      <c r="AN316" s="61">
        <v>121</v>
      </c>
      <c r="AO316" s="36" t="str">
        <f>IFERROR(((VLOOKUP(Tabla1[[#This Row],[HIPOTESIS_1]],listas!$D$1:$E$105,2,FALSE))),"SIN INFORMACIÓN")</f>
        <v>No mantener distancia de seguridad.</v>
      </c>
      <c r="AP316" s="36">
        <v>122</v>
      </c>
      <c r="AQ316" s="36" t="str">
        <f>IFERROR(((VLOOKUP(Tabla1[[#This Row],[HIPOTESIS_2]],listas!$D$1:$E$105,2,FALSE))),"")</f>
        <v>Girar bruscamente.</v>
      </c>
      <c r="AR316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317" spans="1:44" x14ac:dyDescent="0.25">
      <c r="A317" s="12">
        <v>4</v>
      </c>
      <c r="B317" s="36">
        <v>1</v>
      </c>
      <c r="C317" s="36">
        <v>0</v>
      </c>
      <c r="D317" s="36">
        <v>0</v>
      </c>
      <c r="E317" s="18" t="str">
        <f t="shared" si="16"/>
        <v>SOLO DAÑO</v>
      </c>
      <c r="F317" s="29" t="s">
        <v>1122</v>
      </c>
      <c r="G317" s="17">
        <v>5.328551</v>
      </c>
      <c r="H317" s="17">
        <v>-72.390023999999997</v>
      </c>
      <c r="I317" s="93" t="s">
        <v>697</v>
      </c>
      <c r="J317" s="36" t="s">
        <v>717</v>
      </c>
      <c r="K317" s="24" t="str">
        <f t="shared" si="17"/>
        <v>2022</v>
      </c>
      <c r="L317" s="24" t="str">
        <f t="shared" si="18"/>
        <v>ENERO</v>
      </c>
      <c r="M317" s="225">
        <v>44568</v>
      </c>
      <c r="N317" s="24" t="str">
        <f t="shared" si="19"/>
        <v>VIERNES</v>
      </c>
      <c r="O317" s="101">
        <v>0.95833333333333304</v>
      </c>
      <c r="P317" s="63" t="s">
        <v>469</v>
      </c>
      <c r="Q317" s="63" t="s">
        <v>469</v>
      </c>
      <c r="R317" s="36">
        <f>COUNTIF(Tabla1[[#This Row],[VEHICULOS_ACCIDENTADOS]:[VEHICULOS_ACCIDENTADOS2]],"MOTOCICLETA")</f>
        <v>2</v>
      </c>
      <c r="S317" s="36">
        <f>COUNTIF(Tabla1[[#This Row],[VEHICULOS_ACCIDENTADOS]:[VEHICULOS_ACCIDENTADOS2]],"MOTOCARRO")</f>
        <v>0</v>
      </c>
      <c r="T317" s="36">
        <f>COUNTIF(Tabla1[[#This Row],[VEHICULOS_ACCIDENTADOS]:[VEHICULOS_ACCIDENTADOS2]],"AUTOMOVIL")</f>
        <v>0</v>
      </c>
      <c r="U317" s="36">
        <f>COUNTIF(Tabla1[[#This Row],[VEHICULOS_ACCIDENTADOS]:[VEHICULOS_ACCIDENTADOS2]],"CAMPERO")</f>
        <v>0</v>
      </c>
      <c r="V317" s="36">
        <f>COUNTIF(Tabla1[[#This Row],[VEHICULOS_ACCIDENTADOS]:[VEHICULOS_ACCIDENTADOS2]],"CAMIONETA")</f>
        <v>0</v>
      </c>
      <c r="W317" s="36">
        <f>COUNTIF(Tabla1[[#This Row],[VEHICULOS_ACCIDENTADOS]:[VEHICULOS_ACCIDENTADOS2]],"MICROBUS")</f>
        <v>0</v>
      </c>
      <c r="X317" s="36">
        <f>COUNTIF(Tabla1[[#This Row],[VEHICULOS_ACCIDENTADOS]:[VEHICULOS_ACCIDENTADOS2]],"BUS")</f>
        <v>0</v>
      </c>
      <c r="Y317" s="36">
        <f>COUNTIF(Tabla1[[#This Row],[VEHICULOS_ACCIDENTADOS]:[VEHICULOS_ACCIDENTADOS2]],"BUSETA")</f>
        <v>0</v>
      </c>
      <c r="Z317" s="36">
        <f>COUNTIF(Tabla1[[#This Row],[VEHICULOS_ACCIDENTADOS]:[VEHICULOS_ACCIDENTADOS2]],"CAMION")</f>
        <v>0</v>
      </c>
      <c r="AA317" s="36">
        <f>COUNTIF(Tabla1[[#This Row],[VEHICULOS_ACCIDENTADOS]:[VEHICULOS_ACCIDENTADOS2]],"TRACTOCAMION")</f>
        <v>0</v>
      </c>
      <c r="AB317" s="36">
        <f>COUNTIF(Tabla1[[#This Row],[VEHICULOS_ACCIDENTADOS]:[VEHICULOS_ACCIDENTADOS2]],"VOLQUETA")</f>
        <v>0</v>
      </c>
      <c r="AC317" s="36">
        <f>COUNTIF(Tabla1[[#This Row],[VEHICULOS_ACCIDENTADOS]:[VEHICULOS_ACCIDENTADOS2]],"BICICLETA")</f>
        <v>0</v>
      </c>
      <c r="AD317" s="36"/>
      <c r="AE317" s="36" t="s">
        <v>472</v>
      </c>
      <c r="AF317" s="36">
        <f>COUNTIF(Tabla1[[#This Row],[GENERO_MASCULINO]:[GENERO_FEMENINO]],"MASCULINO")</f>
        <v>0</v>
      </c>
      <c r="AG317" s="36">
        <f>COUNTIF(Tabla1[[#This Row],[GENERO_MASCULINO]:[GENERO_FEMENINO]],"FEMENINO")</f>
        <v>1</v>
      </c>
      <c r="AH317" s="61"/>
      <c r="AI317" s="61"/>
      <c r="AJ317" s="61"/>
      <c r="AK317" s="61"/>
      <c r="AL317" s="61"/>
      <c r="AM317" s="36"/>
      <c r="AN317" s="61">
        <v>115</v>
      </c>
      <c r="AO317" s="36" t="str">
        <f>IFERROR(((VLOOKUP(Tabla1[[#This Row],[HIPOTESIS_1]],listas!$D$1:$E$105,2,FALSE))),"SIN INFORMACIÓN")</f>
        <v>Embriaguez o Sustancias alucinogenas</v>
      </c>
      <c r="AP317" s="36">
        <v>122</v>
      </c>
      <c r="AQ317" s="36" t="str">
        <f>IFERROR(((VLOOKUP(Tabla1[[#This Row],[HIPOTESIS_2]],listas!$D$1:$E$105,2,FALSE))),"")</f>
        <v>Girar bruscamente.</v>
      </c>
      <c r="AR317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318" spans="1:44" x14ac:dyDescent="0.25">
      <c r="A318" s="12">
        <v>956</v>
      </c>
      <c r="B318" s="135">
        <v>0</v>
      </c>
      <c r="C318" s="136">
        <v>1</v>
      </c>
      <c r="D318" s="141">
        <v>0</v>
      </c>
      <c r="E318" s="18" t="str">
        <f t="shared" si="16"/>
        <v>LESIONADO</v>
      </c>
      <c r="F318" s="26" t="s">
        <v>30</v>
      </c>
      <c r="G318" s="25">
        <v>5.3396822222222218</v>
      </c>
      <c r="H318" s="25">
        <v>-72.39606527777778</v>
      </c>
      <c r="I318" s="93" t="s">
        <v>697</v>
      </c>
      <c r="J318" s="135" t="s">
        <v>717</v>
      </c>
      <c r="K318" s="24" t="str">
        <f t="shared" si="17"/>
        <v>2025</v>
      </c>
      <c r="L318" s="24" t="str">
        <f t="shared" si="18"/>
        <v>MAYO</v>
      </c>
      <c r="M318" s="224">
        <v>45781</v>
      </c>
      <c r="N318" s="24" t="str">
        <f t="shared" si="19"/>
        <v>DOMINGO</v>
      </c>
      <c r="O318" s="171">
        <v>0.53819444444444442</v>
      </c>
      <c r="P318" s="63" t="s">
        <v>469</v>
      </c>
      <c r="Q318" s="63" t="s">
        <v>447</v>
      </c>
      <c r="R318" s="36">
        <f>COUNTIF(Tabla1[[#This Row],[VEHICULOS_ACCIDENTADOS]:[VEHICULOS_ACCIDENTADOS2]],"MOTOCICLETA")</f>
        <v>1</v>
      </c>
      <c r="S318" s="36">
        <f>COUNTIF(Tabla1[[#This Row],[VEHICULOS_ACCIDENTADOS]:[VEHICULOS_ACCIDENTADOS2]],"MOTOCARRO")</f>
        <v>0</v>
      </c>
      <c r="T318" s="36">
        <f>COUNTIF(Tabla1[[#This Row],[VEHICULOS_ACCIDENTADOS]:[VEHICULOS_ACCIDENTADOS2]],"AUTOMOVIL")</f>
        <v>1</v>
      </c>
      <c r="U318" s="36">
        <f>COUNTIF(Tabla1[[#This Row],[VEHICULOS_ACCIDENTADOS]:[VEHICULOS_ACCIDENTADOS2]],"CAMPERO")</f>
        <v>0</v>
      </c>
      <c r="V318" s="36">
        <f>COUNTIF(Tabla1[[#This Row],[VEHICULOS_ACCIDENTADOS]:[VEHICULOS_ACCIDENTADOS2]],"CAMIONETA")</f>
        <v>0</v>
      </c>
      <c r="W318" s="36">
        <f>COUNTIF(Tabla1[[#This Row],[VEHICULOS_ACCIDENTADOS]:[VEHICULOS_ACCIDENTADOS2]],"MICROBUS")</f>
        <v>0</v>
      </c>
      <c r="X318" s="36">
        <f>COUNTIF(Tabla1[[#This Row],[VEHICULOS_ACCIDENTADOS]:[VEHICULOS_ACCIDENTADOS2]],"BUS")</f>
        <v>0</v>
      </c>
      <c r="Y318" s="36">
        <f>COUNTIF(Tabla1[[#This Row],[VEHICULOS_ACCIDENTADOS]:[VEHICULOS_ACCIDENTADOS2]],"BUSETA")</f>
        <v>0</v>
      </c>
      <c r="Z318" s="36">
        <f>COUNTIF(Tabla1[[#This Row],[VEHICULOS_ACCIDENTADOS]:[VEHICULOS_ACCIDENTADOS2]],"CAMION")</f>
        <v>0</v>
      </c>
      <c r="AA318" s="36">
        <f>COUNTIF(Tabla1[[#This Row],[VEHICULOS_ACCIDENTADOS]:[VEHICULOS_ACCIDENTADOS2]],"TRACTOCAMION")</f>
        <v>0</v>
      </c>
      <c r="AB318" s="36">
        <f>COUNTIF(Tabla1[[#This Row],[VEHICULOS_ACCIDENTADOS]:[VEHICULOS_ACCIDENTADOS2]],"VOLQUETA")</f>
        <v>0</v>
      </c>
      <c r="AC318" s="36">
        <f>COUNTIF(Tabla1[[#This Row],[VEHICULOS_ACCIDENTADOS]:[VEHICULOS_ACCIDENTADOS2]],"BICICLETA")</f>
        <v>0</v>
      </c>
      <c r="AD318" s="36" t="s">
        <v>471</v>
      </c>
      <c r="AE318" s="36" t="s">
        <v>471</v>
      </c>
      <c r="AF318" s="36">
        <f>COUNTIF(Tabla1[[#This Row],[GENERO_MASCULINO]:[GENERO_FEMENINO]],"MASCULINO")</f>
        <v>2</v>
      </c>
      <c r="AG318" s="36">
        <f>COUNTIF(Tabla1[[#This Row],[GENERO_MASCULINO]:[GENERO_FEMENINO]],"FEMENINO")</f>
        <v>0</v>
      </c>
      <c r="AH318" s="85">
        <v>18</v>
      </c>
      <c r="AI318" s="85">
        <v>40</v>
      </c>
      <c r="AJ318" s="85"/>
      <c r="AK318" s="85"/>
      <c r="AL318" s="78"/>
      <c r="AM318" s="59"/>
      <c r="AN318" s="85">
        <v>121</v>
      </c>
      <c r="AO318" s="36" t="str">
        <f>IFERROR(((VLOOKUP(Tabla1[[#This Row],[HIPOTESIS_1]],listas!$D$1:$E$105,2,FALSE))),"SIN INFORMACIÓN")</f>
        <v>No mantener distancia de seguridad.</v>
      </c>
      <c r="AP318" s="36">
        <v>122</v>
      </c>
      <c r="AQ318" s="36" t="str">
        <f>IFERROR(((VLOOKUP(Tabla1[[#This Row],[HIPOTESIS_2]],listas!$D$1:$E$105,2,FALSE))),"")</f>
        <v>Girar bruscamente.</v>
      </c>
      <c r="AR318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319" spans="1:44" x14ac:dyDescent="0.25">
      <c r="A319" s="12">
        <v>634</v>
      </c>
      <c r="B319" s="36">
        <v>0</v>
      </c>
      <c r="C319" s="36">
        <v>1</v>
      </c>
      <c r="D319" s="36">
        <v>0</v>
      </c>
      <c r="E319" s="18" t="str">
        <f t="shared" si="16"/>
        <v>LESIONADO</v>
      </c>
      <c r="F319" s="36" t="s">
        <v>1145</v>
      </c>
      <c r="G319" s="17">
        <v>5.3396363888888887</v>
      </c>
      <c r="H319" s="17">
        <v>-72.392344444444447</v>
      </c>
      <c r="I319" s="93" t="s">
        <v>697</v>
      </c>
      <c r="J319" s="36" t="s">
        <v>717</v>
      </c>
      <c r="K319" s="24" t="str">
        <f t="shared" si="17"/>
        <v>2023</v>
      </c>
      <c r="L319" s="24" t="str">
        <f t="shared" si="18"/>
        <v>DICIEMBRE</v>
      </c>
      <c r="M319" s="225">
        <v>45275</v>
      </c>
      <c r="N319" s="24" t="str">
        <f t="shared" si="19"/>
        <v>VIERNES</v>
      </c>
      <c r="O319" s="101">
        <v>0.74305555555555558</v>
      </c>
      <c r="P319" s="57" t="s">
        <v>469</v>
      </c>
      <c r="Q319" s="57" t="s">
        <v>447</v>
      </c>
      <c r="R319" s="36">
        <f>COUNTIF(Tabla1[[#This Row],[VEHICULOS_ACCIDENTADOS]:[VEHICULOS_ACCIDENTADOS2]],"MOTOCICLETA")</f>
        <v>1</v>
      </c>
      <c r="S319" s="36">
        <f>COUNTIF(Tabla1[[#This Row],[VEHICULOS_ACCIDENTADOS]:[VEHICULOS_ACCIDENTADOS2]],"MOTOCARRO")</f>
        <v>0</v>
      </c>
      <c r="T319" s="36">
        <f>COUNTIF(Tabla1[[#This Row],[VEHICULOS_ACCIDENTADOS]:[VEHICULOS_ACCIDENTADOS2]],"AUTOMOVIL")</f>
        <v>1</v>
      </c>
      <c r="U319" s="36">
        <f>COUNTIF(Tabla1[[#This Row],[VEHICULOS_ACCIDENTADOS]:[VEHICULOS_ACCIDENTADOS2]],"CAMPERO")</f>
        <v>0</v>
      </c>
      <c r="V319" s="36">
        <f>COUNTIF(Tabla1[[#This Row],[VEHICULOS_ACCIDENTADOS]:[VEHICULOS_ACCIDENTADOS2]],"CAMIONETA")</f>
        <v>0</v>
      </c>
      <c r="W319" s="36">
        <f>COUNTIF(Tabla1[[#This Row],[VEHICULOS_ACCIDENTADOS]:[VEHICULOS_ACCIDENTADOS2]],"MICROBUS")</f>
        <v>0</v>
      </c>
      <c r="X319" s="36">
        <f>COUNTIF(Tabla1[[#This Row],[VEHICULOS_ACCIDENTADOS]:[VEHICULOS_ACCIDENTADOS2]],"BUS")</f>
        <v>0</v>
      </c>
      <c r="Y319" s="36">
        <f>COUNTIF(Tabla1[[#This Row],[VEHICULOS_ACCIDENTADOS]:[VEHICULOS_ACCIDENTADOS2]],"BUSETA")</f>
        <v>0</v>
      </c>
      <c r="Z319" s="36">
        <f>COUNTIF(Tabla1[[#This Row],[VEHICULOS_ACCIDENTADOS]:[VEHICULOS_ACCIDENTADOS2]],"CAMION")</f>
        <v>0</v>
      </c>
      <c r="AA319" s="36">
        <f>COUNTIF(Tabla1[[#This Row],[VEHICULOS_ACCIDENTADOS]:[VEHICULOS_ACCIDENTADOS2]],"TRACTOCAMION")</f>
        <v>0</v>
      </c>
      <c r="AB319" s="36">
        <f>COUNTIF(Tabla1[[#This Row],[VEHICULOS_ACCIDENTADOS]:[VEHICULOS_ACCIDENTADOS2]],"VOLQUETA")</f>
        <v>0</v>
      </c>
      <c r="AC319" s="36">
        <f>COUNTIF(Tabla1[[#This Row],[VEHICULOS_ACCIDENTADOS]:[VEHICULOS_ACCIDENTADOS2]],"BICICLETA")</f>
        <v>0</v>
      </c>
      <c r="AD319" s="36"/>
      <c r="AE319" s="36" t="s">
        <v>472</v>
      </c>
      <c r="AF319" s="36">
        <f>COUNTIF(Tabla1[[#This Row],[GENERO_MASCULINO]:[GENERO_FEMENINO]],"MASCULINO")</f>
        <v>0</v>
      </c>
      <c r="AG319" s="36">
        <f>COUNTIF(Tabla1[[#This Row],[GENERO_MASCULINO]:[GENERO_FEMENINO]],"FEMENINO")</f>
        <v>1</v>
      </c>
      <c r="AH319" s="61">
        <v>49</v>
      </c>
      <c r="AI319" s="61"/>
      <c r="AJ319" s="61"/>
      <c r="AK319" s="61"/>
      <c r="AL319" s="61"/>
      <c r="AM319" s="36"/>
      <c r="AN319" s="61">
        <v>102</v>
      </c>
      <c r="AO319" s="36" t="str">
        <f>IFERROR(((VLOOKUP(Tabla1[[#This Row],[HIPOTESIS_1]],listas!$D$1:$E$105,2,FALSE))),"SIN INFORMACIÓN")</f>
        <v>Adelantar por la derecha.</v>
      </c>
      <c r="AP319" s="36">
        <v>122</v>
      </c>
      <c r="AQ319" s="36" t="str">
        <f>IFERROR(((VLOOKUP(Tabla1[[#This Row],[HIPOTESIS_2]],listas!$D$1:$E$105,2,FALSE))),"")</f>
        <v>Girar bruscamente.</v>
      </c>
      <c r="AR319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320" spans="1:44" x14ac:dyDescent="0.25">
      <c r="A320" s="12">
        <v>64</v>
      </c>
      <c r="B320" s="36">
        <v>1</v>
      </c>
      <c r="C320" s="36">
        <v>0</v>
      </c>
      <c r="D320" s="36">
        <v>0</v>
      </c>
      <c r="E320" s="18" t="str">
        <f t="shared" si="16"/>
        <v>SOLO DAÑO</v>
      </c>
      <c r="F320" s="29" t="s">
        <v>982</v>
      </c>
      <c r="G320" s="17">
        <v>5.341075</v>
      </c>
      <c r="H320" s="17">
        <v>-72.38558888888889</v>
      </c>
      <c r="I320" s="93" t="s">
        <v>697</v>
      </c>
      <c r="J320" s="36" t="s">
        <v>717</v>
      </c>
      <c r="K320" s="24" t="str">
        <f t="shared" si="17"/>
        <v>2022</v>
      </c>
      <c r="L320" s="24" t="str">
        <f t="shared" si="18"/>
        <v>FEBRERO</v>
      </c>
      <c r="M320" s="225">
        <v>44613</v>
      </c>
      <c r="N320" s="24" t="str">
        <f t="shared" si="19"/>
        <v>LUNES</v>
      </c>
      <c r="O320" s="101">
        <v>0.29166666666666702</v>
      </c>
      <c r="P320" s="63" t="s">
        <v>469</v>
      </c>
      <c r="Q320" s="63" t="s">
        <v>446</v>
      </c>
      <c r="R320" s="36">
        <f>COUNTIF(Tabla1[[#This Row],[VEHICULOS_ACCIDENTADOS]:[VEHICULOS_ACCIDENTADOS2]],"MOTOCICLETA")</f>
        <v>1</v>
      </c>
      <c r="S320" s="36">
        <f>COUNTIF(Tabla1[[#This Row],[VEHICULOS_ACCIDENTADOS]:[VEHICULOS_ACCIDENTADOS2]],"MOTOCARRO")</f>
        <v>0</v>
      </c>
      <c r="T320" s="36">
        <f>COUNTIF(Tabla1[[#This Row],[VEHICULOS_ACCIDENTADOS]:[VEHICULOS_ACCIDENTADOS2]],"AUTOMOVIL")</f>
        <v>0</v>
      </c>
      <c r="U320" s="36">
        <f>COUNTIF(Tabla1[[#This Row],[VEHICULOS_ACCIDENTADOS]:[VEHICULOS_ACCIDENTADOS2]],"CAMPERO")</f>
        <v>1</v>
      </c>
      <c r="V320" s="36">
        <f>COUNTIF(Tabla1[[#This Row],[VEHICULOS_ACCIDENTADOS]:[VEHICULOS_ACCIDENTADOS2]],"CAMIONETA")</f>
        <v>0</v>
      </c>
      <c r="W320" s="36">
        <f>COUNTIF(Tabla1[[#This Row],[VEHICULOS_ACCIDENTADOS]:[VEHICULOS_ACCIDENTADOS2]],"MICROBUS")</f>
        <v>0</v>
      </c>
      <c r="X320" s="36">
        <f>COUNTIF(Tabla1[[#This Row],[VEHICULOS_ACCIDENTADOS]:[VEHICULOS_ACCIDENTADOS2]],"BUS")</f>
        <v>0</v>
      </c>
      <c r="Y320" s="36">
        <f>COUNTIF(Tabla1[[#This Row],[VEHICULOS_ACCIDENTADOS]:[VEHICULOS_ACCIDENTADOS2]],"BUSETA")</f>
        <v>0</v>
      </c>
      <c r="Z320" s="36">
        <f>COUNTIF(Tabla1[[#This Row],[VEHICULOS_ACCIDENTADOS]:[VEHICULOS_ACCIDENTADOS2]],"CAMION")</f>
        <v>0</v>
      </c>
      <c r="AA320" s="36">
        <f>COUNTIF(Tabla1[[#This Row],[VEHICULOS_ACCIDENTADOS]:[VEHICULOS_ACCIDENTADOS2]],"TRACTOCAMION")</f>
        <v>0</v>
      </c>
      <c r="AB320" s="36">
        <f>COUNTIF(Tabla1[[#This Row],[VEHICULOS_ACCIDENTADOS]:[VEHICULOS_ACCIDENTADOS2]],"VOLQUETA")</f>
        <v>0</v>
      </c>
      <c r="AC320" s="36">
        <f>COUNTIF(Tabla1[[#This Row],[VEHICULOS_ACCIDENTADOS]:[VEHICULOS_ACCIDENTADOS2]],"BICICLETA")</f>
        <v>0</v>
      </c>
      <c r="AD320" s="36" t="s">
        <v>471</v>
      </c>
      <c r="AE320" s="36" t="s">
        <v>472</v>
      </c>
      <c r="AF320" s="36">
        <f>COUNTIF(Tabla1[[#This Row],[GENERO_MASCULINO]:[GENERO_FEMENINO]],"MASCULINO")</f>
        <v>1</v>
      </c>
      <c r="AG320" s="36">
        <f>COUNTIF(Tabla1[[#This Row],[GENERO_MASCULINO]:[GENERO_FEMENINO]],"FEMENINO")</f>
        <v>1</v>
      </c>
      <c r="AH320" s="61"/>
      <c r="AI320" s="61"/>
      <c r="AJ320" s="61"/>
      <c r="AK320" s="61"/>
      <c r="AL320" s="61"/>
      <c r="AM320" s="36"/>
      <c r="AN320" s="61">
        <v>139</v>
      </c>
      <c r="AO320" s="36" t="str">
        <f>IFERROR(((VLOOKUP(Tabla1[[#This Row],[HIPOTESIS_1]],listas!$D$1:$E$105,2,FALSE))),"SIN INFORMACIÓN")</f>
        <v>Impericia en el manejo.</v>
      </c>
      <c r="AP320" s="36">
        <v>122</v>
      </c>
      <c r="AQ320" s="36" t="str">
        <f>IFERROR(((VLOOKUP(Tabla1[[#This Row],[HIPOTESIS_2]],listas!$D$1:$E$105,2,FALSE))),"")</f>
        <v>Girar bruscamente.</v>
      </c>
      <c r="AR320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321" spans="1:44" x14ac:dyDescent="0.25">
      <c r="A321" s="12">
        <v>917</v>
      </c>
      <c r="B321" s="36">
        <v>0</v>
      </c>
      <c r="C321" s="36">
        <v>1</v>
      </c>
      <c r="D321" s="136">
        <v>0</v>
      </c>
      <c r="E321" s="18" t="str">
        <f t="shared" si="16"/>
        <v>LESIONADO</v>
      </c>
      <c r="F321" s="29" t="s">
        <v>53</v>
      </c>
      <c r="G321" s="37">
        <v>5.331728</v>
      </c>
      <c r="H321" s="37">
        <v>-72.376960999999994</v>
      </c>
      <c r="I321" s="93" t="s">
        <v>697</v>
      </c>
      <c r="J321" s="168" t="s">
        <v>717</v>
      </c>
      <c r="K321" s="24" t="str">
        <f t="shared" si="17"/>
        <v>2025</v>
      </c>
      <c r="L321" s="24" t="str">
        <f t="shared" si="18"/>
        <v>MARZO</v>
      </c>
      <c r="M321" s="225">
        <v>45744</v>
      </c>
      <c r="N321" s="24" t="str">
        <f t="shared" si="19"/>
        <v>VIERNES</v>
      </c>
      <c r="O321" s="101">
        <v>0.75</v>
      </c>
      <c r="P321" s="57" t="s">
        <v>469</v>
      </c>
      <c r="Q321" s="57" t="s">
        <v>444</v>
      </c>
      <c r="R321" s="36">
        <f>COUNTIF(Tabla1[[#This Row],[VEHICULOS_ACCIDENTADOS]:[VEHICULOS_ACCIDENTADOS2]],"MOTOCICLETA")</f>
        <v>1</v>
      </c>
      <c r="S321" s="36">
        <f>COUNTIF(Tabla1[[#This Row],[VEHICULOS_ACCIDENTADOS]:[VEHICULOS_ACCIDENTADOS2]],"MOTOCARRO")</f>
        <v>0</v>
      </c>
      <c r="T321" s="36">
        <f>COUNTIF(Tabla1[[#This Row],[VEHICULOS_ACCIDENTADOS]:[VEHICULOS_ACCIDENTADOS2]],"AUTOMOVIL")</f>
        <v>0</v>
      </c>
      <c r="U321" s="36">
        <f>COUNTIF(Tabla1[[#This Row],[VEHICULOS_ACCIDENTADOS]:[VEHICULOS_ACCIDENTADOS2]],"CAMPERO")</f>
        <v>0</v>
      </c>
      <c r="V321" s="36">
        <f>COUNTIF(Tabla1[[#This Row],[VEHICULOS_ACCIDENTADOS]:[VEHICULOS_ACCIDENTADOS2]],"CAMIONETA")</f>
        <v>0</v>
      </c>
      <c r="W321" s="36">
        <f>COUNTIF(Tabla1[[#This Row],[VEHICULOS_ACCIDENTADOS]:[VEHICULOS_ACCIDENTADOS2]],"MICROBUS")</f>
        <v>1</v>
      </c>
      <c r="X321" s="36">
        <f>COUNTIF(Tabla1[[#This Row],[VEHICULOS_ACCIDENTADOS]:[VEHICULOS_ACCIDENTADOS2]],"BUS")</f>
        <v>0</v>
      </c>
      <c r="Y321" s="36">
        <f>COUNTIF(Tabla1[[#This Row],[VEHICULOS_ACCIDENTADOS]:[VEHICULOS_ACCIDENTADOS2]],"BUSETA")</f>
        <v>0</v>
      </c>
      <c r="Z321" s="36">
        <f>COUNTIF(Tabla1[[#This Row],[VEHICULOS_ACCIDENTADOS]:[VEHICULOS_ACCIDENTADOS2]],"CAMION")</f>
        <v>0</v>
      </c>
      <c r="AA321" s="36">
        <f>COUNTIF(Tabla1[[#This Row],[VEHICULOS_ACCIDENTADOS]:[VEHICULOS_ACCIDENTADOS2]],"TRACTOCAMION")</f>
        <v>0</v>
      </c>
      <c r="AB321" s="36">
        <f>COUNTIF(Tabla1[[#This Row],[VEHICULOS_ACCIDENTADOS]:[VEHICULOS_ACCIDENTADOS2]],"VOLQUETA")</f>
        <v>0</v>
      </c>
      <c r="AC321" s="36">
        <f>COUNTIF(Tabla1[[#This Row],[VEHICULOS_ACCIDENTADOS]:[VEHICULOS_ACCIDENTADOS2]],"BICICLETA")</f>
        <v>0</v>
      </c>
      <c r="AD321" s="36" t="s">
        <v>471</v>
      </c>
      <c r="AE321" s="36" t="s">
        <v>471</v>
      </c>
      <c r="AF321" s="36">
        <f>COUNTIF(Tabla1[[#This Row],[GENERO_MASCULINO]:[GENERO_FEMENINO]],"MASCULINO")</f>
        <v>2</v>
      </c>
      <c r="AG321" s="36">
        <f>COUNTIF(Tabla1[[#This Row],[GENERO_MASCULINO]:[GENERO_FEMENINO]],"FEMENINO")</f>
        <v>0</v>
      </c>
      <c r="AH321" s="85">
        <v>20</v>
      </c>
      <c r="AI321" s="85">
        <v>33</v>
      </c>
      <c r="AJ321" s="85"/>
      <c r="AK321" s="61"/>
      <c r="AL321" s="61"/>
      <c r="AM321" s="36"/>
      <c r="AN321" s="61">
        <v>139</v>
      </c>
      <c r="AO321" s="36" t="str">
        <f>IFERROR(((VLOOKUP(Tabla1[[#This Row],[HIPOTESIS_1]],listas!$D$1:$E$105,2,FALSE))),"SIN INFORMACIÓN")</f>
        <v>Impericia en el manejo.</v>
      </c>
      <c r="AP321" s="36">
        <v>122</v>
      </c>
      <c r="AQ321" s="36" t="str">
        <f>IFERROR(((VLOOKUP(Tabla1[[#This Row],[HIPOTESIS_2]],listas!$D$1:$E$105,2,FALSE))),"")</f>
        <v>Girar bruscamente.</v>
      </c>
      <c r="AR321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322" spans="1:44" x14ac:dyDescent="0.25">
      <c r="A322" s="12">
        <v>6</v>
      </c>
      <c r="B322" s="36">
        <v>1</v>
      </c>
      <c r="C322" s="36">
        <v>0</v>
      </c>
      <c r="D322" s="36">
        <v>0</v>
      </c>
      <c r="E322" s="18" t="str">
        <f t="shared" ref="E322:E385" si="20">IF(D322&gt;=1,"FALLECIDO",IF(C322&gt;=1,"LESIONADO",IF(B322&gt;=1,"SOLO DAÑO","")))</f>
        <v>SOLO DAÑO</v>
      </c>
      <c r="F322" s="29" t="s">
        <v>1100</v>
      </c>
      <c r="G322" s="17">
        <v>5.3185555555555553</v>
      </c>
      <c r="H322" s="17">
        <v>-72.403444444444446</v>
      </c>
      <c r="I322" s="93" t="s">
        <v>697</v>
      </c>
      <c r="J322" s="36" t="s">
        <v>717</v>
      </c>
      <c r="K322" s="24" t="str">
        <f t="shared" ref="K322:K385" si="21">UPPER(TEXT(M322,"YYYY"))</f>
        <v>2022</v>
      </c>
      <c r="L322" s="24" t="str">
        <f t="shared" ref="L322:L385" si="22">UPPER(TEXT(M322,"MMMM"))</f>
        <v>ENERO</v>
      </c>
      <c r="M322" s="225">
        <v>44572</v>
      </c>
      <c r="N322" s="24" t="str">
        <f t="shared" ref="N322:N385" si="23">UPPER(TEXT(M322,"DDDD"))</f>
        <v>MARTES</v>
      </c>
      <c r="O322" s="102">
        <v>0.72222222222222221</v>
      </c>
      <c r="P322" s="53" t="s">
        <v>447</v>
      </c>
      <c r="Q322" s="53" t="s">
        <v>445</v>
      </c>
      <c r="R322" s="36">
        <f>COUNTIF(Tabla1[[#This Row],[VEHICULOS_ACCIDENTADOS]:[VEHICULOS_ACCIDENTADOS2]],"MOTOCICLETA")</f>
        <v>0</v>
      </c>
      <c r="S322" s="36">
        <f>COUNTIF(Tabla1[[#This Row],[VEHICULOS_ACCIDENTADOS]:[VEHICULOS_ACCIDENTADOS2]],"MOTOCARRO")</f>
        <v>0</v>
      </c>
      <c r="T322" s="36">
        <f>COUNTIF(Tabla1[[#This Row],[VEHICULOS_ACCIDENTADOS]:[VEHICULOS_ACCIDENTADOS2]],"AUTOMOVIL")</f>
        <v>1</v>
      </c>
      <c r="U322" s="36">
        <f>COUNTIF(Tabla1[[#This Row],[VEHICULOS_ACCIDENTADOS]:[VEHICULOS_ACCIDENTADOS2]],"CAMPERO")</f>
        <v>0</v>
      </c>
      <c r="V322" s="36">
        <f>COUNTIF(Tabla1[[#This Row],[VEHICULOS_ACCIDENTADOS]:[VEHICULOS_ACCIDENTADOS2]],"CAMIONETA")</f>
        <v>1</v>
      </c>
      <c r="W322" s="36">
        <f>COUNTIF(Tabla1[[#This Row],[VEHICULOS_ACCIDENTADOS]:[VEHICULOS_ACCIDENTADOS2]],"MICROBUS")</f>
        <v>0</v>
      </c>
      <c r="X322" s="36">
        <f>COUNTIF(Tabla1[[#This Row],[VEHICULOS_ACCIDENTADOS]:[VEHICULOS_ACCIDENTADOS2]],"BUS")</f>
        <v>0</v>
      </c>
      <c r="Y322" s="36">
        <f>COUNTIF(Tabla1[[#This Row],[VEHICULOS_ACCIDENTADOS]:[VEHICULOS_ACCIDENTADOS2]],"BUSETA")</f>
        <v>0</v>
      </c>
      <c r="Z322" s="36">
        <f>COUNTIF(Tabla1[[#This Row],[VEHICULOS_ACCIDENTADOS]:[VEHICULOS_ACCIDENTADOS2]],"CAMION")</f>
        <v>0</v>
      </c>
      <c r="AA322" s="36">
        <f>COUNTIF(Tabla1[[#This Row],[VEHICULOS_ACCIDENTADOS]:[VEHICULOS_ACCIDENTADOS2]],"TRACTOCAMION")</f>
        <v>0</v>
      </c>
      <c r="AB322" s="36">
        <f>COUNTIF(Tabla1[[#This Row],[VEHICULOS_ACCIDENTADOS]:[VEHICULOS_ACCIDENTADOS2]],"VOLQUETA")</f>
        <v>0</v>
      </c>
      <c r="AC322" s="36">
        <f>COUNTIF(Tabla1[[#This Row],[VEHICULOS_ACCIDENTADOS]:[VEHICULOS_ACCIDENTADOS2]],"BICICLETA")</f>
        <v>0</v>
      </c>
      <c r="AD322" s="36"/>
      <c r="AE322" s="36" t="s">
        <v>472</v>
      </c>
      <c r="AF322" s="36">
        <f>COUNTIF(Tabla1[[#This Row],[GENERO_MASCULINO]:[GENERO_FEMENINO]],"MASCULINO")</f>
        <v>0</v>
      </c>
      <c r="AG322" s="36">
        <f>COUNTIF(Tabla1[[#This Row],[GENERO_MASCULINO]:[GENERO_FEMENINO]],"FEMENINO")</f>
        <v>1</v>
      </c>
      <c r="AH322" s="61"/>
      <c r="AI322" s="61"/>
      <c r="AJ322" s="61"/>
      <c r="AK322" s="61"/>
      <c r="AL322" s="61"/>
      <c r="AM322" s="36"/>
      <c r="AN322" s="61">
        <v>139</v>
      </c>
      <c r="AO322" s="36" t="str">
        <f>IFERROR(((VLOOKUP(Tabla1[[#This Row],[HIPOTESIS_1]],listas!$D$1:$E$105,2,FALSE))),"SIN INFORMACIÓN")</f>
        <v>Impericia en el manejo.</v>
      </c>
      <c r="AP322" s="36">
        <v>122</v>
      </c>
      <c r="AQ322" s="36" t="str">
        <f>IFERROR(((VLOOKUP(Tabla1[[#This Row],[HIPOTESIS_2]],listas!$D$1:$E$105,2,FALSE))),"")</f>
        <v>Girar bruscamente.</v>
      </c>
      <c r="AR322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323" spans="1:44" x14ac:dyDescent="0.25">
      <c r="A323" s="12">
        <v>394</v>
      </c>
      <c r="B323" s="36">
        <v>0</v>
      </c>
      <c r="C323" s="36">
        <v>1</v>
      </c>
      <c r="D323" s="36">
        <v>0</v>
      </c>
      <c r="E323" s="18" t="str">
        <f t="shared" si="20"/>
        <v>LESIONADO</v>
      </c>
      <c r="F323" s="29" t="s">
        <v>1042</v>
      </c>
      <c r="G323" s="21">
        <v>5.3363044444444441</v>
      </c>
      <c r="H323" s="21">
        <v>-72.40715194444445</v>
      </c>
      <c r="I323" s="93" t="s">
        <v>697</v>
      </c>
      <c r="J323" s="36" t="s">
        <v>717</v>
      </c>
      <c r="K323" s="24" t="str">
        <f t="shared" si="21"/>
        <v>2023</v>
      </c>
      <c r="L323" s="24" t="str">
        <f t="shared" si="22"/>
        <v>ENERO</v>
      </c>
      <c r="M323" s="225">
        <v>44953</v>
      </c>
      <c r="N323" s="24" t="str">
        <f t="shared" si="23"/>
        <v>VIERNES</v>
      </c>
      <c r="O323" s="101">
        <v>0.38888888888888901</v>
      </c>
      <c r="P323" s="57" t="s">
        <v>469</v>
      </c>
      <c r="Q323" s="57" t="s">
        <v>469</v>
      </c>
      <c r="R323" s="36">
        <f>COUNTIF(Tabla1[[#This Row],[VEHICULOS_ACCIDENTADOS]:[VEHICULOS_ACCIDENTADOS2]],"MOTOCICLETA")</f>
        <v>2</v>
      </c>
      <c r="S323" s="36">
        <f>COUNTIF(Tabla1[[#This Row],[VEHICULOS_ACCIDENTADOS]:[VEHICULOS_ACCIDENTADOS2]],"MOTOCARRO")</f>
        <v>0</v>
      </c>
      <c r="T323" s="36">
        <f>COUNTIF(Tabla1[[#This Row],[VEHICULOS_ACCIDENTADOS]:[VEHICULOS_ACCIDENTADOS2]],"AUTOMOVIL")</f>
        <v>0</v>
      </c>
      <c r="U323" s="36">
        <f>COUNTIF(Tabla1[[#This Row],[VEHICULOS_ACCIDENTADOS]:[VEHICULOS_ACCIDENTADOS2]],"CAMPERO")</f>
        <v>0</v>
      </c>
      <c r="V323" s="36">
        <f>COUNTIF(Tabla1[[#This Row],[VEHICULOS_ACCIDENTADOS]:[VEHICULOS_ACCIDENTADOS2]],"CAMIONETA")</f>
        <v>0</v>
      </c>
      <c r="W323" s="36">
        <f>COUNTIF(Tabla1[[#This Row],[VEHICULOS_ACCIDENTADOS]:[VEHICULOS_ACCIDENTADOS2]],"MICROBUS")</f>
        <v>0</v>
      </c>
      <c r="X323" s="36">
        <f>COUNTIF(Tabla1[[#This Row],[VEHICULOS_ACCIDENTADOS]:[VEHICULOS_ACCIDENTADOS2]],"BUS")</f>
        <v>0</v>
      </c>
      <c r="Y323" s="36">
        <f>COUNTIF(Tabla1[[#This Row],[VEHICULOS_ACCIDENTADOS]:[VEHICULOS_ACCIDENTADOS2]],"BUSETA")</f>
        <v>0</v>
      </c>
      <c r="Z323" s="36">
        <f>COUNTIF(Tabla1[[#This Row],[VEHICULOS_ACCIDENTADOS]:[VEHICULOS_ACCIDENTADOS2]],"CAMION")</f>
        <v>0</v>
      </c>
      <c r="AA323" s="36">
        <f>COUNTIF(Tabla1[[#This Row],[VEHICULOS_ACCIDENTADOS]:[VEHICULOS_ACCIDENTADOS2]],"TRACTOCAMION")</f>
        <v>0</v>
      </c>
      <c r="AB323" s="36">
        <f>COUNTIF(Tabla1[[#This Row],[VEHICULOS_ACCIDENTADOS]:[VEHICULOS_ACCIDENTADOS2]],"VOLQUETA")</f>
        <v>0</v>
      </c>
      <c r="AC323" s="36">
        <f>COUNTIF(Tabla1[[#This Row],[VEHICULOS_ACCIDENTADOS]:[VEHICULOS_ACCIDENTADOS2]],"BICICLETA")</f>
        <v>0</v>
      </c>
      <c r="AD323" s="36" t="s">
        <v>471</v>
      </c>
      <c r="AE323" s="36" t="s">
        <v>472</v>
      </c>
      <c r="AF323" s="36">
        <f>COUNTIF(Tabla1[[#This Row],[GENERO_MASCULINO]:[GENERO_FEMENINO]],"MASCULINO")</f>
        <v>1</v>
      </c>
      <c r="AG323" s="36">
        <f>COUNTIF(Tabla1[[#This Row],[GENERO_MASCULINO]:[GENERO_FEMENINO]],"FEMENINO")</f>
        <v>1</v>
      </c>
      <c r="AH323" s="61">
        <v>33</v>
      </c>
      <c r="AI323" s="61">
        <v>21</v>
      </c>
      <c r="AJ323" s="61"/>
      <c r="AK323" s="61"/>
      <c r="AL323" s="61"/>
      <c r="AM323" s="36"/>
      <c r="AN323" s="61">
        <v>139</v>
      </c>
      <c r="AO323" s="36" t="str">
        <f>IFERROR(((VLOOKUP(Tabla1[[#This Row],[HIPOTESIS_1]],listas!$D$1:$E$105,2,FALSE))),"SIN INFORMACIÓN")</f>
        <v>Impericia en el manejo.</v>
      </c>
      <c r="AP323" s="36">
        <v>122</v>
      </c>
      <c r="AQ323" s="36" t="str">
        <f>IFERROR(((VLOOKUP(Tabla1[[#This Row],[HIPOTESIS_2]],listas!$D$1:$E$105,2,FALSE))),"")</f>
        <v>Girar bruscamente.</v>
      </c>
      <c r="AR323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324" spans="1:44" x14ac:dyDescent="0.25">
      <c r="A324" s="12">
        <v>918</v>
      </c>
      <c r="B324" s="135">
        <v>1</v>
      </c>
      <c r="C324" s="36">
        <v>0</v>
      </c>
      <c r="D324" s="136">
        <v>0</v>
      </c>
      <c r="E324" s="18" t="str">
        <f t="shared" si="20"/>
        <v>SOLO DAÑO</v>
      </c>
      <c r="F324" s="29" t="s">
        <v>52</v>
      </c>
      <c r="G324" s="37">
        <v>5.3375830000000004</v>
      </c>
      <c r="H324" s="37">
        <v>-72.406552000000005</v>
      </c>
      <c r="I324" s="93" t="s">
        <v>697</v>
      </c>
      <c r="J324" s="168" t="s">
        <v>717</v>
      </c>
      <c r="K324" s="24" t="str">
        <f t="shared" si="21"/>
        <v>2025</v>
      </c>
      <c r="L324" s="24" t="str">
        <f t="shared" si="22"/>
        <v>MARZO</v>
      </c>
      <c r="M324" s="225">
        <v>45744</v>
      </c>
      <c r="N324" s="24" t="str">
        <f t="shared" si="23"/>
        <v>VIERNES</v>
      </c>
      <c r="O324" s="101">
        <v>0.4375</v>
      </c>
      <c r="P324" s="57" t="s">
        <v>469</v>
      </c>
      <c r="Q324" s="57" t="s">
        <v>469</v>
      </c>
      <c r="R324" s="36">
        <f>COUNTIF(Tabla1[[#This Row],[VEHICULOS_ACCIDENTADOS]:[VEHICULOS_ACCIDENTADOS2]],"MOTOCICLETA")</f>
        <v>2</v>
      </c>
      <c r="S324" s="36">
        <f>COUNTIF(Tabla1[[#This Row],[VEHICULOS_ACCIDENTADOS]:[VEHICULOS_ACCIDENTADOS2]],"MOTOCARRO")</f>
        <v>0</v>
      </c>
      <c r="T324" s="36">
        <f>COUNTIF(Tabla1[[#This Row],[VEHICULOS_ACCIDENTADOS]:[VEHICULOS_ACCIDENTADOS2]],"AUTOMOVIL")</f>
        <v>0</v>
      </c>
      <c r="U324" s="36">
        <f>COUNTIF(Tabla1[[#This Row],[VEHICULOS_ACCIDENTADOS]:[VEHICULOS_ACCIDENTADOS2]],"CAMPERO")</f>
        <v>0</v>
      </c>
      <c r="V324" s="36">
        <f>COUNTIF(Tabla1[[#This Row],[VEHICULOS_ACCIDENTADOS]:[VEHICULOS_ACCIDENTADOS2]],"CAMIONETA")</f>
        <v>0</v>
      </c>
      <c r="W324" s="36">
        <f>COUNTIF(Tabla1[[#This Row],[VEHICULOS_ACCIDENTADOS]:[VEHICULOS_ACCIDENTADOS2]],"MICROBUS")</f>
        <v>0</v>
      </c>
      <c r="X324" s="36">
        <f>COUNTIF(Tabla1[[#This Row],[VEHICULOS_ACCIDENTADOS]:[VEHICULOS_ACCIDENTADOS2]],"BUS")</f>
        <v>0</v>
      </c>
      <c r="Y324" s="36">
        <f>COUNTIF(Tabla1[[#This Row],[VEHICULOS_ACCIDENTADOS]:[VEHICULOS_ACCIDENTADOS2]],"BUSETA")</f>
        <v>0</v>
      </c>
      <c r="Z324" s="36">
        <f>COUNTIF(Tabla1[[#This Row],[VEHICULOS_ACCIDENTADOS]:[VEHICULOS_ACCIDENTADOS2]],"CAMION")</f>
        <v>0</v>
      </c>
      <c r="AA324" s="36">
        <f>COUNTIF(Tabla1[[#This Row],[VEHICULOS_ACCIDENTADOS]:[VEHICULOS_ACCIDENTADOS2]],"TRACTOCAMION")</f>
        <v>0</v>
      </c>
      <c r="AB324" s="36">
        <f>COUNTIF(Tabla1[[#This Row],[VEHICULOS_ACCIDENTADOS]:[VEHICULOS_ACCIDENTADOS2]],"VOLQUETA")</f>
        <v>0</v>
      </c>
      <c r="AC324" s="36">
        <f>COUNTIF(Tabla1[[#This Row],[VEHICULOS_ACCIDENTADOS]:[VEHICULOS_ACCIDENTADOS2]],"BICICLETA")</f>
        <v>0</v>
      </c>
      <c r="AD324" s="36" t="s">
        <v>471</v>
      </c>
      <c r="AE324" s="36" t="s">
        <v>471</v>
      </c>
      <c r="AF324" s="36">
        <f>COUNTIF(Tabla1[[#This Row],[GENERO_MASCULINO]:[GENERO_FEMENINO]],"MASCULINO")</f>
        <v>2</v>
      </c>
      <c r="AG324" s="36">
        <f>COUNTIF(Tabla1[[#This Row],[GENERO_MASCULINO]:[GENERO_FEMENINO]],"FEMENINO")</f>
        <v>0</v>
      </c>
      <c r="AH324" s="85">
        <v>26</v>
      </c>
      <c r="AI324" s="85">
        <v>58</v>
      </c>
      <c r="AJ324" s="85"/>
      <c r="AK324" s="61"/>
      <c r="AL324" s="61"/>
      <c r="AM324" s="36"/>
      <c r="AN324" s="61">
        <v>121</v>
      </c>
      <c r="AO324" s="36" t="str">
        <f>IFERROR(((VLOOKUP(Tabla1[[#This Row],[HIPOTESIS_1]],listas!$D$1:$E$105,2,FALSE))),"SIN INFORMACIÓN")</f>
        <v>No mantener distancia de seguridad.</v>
      </c>
      <c r="AP324" s="36">
        <v>119</v>
      </c>
      <c r="AQ324" s="36" t="str">
        <f>IFERROR(((VLOOKUP(Tabla1[[#This Row],[HIPOTESIS_2]],listas!$D$1:$E$105,2,FALSE))),"")</f>
        <v>Frenar bruscamente.</v>
      </c>
      <c r="AR324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325" spans="1:44" x14ac:dyDescent="0.25">
      <c r="A325" s="12">
        <v>802</v>
      </c>
      <c r="B325" s="136">
        <v>0</v>
      </c>
      <c r="C325" s="136">
        <v>0</v>
      </c>
      <c r="D325" s="141">
        <v>1</v>
      </c>
      <c r="E325" s="18" t="str">
        <f t="shared" si="20"/>
        <v>FALLECIDO</v>
      </c>
      <c r="F325" s="136" t="s">
        <v>861</v>
      </c>
      <c r="G325" s="21">
        <v>5.3187936111111105</v>
      </c>
      <c r="H325" s="21">
        <v>-72.40898833333334</v>
      </c>
      <c r="I325" s="93" t="s">
        <v>697</v>
      </c>
      <c r="J325" s="36" t="s">
        <v>717</v>
      </c>
      <c r="K325" s="24" t="str">
        <f t="shared" si="21"/>
        <v>2024</v>
      </c>
      <c r="L325" s="24" t="str">
        <f t="shared" si="22"/>
        <v>NOVIEMBRE</v>
      </c>
      <c r="M325" s="224">
        <v>45598</v>
      </c>
      <c r="N325" s="24" t="str">
        <f t="shared" si="23"/>
        <v>SÁBADO</v>
      </c>
      <c r="O325" s="171">
        <v>0.85</v>
      </c>
      <c r="P325" s="178" t="s">
        <v>469</v>
      </c>
      <c r="Q325" s="178" t="s">
        <v>445</v>
      </c>
      <c r="R325" s="36">
        <f>COUNTIF(Tabla1[[#This Row],[VEHICULOS_ACCIDENTADOS]:[VEHICULOS_ACCIDENTADOS2]],"MOTOCICLETA")</f>
        <v>1</v>
      </c>
      <c r="S325" s="36">
        <f>COUNTIF(Tabla1[[#This Row],[VEHICULOS_ACCIDENTADOS]:[VEHICULOS_ACCIDENTADOS2]],"MOTOCARRO")</f>
        <v>0</v>
      </c>
      <c r="T325" s="36">
        <f>COUNTIF(Tabla1[[#This Row],[VEHICULOS_ACCIDENTADOS]:[VEHICULOS_ACCIDENTADOS2]],"AUTOMOVIL")</f>
        <v>0</v>
      </c>
      <c r="U325" s="36">
        <f>COUNTIF(Tabla1[[#This Row],[VEHICULOS_ACCIDENTADOS]:[VEHICULOS_ACCIDENTADOS2]],"CAMPERO")</f>
        <v>0</v>
      </c>
      <c r="V325" s="36">
        <f>COUNTIF(Tabla1[[#This Row],[VEHICULOS_ACCIDENTADOS]:[VEHICULOS_ACCIDENTADOS2]],"CAMIONETA")</f>
        <v>1</v>
      </c>
      <c r="W325" s="36">
        <f>COUNTIF(Tabla1[[#This Row],[VEHICULOS_ACCIDENTADOS]:[VEHICULOS_ACCIDENTADOS2]],"MICROBUS")</f>
        <v>0</v>
      </c>
      <c r="X325" s="36">
        <f>COUNTIF(Tabla1[[#This Row],[VEHICULOS_ACCIDENTADOS]:[VEHICULOS_ACCIDENTADOS2]],"BUS")</f>
        <v>0</v>
      </c>
      <c r="Y325" s="36">
        <f>COUNTIF(Tabla1[[#This Row],[VEHICULOS_ACCIDENTADOS]:[VEHICULOS_ACCIDENTADOS2]],"BUSETA")</f>
        <v>0</v>
      </c>
      <c r="Z325" s="36">
        <f>COUNTIF(Tabla1[[#This Row],[VEHICULOS_ACCIDENTADOS]:[VEHICULOS_ACCIDENTADOS2]],"CAMION")</f>
        <v>0</v>
      </c>
      <c r="AA325" s="36">
        <f>COUNTIF(Tabla1[[#This Row],[VEHICULOS_ACCIDENTADOS]:[VEHICULOS_ACCIDENTADOS2]],"TRACTOCAMION")</f>
        <v>0</v>
      </c>
      <c r="AB325" s="36">
        <f>COUNTIF(Tabla1[[#This Row],[VEHICULOS_ACCIDENTADOS]:[VEHICULOS_ACCIDENTADOS2]],"VOLQUETA")</f>
        <v>0</v>
      </c>
      <c r="AC325" s="36">
        <f>COUNTIF(Tabla1[[#This Row],[VEHICULOS_ACCIDENTADOS]:[VEHICULOS_ACCIDENTADOS2]],"BICICLETA")</f>
        <v>0</v>
      </c>
      <c r="AD325" s="136" t="s">
        <v>471</v>
      </c>
      <c r="AE325" s="136"/>
      <c r="AF325" s="136">
        <f>COUNTIF(Tabla1[[#This Row],[GENERO_MASCULINO]:[GENERO_FEMENINO]],"MASCULINO")</f>
        <v>1</v>
      </c>
      <c r="AG325" s="36">
        <f>COUNTIF(Tabla1[[#This Row],[GENERO_MASCULINO]:[GENERO_FEMENINO]],"FEMENINO")</f>
        <v>0</v>
      </c>
      <c r="AH325" s="85"/>
      <c r="AI325" s="85"/>
      <c r="AJ325" s="85"/>
      <c r="AK325" s="85"/>
      <c r="AL325" s="85"/>
      <c r="AM325" s="136">
        <v>32</v>
      </c>
      <c r="AN325" s="85">
        <v>157</v>
      </c>
      <c r="AO325" s="36" t="str">
        <f>IFERROR(((VLOOKUP(Tabla1[[#This Row],[HIPOTESIS_1]],listas!$D$1:$E$105,2,FALSE))),"SIN INFORMACIÓN")</f>
        <v>Otra</v>
      </c>
      <c r="AP325" s="136">
        <v>137</v>
      </c>
      <c r="AQ325" s="36" t="str">
        <f>IFERROR(((VLOOKUP(Tabla1[[#This Row],[HIPOTESIS_2]],listas!$D$1:$E$105,2,FALSE))),"")</f>
        <v>Falta de señales en vehículo varado</v>
      </c>
      <c r="AR325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326" spans="1:44" x14ac:dyDescent="0.25">
      <c r="A326" s="12">
        <v>223</v>
      </c>
      <c r="B326" s="36">
        <v>0</v>
      </c>
      <c r="C326" s="36">
        <v>1</v>
      </c>
      <c r="D326" s="36">
        <v>0</v>
      </c>
      <c r="E326" s="18" t="str">
        <f t="shared" si="20"/>
        <v>LESIONADO</v>
      </c>
      <c r="F326" s="154" t="s">
        <v>353</v>
      </c>
      <c r="G326" s="17">
        <v>5.3504005555555549</v>
      </c>
      <c r="H326" s="17">
        <v>-72.385784166666667</v>
      </c>
      <c r="I326" s="93" t="s">
        <v>697</v>
      </c>
      <c r="J326" s="36" t="s">
        <v>717</v>
      </c>
      <c r="K326" s="24" t="str">
        <f t="shared" si="21"/>
        <v>2022</v>
      </c>
      <c r="L326" s="24" t="str">
        <f t="shared" si="22"/>
        <v>JUNIO</v>
      </c>
      <c r="M326" s="225">
        <v>44731</v>
      </c>
      <c r="N326" s="24" t="str">
        <f t="shared" si="23"/>
        <v>DOMINGO</v>
      </c>
      <c r="O326" s="102">
        <v>0.85416666666666696</v>
      </c>
      <c r="P326" s="53" t="s">
        <v>469</v>
      </c>
      <c r="Q326" s="53"/>
      <c r="R326" s="36">
        <f>COUNTIF(Tabla1[[#This Row],[VEHICULOS_ACCIDENTADOS]:[VEHICULOS_ACCIDENTADOS2]],"MOTOCICLETA")</f>
        <v>1</v>
      </c>
      <c r="S326" s="36">
        <f>COUNTIF(Tabla1[[#This Row],[VEHICULOS_ACCIDENTADOS]:[VEHICULOS_ACCIDENTADOS2]],"MOTOCARRO")</f>
        <v>0</v>
      </c>
      <c r="T326" s="36">
        <f>COUNTIF(Tabla1[[#This Row],[VEHICULOS_ACCIDENTADOS]:[VEHICULOS_ACCIDENTADOS2]],"AUTOMOVIL")</f>
        <v>0</v>
      </c>
      <c r="U326" s="36">
        <f>COUNTIF(Tabla1[[#This Row],[VEHICULOS_ACCIDENTADOS]:[VEHICULOS_ACCIDENTADOS2]],"CAMPERO")</f>
        <v>0</v>
      </c>
      <c r="V326" s="36">
        <f>COUNTIF(Tabla1[[#This Row],[VEHICULOS_ACCIDENTADOS]:[VEHICULOS_ACCIDENTADOS2]],"CAMIONETA")</f>
        <v>0</v>
      </c>
      <c r="W326" s="36">
        <f>COUNTIF(Tabla1[[#This Row],[VEHICULOS_ACCIDENTADOS]:[VEHICULOS_ACCIDENTADOS2]],"MICROBUS")</f>
        <v>0</v>
      </c>
      <c r="X326" s="36">
        <f>COUNTIF(Tabla1[[#This Row],[VEHICULOS_ACCIDENTADOS]:[VEHICULOS_ACCIDENTADOS2]],"BUS")</f>
        <v>0</v>
      </c>
      <c r="Y326" s="36">
        <f>COUNTIF(Tabla1[[#This Row],[VEHICULOS_ACCIDENTADOS]:[VEHICULOS_ACCIDENTADOS2]],"BUSETA")</f>
        <v>0</v>
      </c>
      <c r="Z326" s="36">
        <f>COUNTIF(Tabla1[[#This Row],[VEHICULOS_ACCIDENTADOS]:[VEHICULOS_ACCIDENTADOS2]],"CAMION")</f>
        <v>0</v>
      </c>
      <c r="AA326" s="36">
        <f>COUNTIF(Tabla1[[#This Row],[VEHICULOS_ACCIDENTADOS]:[VEHICULOS_ACCIDENTADOS2]],"TRACTOCAMION")</f>
        <v>0</v>
      </c>
      <c r="AB326" s="36">
        <f>COUNTIF(Tabla1[[#This Row],[VEHICULOS_ACCIDENTADOS]:[VEHICULOS_ACCIDENTADOS2]],"VOLQUETA")</f>
        <v>0</v>
      </c>
      <c r="AC326" s="36">
        <f>COUNTIF(Tabla1[[#This Row],[VEHICULOS_ACCIDENTADOS]:[VEHICULOS_ACCIDENTADOS2]],"BICICLETA")</f>
        <v>0</v>
      </c>
      <c r="AD326" s="36" t="s">
        <v>471</v>
      </c>
      <c r="AE326" s="36"/>
      <c r="AF326" s="36">
        <f>COUNTIF(Tabla1[[#This Row],[GENERO_MASCULINO]:[GENERO_FEMENINO]],"MASCULINO")</f>
        <v>1</v>
      </c>
      <c r="AG326" s="36">
        <f>COUNTIF(Tabla1[[#This Row],[GENERO_MASCULINO]:[GENERO_FEMENINO]],"FEMENINO")</f>
        <v>0</v>
      </c>
      <c r="AH326" s="61">
        <v>27</v>
      </c>
      <c r="AI326" s="61"/>
      <c r="AJ326" s="61"/>
      <c r="AK326" s="61"/>
      <c r="AL326" s="61"/>
      <c r="AM326" s="36"/>
      <c r="AN326" s="61">
        <v>114</v>
      </c>
      <c r="AO326" s="36" t="str">
        <f>IFERROR(((VLOOKUP(Tabla1[[#This Row],[HIPOTESIS_1]],listas!$D$1:$E$105,2,FALSE))),"SIN INFORMACIÓN")</f>
        <v>Embriaguez aparente.</v>
      </c>
      <c r="AP326" s="36">
        <v>137</v>
      </c>
      <c r="AQ326" s="36" t="str">
        <f>IFERROR(((VLOOKUP(Tabla1[[#This Row],[HIPOTESIS_2]],listas!$D$1:$E$105,2,FALSE))),"")</f>
        <v>Falta de señales en vehículo varado</v>
      </c>
      <c r="AR326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327" spans="1:44" x14ac:dyDescent="0.25">
      <c r="A327" s="12">
        <v>154</v>
      </c>
      <c r="B327" s="36">
        <v>0</v>
      </c>
      <c r="C327" s="36">
        <v>0</v>
      </c>
      <c r="D327" s="36">
        <v>1</v>
      </c>
      <c r="E327" s="18" t="str">
        <f t="shared" si="20"/>
        <v>FALLECIDO</v>
      </c>
      <c r="F327" s="154" t="s">
        <v>378</v>
      </c>
      <c r="G327" s="17">
        <v>5.2938511111111106</v>
      </c>
      <c r="H327" s="17">
        <v>-72.402238611111116</v>
      </c>
      <c r="I327" s="93" t="s">
        <v>697</v>
      </c>
      <c r="J327" s="36" t="s">
        <v>1</v>
      </c>
      <c r="K327" s="24" t="str">
        <f t="shared" si="21"/>
        <v>2022</v>
      </c>
      <c r="L327" s="24" t="str">
        <f t="shared" si="22"/>
        <v>ABRIL</v>
      </c>
      <c r="M327" s="225">
        <v>44681</v>
      </c>
      <c r="N327" s="24" t="str">
        <f t="shared" si="23"/>
        <v>SÁBADO</v>
      </c>
      <c r="O327" s="101">
        <v>0.80208333333333337</v>
      </c>
      <c r="P327" s="63" t="s">
        <v>469</v>
      </c>
      <c r="Q327" s="63" t="s">
        <v>469</v>
      </c>
      <c r="R327" s="36">
        <f>COUNTIF(Tabla1[[#This Row],[VEHICULOS_ACCIDENTADOS]:[VEHICULOS_ACCIDENTADOS2]],"MOTOCICLETA")</f>
        <v>2</v>
      </c>
      <c r="S327" s="36">
        <f>COUNTIF(Tabla1[[#This Row],[VEHICULOS_ACCIDENTADOS]:[VEHICULOS_ACCIDENTADOS2]],"MOTOCARRO")</f>
        <v>0</v>
      </c>
      <c r="T327" s="36">
        <f>COUNTIF(Tabla1[[#This Row],[VEHICULOS_ACCIDENTADOS]:[VEHICULOS_ACCIDENTADOS2]],"AUTOMOVIL")</f>
        <v>0</v>
      </c>
      <c r="U327" s="36">
        <f>COUNTIF(Tabla1[[#This Row],[VEHICULOS_ACCIDENTADOS]:[VEHICULOS_ACCIDENTADOS2]],"CAMPERO")</f>
        <v>0</v>
      </c>
      <c r="V327" s="36">
        <f>COUNTIF(Tabla1[[#This Row],[VEHICULOS_ACCIDENTADOS]:[VEHICULOS_ACCIDENTADOS2]],"CAMIONETA")</f>
        <v>0</v>
      </c>
      <c r="W327" s="36">
        <f>COUNTIF(Tabla1[[#This Row],[VEHICULOS_ACCIDENTADOS]:[VEHICULOS_ACCIDENTADOS2]],"MICROBUS")</f>
        <v>0</v>
      </c>
      <c r="X327" s="36">
        <f>COUNTIF(Tabla1[[#This Row],[VEHICULOS_ACCIDENTADOS]:[VEHICULOS_ACCIDENTADOS2]],"BUS")</f>
        <v>0</v>
      </c>
      <c r="Y327" s="36">
        <f>COUNTIF(Tabla1[[#This Row],[VEHICULOS_ACCIDENTADOS]:[VEHICULOS_ACCIDENTADOS2]],"BUSETA")</f>
        <v>0</v>
      </c>
      <c r="Z327" s="36">
        <f>COUNTIF(Tabla1[[#This Row],[VEHICULOS_ACCIDENTADOS]:[VEHICULOS_ACCIDENTADOS2]],"CAMION")</f>
        <v>0</v>
      </c>
      <c r="AA327" s="36">
        <f>COUNTIF(Tabla1[[#This Row],[VEHICULOS_ACCIDENTADOS]:[VEHICULOS_ACCIDENTADOS2]],"TRACTOCAMION")</f>
        <v>0</v>
      </c>
      <c r="AB327" s="36">
        <f>COUNTIF(Tabla1[[#This Row],[VEHICULOS_ACCIDENTADOS]:[VEHICULOS_ACCIDENTADOS2]],"VOLQUETA")</f>
        <v>0</v>
      </c>
      <c r="AC327" s="36">
        <f>COUNTIF(Tabla1[[#This Row],[VEHICULOS_ACCIDENTADOS]:[VEHICULOS_ACCIDENTADOS2]],"BICICLETA")</f>
        <v>0</v>
      </c>
      <c r="AD327" s="36" t="s">
        <v>471</v>
      </c>
      <c r="AE327" s="36" t="s">
        <v>472</v>
      </c>
      <c r="AF327" s="36">
        <f>COUNTIF(Tabla1[[#This Row],[GENERO_MASCULINO]:[GENERO_FEMENINO]],"MASCULINO")</f>
        <v>1</v>
      </c>
      <c r="AG327" s="36">
        <f>COUNTIF(Tabla1[[#This Row],[GENERO_MASCULINO]:[GENERO_FEMENINO]],"FEMENINO")</f>
        <v>1</v>
      </c>
      <c r="AH327" s="61"/>
      <c r="AI327" s="61"/>
      <c r="AJ327" s="61"/>
      <c r="AK327" s="61"/>
      <c r="AL327" s="61"/>
      <c r="AM327" s="36">
        <v>47</v>
      </c>
      <c r="AN327" s="61">
        <v>115</v>
      </c>
      <c r="AO327" s="36" t="str">
        <f>IFERROR(((VLOOKUP(Tabla1[[#This Row],[HIPOTESIS_1]],listas!$D$1:$E$105,2,FALSE))),"SIN INFORMACIÓN")</f>
        <v>Embriaguez o Sustancias alucinogenas</v>
      </c>
      <c r="AP327" s="36">
        <v>137</v>
      </c>
      <c r="AQ327" s="36" t="str">
        <f>IFERROR(((VLOOKUP(Tabla1[[#This Row],[HIPOTESIS_2]],listas!$D$1:$E$105,2,FALSE))),"")</f>
        <v>Falta de señales en vehículo varado</v>
      </c>
      <c r="AR327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328" spans="1:44" x14ac:dyDescent="0.25">
      <c r="A328" s="12">
        <v>1042</v>
      </c>
      <c r="B328" s="137">
        <v>1</v>
      </c>
      <c r="C328" s="137">
        <v>0</v>
      </c>
      <c r="D328" s="137">
        <v>0</v>
      </c>
      <c r="E328" s="18" t="str">
        <f t="shared" si="20"/>
        <v>SOLO DAÑO</v>
      </c>
      <c r="F328" s="152" t="s">
        <v>678</v>
      </c>
      <c r="G328" s="30">
        <v>5.3370550000000003</v>
      </c>
      <c r="H328" s="30">
        <v>-72.337911000000005</v>
      </c>
      <c r="I328" s="93" t="s">
        <v>697</v>
      </c>
      <c r="J328" s="36" t="s">
        <v>1</v>
      </c>
      <c r="K328" s="24" t="str">
        <f t="shared" si="21"/>
        <v>2025</v>
      </c>
      <c r="L328" s="24" t="str">
        <f t="shared" si="22"/>
        <v>AGOSTO</v>
      </c>
      <c r="M328" s="225">
        <v>45880</v>
      </c>
      <c r="N328" s="24" t="str">
        <f t="shared" si="23"/>
        <v>LUNES</v>
      </c>
      <c r="O328" s="101">
        <v>0.61458333333333337</v>
      </c>
      <c r="P328" s="181" t="s">
        <v>445</v>
      </c>
      <c r="Q328" s="181" t="s">
        <v>445</v>
      </c>
      <c r="R328" s="36">
        <f>COUNTIF(Tabla1[[#This Row],[VEHICULOS_ACCIDENTADOS]:[VEHICULOS_ACCIDENTADOS2]],"MOTOCICLETA")</f>
        <v>0</v>
      </c>
      <c r="S328" s="36">
        <f>COUNTIF(Tabla1[[#This Row],[VEHICULOS_ACCIDENTADOS]:[VEHICULOS_ACCIDENTADOS2]],"MOTOCARRO")</f>
        <v>0</v>
      </c>
      <c r="T328" s="36">
        <f>COUNTIF(Tabla1[[#This Row],[VEHICULOS_ACCIDENTADOS]:[VEHICULOS_ACCIDENTADOS2]],"AUTOMOVIL")</f>
        <v>0</v>
      </c>
      <c r="U328" s="36">
        <f>COUNTIF(Tabla1[[#This Row],[VEHICULOS_ACCIDENTADOS]:[VEHICULOS_ACCIDENTADOS2]],"CAMPERO")</f>
        <v>0</v>
      </c>
      <c r="V328" s="36">
        <f>COUNTIF(Tabla1[[#This Row],[VEHICULOS_ACCIDENTADOS]:[VEHICULOS_ACCIDENTADOS2]],"CAMIONETA")</f>
        <v>2</v>
      </c>
      <c r="W328" s="36">
        <f>COUNTIF(Tabla1[[#This Row],[VEHICULOS_ACCIDENTADOS]:[VEHICULOS_ACCIDENTADOS2]],"MICROBUS")</f>
        <v>0</v>
      </c>
      <c r="X328" s="36">
        <f>COUNTIF(Tabla1[[#This Row],[VEHICULOS_ACCIDENTADOS]:[VEHICULOS_ACCIDENTADOS2]],"BUS")</f>
        <v>0</v>
      </c>
      <c r="Y328" s="36">
        <f>COUNTIF(Tabla1[[#This Row],[VEHICULOS_ACCIDENTADOS]:[VEHICULOS_ACCIDENTADOS2]],"BUSETA")</f>
        <v>0</v>
      </c>
      <c r="Z328" s="36">
        <f>COUNTIF(Tabla1[[#This Row],[VEHICULOS_ACCIDENTADOS]:[VEHICULOS_ACCIDENTADOS2]],"CAMION")</f>
        <v>0</v>
      </c>
      <c r="AA328" s="36">
        <f>COUNTIF(Tabla1[[#This Row],[VEHICULOS_ACCIDENTADOS]:[VEHICULOS_ACCIDENTADOS2]],"TRACTOCAMION")</f>
        <v>0</v>
      </c>
      <c r="AB328" s="36">
        <f>COUNTIF(Tabla1[[#This Row],[VEHICULOS_ACCIDENTADOS]:[VEHICULOS_ACCIDENTADOS2]],"VOLQUETA")</f>
        <v>0</v>
      </c>
      <c r="AC328" s="36">
        <f>COUNTIF(Tabla1[[#This Row],[VEHICULOS_ACCIDENTADOS]:[VEHICULOS_ACCIDENTADOS2]],"BICICLETA")</f>
        <v>0</v>
      </c>
      <c r="AD328" s="61" t="s">
        <v>471</v>
      </c>
      <c r="AE328" s="61" t="s">
        <v>471</v>
      </c>
      <c r="AF328" s="36">
        <f>COUNTIF(Tabla1[[#This Row],[GENERO_MASCULINO]:[GENERO_FEMENINO]],"MASCULINO")</f>
        <v>2</v>
      </c>
      <c r="AG328" s="36">
        <f>COUNTIF(Tabla1[[#This Row],[GENERO_MASCULINO]:[GENERO_FEMENINO]],"FEMENINO")</f>
        <v>0</v>
      </c>
      <c r="AH328" s="85">
        <v>37</v>
      </c>
      <c r="AI328" s="85">
        <v>33</v>
      </c>
      <c r="AJ328" s="85"/>
      <c r="AK328" s="78"/>
      <c r="AL328" s="78"/>
      <c r="AM328" s="59"/>
      <c r="AN328" s="204">
        <v>132</v>
      </c>
      <c r="AO328" s="59" t="str">
        <f>IFERROR(((VLOOKUP(Tabla1[[#This Row],[HIPOTESIS_1]],listas!$D$1:$E$105,2,FALSE))),"SIN INFORMACIÓN")</f>
        <v>No respetar prelación.</v>
      </c>
      <c r="AP328" s="36">
        <v>138</v>
      </c>
      <c r="AQ328" s="36" t="str">
        <f>IFERROR(((VLOOKUP(Tabla1[[#This Row],[HIPOTESIS_2]],listas!$D$1:$E$105,2,FALSE))),"")</f>
        <v>Falta de precaución por niebla, lluvia o humo.</v>
      </c>
      <c r="AR328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329" spans="1:44" x14ac:dyDescent="0.25">
      <c r="A329" s="12">
        <v>129</v>
      </c>
      <c r="B329" s="36">
        <v>0</v>
      </c>
      <c r="C329" s="36">
        <v>2</v>
      </c>
      <c r="D329" s="36">
        <v>0</v>
      </c>
      <c r="E329" s="18" t="str">
        <f t="shared" si="20"/>
        <v>LESIONADO</v>
      </c>
      <c r="F329" s="29" t="s">
        <v>388</v>
      </c>
      <c r="G329" s="17">
        <v>5.3185500000000001</v>
      </c>
      <c r="H329" s="17">
        <v>-72.401605555555562</v>
      </c>
      <c r="I329" s="93" t="s">
        <v>697</v>
      </c>
      <c r="J329" s="36" t="s">
        <v>717</v>
      </c>
      <c r="K329" s="24" t="str">
        <f t="shared" si="21"/>
        <v>2022</v>
      </c>
      <c r="L329" s="24" t="str">
        <f t="shared" si="22"/>
        <v>ABRIL</v>
      </c>
      <c r="M329" s="225">
        <v>44661</v>
      </c>
      <c r="N329" s="24" t="str">
        <f t="shared" si="23"/>
        <v>DOMINGO</v>
      </c>
      <c r="O329" s="101">
        <v>0.21875</v>
      </c>
      <c r="P329" s="63" t="s">
        <v>469</v>
      </c>
      <c r="Q329" s="63" t="s">
        <v>447</v>
      </c>
      <c r="R329" s="36">
        <f>COUNTIF(Tabla1[[#This Row],[VEHICULOS_ACCIDENTADOS]:[VEHICULOS_ACCIDENTADOS2]],"MOTOCICLETA")</f>
        <v>1</v>
      </c>
      <c r="S329" s="36">
        <f>COUNTIF(Tabla1[[#This Row],[VEHICULOS_ACCIDENTADOS]:[VEHICULOS_ACCIDENTADOS2]],"MOTOCARRO")</f>
        <v>0</v>
      </c>
      <c r="T329" s="36">
        <f>COUNTIF(Tabla1[[#This Row],[VEHICULOS_ACCIDENTADOS]:[VEHICULOS_ACCIDENTADOS2]],"AUTOMOVIL")</f>
        <v>1</v>
      </c>
      <c r="U329" s="36">
        <f>COUNTIF(Tabla1[[#This Row],[VEHICULOS_ACCIDENTADOS]:[VEHICULOS_ACCIDENTADOS2]],"CAMPERO")</f>
        <v>0</v>
      </c>
      <c r="V329" s="36">
        <f>COUNTIF(Tabla1[[#This Row],[VEHICULOS_ACCIDENTADOS]:[VEHICULOS_ACCIDENTADOS2]],"CAMIONETA")</f>
        <v>0</v>
      </c>
      <c r="W329" s="36">
        <f>COUNTIF(Tabla1[[#This Row],[VEHICULOS_ACCIDENTADOS]:[VEHICULOS_ACCIDENTADOS2]],"MICROBUS")</f>
        <v>0</v>
      </c>
      <c r="X329" s="36">
        <f>COUNTIF(Tabla1[[#This Row],[VEHICULOS_ACCIDENTADOS]:[VEHICULOS_ACCIDENTADOS2]],"BUS")</f>
        <v>0</v>
      </c>
      <c r="Y329" s="36">
        <f>COUNTIF(Tabla1[[#This Row],[VEHICULOS_ACCIDENTADOS]:[VEHICULOS_ACCIDENTADOS2]],"BUSETA")</f>
        <v>0</v>
      </c>
      <c r="Z329" s="36">
        <f>COUNTIF(Tabla1[[#This Row],[VEHICULOS_ACCIDENTADOS]:[VEHICULOS_ACCIDENTADOS2]],"CAMION")</f>
        <v>0</v>
      </c>
      <c r="AA329" s="36">
        <f>COUNTIF(Tabla1[[#This Row],[VEHICULOS_ACCIDENTADOS]:[VEHICULOS_ACCIDENTADOS2]],"TRACTOCAMION")</f>
        <v>0</v>
      </c>
      <c r="AB329" s="36">
        <f>COUNTIF(Tabla1[[#This Row],[VEHICULOS_ACCIDENTADOS]:[VEHICULOS_ACCIDENTADOS2]],"VOLQUETA")</f>
        <v>0</v>
      </c>
      <c r="AC329" s="36">
        <f>COUNTIF(Tabla1[[#This Row],[VEHICULOS_ACCIDENTADOS]:[VEHICULOS_ACCIDENTADOS2]],"BICICLETA")</f>
        <v>0</v>
      </c>
      <c r="AD329" s="36" t="s">
        <v>471</v>
      </c>
      <c r="AE329" s="36"/>
      <c r="AF329" s="36">
        <f>COUNTIF(Tabla1[[#This Row],[GENERO_MASCULINO]:[GENERO_FEMENINO]],"MASCULINO")</f>
        <v>1</v>
      </c>
      <c r="AG329" s="36">
        <f>COUNTIF(Tabla1[[#This Row],[GENERO_MASCULINO]:[GENERO_FEMENINO]],"FEMENINO")</f>
        <v>0</v>
      </c>
      <c r="AH329" s="79">
        <v>24</v>
      </c>
      <c r="AI329" s="79"/>
      <c r="AJ329" s="80"/>
      <c r="AK329" s="79"/>
      <c r="AL329" s="79">
        <v>30</v>
      </c>
      <c r="AM329" s="55"/>
      <c r="AN329" s="79">
        <v>141</v>
      </c>
      <c r="AO329" s="36" t="str">
        <f>IFERROR(((VLOOKUP(Tabla1[[#This Row],[HIPOTESIS_1]],listas!$D$1:$E$105,2,FALSE))),"SIN INFORMACIÓN")</f>
        <v>Vehículo mal estacionado.</v>
      </c>
      <c r="AP329" s="55">
        <v>110</v>
      </c>
      <c r="AQ329" s="36" t="str">
        <f>IFERROR(((VLOOKUP(Tabla1[[#This Row],[HIPOTESIS_2]],listas!$D$1:$E$105,2,FALSE))),"")</f>
        <v>Exceso en horas de conducción.</v>
      </c>
      <c r="AR329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330" spans="1:44" x14ac:dyDescent="0.25">
      <c r="A330" s="12">
        <v>816</v>
      </c>
      <c r="B330" s="135">
        <v>0</v>
      </c>
      <c r="C330" s="136">
        <v>2</v>
      </c>
      <c r="D330" s="141">
        <v>0</v>
      </c>
      <c r="E330" s="18" t="str">
        <f t="shared" si="20"/>
        <v>LESIONADO</v>
      </c>
      <c r="F330" s="26" t="s">
        <v>102</v>
      </c>
      <c r="G330" s="21">
        <v>5.3279361111111108</v>
      </c>
      <c r="H330" s="21">
        <v>-72.399783333333346</v>
      </c>
      <c r="I330" s="93" t="s">
        <v>697</v>
      </c>
      <c r="J330" s="36" t="s">
        <v>717</v>
      </c>
      <c r="K330" s="24" t="str">
        <f t="shared" si="21"/>
        <v>2024</v>
      </c>
      <c r="L330" s="24" t="str">
        <f t="shared" si="22"/>
        <v>NOVIEMBRE</v>
      </c>
      <c r="M330" s="224">
        <v>45612</v>
      </c>
      <c r="N330" s="24" t="str">
        <f t="shared" si="23"/>
        <v>SÁBADO</v>
      </c>
      <c r="O330" s="171">
        <v>2.4305555555555556E-2</v>
      </c>
      <c r="P330" s="178" t="s">
        <v>469</v>
      </c>
      <c r="Q330" s="178" t="s">
        <v>469</v>
      </c>
      <c r="R330" s="36">
        <f>COUNTIF(Tabla1[[#This Row],[VEHICULOS_ACCIDENTADOS]:[VEHICULOS_ACCIDENTADOS2]],"MOTOCICLETA")</f>
        <v>2</v>
      </c>
      <c r="S330" s="36">
        <f>COUNTIF(Tabla1[[#This Row],[VEHICULOS_ACCIDENTADOS]:[VEHICULOS_ACCIDENTADOS2]],"MOTOCARRO")</f>
        <v>0</v>
      </c>
      <c r="T330" s="36">
        <f>COUNTIF(Tabla1[[#This Row],[VEHICULOS_ACCIDENTADOS]:[VEHICULOS_ACCIDENTADOS2]],"AUTOMOVIL")</f>
        <v>0</v>
      </c>
      <c r="U330" s="36">
        <f>COUNTIF(Tabla1[[#This Row],[VEHICULOS_ACCIDENTADOS]:[VEHICULOS_ACCIDENTADOS2]],"CAMPERO")</f>
        <v>0</v>
      </c>
      <c r="V330" s="36">
        <f>COUNTIF(Tabla1[[#This Row],[VEHICULOS_ACCIDENTADOS]:[VEHICULOS_ACCIDENTADOS2]],"CAMIONETA")</f>
        <v>0</v>
      </c>
      <c r="W330" s="36">
        <f>COUNTIF(Tabla1[[#This Row],[VEHICULOS_ACCIDENTADOS]:[VEHICULOS_ACCIDENTADOS2]],"MICROBUS")</f>
        <v>0</v>
      </c>
      <c r="X330" s="36">
        <f>COUNTIF(Tabla1[[#This Row],[VEHICULOS_ACCIDENTADOS]:[VEHICULOS_ACCIDENTADOS2]],"BUS")</f>
        <v>0</v>
      </c>
      <c r="Y330" s="36">
        <f>COUNTIF(Tabla1[[#This Row],[VEHICULOS_ACCIDENTADOS]:[VEHICULOS_ACCIDENTADOS2]],"BUSETA")</f>
        <v>0</v>
      </c>
      <c r="Z330" s="36">
        <f>COUNTIF(Tabla1[[#This Row],[VEHICULOS_ACCIDENTADOS]:[VEHICULOS_ACCIDENTADOS2]],"CAMION")</f>
        <v>0</v>
      </c>
      <c r="AA330" s="36">
        <f>COUNTIF(Tabla1[[#This Row],[VEHICULOS_ACCIDENTADOS]:[VEHICULOS_ACCIDENTADOS2]],"TRACTOCAMION")</f>
        <v>0</v>
      </c>
      <c r="AB330" s="36">
        <f>COUNTIF(Tabla1[[#This Row],[VEHICULOS_ACCIDENTADOS]:[VEHICULOS_ACCIDENTADOS2]],"VOLQUETA")</f>
        <v>0</v>
      </c>
      <c r="AC330" s="36">
        <f>COUNTIF(Tabla1[[#This Row],[VEHICULOS_ACCIDENTADOS]:[VEHICULOS_ACCIDENTADOS2]],"BICICLETA")</f>
        <v>0</v>
      </c>
      <c r="AD330" s="136" t="s">
        <v>471</v>
      </c>
      <c r="AE330" s="136"/>
      <c r="AF330" s="136">
        <f>COUNTIF(Tabla1[[#This Row],[GENERO_MASCULINO]:[GENERO_FEMENINO]],"MASCULINO")</f>
        <v>1</v>
      </c>
      <c r="AG330" s="36">
        <f>COUNTIF(Tabla1[[#This Row],[GENERO_MASCULINO]:[GENERO_FEMENINO]],"FEMENINO")</f>
        <v>0</v>
      </c>
      <c r="AH330" s="85">
        <v>49</v>
      </c>
      <c r="AI330" s="85">
        <v>33</v>
      </c>
      <c r="AJ330" s="85"/>
      <c r="AK330" s="85"/>
      <c r="AL330" s="85"/>
      <c r="AM330" s="136"/>
      <c r="AN330" s="85">
        <v>114</v>
      </c>
      <c r="AO330" s="36" t="str">
        <f>IFERROR(((VLOOKUP(Tabla1[[#This Row],[HIPOTESIS_1]],listas!$D$1:$E$105,2,FALSE))),"SIN INFORMACIÓN")</f>
        <v>Embriaguez aparente.</v>
      </c>
      <c r="AP330" s="136">
        <v>116</v>
      </c>
      <c r="AQ330" s="36" t="str">
        <f>IFERROR(((VLOOKUP(Tabla1[[#This Row],[HIPOTESIS_2]],listas!$D$1:$E$105,2,FALSE))),"")</f>
        <v>Exceso de velocidad</v>
      </c>
      <c r="AR330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331" spans="1:44" x14ac:dyDescent="0.25">
      <c r="A331" s="12">
        <v>965</v>
      </c>
      <c r="B331" s="136">
        <v>0</v>
      </c>
      <c r="C331" s="136">
        <v>0</v>
      </c>
      <c r="D331" s="141">
        <v>2</v>
      </c>
      <c r="E331" s="18" t="str">
        <f t="shared" si="20"/>
        <v>FALLECIDO</v>
      </c>
      <c r="F331" s="26" t="s">
        <v>25</v>
      </c>
      <c r="G331" s="20">
        <v>5.328989</v>
      </c>
      <c r="H331" s="20">
        <v>-72.395173</v>
      </c>
      <c r="I331" s="93" t="s">
        <v>697</v>
      </c>
      <c r="J331" s="135" t="s">
        <v>717</v>
      </c>
      <c r="K331" s="24" t="str">
        <f t="shared" si="21"/>
        <v>2025</v>
      </c>
      <c r="L331" s="24" t="str">
        <f t="shared" si="22"/>
        <v>MAYO</v>
      </c>
      <c r="M331" s="224">
        <v>45790</v>
      </c>
      <c r="N331" s="24" t="str">
        <f t="shared" si="23"/>
        <v>MARTES</v>
      </c>
      <c r="O331" s="171">
        <v>4.1666666666666664E-2</v>
      </c>
      <c r="P331" s="63" t="s">
        <v>469</v>
      </c>
      <c r="Q331" s="63"/>
      <c r="R331" s="36">
        <f>COUNTIF(Tabla1[[#This Row],[VEHICULOS_ACCIDENTADOS]:[VEHICULOS_ACCIDENTADOS2]],"MOTOCICLETA")</f>
        <v>1</v>
      </c>
      <c r="S331" s="36">
        <f>COUNTIF(Tabla1[[#This Row],[VEHICULOS_ACCIDENTADOS]:[VEHICULOS_ACCIDENTADOS2]],"MOTOCARRO")</f>
        <v>0</v>
      </c>
      <c r="T331" s="36">
        <f>COUNTIF(Tabla1[[#This Row],[VEHICULOS_ACCIDENTADOS]:[VEHICULOS_ACCIDENTADOS2]],"AUTOMOVIL")</f>
        <v>0</v>
      </c>
      <c r="U331" s="36">
        <f>COUNTIF(Tabla1[[#This Row],[VEHICULOS_ACCIDENTADOS]:[VEHICULOS_ACCIDENTADOS2]],"CAMPERO")</f>
        <v>0</v>
      </c>
      <c r="V331" s="36">
        <f>COUNTIF(Tabla1[[#This Row],[VEHICULOS_ACCIDENTADOS]:[VEHICULOS_ACCIDENTADOS2]],"CAMIONETA")</f>
        <v>0</v>
      </c>
      <c r="W331" s="36">
        <f>COUNTIF(Tabla1[[#This Row],[VEHICULOS_ACCIDENTADOS]:[VEHICULOS_ACCIDENTADOS2]],"MICROBUS")</f>
        <v>0</v>
      </c>
      <c r="X331" s="36">
        <f>COUNTIF(Tabla1[[#This Row],[VEHICULOS_ACCIDENTADOS]:[VEHICULOS_ACCIDENTADOS2]],"BUS")</f>
        <v>0</v>
      </c>
      <c r="Y331" s="36">
        <f>COUNTIF(Tabla1[[#This Row],[VEHICULOS_ACCIDENTADOS]:[VEHICULOS_ACCIDENTADOS2]],"BUSETA")</f>
        <v>0</v>
      </c>
      <c r="Z331" s="36">
        <f>COUNTIF(Tabla1[[#This Row],[VEHICULOS_ACCIDENTADOS]:[VEHICULOS_ACCIDENTADOS2]],"CAMION")</f>
        <v>0</v>
      </c>
      <c r="AA331" s="36">
        <f>COUNTIF(Tabla1[[#This Row],[VEHICULOS_ACCIDENTADOS]:[VEHICULOS_ACCIDENTADOS2]],"TRACTOCAMION")</f>
        <v>0</v>
      </c>
      <c r="AB331" s="36">
        <f>COUNTIF(Tabla1[[#This Row],[VEHICULOS_ACCIDENTADOS]:[VEHICULOS_ACCIDENTADOS2]],"VOLQUETA")</f>
        <v>0</v>
      </c>
      <c r="AC331" s="36">
        <f>COUNTIF(Tabla1[[#This Row],[VEHICULOS_ACCIDENTADOS]:[VEHICULOS_ACCIDENTADOS2]],"BICICLETA")</f>
        <v>0</v>
      </c>
      <c r="AD331" s="36" t="s">
        <v>471</v>
      </c>
      <c r="AE331" s="36" t="s">
        <v>471</v>
      </c>
      <c r="AF331" s="36">
        <f>COUNTIF(Tabla1[[#This Row],[GENERO_MASCULINO]:[GENERO_FEMENINO]],"MASCULINO")</f>
        <v>2</v>
      </c>
      <c r="AG331" s="36">
        <f>COUNTIF(Tabla1[[#This Row],[GENERO_MASCULINO]:[GENERO_FEMENINO]],"FEMENINO")</f>
        <v>0</v>
      </c>
      <c r="AH331" s="85">
        <v>18</v>
      </c>
      <c r="AI331" s="85">
        <v>17</v>
      </c>
      <c r="AJ331" s="85"/>
      <c r="AK331" s="85"/>
      <c r="AL331" s="78"/>
      <c r="AM331" s="59"/>
      <c r="AN331" s="85">
        <v>114</v>
      </c>
      <c r="AO331" s="36" t="str">
        <f>IFERROR(((VLOOKUP(Tabla1[[#This Row],[HIPOTESIS_1]],listas!$D$1:$E$105,2,FALSE))),"SIN INFORMACIÓN")</f>
        <v>Embriaguez aparente.</v>
      </c>
      <c r="AP331" s="36">
        <v>116</v>
      </c>
      <c r="AQ331" s="36" t="str">
        <f>IFERROR(((VLOOKUP(Tabla1[[#This Row],[HIPOTESIS_2]],listas!$D$1:$E$105,2,FALSE))),"")</f>
        <v>Exceso de velocidad</v>
      </c>
      <c r="AR331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332" spans="1:44" x14ac:dyDescent="0.25">
      <c r="A332" s="12">
        <v>467</v>
      </c>
      <c r="B332" s="36">
        <v>0</v>
      </c>
      <c r="C332" s="36">
        <v>0</v>
      </c>
      <c r="D332" s="36">
        <v>1</v>
      </c>
      <c r="E332" s="18" t="str">
        <f t="shared" si="20"/>
        <v>FALLECIDO</v>
      </c>
      <c r="F332" s="29" t="s">
        <v>872</v>
      </c>
      <c r="G332" s="21">
        <v>5.3185236111111109</v>
      </c>
      <c r="H332" s="21">
        <v>-72.40307972222223</v>
      </c>
      <c r="I332" s="93" t="s">
        <v>697</v>
      </c>
      <c r="J332" s="36" t="s">
        <v>717</v>
      </c>
      <c r="K332" s="24" t="str">
        <f t="shared" si="21"/>
        <v>2023</v>
      </c>
      <c r="L332" s="24" t="str">
        <f t="shared" si="22"/>
        <v>MAYO</v>
      </c>
      <c r="M332" s="225">
        <v>45050</v>
      </c>
      <c r="N332" s="24" t="str">
        <f t="shared" si="23"/>
        <v>JUEVES</v>
      </c>
      <c r="O332" s="101">
        <v>8.3333333333333329E-2</v>
      </c>
      <c r="P332" s="57" t="s">
        <v>469</v>
      </c>
      <c r="Q332" s="57"/>
      <c r="R332" s="36">
        <f>COUNTIF(Tabla1[[#This Row],[VEHICULOS_ACCIDENTADOS]:[VEHICULOS_ACCIDENTADOS2]],"MOTOCICLETA")</f>
        <v>1</v>
      </c>
      <c r="S332" s="36">
        <f>COUNTIF(Tabla1[[#This Row],[VEHICULOS_ACCIDENTADOS]:[VEHICULOS_ACCIDENTADOS2]],"MOTOCARRO")</f>
        <v>0</v>
      </c>
      <c r="T332" s="36">
        <f>COUNTIF(Tabla1[[#This Row],[VEHICULOS_ACCIDENTADOS]:[VEHICULOS_ACCIDENTADOS2]],"AUTOMOVIL")</f>
        <v>0</v>
      </c>
      <c r="U332" s="36">
        <f>COUNTIF(Tabla1[[#This Row],[VEHICULOS_ACCIDENTADOS]:[VEHICULOS_ACCIDENTADOS2]],"CAMPERO")</f>
        <v>0</v>
      </c>
      <c r="V332" s="36">
        <f>COUNTIF(Tabla1[[#This Row],[VEHICULOS_ACCIDENTADOS]:[VEHICULOS_ACCIDENTADOS2]],"CAMIONETA")</f>
        <v>0</v>
      </c>
      <c r="W332" s="36">
        <f>COUNTIF(Tabla1[[#This Row],[VEHICULOS_ACCIDENTADOS]:[VEHICULOS_ACCIDENTADOS2]],"MICROBUS")</f>
        <v>0</v>
      </c>
      <c r="X332" s="36">
        <f>COUNTIF(Tabla1[[#This Row],[VEHICULOS_ACCIDENTADOS]:[VEHICULOS_ACCIDENTADOS2]],"BUS")</f>
        <v>0</v>
      </c>
      <c r="Y332" s="36">
        <f>COUNTIF(Tabla1[[#This Row],[VEHICULOS_ACCIDENTADOS]:[VEHICULOS_ACCIDENTADOS2]],"BUSETA")</f>
        <v>0</v>
      </c>
      <c r="Z332" s="36">
        <f>COUNTIF(Tabla1[[#This Row],[VEHICULOS_ACCIDENTADOS]:[VEHICULOS_ACCIDENTADOS2]],"CAMION")</f>
        <v>0</v>
      </c>
      <c r="AA332" s="36">
        <f>COUNTIF(Tabla1[[#This Row],[VEHICULOS_ACCIDENTADOS]:[VEHICULOS_ACCIDENTADOS2]],"TRACTOCAMION")</f>
        <v>0</v>
      </c>
      <c r="AB332" s="36">
        <f>COUNTIF(Tabla1[[#This Row],[VEHICULOS_ACCIDENTADOS]:[VEHICULOS_ACCIDENTADOS2]],"VOLQUETA")</f>
        <v>0</v>
      </c>
      <c r="AC332" s="36">
        <f>COUNTIF(Tabla1[[#This Row],[VEHICULOS_ACCIDENTADOS]:[VEHICULOS_ACCIDENTADOS2]],"BICICLETA")</f>
        <v>0</v>
      </c>
      <c r="AD332" s="36" t="s">
        <v>471</v>
      </c>
      <c r="AE332" s="36"/>
      <c r="AF332" s="36">
        <f>COUNTIF(Tabla1[[#This Row],[GENERO_MASCULINO]:[GENERO_FEMENINO]],"MASCULINO")</f>
        <v>1</v>
      </c>
      <c r="AG332" s="36">
        <f>COUNTIF(Tabla1[[#This Row],[GENERO_MASCULINO]:[GENERO_FEMENINO]],"FEMENINO")</f>
        <v>0</v>
      </c>
      <c r="AH332" s="61"/>
      <c r="AI332" s="61"/>
      <c r="AJ332" s="61"/>
      <c r="AK332" s="61"/>
      <c r="AL332" s="61"/>
      <c r="AM332" s="36">
        <v>27</v>
      </c>
      <c r="AN332" s="61">
        <v>114</v>
      </c>
      <c r="AO332" s="36" t="str">
        <f>IFERROR(((VLOOKUP(Tabla1[[#This Row],[HIPOTESIS_1]],listas!$D$1:$E$105,2,FALSE))),"SIN INFORMACIÓN")</f>
        <v>Embriaguez aparente.</v>
      </c>
      <c r="AP332" s="36">
        <v>116</v>
      </c>
      <c r="AQ332" s="36" t="str">
        <f>IFERROR(((VLOOKUP(Tabla1[[#This Row],[HIPOTESIS_2]],listas!$D$1:$E$105,2,FALSE))),"")</f>
        <v>Exceso de velocidad</v>
      </c>
      <c r="AR332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333" spans="1:44" x14ac:dyDescent="0.25">
      <c r="A333" s="12">
        <v>952</v>
      </c>
      <c r="B333" s="135">
        <v>0</v>
      </c>
      <c r="C333" s="136">
        <v>1</v>
      </c>
      <c r="D333" s="141">
        <v>0</v>
      </c>
      <c r="E333" s="18" t="str">
        <f t="shared" si="20"/>
        <v>LESIONADO</v>
      </c>
      <c r="F333" s="26" t="s">
        <v>33</v>
      </c>
      <c r="G333" s="20">
        <v>5.318873</v>
      </c>
      <c r="H333" s="20">
        <v>-72.406492</v>
      </c>
      <c r="I333" s="93" t="s">
        <v>697</v>
      </c>
      <c r="J333" s="36" t="s">
        <v>1</v>
      </c>
      <c r="K333" s="24" t="str">
        <f t="shared" si="21"/>
        <v>2025</v>
      </c>
      <c r="L333" s="24" t="str">
        <f t="shared" si="22"/>
        <v>ABRIL</v>
      </c>
      <c r="M333" s="224">
        <v>45773</v>
      </c>
      <c r="N333" s="24" t="str">
        <f t="shared" si="23"/>
        <v>SÁBADO</v>
      </c>
      <c r="O333" s="171">
        <v>0.14583333333333334</v>
      </c>
      <c r="P333" s="63" t="s">
        <v>469</v>
      </c>
      <c r="Q333" s="63"/>
      <c r="R333" s="36">
        <f>COUNTIF(Tabla1[[#This Row],[VEHICULOS_ACCIDENTADOS]:[VEHICULOS_ACCIDENTADOS2]],"MOTOCICLETA")</f>
        <v>1</v>
      </c>
      <c r="S333" s="36">
        <f>COUNTIF(Tabla1[[#This Row],[VEHICULOS_ACCIDENTADOS]:[VEHICULOS_ACCIDENTADOS2]],"MOTOCARRO")</f>
        <v>0</v>
      </c>
      <c r="T333" s="36">
        <f>COUNTIF(Tabla1[[#This Row],[VEHICULOS_ACCIDENTADOS]:[VEHICULOS_ACCIDENTADOS2]],"AUTOMOVIL")</f>
        <v>0</v>
      </c>
      <c r="U333" s="36">
        <f>COUNTIF(Tabla1[[#This Row],[VEHICULOS_ACCIDENTADOS]:[VEHICULOS_ACCIDENTADOS2]],"CAMPERO")</f>
        <v>0</v>
      </c>
      <c r="V333" s="36">
        <f>COUNTIF(Tabla1[[#This Row],[VEHICULOS_ACCIDENTADOS]:[VEHICULOS_ACCIDENTADOS2]],"CAMIONETA")</f>
        <v>0</v>
      </c>
      <c r="W333" s="36">
        <f>COUNTIF(Tabla1[[#This Row],[VEHICULOS_ACCIDENTADOS]:[VEHICULOS_ACCIDENTADOS2]],"MICROBUS")</f>
        <v>0</v>
      </c>
      <c r="X333" s="36">
        <f>COUNTIF(Tabla1[[#This Row],[VEHICULOS_ACCIDENTADOS]:[VEHICULOS_ACCIDENTADOS2]],"BUS")</f>
        <v>0</v>
      </c>
      <c r="Y333" s="36">
        <f>COUNTIF(Tabla1[[#This Row],[VEHICULOS_ACCIDENTADOS]:[VEHICULOS_ACCIDENTADOS2]],"BUSETA")</f>
        <v>0</v>
      </c>
      <c r="Z333" s="36">
        <f>COUNTIF(Tabla1[[#This Row],[VEHICULOS_ACCIDENTADOS]:[VEHICULOS_ACCIDENTADOS2]],"CAMION")</f>
        <v>0</v>
      </c>
      <c r="AA333" s="36">
        <f>COUNTIF(Tabla1[[#This Row],[VEHICULOS_ACCIDENTADOS]:[VEHICULOS_ACCIDENTADOS2]],"TRACTOCAMION")</f>
        <v>0</v>
      </c>
      <c r="AB333" s="36">
        <f>COUNTIF(Tabla1[[#This Row],[VEHICULOS_ACCIDENTADOS]:[VEHICULOS_ACCIDENTADOS2]],"VOLQUETA")</f>
        <v>0</v>
      </c>
      <c r="AC333" s="36">
        <f>COUNTIF(Tabla1[[#This Row],[VEHICULOS_ACCIDENTADOS]:[VEHICULOS_ACCIDENTADOS2]],"BICICLETA")</f>
        <v>0</v>
      </c>
      <c r="AD333" s="36" t="s">
        <v>471</v>
      </c>
      <c r="AE333" s="36"/>
      <c r="AF333" s="36">
        <f>COUNTIF(Tabla1[[#This Row],[GENERO_MASCULINO]:[GENERO_FEMENINO]],"MASCULINO")</f>
        <v>1</v>
      </c>
      <c r="AG333" s="36">
        <f>COUNTIF(Tabla1[[#This Row],[GENERO_MASCULINO]:[GENERO_FEMENINO]],"FEMENINO")</f>
        <v>0</v>
      </c>
      <c r="AH333" s="85">
        <v>17</v>
      </c>
      <c r="AI333" s="85"/>
      <c r="AJ333" s="85"/>
      <c r="AK333" s="85"/>
      <c r="AL333" s="78"/>
      <c r="AM333" s="59"/>
      <c r="AN333" s="85">
        <v>157</v>
      </c>
      <c r="AO333" s="36" t="str">
        <f>IFERROR(((VLOOKUP(Tabla1[[#This Row],[HIPOTESIS_1]],listas!$D$1:$E$105,2,FALSE))),"SIN INFORMACIÓN")</f>
        <v>Otra</v>
      </c>
      <c r="AP333" s="36">
        <v>116</v>
      </c>
      <c r="AQ333" s="36" t="str">
        <f>IFERROR(((VLOOKUP(Tabla1[[#This Row],[HIPOTESIS_2]],listas!$D$1:$E$105,2,FALSE))),"")</f>
        <v>Exceso de velocidad</v>
      </c>
      <c r="AR333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334" spans="1:44" x14ac:dyDescent="0.25">
      <c r="A334" s="12">
        <v>313</v>
      </c>
      <c r="B334" s="36">
        <v>0</v>
      </c>
      <c r="C334" s="36">
        <v>2</v>
      </c>
      <c r="D334" s="36">
        <v>0</v>
      </c>
      <c r="E334" s="18" t="str">
        <f t="shared" si="20"/>
        <v>LESIONADO</v>
      </c>
      <c r="F334" s="36" t="s">
        <v>1047</v>
      </c>
      <c r="G334" s="17">
        <v>5.3224174999999994</v>
      </c>
      <c r="H334" s="17">
        <v>-72.400234722222223</v>
      </c>
      <c r="I334" s="93" t="s">
        <v>697</v>
      </c>
      <c r="J334" s="36" t="s">
        <v>717</v>
      </c>
      <c r="K334" s="24" t="str">
        <f t="shared" si="21"/>
        <v>2022</v>
      </c>
      <c r="L334" s="24" t="str">
        <f t="shared" si="22"/>
        <v>SEPTIEMBRE</v>
      </c>
      <c r="M334" s="225">
        <v>44825</v>
      </c>
      <c r="N334" s="24" t="str">
        <f t="shared" si="23"/>
        <v>MIÉRCOLES</v>
      </c>
      <c r="O334" s="102">
        <v>0.40277777777777801</v>
      </c>
      <c r="P334" s="53" t="s">
        <v>469</v>
      </c>
      <c r="Q334" s="53" t="s">
        <v>469</v>
      </c>
      <c r="R334" s="36">
        <f>COUNTIF(Tabla1[[#This Row],[VEHICULOS_ACCIDENTADOS]:[VEHICULOS_ACCIDENTADOS2]],"MOTOCICLETA")</f>
        <v>2</v>
      </c>
      <c r="S334" s="36">
        <f>COUNTIF(Tabla1[[#This Row],[VEHICULOS_ACCIDENTADOS]:[VEHICULOS_ACCIDENTADOS2]],"MOTOCARRO")</f>
        <v>0</v>
      </c>
      <c r="T334" s="36">
        <f>COUNTIF(Tabla1[[#This Row],[VEHICULOS_ACCIDENTADOS]:[VEHICULOS_ACCIDENTADOS2]],"AUTOMOVIL")</f>
        <v>0</v>
      </c>
      <c r="U334" s="36">
        <f>COUNTIF(Tabla1[[#This Row],[VEHICULOS_ACCIDENTADOS]:[VEHICULOS_ACCIDENTADOS2]],"CAMPERO")</f>
        <v>0</v>
      </c>
      <c r="V334" s="36">
        <f>COUNTIF(Tabla1[[#This Row],[VEHICULOS_ACCIDENTADOS]:[VEHICULOS_ACCIDENTADOS2]],"CAMIONETA")</f>
        <v>0</v>
      </c>
      <c r="W334" s="36">
        <f>COUNTIF(Tabla1[[#This Row],[VEHICULOS_ACCIDENTADOS]:[VEHICULOS_ACCIDENTADOS2]],"MICROBUS")</f>
        <v>0</v>
      </c>
      <c r="X334" s="36">
        <f>COUNTIF(Tabla1[[#This Row],[VEHICULOS_ACCIDENTADOS]:[VEHICULOS_ACCIDENTADOS2]],"BUS")</f>
        <v>0</v>
      </c>
      <c r="Y334" s="36">
        <f>COUNTIF(Tabla1[[#This Row],[VEHICULOS_ACCIDENTADOS]:[VEHICULOS_ACCIDENTADOS2]],"BUSETA")</f>
        <v>0</v>
      </c>
      <c r="Z334" s="36">
        <f>COUNTIF(Tabla1[[#This Row],[VEHICULOS_ACCIDENTADOS]:[VEHICULOS_ACCIDENTADOS2]],"CAMION")</f>
        <v>0</v>
      </c>
      <c r="AA334" s="36">
        <f>COUNTIF(Tabla1[[#This Row],[VEHICULOS_ACCIDENTADOS]:[VEHICULOS_ACCIDENTADOS2]],"TRACTOCAMION")</f>
        <v>0</v>
      </c>
      <c r="AB334" s="36">
        <f>COUNTIF(Tabla1[[#This Row],[VEHICULOS_ACCIDENTADOS]:[VEHICULOS_ACCIDENTADOS2]],"VOLQUETA")</f>
        <v>0</v>
      </c>
      <c r="AC334" s="36">
        <f>COUNTIF(Tabla1[[#This Row],[VEHICULOS_ACCIDENTADOS]:[VEHICULOS_ACCIDENTADOS2]],"BICICLETA")</f>
        <v>0</v>
      </c>
      <c r="AD334" s="36" t="s">
        <v>471</v>
      </c>
      <c r="AE334" s="36"/>
      <c r="AF334" s="36">
        <f>COUNTIF(Tabla1[[#This Row],[GENERO_MASCULINO]:[GENERO_FEMENINO]],"MASCULINO")</f>
        <v>1</v>
      </c>
      <c r="AG334" s="36">
        <f>COUNTIF(Tabla1[[#This Row],[GENERO_MASCULINO]:[GENERO_FEMENINO]],"FEMENINO")</f>
        <v>0</v>
      </c>
      <c r="AH334" s="61">
        <v>24</v>
      </c>
      <c r="AI334" s="61">
        <v>52</v>
      </c>
      <c r="AJ334" s="78"/>
      <c r="AK334" s="61"/>
      <c r="AL334" s="61"/>
      <c r="AM334" s="36"/>
      <c r="AN334" s="61">
        <v>112</v>
      </c>
      <c r="AO334" s="36" t="str">
        <f>IFERROR(((VLOOKUP(Tabla1[[#This Row],[HIPOTESIS_1]],listas!$D$1:$E$105,2,FALSE))),"SIN INFORMACIÓN")</f>
        <v>Desobedecer señales o normas de tránsito.</v>
      </c>
      <c r="AP334" s="36">
        <v>116</v>
      </c>
      <c r="AQ334" s="36" t="str">
        <f>IFERROR(((VLOOKUP(Tabla1[[#This Row],[HIPOTESIS_2]],listas!$D$1:$E$105,2,FALSE))),"")</f>
        <v>Exceso de velocidad</v>
      </c>
      <c r="AR334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335" spans="1:44" x14ac:dyDescent="0.25">
      <c r="A335" s="12">
        <v>668</v>
      </c>
      <c r="B335" s="136">
        <v>0</v>
      </c>
      <c r="C335" s="136">
        <v>0</v>
      </c>
      <c r="D335" s="141">
        <v>1</v>
      </c>
      <c r="E335" s="18" t="str">
        <f t="shared" si="20"/>
        <v>FALLECIDO</v>
      </c>
      <c r="F335" s="29" t="s">
        <v>93</v>
      </c>
      <c r="G335" s="17">
        <v>5.3117694444444439</v>
      </c>
      <c r="H335" s="17">
        <v>-72.398197222222223</v>
      </c>
      <c r="I335" s="93" t="s">
        <v>697</v>
      </c>
      <c r="J335" s="136" t="s">
        <v>717</v>
      </c>
      <c r="K335" s="24" t="str">
        <f t="shared" si="21"/>
        <v>2024</v>
      </c>
      <c r="L335" s="24" t="str">
        <f t="shared" si="22"/>
        <v>FEBRERO</v>
      </c>
      <c r="M335" s="224">
        <v>45348</v>
      </c>
      <c r="N335" s="24" t="str">
        <f t="shared" si="23"/>
        <v>LUNES</v>
      </c>
      <c r="O335" s="171">
        <v>0.73611111111111116</v>
      </c>
      <c r="P335" s="178" t="s">
        <v>469</v>
      </c>
      <c r="Q335" s="178" t="s">
        <v>469</v>
      </c>
      <c r="R335" s="36">
        <f>COUNTIF(Tabla1[[#This Row],[VEHICULOS_ACCIDENTADOS]:[VEHICULOS_ACCIDENTADOS2]],"MOTOCICLETA")</f>
        <v>2</v>
      </c>
      <c r="S335" s="36">
        <f>COUNTIF(Tabla1[[#This Row],[VEHICULOS_ACCIDENTADOS]:[VEHICULOS_ACCIDENTADOS2]],"MOTOCARRO")</f>
        <v>0</v>
      </c>
      <c r="T335" s="36">
        <f>COUNTIF(Tabla1[[#This Row],[VEHICULOS_ACCIDENTADOS]:[VEHICULOS_ACCIDENTADOS2]],"AUTOMOVIL")</f>
        <v>0</v>
      </c>
      <c r="U335" s="36">
        <f>COUNTIF(Tabla1[[#This Row],[VEHICULOS_ACCIDENTADOS]:[VEHICULOS_ACCIDENTADOS2]],"CAMPERO")</f>
        <v>0</v>
      </c>
      <c r="V335" s="36">
        <f>COUNTIF(Tabla1[[#This Row],[VEHICULOS_ACCIDENTADOS]:[VEHICULOS_ACCIDENTADOS2]],"CAMIONETA")</f>
        <v>0</v>
      </c>
      <c r="W335" s="36">
        <f>COUNTIF(Tabla1[[#This Row],[VEHICULOS_ACCIDENTADOS]:[VEHICULOS_ACCIDENTADOS2]],"MICROBUS")</f>
        <v>0</v>
      </c>
      <c r="X335" s="36">
        <f>COUNTIF(Tabla1[[#This Row],[VEHICULOS_ACCIDENTADOS]:[VEHICULOS_ACCIDENTADOS2]],"BUS")</f>
        <v>0</v>
      </c>
      <c r="Y335" s="36">
        <f>COUNTIF(Tabla1[[#This Row],[VEHICULOS_ACCIDENTADOS]:[VEHICULOS_ACCIDENTADOS2]],"BUSETA")</f>
        <v>0</v>
      </c>
      <c r="Z335" s="36">
        <f>COUNTIF(Tabla1[[#This Row],[VEHICULOS_ACCIDENTADOS]:[VEHICULOS_ACCIDENTADOS2]],"CAMION")</f>
        <v>0</v>
      </c>
      <c r="AA335" s="36">
        <f>COUNTIF(Tabla1[[#This Row],[VEHICULOS_ACCIDENTADOS]:[VEHICULOS_ACCIDENTADOS2]],"TRACTOCAMION")</f>
        <v>0</v>
      </c>
      <c r="AB335" s="36">
        <f>COUNTIF(Tabla1[[#This Row],[VEHICULOS_ACCIDENTADOS]:[VEHICULOS_ACCIDENTADOS2]],"VOLQUETA")</f>
        <v>0</v>
      </c>
      <c r="AC335" s="36">
        <f>COUNTIF(Tabla1[[#This Row],[VEHICULOS_ACCIDENTADOS]:[VEHICULOS_ACCIDENTADOS2]],"BICICLETA")</f>
        <v>0</v>
      </c>
      <c r="AD335" s="136" t="s">
        <v>471</v>
      </c>
      <c r="AE335" s="136" t="s">
        <v>472</v>
      </c>
      <c r="AF335" s="136">
        <f>COUNTIF(Tabla1[[#This Row],[GENERO_MASCULINO]:[GENERO_FEMENINO]],"MASCULINO")</f>
        <v>1</v>
      </c>
      <c r="AG335" s="36">
        <f>COUNTIF(Tabla1[[#This Row],[GENERO_MASCULINO]:[GENERO_FEMENINO]],"FEMENINO")</f>
        <v>1</v>
      </c>
      <c r="AH335" s="85">
        <v>19</v>
      </c>
      <c r="AI335" s="85">
        <v>0</v>
      </c>
      <c r="AJ335" s="85">
        <v>0</v>
      </c>
      <c r="AK335" s="85"/>
      <c r="AL335" s="85"/>
      <c r="AM335" s="136">
        <v>76</v>
      </c>
      <c r="AN335" s="85">
        <v>139</v>
      </c>
      <c r="AO335" s="36" t="str">
        <f>IFERROR(((VLOOKUP(Tabla1[[#This Row],[HIPOTESIS_1]],listas!$D$1:$E$105,2,FALSE))),"SIN INFORMACIÓN")</f>
        <v>Impericia en el manejo.</v>
      </c>
      <c r="AP335" s="136">
        <v>116</v>
      </c>
      <c r="AQ335" s="36" t="str">
        <f>IFERROR(((VLOOKUP(Tabla1[[#This Row],[HIPOTESIS_2]],listas!$D$1:$E$105,2,FALSE))),"")</f>
        <v>Exceso de velocidad</v>
      </c>
      <c r="AR335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336" spans="1:44" x14ac:dyDescent="0.25">
      <c r="A336" s="12">
        <v>214</v>
      </c>
      <c r="B336" s="36">
        <v>0</v>
      </c>
      <c r="C336" s="36">
        <v>1</v>
      </c>
      <c r="D336" s="36">
        <v>1</v>
      </c>
      <c r="E336" s="18" t="str">
        <f t="shared" si="20"/>
        <v>FALLECIDO</v>
      </c>
      <c r="F336" s="29" t="s">
        <v>1054</v>
      </c>
      <c r="G336" s="17">
        <v>5.3282472222222221</v>
      </c>
      <c r="H336" s="17">
        <v>-72.398072222222225</v>
      </c>
      <c r="I336" s="93" t="s">
        <v>697</v>
      </c>
      <c r="J336" s="36" t="s">
        <v>717</v>
      </c>
      <c r="K336" s="24" t="str">
        <f t="shared" si="21"/>
        <v>2022</v>
      </c>
      <c r="L336" s="24" t="str">
        <f t="shared" si="22"/>
        <v>JUNIO</v>
      </c>
      <c r="M336" s="225">
        <v>44724</v>
      </c>
      <c r="N336" s="24" t="str">
        <f t="shared" si="23"/>
        <v>DOMINGO</v>
      </c>
      <c r="O336" s="102">
        <v>9.375E-2</v>
      </c>
      <c r="P336" s="53" t="s">
        <v>469</v>
      </c>
      <c r="Q336" s="53" t="s">
        <v>447</v>
      </c>
      <c r="R336" s="36">
        <f>COUNTIF(Tabla1[[#This Row],[VEHICULOS_ACCIDENTADOS]:[VEHICULOS_ACCIDENTADOS2]],"MOTOCICLETA")</f>
        <v>1</v>
      </c>
      <c r="S336" s="36">
        <f>COUNTIF(Tabla1[[#This Row],[VEHICULOS_ACCIDENTADOS]:[VEHICULOS_ACCIDENTADOS2]],"MOTOCARRO")</f>
        <v>0</v>
      </c>
      <c r="T336" s="36">
        <f>COUNTIF(Tabla1[[#This Row],[VEHICULOS_ACCIDENTADOS]:[VEHICULOS_ACCIDENTADOS2]],"AUTOMOVIL")</f>
        <v>1</v>
      </c>
      <c r="U336" s="36">
        <f>COUNTIF(Tabla1[[#This Row],[VEHICULOS_ACCIDENTADOS]:[VEHICULOS_ACCIDENTADOS2]],"CAMPERO")</f>
        <v>0</v>
      </c>
      <c r="V336" s="36">
        <f>COUNTIF(Tabla1[[#This Row],[VEHICULOS_ACCIDENTADOS]:[VEHICULOS_ACCIDENTADOS2]],"CAMIONETA")</f>
        <v>0</v>
      </c>
      <c r="W336" s="36">
        <f>COUNTIF(Tabla1[[#This Row],[VEHICULOS_ACCIDENTADOS]:[VEHICULOS_ACCIDENTADOS2]],"MICROBUS")</f>
        <v>0</v>
      </c>
      <c r="X336" s="36">
        <f>COUNTIF(Tabla1[[#This Row],[VEHICULOS_ACCIDENTADOS]:[VEHICULOS_ACCIDENTADOS2]],"BUS")</f>
        <v>0</v>
      </c>
      <c r="Y336" s="36">
        <f>COUNTIF(Tabla1[[#This Row],[VEHICULOS_ACCIDENTADOS]:[VEHICULOS_ACCIDENTADOS2]],"BUSETA")</f>
        <v>0</v>
      </c>
      <c r="Z336" s="36">
        <f>COUNTIF(Tabla1[[#This Row],[VEHICULOS_ACCIDENTADOS]:[VEHICULOS_ACCIDENTADOS2]],"CAMION")</f>
        <v>0</v>
      </c>
      <c r="AA336" s="36">
        <f>COUNTIF(Tabla1[[#This Row],[VEHICULOS_ACCIDENTADOS]:[VEHICULOS_ACCIDENTADOS2]],"TRACTOCAMION")</f>
        <v>0</v>
      </c>
      <c r="AB336" s="36">
        <f>COUNTIF(Tabla1[[#This Row],[VEHICULOS_ACCIDENTADOS]:[VEHICULOS_ACCIDENTADOS2]],"VOLQUETA")</f>
        <v>0</v>
      </c>
      <c r="AC336" s="36">
        <f>COUNTIF(Tabla1[[#This Row],[VEHICULOS_ACCIDENTADOS]:[VEHICULOS_ACCIDENTADOS2]],"BICICLETA")</f>
        <v>0</v>
      </c>
      <c r="AD336" s="36"/>
      <c r="AE336" s="36" t="s">
        <v>472</v>
      </c>
      <c r="AF336" s="36">
        <f>COUNTIF(Tabla1[[#This Row],[GENERO_MASCULINO]:[GENERO_FEMENINO]],"MASCULINO")</f>
        <v>0</v>
      </c>
      <c r="AG336" s="36">
        <f>COUNTIF(Tabla1[[#This Row],[GENERO_MASCULINO]:[GENERO_FEMENINO]],"FEMENINO")</f>
        <v>1</v>
      </c>
      <c r="AH336" s="61"/>
      <c r="AI336" s="61"/>
      <c r="AJ336" s="61"/>
      <c r="AK336" s="61"/>
      <c r="AL336" s="61">
        <v>31</v>
      </c>
      <c r="AM336" s="36">
        <v>27</v>
      </c>
      <c r="AN336" s="61">
        <v>114</v>
      </c>
      <c r="AO336" s="36" t="str">
        <f>IFERROR(((VLOOKUP(Tabla1[[#This Row],[HIPOTESIS_1]],listas!$D$1:$E$105,2,FALSE))),"SIN INFORMACIÓN")</f>
        <v>Embriaguez aparente.</v>
      </c>
      <c r="AP336" s="36">
        <v>116</v>
      </c>
      <c r="AQ336" s="36" t="str">
        <f>IFERROR(((VLOOKUP(Tabla1[[#This Row],[HIPOTESIS_2]],listas!$D$1:$E$105,2,FALSE))),"")</f>
        <v>Exceso de velocidad</v>
      </c>
      <c r="AR336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337" spans="1:44" x14ac:dyDescent="0.25">
      <c r="A337" s="12">
        <v>538</v>
      </c>
      <c r="B337" s="36">
        <v>0</v>
      </c>
      <c r="C337" s="36">
        <v>1</v>
      </c>
      <c r="D337" s="36">
        <v>0</v>
      </c>
      <c r="E337" s="18" t="str">
        <f t="shared" si="20"/>
        <v>LESIONADO</v>
      </c>
      <c r="F337" s="29" t="s">
        <v>215</v>
      </c>
      <c r="G337" s="21">
        <v>5.3170344444444444</v>
      </c>
      <c r="H337" s="21">
        <v>-72.394653333333338</v>
      </c>
      <c r="I337" s="93" t="s">
        <v>697</v>
      </c>
      <c r="J337" s="36" t="s">
        <v>717</v>
      </c>
      <c r="K337" s="24" t="str">
        <f t="shared" si="21"/>
        <v>2023</v>
      </c>
      <c r="L337" s="24" t="str">
        <f t="shared" si="22"/>
        <v>AGOSTO</v>
      </c>
      <c r="M337" s="225">
        <v>45156</v>
      </c>
      <c r="N337" s="24" t="str">
        <f t="shared" si="23"/>
        <v>VIERNES</v>
      </c>
      <c r="O337" s="101">
        <v>0.9375</v>
      </c>
      <c r="P337" s="57" t="s">
        <v>469</v>
      </c>
      <c r="Q337" s="57" t="s">
        <v>447</v>
      </c>
      <c r="R337" s="36">
        <f>COUNTIF(Tabla1[[#This Row],[VEHICULOS_ACCIDENTADOS]:[VEHICULOS_ACCIDENTADOS2]],"MOTOCICLETA")</f>
        <v>1</v>
      </c>
      <c r="S337" s="36">
        <f>COUNTIF(Tabla1[[#This Row],[VEHICULOS_ACCIDENTADOS]:[VEHICULOS_ACCIDENTADOS2]],"MOTOCARRO")</f>
        <v>0</v>
      </c>
      <c r="T337" s="36">
        <f>COUNTIF(Tabla1[[#This Row],[VEHICULOS_ACCIDENTADOS]:[VEHICULOS_ACCIDENTADOS2]],"AUTOMOVIL")</f>
        <v>1</v>
      </c>
      <c r="U337" s="36">
        <f>COUNTIF(Tabla1[[#This Row],[VEHICULOS_ACCIDENTADOS]:[VEHICULOS_ACCIDENTADOS2]],"CAMPERO")</f>
        <v>0</v>
      </c>
      <c r="V337" s="36">
        <f>COUNTIF(Tabla1[[#This Row],[VEHICULOS_ACCIDENTADOS]:[VEHICULOS_ACCIDENTADOS2]],"CAMIONETA")</f>
        <v>0</v>
      </c>
      <c r="W337" s="36">
        <f>COUNTIF(Tabla1[[#This Row],[VEHICULOS_ACCIDENTADOS]:[VEHICULOS_ACCIDENTADOS2]],"MICROBUS")</f>
        <v>0</v>
      </c>
      <c r="X337" s="36">
        <f>COUNTIF(Tabla1[[#This Row],[VEHICULOS_ACCIDENTADOS]:[VEHICULOS_ACCIDENTADOS2]],"BUS")</f>
        <v>0</v>
      </c>
      <c r="Y337" s="36">
        <f>COUNTIF(Tabla1[[#This Row],[VEHICULOS_ACCIDENTADOS]:[VEHICULOS_ACCIDENTADOS2]],"BUSETA")</f>
        <v>0</v>
      </c>
      <c r="Z337" s="36">
        <f>COUNTIF(Tabla1[[#This Row],[VEHICULOS_ACCIDENTADOS]:[VEHICULOS_ACCIDENTADOS2]],"CAMION")</f>
        <v>0</v>
      </c>
      <c r="AA337" s="36">
        <f>COUNTIF(Tabla1[[#This Row],[VEHICULOS_ACCIDENTADOS]:[VEHICULOS_ACCIDENTADOS2]],"TRACTOCAMION")</f>
        <v>0</v>
      </c>
      <c r="AB337" s="36">
        <f>COUNTIF(Tabla1[[#This Row],[VEHICULOS_ACCIDENTADOS]:[VEHICULOS_ACCIDENTADOS2]],"VOLQUETA")</f>
        <v>0</v>
      </c>
      <c r="AC337" s="36">
        <f>COUNTIF(Tabla1[[#This Row],[VEHICULOS_ACCIDENTADOS]:[VEHICULOS_ACCIDENTADOS2]],"BICICLETA")</f>
        <v>0</v>
      </c>
      <c r="AD337" s="36"/>
      <c r="AE337" s="36" t="s">
        <v>472</v>
      </c>
      <c r="AF337" s="36">
        <f>COUNTIF(Tabla1[[#This Row],[GENERO_MASCULINO]:[GENERO_FEMENINO]],"MASCULINO")</f>
        <v>0</v>
      </c>
      <c r="AG337" s="36">
        <f>COUNTIF(Tabla1[[#This Row],[GENERO_MASCULINO]:[GENERO_FEMENINO]],"FEMENINO")</f>
        <v>1</v>
      </c>
      <c r="AH337" s="61"/>
      <c r="AI337" s="61"/>
      <c r="AJ337" s="61"/>
      <c r="AK337" s="61"/>
      <c r="AL337" s="61">
        <v>18</v>
      </c>
      <c r="AM337" s="36"/>
      <c r="AN337" s="61">
        <v>132</v>
      </c>
      <c r="AO337" s="36" t="str">
        <f>IFERROR(((VLOOKUP(Tabla1[[#This Row],[HIPOTESIS_1]],listas!$D$1:$E$105,2,FALSE))),"SIN INFORMACIÓN")</f>
        <v>No respetar prelación.</v>
      </c>
      <c r="AP337" s="36">
        <v>116</v>
      </c>
      <c r="AQ337" s="36" t="str">
        <f>IFERROR(((VLOOKUP(Tabla1[[#This Row],[HIPOTESIS_2]],listas!$D$1:$E$105,2,FALSE))),"")</f>
        <v>Exceso de velocidad</v>
      </c>
      <c r="AR337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338" spans="1:44" x14ac:dyDescent="0.25">
      <c r="A338" s="12">
        <v>841</v>
      </c>
      <c r="B338" s="136">
        <v>0</v>
      </c>
      <c r="C338" s="136">
        <v>0</v>
      </c>
      <c r="D338" s="141">
        <v>1</v>
      </c>
      <c r="E338" s="18" t="str">
        <f t="shared" si="20"/>
        <v>FALLECIDO</v>
      </c>
      <c r="F338" s="136" t="s">
        <v>903</v>
      </c>
      <c r="G338" s="21">
        <v>5.3321836111111107</v>
      </c>
      <c r="H338" s="21">
        <v>-72.395910000000001</v>
      </c>
      <c r="I338" s="93" t="s">
        <v>697</v>
      </c>
      <c r="J338" s="36" t="s">
        <v>717</v>
      </c>
      <c r="K338" s="24" t="str">
        <f t="shared" si="21"/>
        <v>2024</v>
      </c>
      <c r="L338" s="24" t="str">
        <f t="shared" si="22"/>
        <v>DICIEMBRE</v>
      </c>
      <c r="M338" s="224">
        <v>45648</v>
      </c>
      <c r="N338" s="24" t="str">
        <f t="shared" si="23"/>
        <v>DOMINGO</v>
      </c>
      <c r="O338" s="171">
        <v>0.36805555555555558</v>
      </c>
      <c r="P338" s="178" t="s">
        <v>469</v>
      </c>
      <c r="Q338" s="178"/>
      <c r="R338" s="36">
        <f>COUNTIF(Tabla1[[#This Row],[VEHICULOS_ACCIDENTADOS]:[VEHICULOS_ACCIDENTADOS2]],"MOTOCICLETA")</f>
        <v>1</v>
      </c>
      <c r="S338" s="36">
        <f>COUNTIF(Tabla1[[#This Row],[VEHICULOS_ACCIDENTADOS]:[VEHICULOS_ACCIDENTADOS2]],"MOTOCARRO")</f>
        <v>0</v>
      </c>
      <c r="T338" s="36">
        <f>COUNTIF(Tabla1[[#This Row],[VEHICULOS_ACCIDENTADOS]:[VEHICULOS_ACCIDENTADOS2]],"AUTOMOVIL")</f>
        <v>0</v>
      </c>
      <c r="U338" s="36">
        <f>COUNTIF(Tabla1[[#This Row],[VEHICULOS_ACCIDENTADOS]:[VEHICULOS_ACCIDENTADOS2]],"CAMPERO")</f>
        <v>0</v>
      </c>
      <c r="V338" s="36">
        <f>COUNTIF(Tabla1[[#This Row],[VEHICULOS_ACCIDENTADOS]:[VEHICULOS_ACCIDENTADOS2]],"CAMIONETA")</f>
        <v>0</v>
      </c>
      <c r="W338" s="36">
        <f>COUNTIF(Tabla1[[#This Row],[VEHICULOS_ACCIDENTADOS]:[VEHICULOS_ACCIDENTADOS2]],"MICROBUS")</f>
        <v>0</v>
      </c>
      <c r="X338" s="36">
        <f>COUNTIF(Tabla1[[#This Row],[VEHICULOS_ACCIDENTADOS]:[VEHICULOS_ACCIDENTADOS2]],"BUS")</f>
        <v>0</v>
      </c>
      <c r="Y338" s="36">
        <f>COUNTIF(Tabla1[[#This Row],[VEHICULOS_ACCIDENTADOS]:[VEHICULOS_ACCIDENTADOS2]],"BUSETA")</f>
        <v>0</v>
      </c>
      <c r="Z338" s="36">
        <f>COUNTIF(Tabla1[[#This Row],[VEHICULOS_ACCIDENTADOS]:[VEHICULOS_ACCIDENTADOS2]],"CAMION")</f>
        <v>0</v>
      </c>
      <c r="AA338" s="36">
        <f>COUNTIF(Tabla1[[#This Row],[VEHICULOS_ACCIDENTADOS]:[VEHICULOS_ACCIDENTADOS2]],"TRACTOCAMION")</f>
        <v>0</v>
      </c>
      <c r="AB338" s="36">
        <f>COUNTIF(Tabla1[[#This Row],[VEHICULOS_ACCIDENTADOS]:[VEHICULOS_ACCIDENTADOS2]],"VOLQUETA")</f>
        <v>0</v>
      </c>
      <c r="AC338" s="36">
        <f>COUNTIF(Tabla1[[#This Row],[VEHICULOS_ACCIDENTADOS]:[VEHICULOS_ACCIDENTADOS2]],"BICICLETA")</f>
        <v>0</v>
      </c>
      <c r="AD338" s="136" t="s">
        <v>471</v>
      </c>
      <c r="AE338" s="136"/>
      <c r="AF338" s="136">
        <f>COUNTIF(Tabla1[[#This Row],[GENERO_MASCULINO]:[GENERO_FEMENINO]],"MASCULINO")</f>
        <v>1</v>
      </c>
      <c r="AG338" s="36">
        <f>COUNTIF(Tabla1[[#This Row],[GENERO_MASCULINO]:[GENERO_FEMENINO]],"FEMENINO")</f>
        <v>0</v>
      </c>
      <c r="AH338" s="85"/>
      <c r="AI338" s="85"/>
      <c r="AJ338" s="85"/>
      <c r="AK338" s="85"/>
      <c r="AL338" s="85"/>
      <c r="AM338" s="136">
        <v>25</v>
      </c>
      <c r="AN338" s="85">
        <v>139</v>
      </c>
      <c r="AO338" s="36" t="str">
        <f>IFERROR(((VLOOKUP(Tabla1[[#This Row],[HIPOTESIS_1]],listas!$D$1:$E$105,2,FALSE))),"SIN INFORMACIÓN")</f>
        <v>Impericia en el manejo.</v>
      </c>
      <c r="AP338" s="136">
        <v>116</v>
      </c>
      <c r="AQ338" s="36" t="str">
        <f>IFERROR(((VLOOKUP(Tabla1[[#This Row],[HIPOTESIS_2]],listas!$D$1:$E$105,2,FALSE))),"")</f>
        <v>Exceso de velocidad</v>
      </c>
      <c r="AR338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339" spans="1:44" x14ac:dyDescent="0.25">
      <c r="A339" s="12">
        <v>978</v>
      </c>
      <c r="B339" s="137">
        <v>0</v>
      </c>
      <c r="C339" s="137">
        <v>2</v>
      </c>
      <c r="D339" s="137">
        <v>0</v>
      </c>
      <c r="E339" s="18" t="str">
        <f t="shared" si="20"/>
        <v>LESIONADO</v>
      </c>
      <c r="F339" s="152" t="s">
        <v>1112</v>
      </c>
      <c r="G339" s="30">
        <v>5.330438</v>
      </c>
      <c r="H339" s="30">
        <v>-72.392251000000002</v>
      </c>
      <c r="I339" s="93" t="s">
        <v>697</v>
      </c>
      <c r="J339" s="36" t="s">
        <v>717</v>
      </c>
      <c r="K339" s="24" t="str">
        <f t="shared" si="21"/>
        <v>2025</v>
      </c>
      <c r="L339" s="24" t="str">
        <f t="shared" si="22"/>
        <v>JUNIO</v>
      </c>
      <c r="M339" s="228">
        <v>45811</v>
      </c>
      <c r="N339" s="24" t="str">
        <f t="shared" si="23"/>
        <v>MARTES</v>
      </c>
      <c r="O339" s="101">
        <v>0.63194444444444442</v>
      </c>
      <c r="P339" s="63" t="s">
        <v>469</v>
      </c>
      <c r="Q339" s="63" t="s">
        <v>445</v>
      </c>
      <c r="R339" s="36">
        <f>COUNTIF(Tabla1[[#This Row],[VEHICULOS_ACCIDENTADOS]:[VEHICULOS_ACCIDENTADOS2]],"MOTOCICLETA")</f>
        <v>1</v>
      </c>
      <c r="S339" s="36">
        <f>COUNTIF(Tabla1[[#This Row],[VEHICULOS_ACCIDENTADOS]:[VEHICULOS_ACCIDENTADOS2]],"MOTOCARRO")</f>
        <v>0</v>
      </c>
      <c r="T339" s="36">
        <f>COUNTIF(Tabla1[[#This Row],[VEHICULOS_ACCIDENTADOS]:[VEHICULOS_ACCIDENTADOS2]],"AUTOMOVIL")</f>
        <v>0</v>
      </c>
      <c r="U339" s="36">
        <f>COUNTIF(Tabla1[[#This Row],[VEHICULOS_ACCIDENTADOS]:[VEHICULOS_ACCIDENTADOS2]],"CAMPERO")</f>
        <v>0</v>
      </c>
      <c r="V339" s="36">
        <f>COUNTIF(Tabla1[[#This Row],[VEHICULOS_ACCIDENTADOS]:[VEHICULOS_ACCIDENTADOS2]],"CAMIONETA")</f>
        <v>1</v>
      </c>
      <c r="W339" s="36">
        <f>COUNTIF(Tabla1[[#This Row],[VEHICULOS_ACCIDENTADOS]:[VEHICULOS_ACCIDENTADOS2]],"MICROBUS")</f>
        <v>0</v>
      </c>
      <c r="X339" s="36">
        <f>COUNTIF(Tabla1[[#This Row],[VEHICULOS_ACCIDENTADOS]:[VEHICULOS_ACCIDENTADOS2]],"BUS")</f>
        <v>0</v>
      </c>
      <c r="Y339" s="36">
        <f>COUNTIF(Tabla1[[#This Row],[VEHICULOS_ACCIDENTADOS]:[VEHICULOS_ACCIDENTADOS2]],"BUSETA")</f>
        <v>0</v>
      </c>
      <c r="Z339" s="36">
        <f>COUNTIF(Tabla1[[#This Row],[VEHICULOS_ACCIDENTADOS]:[VEHICULOS_ACCIDENTADOS2]],"CAMION")</f>
        <v>0</v>
      </c>
      <c r="AA339" s="36">
        <f>COUNTIF(Tabla1[[#This Row],[VEHICULOS_ACCIDENTADOS]:[VEHICULOS_ACCIDENTADOS2]],"TRACTOCAMION")</f>
        <v>0</v>
      </c>
      <c r="AB339" s="36">
        <f>COUNTIF(Tabla1[[#This Row],[VEHICULOS_ACCIDENTADOS]:[VEHICULOS_ACCIDENTADOS2]],"VOLQUETA")</f>
        <v>0</v>
      </c>
      <c r="AC339" s="36">
        <f>COUNTIF(Tabla1[[#This Row],[VEHICULOS_ACCIDENTADOS]:[VEHICULOS_ACCIDENTADOS2]],"BICICLETA")</f>
        <v>0</v>
      </c>
      <c r="AD339" s="36" t="s">
        <v>471</v>
      </c>
      <c r="AE339" s="36" t="s">
        <v>472</v>
      </c>
      <c r="AF339" s="36">
        <f>COUNTIF(Tabla1[[#This Row],[GENERO_MASCULINO]:[GENERO_FEMENINO]],"MASCULINO")</f>
        <v>1</v>
      </c>
      <c r="AG339" s="36">
        <f>COUNTIF(Tabla1[[#This Row],[GENERO_MASCULINO]:[GENERO_FEMENINO]],"FEMENINO")</f>
        <v>1</v>
      </c>
      <c r="AH339" s="85">
        <v>19</v>
      </c>
      <c r="AI339" s="85">
        <v>44</v>
      </c>
      <c r="AJ339" s="85"/>
      <c r="AK339" s="78"/>
      <c r="AL339" s="78"/>
      <c r="AM339" s="59"/>
      <c r="AN339" s="61">
        <v>139</v>
      </c>
      <c r="AO339" s="36" t="str">
        <f>IFERROR(((VLOOKUP(Tabla1[[#This Row],[HIPOTESIS_1]],listas!$D$1:$E$105,2,FALSE))),"SIN INFORMACIÓN")</f>
        <v>Impericia en el manejo.</v>
      </c>
      <c r="AP339" s="36">
        <v>116</v>
      </c>
      <c r="AQ339" s="36" t="str">
        <f>IFERROR(((VLOOKUP(Tabla1[[#This Row],[HIPOTESIS_2]],listas!$D$1:$E$105,2,FALSE))),"")</f>
        <v>Exceso de velocidad</v>
      </c>
      <c r="AR339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340" spans="1:44" x14ac:dyDescent="0.25">
      <c r="A340" s="12">
        <v>562</v>
      </c>
      <c r="B340" s="36">
        <v>0</v>
      </c>
      <c r="C340" s="36">
        <v>1</v>
      </c>
      <c r="D340" s="36">
        <v>0</v>
      </c>
      <c r="E340" s="18" t="str">
        <f t="shared" si="20"/>
        <v>LESIONADO</v>
      </c>
      <c r="F340" s="29" t="s">
        <v>203</v>
      </c>
      <c r="G340" s="21">
        <v>5.3268641666666667</v>
      </c>
      <c r="H340" s="21">
        <v>-72.390249166666678</v>
      </c>
      <c r="I340" s="93" t="s">
        <v>697</v>
      </c>
      <c r="J340" s="36" t="s">
        <v>717</v>
      </c>
      <c r="K340" s="24" t="str">
        <f t="shared" si="21"/>
        <v>2023</v>
      </c>
      <c r="L340" s="24" t="str">
        <f t="shared" si="22"/>
        <v>SEPTIEMBRE</v>
      </c>
      <c r="M340" s="225">
        <v>45197</v>
      </c>
      <c r="N340" s="24" t="str">
        <f t="shared" si="23"/>
        <v>JUEVES</v>
      </c>
      <c r="O340" s="101">
        <v>0.65625</v>
      </c>
      <c r="P340" s="57" t="s">
        <v>447</v>
      </c>
      <c r="Q340" s="57"/>
      <c r="R340" s="36">
        <f>COUNTIF(Tabla1[[#This Row],[VEHICULOS_ACCIDENTADOS]:[VEHICULOS_ACCIDENTADOS2]],"MOTOCICLETA")</f>
        <v>0</v>
      </c>
      <c r="S340" s="36">
        <f>COUNTIF(Tabla1[[#This Row],[VEHICULOS_ACCIDENTADOS]:[VEHICULOS_ACCIDENTADOS2]],"MOTOCARRO")</f>
        <v>0</v>
      </c>
      <c r="T340" s="36">
        <f>COUNTIF(Tabla1[[#This Row],[VEHICULOS_ACCIDENTADOS]:[VEHICULOS_ACCIDENTADOS2]],"AUTOMOVIL")</f>
        <v>1</v>
      </c>
      <c r="U340" s="36">
        <f>COUNTIF(Tabla1[[#This Row],[VEHICULOS_ACCIDENTADOS]:[VEHICULOS_ACCIDENTADOS2]],"CAMPERO")</f>
        <v>0</v>
      </c>
      <c r="V340" s="36">
        <f>COUNTIF(Tabla1[[#This Row],[VEHICULOS_ACCIDENTADOS]:[VEHICULOS_ACCIDENTADOS2]],"CAMIONETA")</f>
        <v>0</v>
      </c>
      <c r="W340" s="36">
        <f>COUNTIF(Tabla1[[#This Row],[VEHICULOS_ACCIDENTADOS]:[VEHICULOS_ACCIDENTADOS2]],"MICROBUS")</f>
        <v>0</v>
      </c>
      <c r="X340" s="36">
        <f>COUNTIF(Tabla1[[#This Row],[VEHICULOS_ACCIDENTADOS]:[VEHICULOS_ACCIDENTADOS2]],"BUS")</f>
        <v>0</v>
      </c>
      <c r="Y340" s="36">
        <f>COUNTIF(Tabla1[[#This Row],[VEHICULOS_ACCIDENTADOS]:[VEHICULOS_ACCIDENTADOS2]],"BUSETA")</f>
        <v>0</v>
      </c>
      <c r="Z340" s="36">
        <f>COUNTIF(Tabla1[[#This Row],[VEHICULOS_ACCIDENTADOS]:[VEHICULOS_ACCIDENTADOS2]],"CAMION")</f>
        <v>0</v>
      </c>
      <c r="AA340" s="36">
        <f>COUNTIF(Tabla1[[#This Row],[VEHICULOS_ACCIDENTADOS]:[VEHICULOS_ACCIDENTADOS2]],"TRACTOCAMION")</f>
        <v>0</v>
      </c>
      <c r="AB340" s="36">
        <f>COUNTIF(Tabla1[[#This Row],[VEHICULOS_ACCIDENTADOS]:[VEHICULOS_ACCIDENTADOS2]],"VOLQUETA")</f>
        <v>0</v>
      </c>
      <c r="AC340" s="36">
        <f>COUNTIF(Tabla1[[#This Row],[VEHICULOS_ACCIDENTADOS]:[VEHICULOS_ACCIDENTADOS2]],"BICICLETA")</f>
        <v>0</v>
      </c>
      <c r="AD340" s="36"/>
      <c r="AE340" s="36" t="s">
        <v>472</v>
      </c>
      <c r="AF340" s="36">
        <f>COUNTIF(Tabla1[[#This Row],[GENERO_MASCULINO]:[GENERO_FEMENINO]],"MASCULINO")</f>
        <v>0</v>
      </c>
      <c r="AG340" s="36">
        <f>COUNTIF(Tabla1[[#This Row],[GENERO_MASCULINO]:[GENERO_FEMENINO]],"FEMENINO")</f>
        <v>1</v>
      </c>
      <c r="AH340" s="61"/>
      <c r="AI340" s="61"/>
      <c r="AJ340" s="61"/>
      <c r="AK340" s="61">
        <v>38</v>
      </c>
      <c r="AL340" s="61"/>
      <c r="AM340" s="36"/>
      <c r="AN340" s="61">
        <v>157</v>
      </c>
      <c r="AO340" s="36" t="str">
        <f>IFERROR(((VLOOKUP(Tabla1[[#This Row],[HIPOTESIS_1]],listas!$D$1:$E$105,2,FALSE))),"SIN INFORMACIÓN")</f>
        <v>Otra</v>
      </c>
      <c r="AP340" s="36">
        <v>116</v>
      </c>
      <c r="AQ340" s="36" t="str">
        <f>IFERROR(((VLOOKUP(Tabla1[[#This Row],[HIPOTESIS_2]],listas!$D$1:$E$105,2,FALSE))),"")</f>
        <v>Exceso de velocidad</v>
      </c>
      <c r="AR340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341" spans="1:44" x14ac:dyDescent="0.25">
      <c r="A341" s="12">
        <v>620</v>
      </c>
      <c r="B341" s="36">
        <v>0</v>
      </c>
      <c r="C341" s="36">
        <v>2</v>
      </c>
      <c r="D341" s="36">
        <v>0</v>
      </c>
      <c r="E341" s="18" t="str">
        <f t="shared" si="20"/>
        <v>LESIONADO</v>
      </c>
      <c r="F341" s="29" t="s">
        <v>1120</v>
      </c>
      <c r="G341" s="17">
        <v>5.3333416666666666</v>
      </c>
      <c r="H341" s="17">
        <v>-72.392600000000002</v>
      </c>
      <c r="I341" s="93" t="s">
        <v>697</v>
      </c>
      <c r="J341" s="36" t="s">
        <v>717</v>
      </c>
      <c r="K341" s="24" t="str">
        <f t="shared" si="21"/>
        <v>2023</v>
      </c>
      <c r="L341" s="24" t="str">
        <f t="shared" si="22"/>
        <v>NOVIEMBRE</v>
      </c>
      <c r="M341" s="225">
        <v>45256</v>
      </c>
      <c r="N341" s="24" t="str">
        <f t="shared" si="23"/>
        <v>DOMINGO</v>
      </c>
      <c r="O341" s="101">
        <v>0.75694444444444453</v>
      </c>
      <c r="P341" s="57" t="s">
        <v>469</v>
      </c>
      <c r="Q341" s="57" t="s">
        <v>469</v>
      </c>
      <c r="R341" s="36">
        <f>COUNTIF(Tabla1[[#This Row],[VEHICULOS_ACCIDENTADOS]:[VEHICULOS_ACCIDENTADOS2]],"MOTOCICLETA")</f>
        <v>2</v>
      </c>
      <c r="S341" s="36">
        <f>COUNTIF(Tabla1[[#This Row],[VEHICULOS_ACCIDENTADOS]:[VEHICULOS_ACCIDENTADOS2]],"MOTOCARRO")</f>
        <v>0</v>
      </c>
      <c r="T341" s="36">
        <f>COUNTIF(Tabla1[[#This Row],[VEHICULOS_ACCIDENTADOS]:[VEHICULOS_ACCIDENTADOS2]],"AUTOMOVIL")</f>
        <v>0</v>
      </c>
      <c r="U341" s="36">
        <f>COUNTIF(Tabla1[[#This Row],[VEHICULOS_ACCIDENTADOS]:[VEHICULOS_ACCIDENTADOS2]],"CAMPERO")</f>
        <v>0</v>
      </c>
      <c r="V341" s="36">
        <f>COUNTIF(Tabla1[[#This Row],[VEHICULOS_ACCIDENTADOS]:[VEHICULOS_ACCIDENTADOS2]],"CAMIONETA")</f>
        <v>0</v>
      </c>
      <c r="W341" s="36">
        <f>COUNTIF(Tabla1[[#This Row],[VEHICULOS_ACCIDENTADOS]:[VEHICULOS_ACCIDENTADOS2]],"MICROBUS")</f>
        <v>0</v>
      </c>
      <c r="X341" s="36">
        <f>COUNTIF(Tabla1[[#This Row],[VEHICULOS_ACCIDENTADOS]:[VEHICULOS_ACCIDENTADOS2]],"BUS")</f>
        <v>0</v>
      </c>
      <c r="Y341" s="36">
        <f>COUNTIF(Tabla1[[#This Row],[VEHICULOS_ACCIDENTADOS]:[VEHICULOS_ACCIDENTADOS2]],"BUSETA")</f>
        <v>0</v>
      </c>
      <c r="Z341" s="36">
        <f>COUNTIF(Tabla1[[#This Row],[VEHICULOS_ACCIDENTADOS]:[VEHICULOS_ACCIDENTADOS2]],"CAMION")</f>
        <v>0</v>
      </c>
      <c r="AA341" s="36">
        <f>COUNTIF(Tabla1[[#This Row],[VEHICULOS_ACCIDENTADOS]:[VEHICULOS_ACCIDENTADOS2]],"TRACTOCAMION")</f>
        <v>0</v>
      </c>
      <c r="AB341" s="36">
        <f>COUNTIF(Tabla1[[#This Row],[VEHICULOS_ACCIDENTADOS]:[VEHICULOS_ACCIDENTADOS2]],"VOLQUETA")</f>
        <v>0</v>
      </c>
      <c r="AC341" s="36">
        <f>COUNTIF(Tabla1[[#This Row],[VEHICULOS_ACCIDENTADOS]:[VEHICULOS_ACCIDENTADOS2]],"BICICLETA")</f>
        <v>0</v>
      </c>
      <c r="AD341" s="36" t="s">
        <v>471</v>
      </c>
      <c r="AE341" s="36" t="s">
        <v>472</v>
      </c>
      <c r="AF341" s="36">
        <f>COUNTIF(Tabla1[[#This Row],[GENERO_MASCULINO]:[GENERO_FEMENINO]],"MASCULINO")</f>
        <v>1</v>
      </c>
      <c r="AG341" s="36">
        <f>COUNTIF(Tabla1[[#This Row],[GENERO_MASCULINO]:[GENERO_FEMENINO]],"FEMENINO")</f>
        <v>1</v>
      </c>
      <c r="AH341" s="61">
        <v>24</v>
      </c>
      <c r="AI341" s="61">
        <v>25</v>
      </c>
      <c r="AJ341" s="78"/>
      <c r="AK341" s="61"/>
      <c r="AL341" s="61"/>
      <c r="AM341" s="36"/>
      <c r="AN341" s="61">
        <v>112</v>
      </c>
      <c r="AO341" s="36" t="str">
        <f>IFERROR(((VLOOKUP(Tabla1[[#This Row],[HIPOTESIS_1]],listas!$D$1:$E$105,2,FALSE))),"SIN INFORMACIÓN")</f>
        <v>Desobedecer señales o normas de tránsito.</v>
      </c>
      <c r="AP341" s="36">
        <v>116</v>
      </c>
      <c r="AQ341" s="36" t="str">
        <f>IFERROR(((VLOOKUP(Tabla1[[#This Row],[HIPOTESIS_2]],listas!$D$1:$E$105,2,FALSE))),"")</f>
        <v>Exceso de velocidad</v>
      </c>
      <c r="AR341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342" spans="1:44" x14ac:dyDescent="0.25">
      <c r="A342" s="12">
        <v>832</v>
      </c>
      <c r="B342" s="135">
        <v>0</v>
      </c>
      <c r="C342" s="136">
        <v>2</v>
      </c>
      <c r="D342" s="141">
        <v>0</v>
      </c>
      <c r="E342" s="18" t="str">
        <f t="shared" si="20"/>
        <v>LESIONADO</v>
      </c>
      <c r="F342" s="136" t="s">
        <v>95</v>
      </c>
      <c r="G342" s="21">
        <v>5.3269719444444439</v>
      </c>
      <c r="H342" s="21">
        <v>-72.389151111111119</v>
      </c>
      <c r="I342" s="93" t="s">
        <v>697</v>
      </c>
      <c r="J342" s="36" t="s">
        <v>717</v>
      </c>
      <c r="K342" s="24" t="str">
        <f t="shared" si="21"/>
        <v>2024</v>
      </c>
      <c r="L342" s="24" t="str">
        <f t="shared" si="22"/>
        <v>DICIEMBRE</v>
      </c>
      <c r="M342" s="224">
        <v>45636</v>
      </c>
      <c r="N342" s="24" t="str">
        <f t="shared" si="23"/>
        <v>MARTES</v>
      </c>
      <c r="O342" s="171">
        <v>0.57430555555555551</v>
      </c>
      <c r="P342" s="178" t="s">
        <v>469</v>
      </c>
      <c r="Q342" s="178" t="s">
        <v>469</v>
      </c>
      <c r="R342" s="36">
        <f>COUNTIF(Tabla1[[#This Row],[VEHICULOS_ACCIDENTADOS]:[VEHICULOS_ACCIDENTADOS2]],"MOTOCICLETA")</f>
        <v>2</v>
      </c>
      <c r="S342" s="36">
        <f>COUNTIF(Tabla1[[#This Row],[VEHICULOS_ACCIDENTADOS]:[VEHICULOS_ACCIDENTADOS2]],"MOTOCARRO")</f>
        <v>0</v>
      </c>
      <c r="T342" s="36">
        <f>COUNTIF(Tabla1[[#This Row],[VEHICULOS_ACCIDENTADOS]:[VEHICULOS_ACCIDENTADOS2]],"AUTOMOVIL")</f>
        <v>0</v>
      </c>
      <c r="U342" s="36">
        <f>COUNTIF(Tabla1[[#This Row],[VEHICULOS_ACCIDENTADOS]:[VEHICULOS_ACCIDENTADOS2]],"CAMPERO")</f>
        <v>0</v>
      </c>
      <c r="V342" s="36">
        <f>COUNTIF(Tabla1[[#This Row],[VEHICULOS_ACCIDENTADOS]:[VEHICULOS_ACCIDENTADOS2]],"CAMIONETA")</f>
        <v>0</v>
      </c>
      <c r="W342" s="36">
        <f>COUNTIF(Tabla1[[#This Row],[VEHICULOS_ACCIDENTADOS]:[VEHICULOS_ACCIDENTADOS2]],"MICROBUS")</f>
        <v>0</v>
      </c>
      <c r="X342" s="36">
        <f>COUNTIF(Tabla1[[#This Row],[VEHICULOS_ACCIDENTADOS]:[VEHICULOS_ACCIDENTADOS2]],"BUS")</f>
        <v>0</v>
      </c>
      <c r="Y342" s="36">
        <f>COUNTIF(Tabla1[[#This Row],[VEHICULOS_ACCIDENTADOS]:[VEHICULOS_ACCIDENTADOS2]],"BUSETA")</f>
        <v>0</v>
      </c>
      <c r="Z342" s="36">
        <f>COUNTIF(Tabla1[[#This Row],[VEHICULOS_ACCIDENTADOS]:[VEHICULOS_ACCIDENTADOS2]],"CAMION")</f>
        <v>0</v>
      </c>
      <c r="AA342" s="36">
        <f>COUNTIF(Tabla1[[#This Row],[VEHICULOS_ACCIDENTADOS]:[VEHICULOS_ACCIDENTADOS2]],"TRACTOCAMION")</f>
        <v>0</v>
      </c>
      <c r="AB342" s="36">
        <f>COUNTIF(Tabla1[[#This Row],[VEHICULOS_ACCIDENTADOS]:[VEHICULOS_ACCIDENTADOS2]],"VOLQUETA")</f>
        <v>0</v>
      </c>
      <c r="AC342" s="36">
        <f>COUNTIF(Tabla1[[#This Row],[VEHICULOS_ACCIDENTADOS]:[VEHICULOS_ACCIDENTADOS2]],"BICICLETA")</f>
        <v>0</v>
      </c>
      <c r="AD342" s="136" t="s">
        <v>471</v>
      </c>
      <c r="AE342" s="136"/>
      <c r="AF342" s="136">
        <f>COUNTIF(Tabla1[[#This Row],[GENERO_MASCULINO]:[GENERO_FEMENINO]],"MASCULINO")</f>
        <v>1</v>
      </c>
      <c r="AG342" s="36">
        <f>COUNTIF(Tabla1[[#This Row],[GENERO_MASCULINO]:[GENERO_FEMENINO]],"FEMENINO")</f>
        <v>0</v>
      </c>
      <c r="AH342" s="85">
        <v>58</v>
      </c>
      <c r="AI342" s="85">
        <v>30</v>
      </c>
      <c r="AJ342" s="85"/>
      <c r="AK342" s="85"/>
      <c r="AL342" s="85"/>
      <c r="AM342" s="136"/>
      <c r="AN342" s="85">
        <v>123</v>
      </c>
      <c r="AO342" s="36" t="str">
        <f>IFERROR(((VLOOKUP(Tabla1[[#This Row],[HIPOTESIS_1]],listas!$D$1:$E$105,2,FALSE))),"SIN INFORMACIÓN")</f>
        <v>No respetar prelación de intersecciones o giros.</v>
      </c>
      <c r="AP342" s="136">
        <v>116</v>
      </c>
      <c r="AQ342" s="36" t="str">
        <f>IFERROR(((VLOOKUP(Tabla1[[#This Row],[HIPOTESIS_2]],listas!$D$1:$E$105,2,FALSE))),"")</f>
        <v>Exceso de velocidad</v>
      </c>
      <c r="AR342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343" spans="1:44" x14ac:dyDescent="0.25">
      <c r="A343" s="12">
        <v>271</v>
      </c>
      <c r="B343" s="36">
        <v>0</v>
      </c>
      <c r="C343" s="36">
        <v>0</v>
      </c>
      <c r="D343" s="36">
        <v>1</v>
      </c>
      <c r="E343" s="18" t="str">
        <f t="shared" si="20"/>
        <v>FALLECIDO</v>
      </c>
      <c r="F343" s="29" t="s">
        <v>1134</v>
      </c>
      <c r="G343" s="17">
        <v>5.3230416666666667</v>
      </c>
      <c r="H343" s="17">
        <v>-72.385938888888901</v>
      </c>
      <c r="I343" s="93" t="s">
        <v>697</v>
      </c>
      <c r="J343" s="36" t="s">
        <v>717</v>
      </c>
      <c r="K343" s="24" t="str">
        <f t="shared" si="21"/>
        <v>2022</v>
      </c>
      <c r="L343" s="24" t="str">
        <f t="shared" si="22"/>
        <v>AGOSTO</v>
      </c>
      <c r="M343" s="225">
        <v>44780</v>
      </c>
      <c r="N343" s="24" t="str">
        <f t="shared" si="23"/>
        <v>DOMINGO</v>
      </c>
      <c r="O343" s="102">
        <v>0.180555555555556</v>
      </c>
      <c r="P343" s="53" t="s">
        <v>447</v>
      </c>
      <c r="Q343" s="53"/>
      <c r="R343" s="36">
        <f>COUNTIF(Tabla1[[#This Row],[VEHICULOS_ACCIDENTADOS]:[VEHICULOS_ACCIDENTADOS2]],"MOTOCICLETA")</f>
        <v>0</v>
      </c>
      <c r="S343" s="36">
        <f>COUNTIF(Tabla1[[#This Row],[VEHICULOS_ACCIDENTADOS]:[VEHICULOS_ACCIDENTADOS2]],"MOTOCARRO")</f>
        <v>0</v>
      </c>
      <c r="T343" s="36">
        <f>COUNTIF(Tabla1[[#This Row],[VEHICULOS_ACCIDENTADOS]:[VEHICULOS_ACCIDENTADOS2]],"AUTOMOVIL")</f>
        <v>1</v>
      </c>
      <c r="U343" s="36">
        <f>COUNTIF(Tabla1[[#This Row],[VEHICULOS_ACCIDENTADOS]:[VEHICULOS_ACCIDENTADOS2]],"CAMPERO")</f>
        <v>0</v>
      </c>
      <c r="V343" s="36">
        <f>COUNTIF(Tabla1[[#This Row],[VEHICULOS_ACCIDENTADOS]:[VEHICULOS_ACCIDENTADOS2]],"CAMIONETA")</f>
        <v>0</v>
      </c>
      <c r="W343" s="36">
        <f>COUNTIF(Tabla1[[#This Row],[VEHICULOS_ACCIDENTADOS]:[VEHICULOS_ACCIDENTADOS2]],"MICROBUS")</f>
        <v>0</v>
      </c>
      <c r="X343" s="36">
        <f>COUNTIF(Tabla1[[#This Row],[VEHICULOS_ACCIDENTADOS]:[VEHICULOS_ACCIDENTADOS2]],"BUS")</f>
        <v>0</v>
      </c>
      <c r="Y343" s="36">
        <f>COUNTIF(Tabla1[[#This Row],[VEHICULOS_ACCIDENTADOS]:[VEHICULOS_ACCIDENTADOS2]],"BUSETA")</f>
        <v>0</v>
      </c>
      <c r="Z343" s="36">
        <f>COUNTIF(Tabla1[[#This Row],[VEHICULOS_ACCIDENTADOS]:[VEHICULOS_ACCIDENTADOS2]],"CAMION")</f>
        <v>0</v>
      </c>
      <c r="AA343" s="36">
        <f>COUNTIF(Tabla1[[#This Row],[VEHICULOS_ACCIDENTADOS]:[VEHICULOS_ACCIDENTADOS2]],"TRACTOCAMION")</f>
        <v>0</v>
      </c>
      <c r="AB343" s="36">
        <f>COUNTIF(Tabla1[[#This Row],[VEHICULOS_ACCIDENTADOS]:[VEHICULOS_ACCIDENTADOS2]],"VOLQUETA")</f>
        <v>0</v>
      </c>
      <c r="AC343" s="36">
        <f>COUNTIF(Tabla1[[#This Row],[VEHICULOS_ACCIDENTADOS]:[VEHICULOS_ACCIDENTADOS2]],"BICICLETA")</f>
        <v>0</v>
      </c>
      <c r="AD343" s="36"/>
      <c r="AE343" s="36" t="s">
        <v>472</v>
      </c>
      <c r="AF343" s="36">
        <f>COUNTIF(Tabla1[[#This Row],[GENERO_MASCULINO]:[GENERO_FEMENINO]],"MASCULINO")</f>
        <v>0</v>
      </c>
      <c r="AG343" s="36">
        <f>COUNTIF(Tabla1[[#This Row],[GENERO_MASCULINO]:[GENERO_FEMENINO]],"FEMENINO")</f>
        <v>1</v>
      </c>
      <c r="AH343" s="61"/>
      <c r="AI343" s="61"/>
      <c r="AJ343" s="61"/>
      <c r="AK343" s="61"/>
      <c r="AL343" s="61"/>
      <c r="AM343" s="36">
        <v>28</v>
      </c>
      <c r="AN343" s="61">
        <v>114</v>
      </c>
      <c r="AO343" s="36" t="str">
        <f>IFERROR(((VLOOKUP(Tabla1[[#This Row],[HIPOTESIS_1]],listas!$D$1:$E$105,2,FALSE))),"SIN INFORMACIÓN")</f>
        <v>Embriaguez aparente.</v>
      </c>
      <c r="AP343" s="36">
        <v>116</v>
      </c>
      <c r="AQ343" s="36" t="str">
        <f>IFERROR(((VLOOKUP(Tabla1[[#This Row],[HIPOTESIS_2]],listas!$D$1:$E$105,2,FALSE))),"")</f>
        <v>Exceso de velocidad</v>
      </c>
      <c r="AR343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344" spans="1:44" x14ac:dyDescent="0.25">
      <c r="A344" s="12">
        <v>963</v>
      </c>
      <c r="B344" s="136">
        <v>0</v>
      </c>
      <c r="C344" s="136">
        <v>1</v>
      </c>
      <c r="D344" s="136">
        <v>0</v>
      </c>
      <c r="E344" s="18" t="str">
        <f t="shared" si="20"/>
        <v>LESIONADO</v>
      </c>
      <c r="F344" s="26" t="s">
        <v>1145</v>
      </c>
      <c r="G344" s="20">
        <v>5.3396363888888887</v>
      </c>
      <c r="H344" s="20">
        <v>-72.392344444444447</v>
      </c>
      <c r="I344" s="93" t="s">
        <v>697</v>
      </c>
      <c r="J344" s="135" t="s">
        <v>717</v>
      </c>
      <c r="K344" s="24" t="str">
        <f t="shared" si="21"/>
        <v>2025</v>
      </c>
      <c r="L344" s="24" t="str">
        <f t="shared" si="22"/>
        <v>MAYO</v>
      </c>
      <c r="M344" s="224">
        <v>45789</v>
      </c>
      <c r="N344" s="24" t="str">
        <f t="shared" si="23"/>
        <v>LUNES</v>
      </c>
      <c r="O344" s="171">
        <v>0.78472222222222221</v>
      </c>
      <c r="P344" s="63" t="s">
        <v>469</v>
      </c>
      <c r="Q344" s="63"/>
      <c r="R344" s="36">
        <f>COUNTIF(Tabla1[[#This Row],[VEHICULOS_ACCIDENTADOS]:[VEHICULOS_ACCIDENTADOS2]],"MOTOCICLETA")</f>
        <v>1</v>
      </c>
      <c r="S344" s="36">
        <f>COUNTIF(Tabla1[[#This Row],[VEHICULOS_ACCIDENTADOS]:[VEHICULOS_ACCIDENTADOS2]],"MOTOCARRO")</f>
        <v>0</v>
      </c>
      <c r="T344" s="36">
        <f>COUNTIF(Tabla1[[#This Row],[VEHICULOS_ACCIDENTADOS]:[VEHICULOS_ACCIDENTADOS2]],"AUTOMOVIL")</f>
        <v>0</v>
      </c>
      <c r="U344" s="36">
        <f>COUNTIF(Tabla1[[#This Row],[VEHICULOS_ACCIDENTADOS]:[VEHICULOS_ACCIDENTADOS2]],"CAMPERO")</f>
        <v>0</v>
      </c>
      <c r="V344" s="36">
        <f>COUNTIF(Tabla1[[#This Row],[VEHICULOS_ACCIDENTADOS]:[VEHICULOS_ACCIDENTADOS2]],"CAMIONETA")</f>
        <v>0</v>
      </c>
      <c r="W344" s="36">
        <f>COUNTIF(Tabla1[[#This Row],[VEHICULOS_ACCIDENTADOS]:[VEHICULOS_ACCIDENTADOS2]],"MICROBUS")</f>
        <v>0</v>
      </c>
      <c r="X344" s="36">
        <f>COUNTIF(Tabla1[[#This Row],[VEHICULOS_ACCIDENTADOS]:[VEHICULOS_ACCIDENTADOS2]],"BUS")</f>
        <v>0</v>
      </c>
      <c r="Y344" s="36">
        <f>COUNTIF(Tabla1[[#This Row],[VEHICULOS_ACCIDENTADOS]:[VEHICULOS_ACCIDENTADOS2]],"BUSETA")</f>
        <v>0</v>
      </c>
      <c r="Z344" s="36">
        <f>COUNTIF(Tabla1[[#This Row],[VEHICULOS_ACCIDENTADOS]:[VEHICULOS_ACCIDENTADOS2]],"CAMION")</f>
        <v>0</v>
      </c>
      <c r="AA344" s="36">
        <f>COUNTIF(Tabla1[[#This Row],[VEHICULOS_ACCIDENTADOS]:[VEHICULOS_ACCIDENTADOS2]],"TRACTOCAMION")</f>
        <v>0</v>
      </c>
      <c r="AB344" s="36">
        <f>COUNTIF(Tabla1[[#This Row],[VEHICULOS_ACCIDENTADOS]:[VEHICULOS_ACCIDENTADOS2]],"VOLQUETA")</f>
        <v>0</v>
      </c>
      <c r="AC344" s="36">
        <f>COUNTIF(Tabla1[[#This Row],[VEHICULOS_ACCIDENTADOS]:[VEHICULOS_ACCIDENTADOS2]],"BICICLETA")</f>
        <v>0</v>
      </c>
      <c r="AD344" s="36" t="s">
        <v>471</v>
      </c>
      <c r="AE344" s="36"/>
      <c r="AF344" s="36">
        <f>COUNTIF(Tabla1[[#This Row],[GENERO_MASCULINO]:[GENERO_FEMENINO]],"MASCULINO")</f>
        <v>1</v>
      </c>
      <c r="AG344" s="36">
        <f>COUNTIF(Tabla1[[#This Row],[GENERO_MASCULINO]:[GENERO_FEMENINO]],"FEMENINO")</f>
        <v>0</v>
      </c>
      <c r="AH344" s="85">
        <v>24</v>
      </c>
      <c r="AI344" s="85"/>
      <c r="AJ344" s="85"/>
      <c r="AK344" s="85"/>
      <c r="AL344" s="78"/>
      <c r="AM344" s="59"/>
      <c r="AN344" s="85">
        <v>102</v>
      </c>
      <c r="AO344" s="36" t="str">
        <f>IFERROR(((VLOOKUP(Tabla1[[#This Row],[HIPOTESIS_1]],listas!$D$1:$E$105,2,FALSE))),"SIN INFORMACIÓN")</f>
        <v>Adelantar por la derecha.</v>
      </c>
      <c r="AP344" s="36">
        <v>116</v>
      </c>
      <c r="AQ344" s="36" t="str">
        <f>IFERROR(((VLOOKUP(Tabla1[[#This Row],[HIPOTESIS_2]],listas!$D$1:$E$105,2,FALSE))),"")</f>
        <v>Exceso de velocidad</v>
      </c>
      <c r="AR344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345" spans="1:44" x14ac:dyDescent="0.25">
      <c r="A345" s="12">
        <v>1039</v>
      </c>
      <c r="B345" s="137">
        <v>0</v>
      </c>
      <c r="C345" s="137">
        <v>2</v>
      </c>
      <c r="D345" s="137">
        <v>0</v>
      </c>
      <c r="E345" s="18" t="str">
        <f t="shared" si="20"/>
        <v>LESIONADO</v>
      </c>
      <c r="F345" s="137" t="s">
        <v>1082</v>
      </c>
      <c r="G345" s="30">
        <v>5.3322469999999997</v>
      </c>
      <c r="H345" s="30">
        <v>-72.380782999999994</v>
      </c>
      <c r="I345" s="93" t="s">
        <v>697</v>
      </c>
      <c r="J345" s="36" t="s">
        <v>717</v>
      </c>
      <c r="K345" s="24" t="str">
        <f t="shared" si="21"/>
        <v>2025</v>
      </c>
      <c r="L345" s="24" t="str">
        <f t="shared" si="22"/>
        <v>AGOSTO</v>
      </c>
      <c r="M345" s="225">
        <v>45877</v>
      </c>
      <c r="N345" s="24" t="str">
        <f t="shared" si="23"/>
        <v>VIERNES</v>
      </c>
      <c r="O345" s="101">
        <v>0.49305555555555558</v>
      </c>
      <c r="P345" s="63" t="s">
        <v>469</v>
      </c>
      <c r="Q345" s="63" t="s">
        <v>469</v>
      </c>
      <c r="R345" s="36">
        <f>COUNTIF(Tabla1[[#This Row],[VEHICULOS_ACCIDENTADOS]:[VEHICULOS_ACCIDENTADOS2]],"MOTOCICLETA")</f>
        <v>2</v>
      </c>
      <c r="S345" s="36">
        <f>COUNTIF(Tabla1[[#This Row],[VEHICULOS_ACCIDENTADOS]:[VEHICULOS_ACCIDENTADOS2]],"MOTOCARRO")</f>
        <v>0</v>
      </c>
      <c r="T345" s="36">
        <f>COUNTIF(Tabla1[[#This Row],[VEHICULOS_ACCIDENTADOS]:[VEHICULOS_ACCIDENTADOS2]],"AUTOMOVIL")</f>
        <v>0</v>
      </c>
      <c r="U345" s="36">
        <f>COUNTIF(Tabla1[[#This Row],[VEHICULOS_ACCIDENTADOS]:[VEHICULOS_ACCIDENTADOS2]],"CAMPERO")</f>
        <v>0</v>
      </c>
      <c r="V345" s="36">
        <f>COUNTIF(Tabla1[[#This Row],[VEHICULOS_ACCIDENTADOS]:[VEHICULOS_ACCIDENTADOS2]],"CAMIONETA")</f>
        <v>0</v>
      </c>
      <c r="W345" s="36">
        <f>COUNTIF(Tabla1[[#This Row],[VEHICULOS_ACCIDENTADOS]:[VEHICULOS_ACCIDENTADOS2]],"MICROBUS")</f>
        <v>0</v>
      </c>
      <c r="X345" s="36">
        <f>COUNTIF(Tabla1[[#This Row],[VEHICULOS_ACCIDENTADOS]:[VEHICULOS_ACCIDENTADOS2]],"BUS")</f>
        <v>0</v>
      </c>
      <c r="Y345" s="36">
        <f>COUNTIF(Tabla1[[#This Row],[VEHICULOS_ACCIDENTADOS]:[VEHICULOS_ACCIDENTADOS2]],"BUSETA")</f>
        <v>0</v>
      </c>
      <c r="Z345" s="36">
        <f>COUNTIF(Tabla1[[#This Row],[VEHICULOS_ACCIDENTADOS]:[VEHICULOS_ACCIDENTADOS2]],"CAMION")</f>
        <v>0</v>
      </c>
      <c r="AA345" s="36">
        <f>COUNTIF(Tabla1[[#This Row],[VEHICULOS_ACCIDENTADOS]:[VEHICULOS_ACCIDENTADOS2]],"TRACTOCAMION")</f>
        <v>0</v>
      </c>
      <c r="AB345" s="36">
        <f>COUNTIF(Tabla1[[#This Row],[VEHICULOS_ACCIDENTADOS]:[VEHICULOS_ACCIDENTADOS2]],"VOLQUETA")</f>
        <v>0</v>
      </c>
      <c r="AC345" s="36">
        <f>COUNTIF(Tabla1[[#This Row],[VEHICULOS_ACCIDENTADOS]:[VEHICULOS_ACCIDENTADOS2]],"BICICLETA")</f>
        <v>0</v>
      </c>
      <c r="AD345" s="61" t="s">
        <v>471</v>
      </c>
      <c r="AE345" s="61" t="s">
        <v>472</v>
      </c>
      <c r="AF345" s="36">
        <f>COUNTIF(Tabla1[[#This Row],[GENERO_MASCULINO]:[GENERO_FEMENINO]],"MASCULINO")</f>
        <v>1</v>
      </c>
      <c r="AG345" s="36">
        <f>COUNTIF(Tabla1[[#This Row],[GENERO_MASCULINO]:[GENERO_FEMENINO]],"FEMENINO")</f>
        <v>1</v>
      </c>
      <c r="AH345" s="85">
        <v>58</v>
      </c>
      <c r="AI345" s="85">
        <v>22</v>
      </c>
      <c r="AJ345" s="85"/>
      <c r="AK345" s="78"/>
      <c r="AL345" s="78"/>
      <c r="AM345" s="59"/>
      <c r="AN345" s="61">
        <v>139</v>
      </c>
      <c r="AO345" s="59" t="str">
        <f>IFERROR(((VLOOKUP(Tabla1[[#This Row],[HIPOTESIS_1]],listas!$D$1:$E$105,2,FALSE))),"SIN INFORMACIÓN")</f>
        <v>Impericia en el manejo.</v>
      </c>
      <c r="AP345" s="36">
        <v>116</v>
      </c>
      <c r="AQ345" s="36" t="str">
        <f>IFERROR(((VLOOKUP(Tabla1[[#This Row],[HIPOTESIS_2]],listas!$D$1:$E$105,2,FALSE))),"")</f>
        <v>Exceso de velocidad</v>
      </c>
      <c r="AR345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346" spans="1:44" x14ac:dyDescent="0.25">
      <c r="A346" s="12">
        <v>263</v>
      </c>
      <c r="B346" s="36">
        <v>0</v>
      </c>
      <c r="C346" s="36">
        <v>1</v>
      </c>
      <c r="D346" s="36">
        <v>0</v>
      </c>
      <c r="E346" s="18" t="str">
        <f t="shared" si="20"/>
        <v>LESIONADO</v>
      </c>
      <c r="F346" s="29" t="s">
        <v>336</v>
      </c>
      <c r="G346" s="17">
        <v>5.3410130555555551</v>
      </c>
      <c r="H346" s="17">
        <v>-72.38615611111112</v>
      </c>
      <c r="I346" s="93" t="s">
        <v>697</v>
      </c>
      <c r="J346" s="36" t="s">
        <v>717</v>
      </c>
      <c r="K346" s="24" t="str">
        <f t="shared" si="21"/>
        <v>2022</v>
      </c>
      <c r="L346" s="24" t="str">
        <f t="shared" si="22"/>
        <v>JULIO</v>
      </c>
      <c r="M346" s="225">
        <v>44772</v>
      </c>
      <c r="N346" s="24" t="str">
        <f t="shared" si="23"/>
        <v>SÁBADO</v>
      </c>
      <c r="O346" s="102">
        <v>0.64583333333333304</v>
      </c>
      <c r="P346" s="53" t="s">
        <v>469</v>
      </c>
      <c r="Q346" s="53" t="s">
        <v>447</v>
      </c>
      <c r="R346" s="36">
        <f>COUNTIF(Tabla1[[#This Row],[VEHICULOS_ACCIDENTADOS]:[VEHICULOS_ACCIDENTADOS2]],"MOTOCICLETA")</f>
        <v>1</v>
      </c>
      <c r="S346" s="36">
        <f>COUNTIF(Tabla1[[#This Row],[VEHICULOS_ACCIDENTADOS]:[VEHICULOS_ACCIDENTADOS2]],"MOTOCARRO")</f>
        <v>0</v>
      </c>
      <c r="T346" s="36">
        <f>COUNTIF(Tabla1[[#This Row],[VEHICULOS_ACCIDENTADOS]:[VEHICULOS_ACCIDENTADOS2]],"AUTOMOVIL")</f>
        <v>1</v>
      </c>
      <c r="U346" s="36">
        <f>COUNTIF(Tabla1[[#This Row],[VEHICULOS_ACCIDENTADOS]:[VEHICULOS_ACCIDENTADOS2]],"CAMPERO")</f>
        <v>0</v>
      </c>
      <c r="V346" s="36">
        <f>COUNTIF(Tabla1[[#This Row],[VEHICULOS_ACCIDENTADOS]:[VEHICULOS_ACCIDENTADOS2]],"CAMIONETA")</f>
        <v>0</v>
      </c>
      <c r="W346" s="36">
        <f>COUNTIF(Tabla1[[#This Row],[VEHICULOS_ACCIDENTADOS]:[VEHICULOS_ACCIDENTADOS2]],"MICROBUS")</f>
        <v>0</v>
      </c>
      <c r="X346" s="36">
        <f>COUNTIF(Tabla1[[#This Row],[VEHICULOS_ACCIDENTADOS]:[VEHICULOS_ACCIDENTADOS2]],"BUS")</f>
        <v>0</v>
      </c>
      <c r="Y346" s="36">
        <f>COUNTIF(Tabla1[[#This Row],[VEHICULOS_ACCIDENTADOS]:[VEHICULOS_ACCIDENTADOS2]],"BUSETA")</f>
        <v>0</v>
      </c>
      <c r="Z346" s="36">
        <f>COUNTIF(Tabla1[[#This Row],[VEHICULOS_ACCIDENTADOS]:[VEHICULOS_ACCIDENTADOS2]],"CAMION")</f>
        <v>0</v>
      </c>
      <c r="AA346" s="36">
        <f>COUNTIF(Tabla1[[#This Row],[VEHICULOS_ACCIDENTADOS]:[VEHICULOS_ACCIDENTADOS2]],"TRACTOCAMION")</f>
        <v>0</v>
      </c>
      <c r="AB346" s="36">
        <f>COUNTIF(Tabla1[[#This Row],[VEHICULOS_ACCIDENTADOS]:[VEHICULOS_ACCIDENTADOS2]],"VOLQUETA")</f>
        <v>0</v>
      </c>
      <c r="AC346" s="36">
        <f>COUNTIF(Tabla1[[#This Row],[VEHICULOS_ACCIDENTADOS]:[VEHICULOS_ACCIDENTADOS2]],"BICICLETA")</f>
        <v>0</v>
      </c>
      <c r="AD346" s="36" t="s">
        <v>471</v>
      </c>
      <c r="AE346" s="36"/>
      <c r="AF346" s="36">
        <f>COUNTIF(Tabla1[[#This Row],[GENERO_MASCULINO]:[GENERO_FEMENINO]],"MASCULINO")</f>
        <v>1</v>
      </c>
      <c r="AG346" s="36">
        <f>COUNTIF(Tabla1[[#This Row],[GENERO_MASCULINO]:[GENERO_FEMENINO]],"FEMENINO")</f>
        <v>0</v>
      </c>
      <c r="AH346" s="61">
        <v>36</v>
      </c>
      <c r="AI346" s="61"/>
      <c r="AJ346" s="61"/>
      <c r="AK346" s="61"/>
      <c r="AL346" s="61"/>
      <c r="AM346" s="36"/>
      <c r="AN346" s="61">
        <v>157</v>
      </c>
      <c r="AO346" s="36" t="str">
        <f>IFERROR(((VLOOKUP(Tabla1[[#This Row],[HIPOTESIS_1]],listas!$D$1:$E$105,2,FALSE))),"SIN INFORMACIÓN")</f>
        <v>Otra</v>
      </c>
      <c r="AP346" s="36">
        <v>116</v>
      </c>
      <c r="AQ346" s="36" t="str">
        <f>IFERROR(((VLOOKUP(Tabla1[[#This Row],[HIPOTESIS_2]],listas!$D$1:$E$105,2,FALSE))),"")</f>
        <v>Exceso de velocidad</v>
      </c>
      <c r="AR346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347" spans="1:44" x14ac:dyDescent="0.25">
      <c r="A347" s="12">
        <v>458</v>
      </c>
      <c r="B347" s="36">
        <v>0</v>
      </c>
      <c r="C347" s="36">
        <v>1</v>
      </c>
      <c r="D347" s="36">
        <v>0</v>
      </c>
      <c r="E347" s="18" t="str">
        <f t="shared" si="20"/>
        <v>LESIONADO</v>
      </c>
      <c r="F347" s="29" t="s">
        <v>256</v>
      </c>
      <c r="G347" s="17">
        <v>5.3321861111111106</v>
      </c>
      <c r="H347" s="17">
        <v>-72.380799999999994</v>
      </c>
      <c r="I347" s="93" t="s">
        <v>697</v>
      </c>
      <c r="J347" s="36" t="s">
        <v>717</v>
      </c>
      <c r="K347" s="24" t="str">
        <f t="shared" si="21"/>
        <v>2023</v>
      </c>
      <c r="L347" s="24" t="str">
        <f t="shared" si="22"/>
        <v>ABRIL</v>
      </c>
      <c r="M347" s="225">
        <v>45039</v>
      </c>
      <c r="N347" s="24" t="str">
        <f t="shared" si="23"/>
        <v>DOMINGO</v>
      </c>
      <c r="O347" s="101">
        <v>0.11458333333333333</v>
      </c>
      <c r="P347" s="57" t="s">
        <v>447</v>
      </c>
      <c r="Q347" s="57" t="s">
        <v>445</v>
      </c>
      <c r="R347" s="36">
        <f>COUNTIF(Tabla1[[#This Row],[VEHICULOS_ACCIDENTADOS]:[VEHICULOS_ACCIDENTADOS2]],"MOTOCICLETA")</f>
        <v>0</v>
      </c>
      <c r="S347" s="36">
        <f>COUNTIF(Tabla1[[#This Row],[VEHICULOS_ACCIDENTADOS]:[VEHICULOS_ACCIDENTADOS2]],"MOTOCARRO")</f>
        <v>0</v>
      </c>
      <c r="T347" s="36">
        <f>COUNTIF(Tabla1[[#This Row],[VEHICULOS_ACCIDENTADOS]:[VEHICULOS_ACCIDENTADOS2]],"AUTOMOVIL")</f>
        <v>1</v>
      </c>
      <c r="U347" s="36">
        <f>COUNTIF(Tabla1[[#This Row],[VEHICULOS_ACCIDENTADOS]:[VEHICULOS_ACCIDENTADOS2]],"CAMPERO")</f>
        <v>0</v>
      </c>
      <c r="V347" s="36">
        <f>COUNTIF(Tabla1[[#This Row],[VEHICULOS_ACCIDENTADOS]:[VEHICULOS_ACCIDENTADOS2]],"CAMIONETA")</f>
        <v>1</v>
      </c>
      <c r="W347" s="36">
        <f>COUNTIF(Tabla1[[#This Row],[VEHICULOS_ACCIDENTADOS]:[VEHICULOS_ACCIDENTADOS2]],"MICROBUS")</f>
        <v>0</v>
      </c>
      <c r="X347" s="36">
        <f>COUNTIF(Tabla1[[#This Row],[VEHICULOS_ACCIDENTADOS]:[VEHICULOS_ACCIDENTADOS2]],"BUS")</f>
        <v>0</v>
      </c>
      <c r="Y347" s="36">
        <f>COUNTIF(Tabla1[[#This Row],[VEHICULOS_ACCIDENTADOS]:[VEHICULOS_ACCIDENTADOS2]],"BUSETA")</f>
        <v>0</v>
      </c>
      <c r="Z347" s="36">
        <f>COUNTIF(Tabla1[[#This Row],[VEHICULOS_ACCIDENTADOS]:[VEHICULOS_ACCIDENTADOS2]],"CAMION")</f>
        <v>0</v>
      </c>
      <c r="AA347" s="36">
        <f>COUNTIF(Tabla1[[#This Row],[VEHICULOS_ACCIDENTADOS]:[VEHICULOS_ACCIDENTADOS2]],"TRACTOCAMION")</f>
        <v>0</v>
      </c>
      <c r="AB347" s="36">
        <f>COUNTIF(Tabla1[[#This Row],[VEHICULOS_ACCIDENTADOS]:[VEHICULOS_ACCIDENTADOS2]],"VOLQUETA")</f>
        <v>0</v>
      </c>
      <c r="AC347" s="36">
        <f>COUNTIF(Tabla1[[#This Row],[VEHICULOS_ACCIDENTADOS]:[VEHICULOS_ACCIDENTADOS2]],"BICICLETA")</f>
        <v>0</v>
      </c>
      <c r="AD347" s="36" t="s">
        <v>471</v>
      </c>
      <c r="AE347" s="36"/>
      <c r="AF347" s="36">
        <f>COUNTIF(Tabla1[[#This Row],[GENERO_MASCULINO]:[GENERO_FEMENINO]],"MASCULINO")</f>
        <v>1</v>
      </c>
      <c r="AG347" s="36">
        <f>COUNTIF(Tabla1[[#This Row],[GENERO_MASCULINO]:[GENERO_FEMENINO]],"FEMENINO")</f>
        <v>0</v>
      </c>
      <c r="AH347" s="61">
        <v>25</v>
      </c>
      <c r="AI347" s="61"/>
      <c r="AJ347" s="61"/>
      <c r="AK347" s="61"/>
      <c r="AL347" s="61"/>
      <c r="AM347" s="36"/>
      <c r="AN347" s="61">
        <v>132</v>
      </c>
      <c r="AO347" s="36" t="str">
        <f>IFERROR(((VLOOKUP(Tabla1[[#This Row],[HIPOTESIS_1]],listas!$D$1:$E$105,2,FALSE))),"SIN INFORMACIÓN")</f>
        <v>No respetar prelación.</v>
      </c>
      <c r="AP347" s="36">
        <v>116</v>
      </c>
      <c r="AQ347" s="36" t="str">
        <f>IFERROR(((VLOOKUP(Tabla1[[#This Row],[HIPOTESIS_2]],listas!$D$1:$E$105,2,FALSE))),"")</f>
        <v>Exceso de velocidad</v>
      </c>
      <c r="AR347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348" spans="1:44" x14ac:dyDescent="0.25">
      <c r="A348" s="12">
        <v>475</v>
      </c>
      <c r="B348" s="36">
        <v>0</v>
      </c>
      <c r="C348" s="36">
        <v>0</v>
      </c>
      <c r="D348" s="36">
        <v>1</v>
      </c>
      <c r="E348" s="18" t="str">
        <f t="shared" si="20"/>
        <v>FALLECIDO</v>
      </c>
      <c r="F348" s="29" t="s">
        <v>1089</v>
      </c>
      <c r="G348" s="21">
        <v>5.3443944444444442</v>
      </c>
      <c r="H348" s="21">
        <v>-72.384084722222227</v>
      </c>
      <c r="I348" s="93" t="s">
        <v>697</v>
      </c>
      <c r="J348" s="36" t="s">
        <v>717</v>
      </c>
      <c r="K348" s="24" t="str">
        <f t="shared" si="21"/>
        <v>2023</v>
      </c>
      <c r="L348" s="24" t="str">
        <f t="shared" si="22"/>
        <v>MAYO</v>
      </c>
      <c r="M348" s="225">
        <v>45059</v>
      </c>
      <c r="N348" s="24" t="str">
        <f t="shared" si="23"/>
        <v>SÁBADO</v>
      </c>
      <c r="O348" s="101">
        <v>0.34027777777777773</v>
      </c>
      <c r="P348" s="57" t="s">
        <v>469</v>
      </c>
      <c r="Q348" s="57" t="s">
        <v>445</v>
      </c>
      <c r="R348" s="36">
        <f>COUNTIF(Tabla1[[#This Row],[VEHICULOS_ACCIDENTADOS]:[VEHICULOS_ACCIDENTADOS2]],"MOTOCICLETA")</f>
        <v>1</v>
      </c>
      <c r="S348" s="36">
        <f>COUNTIF(Tabla1[[#This Row],[VEHICULOS_ACCIDENTADOS]:[VEHICULOS_ACCIDENTADOS2]],"MOTOCARRO")</f>
        <v>0</v>
      </c>
      <c r="T348" s="36">
        <f>COUNTIF(Tabla1[[#This Row],[VEHICULOS_ACCIDENTADOS]:[VEHICULOS_ACCIDENTADOS2]],"AUTOMOVIL")</f>
        <v>0</v>
      </c>
      <c r="U348" s="36">
        <f>COUNTIF(Tabla1[[#This Row],[VEHICULOS_ACCIDENTADOS]:[VEHICULOS_ACCIDENTADOS2]],"CAMPERO")</f>
        <v>0</v>
      </c>
      <c r="V348" s="36">
        <f>COUNTIF(Tabla1[[#This Row],[VEHICULOS_ACCIDENTADOS]:[VEHICULOS_ACCIDENTADOS2]],"CAMIONETA")</f>
        <v>1</v>
      </c>
      <c r="W348" s="36">
        <f>COUNTIF(Tabla1[[#This Row],[VEHICULOS_ACCIDENTADOS]:[VEHICULOS_ACCIDENTADOS2]],"MICROBUS")</f>
        <v>0</v>
      </c>
      <c r="X348" s="36">
        <f>COUNTIF(Tabla1[[#This Row],[VEHICULOS_ACCIDENTADOS]:[VEHICULOS_ACCIDENTADOS2]],"BUS")</f>
        <v>0</v>
      </c>
      <c r="Y348" s="36">
        <f>COUNTIF(Tabla1[[#This Row],[VEHICULOS_ACCIDENTADOS]:[VEHICULOS_ACCIDENTADOS2]],"BUSETA")</f>
        <v>0</v>
      </c>
      <c r="Z348" s="36">
        <f>COUNTIF(Tabla1[[#This Row],[VEHICULOS_ACCIDENTADOS]:[VEHICULOS_ACCIDENTADOS2]],"CAMION")</f>
        <v>0</v>
      </c>
      <c r="AA348" s="36">
        <f>COUNTIF(Tabla1[[#This Row],[VEHICULOS_ACCIDENTADOS]:[VEHICULOS_ACCIDENTADOS2]],"TRACTOCAMION")</f>
        <v>0</v>
      </c>
      <c r="AB348" s="36">
        <f>COUNTIF(Tabla1[[#This Row],[VEHICULOS_ACCIDENTADOS]:[VEHICULOS_ACCIDENTADOS2]],"VOLQUETA")</f>
        <v>0</v>
      </c>
      <c r="AC348" s="36">
        <f>COUNTIF(Tabla1[[#This Row],[VEHICULOS_ACCIDENTADOS]:[VEHICULOS_ACCIDENTADOS2]],"BICICLETA")</f>
        <v>0</v>
      </c>
      <c r="AD348" s="36" t="s">
        <v>471</v>
      </c>
      <c r="AE348" s="36"/>
      <c r="AF348" s="36">
        <f>COUNTIF(Tabla1[[#This Row],[GENERO_MASCULINO]:[GENERO_FEMENINO]],"MASCULINO")</f>
        <v>1</v>
      </c>
      <c r="AG348" s="36">
        <f>COUNTIF(Tabla1[[#This Row],[GENERO_MASCULINO]:[GENERO_FEMENINO]],"FEMENINO")</f>
        <v>0</v>
      </c>
      <c r="AH348" s="61"/>
      <c r="AI348" s="61"/>
      <c r="AJ348" s="61"/>
      <c r="AK348" s="61"/>
      <c r="AL348" s="61"/>
      <c r="AM348" s="36">
        <v>49</v>
      </c>
      <c r="AN348" s="61">
        <v>112</v>
      </c>
      <c r="AO348" s="36" t="str">
        <f>IFERROR(((VLOOKUP(Tabla1[[#This Row],[HIPOTESIS_1]],listas!$D$1:$E$105,2,FALSE))),"SIN INFORMACIÓN")</f>
        <v>Desobedecer señales o normas de tránsito.</v>
      </c>
      <c r="AP348" s="36">
        <v>116</v>
      </c>
      <c r="AQ348" s="36" t="str">
        <f>IFERROR(((VLOOKUP(Tabla1[[#This Row],[HIPOTESIS_2]],listas!$D$1:$E$105,2,FALSE))),"")</f>
        <v>Exceso de velocidad</v>
      </c>
      <c r="AR348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349" spans="1:44" x14ac:dyDescent="0.25">
      <c r="A349" s="12">
        <v>420</v>
      </c>
      <c r="B349" s="36">
        <v>0</v>
      </c>
      <c r="C349" s="36">
        <v>0</v>
      </c>
      <c r="D349" s="36">
        <v>1</v>
      </c>
      <c r="E349" s="18" t="str">
        <f t="shared" si="20"/>
        <v>FALLECIDO</v>
      </c>
      <c r="F349" s="29" t="s">
        <v>276</v>
      </c>
      <c r="G349" s="21">
        <v>5.3015852777777779</v>
      </c>
      <c r="H349" s="21">
        <v>-72.408192777777785</v>
      </c>
      <c r="I349" s="93" t="s">
        <v>697</v>
      </c>
      <c r="J349" s="36" t="s">
        <v>717</v>
      </c>
      <c r="K349" s="24" t="str">
        <f t="shared" si="21"/>
        <v>2023</v>
      </c>
      <c r="L349" s="24" t="str">
        <f t="shared" si="22"/>
        <v>FEBRERO</v>
      </c>
      <c r="M349" s="225">
        <v>44983</v>
      </c>
      <c r="N349" s="24" t="str">
        <f t="shared" si="23"/>
        <v>DOMINGO</v>
      </c>
      <c r="O349" s="101">
        <v>0.1388888888888889</v>
      </c>
      <c r="P349" s="57" t="s">
        <v>469</v>
      </c>
      <c r="Q349" s="57"/>
      <c r="R349" s="36">
        <f>COUNTIF(Tabla1[[#This Row],[VEHICULOS_ACCIDENTADOS]:[VEHICULOS_ACCIDENTADOS2]],"MOTOCICLETA")</f>
        <v>1</v>
      </c>
      <c r="S349" s="36">
        <f>COUNTIF(Tabla1[[#This Row],[VEHICULOS_ACCIDENTADOS]:[VEHICULOS_ACCIDENTADOS2]],"MOTOCARRO")</f>
        <v>0</v>
      </c>
      <c r="T349" s="36">
        <f>COUNTIF(Tabla1[[#This Row],[VEHICULOS_ACCIDENTADOS]:[VEHICULOS_ACCIDENTADOS2]],"AUTOMOVIL")</f>
        <v>0</v>
      </c>
      <c r="U349" s="36">
        <f>COUNTIF(Tabla1[[#This Row],[VEHICULOS_ACCIDENTADOS]:[VEHICULOS_ACCIDENTADOS2]],"CAMPERO")</f>
        <v>0</v>
      </c>
      <c r="V349" s="36">
        <f>COUNTIF(Tabla1[[#This Row],[VEHICULOS_ACCIDENTADOS]:[VEHICULOS_ACCIDENTADOS2]],"CAMIONETA")</f>
        <v>0</v>
      </c>
      <c r="W349" s="36">
        <f>COUNTIF(Tabla1[[#This Row],[VEHICULOS_ACCIDENTADOS]:[VEHICULOS_ACCIDENTADOS2]],"MICROBUS")</f>
        <v>0</v>
      </c>
      <c r="X349" s="36">
        <f>COUNTIF(Tabla1[[#This Row],[VEHICULOS_ACCIDENTADOS]:[VEHICULOS_ACCIDENTADOS2]],"BUS")</f>
        <v>0</v>
      </c>
      <c r="Y349" s="36">
        <f>COUNTIF(Tabla1[[#This Row],[VEHICULOS_ACCIDENTADOS]:[VEHICULOS_ACCIDENTADOS2]],"BUSETA")</f>
        <v>0</v>
      </c>
      <c r="Z349" s="36">
        <f>COUNTIF(Tabla1[[#This Row],[VEHICULOS_ACCIDENTADOS]:[VEHICULOS_ACCIDENTADOS2]],"CAMION")</f>
        <v>0</v>
      </c>
      <c r="AA349" s="36">
        <f>COUNTIF(Tabla1[[#This Row],[VEHICULOS_ACCIDENTADOS]:[VEHICULOS_ACCIDENTADOS2]],"TRACTOCAMION")</f>
        <v>0</v>
      </c>
      <c r="AB349" s="36">
        <f>COUNTIF(Tabla1[[#This Row],[VEHICULOS_ACCIDENTADOS]:[VEHICULOS_ACCIDENTADOS2]],"VOLQUETA")</f>
        <v>0</v>
      </c>
      <c r="AC349" s="36">
        <f>COUNTIF(Tabla1[[#This Row],[VEHICULOS_ACCIDENTADOS]:[VEHICULOS_ACCIDENTADOS2]],"BICICLETA")</f>
        <v>0</v>
      </c>
      <c r="AD349" s="36" t="s">
        <v>471</v>
      </c>
      <c r="AE349" s="36" t="s">
        <v>472</v>
      </c>
      <c r="AF349" s="36">
        <f>COUNTIF(Tabla1[[#This Row],[GENERO_MASCULINO]:[GENERO_FEMENINO]],"MASCULINO")</f>
        <v>1</v>
      </c>
      <c r="AG349" s="36">
        <f>COUNTIF(Tabla1[[#This Row],[GENERO_MASCULINO]:[GENERO_FEMENINO]],"FEMENINO")</f>
        <v>1</v>
      </c>
      <c r="AH349" s="61"/>
      <c r="AI349" s="61"/>
      <c r="AJ349" s="78"/>
      <c r="AK349" s="61"/>
      <c r="AL349" s="61"/>
      <c r="AM349" s="36">
        <v>31</v>
      </c>
      <c r="AN349" s="61">
        <v>114</v>
      </c>
      <c r="AO349" s="36" t="str">
        <f>IFERROR(((VLOOKUP(Tabla1[[#This Row],[HIPOTESIS_1]],listas!$D$1:$E$105,2,FALSE))),"SIN INFORMACIÓN")</f>
        <v>Embriaguez aparente.</v>
      </c>
      <c r="AP349" s="36">
        <v>116</v>
      </c>
      <c r="AQ349" s="36" t="str">
        <f>IFERROR(((VLOOKUP(Tabla1[[#This Row],[HIPOTESIS_2]],listas!$D$1:$E$105,2,FALSE))),"")</f>
        <v>Exceso de velocidad</v>
      </c>
      <c r="AR349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350" spans="1:44" x14ac:dyDescent="0.25">
      <c r="A350" s="12">
        <v>331</v>
      </c>
      <c r="B350" s="36">
        <v>0</v>
      </c>
      <c r="C350" s="36">
        <v>0</v>
      </c>
      <c r="D350" s="36">
        <v>1</v>
      </c>
      <c r="E350" s="18" t="str">
        <f t="shared" si="20"/>
        <v>FALLECIDO</v>
      </c>
      <c r="F350" s="29" t="s">
        <v>1093</v>
      </c>
      <c r="G350" s="17">
        <v>5.3348411111111105</v>
      </c>
      <c r="H350" s="17">
        <v>-72.372863055555555</v>
      </c>
      <c r="I350" s="93" t="s">
        <v>697</v>
      </c>
      <c r="J350" s="36" t="s">
        <v>717</v>
      </c>
      <c r="K350" s="24" t="str">
        <f t="shared" si="21"/>
        <v>2022</v>
      </c>
      <c r="L350" s="24" t="str">
        <f t="shared" si="22"/>
        <v>OCTUBRE</v>
      </c>
      <c r="M350" s="225">
        <v>44847</v>
      </c>
      <c r="N350" s="24" t="str">
        <f t="shared" si="23"/>
        <v>JUEVES</v>
      </c>
      <c r="O350" s="102">
        <v>0.57638888888888895</v>
      </c>
      <c r="P350" s="53" t="s">
        <v>469</v>
      </c>
      <c r="Q350" s="53" t="s">
        <v>441</v>
      </c>
      <c r="R350" s="36">
        <f>COUNTIF(Tabla1[[#This Row],[VEHICULOS_ACCIDENTADOS]:[VEHICULOS_ACCIDENTADOS2]],"MOTOCICLETA")</f>
        <v>1</v>
      </c>
      <c r="S350" s="36">
        <f>COUNTIF(Tabla1[[#This Row],[VEHICULOS_ACCIDENTADOS]:[VEHICULOS_ACCIDENTADOS2]],"MOTOCARRO")</f>
        <v>0</v>
      </c>
      <c r="T350" s="36">
        <f>COUNTIF(Tabla1[[#This Row],[VEHICULOS_ACCIDENTADOS]:[VEHICULOS_ACCIDENTADOS2]],"AUTOMOVIL")</f>
        <v>0</v>
      </c>
      <c r="U350" s="36">
        <f>COUNTIF(Tabla1[[#This Row],[VEHICULOS_ACCIDENTADOS]:[VEHICULOS_ACCIDENTADOS2]],"CAMPERO")</f>
        <v>0</v>
      </c>
      <c r="V350" s="36">
        <f>COUNTIF(Tabla1[[#This Row],[VEHICULOS_ACCIDENTADOS]:[VEHICULOS_ACCIDENTADOS2]],"CAMIONETA")</f>
        <v>0</v>
      </c>
      <c r="W350" s="36">
        <f>COUNTIF(Tabla1[[#This Row],[VEHICULOS_ACCIDENTADOS]:[VEHICULOS_ACCIDENTADOS2]],"MICROBUS")</f>
        <v>0</v>
      </c>
      <c r="X350" s="36">
        <f>COUNTIF(Tabla1[[#This Row],[VEHICULOS_ACCIDENTADOS]:[VEHICULOS_ACCIDENTADOS2]],"BUS")</f>
        <v>0</v>
      </c>
      <c r="Y350" s="36">
        <f>COUNTIF(Tabla1[[#This Row],[VEHICULOS_ACCIDENTADOS]:[VEHICULOS_ACCIDENTADOS2]],"BUSETA")</f>
        <v>0</v>
      </c>
      <c r="Z350" s="36">
        <f>COUNTIF(Tabla1[[#This Row],[VEHICULOS_ACCIDENTADOS]:[VEHICULOS_ACCIDENTADOS2]],"CAMION")</f>
        <v>1</v>
      </c>
      <c r="AA350" s="36">
        <f>COUNTIF(Tabla1[[#This Row],[VEHICULOS_ACCIDENTADOS]:[VEHICULOS_ACCIDENTADOS2]],"TRACTOCAMION")</f>
        <v>0</v>
      </c>
      <c r="AB350" s="36">
        <f>COUNTIF(Tabla1[[#This Row],[VEHICULOS_ACCIDENTADOS]:[VEHICULOS_ACCIDENTADOS2]],"VOLQUETA")</f>
        <v>0</v>
      </c>
      <c r="AC350" s="36">
        <f>COUNTIF(Tabla1[[#This Row],[VEHICULOS_ACCIDENTADOS]:[VEHICULOS_ACCIDENTADOS2]],"BICICLETA")</f>
        <v>0</v>
      </c>
      <c r="AD350" s="36" t="s">
        <v>471</v>
      </c>
      <c r="AE350" s="36" t="s">
        <v>472</v>
      </c>
      <c r="AF350" s="36">
        <f>COUNTIF(Tabla1[[#This Row],[GENERO_MASCULINO]:[GENERO_FEMENINO]],"MASCULINO")</f>
        <v>1</v>
      </c>
      <c r="AG350" s="36">
        <f>COUNTIF(Tabla1[[#This Row],[GENERO_MASCULINO]:[GENERO_FEMENINO]],"FEMENINO")</f>
        <v>1</v>
      </c>
      <c r="AH350" s="61"/>
      <c r="AI350" s="61"/>
      <c r="AJ350" s="61"/>
      <c r="AK350" s="61"/>
      <c r="AL350" s="61"/>
      <c r="AM350" s="36">
        <v>75</v>
      </c>
      <c r="AN350" s="61">
        <v>112</v>
      </c>
      <c r="AO350" s="36" t="str">
        <f>IFERROR(((VLOOKUP(Tabla1[[#This Row],[HIPOTESIS_1]],listas!$D$1:$E$105,2,FALSE))),"SIN INFORMACIÓN")</f>
        <v>Desobedecer señales o normas de tránsito.</v>
      </c>
      <c r="AP350" s="36">
        <v>116</v>
      </c>
      <c r="AQ350" s="36" t="str">
        <f>IFERROR(((VLOOKUP(Tabla1[[#This Row],[HIPOTESIS_2]],listas!$D$1:$E$105,2,FALSE))),"")</f>
        <v>Exceso de velocidad</v>
      </c>
      <c r="AR350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351" spans="1:44" x14ac:dyDescent="0.25">
      <c r="A351" s="12">
        <v>493</v>
      </c>
      <c r="B351" s="36">
        <v>0</v>
      </c>
      <c r="C351" s="36">
        <v>0</v>
      </c>
      <c r="D351" s="36">
        <v>1</v>
      </c>
      <c r="E351" s="18" t="str">
        <f t="shared" si="20"/>
        <v>FALLECIDO</v>
      </c>
      <c r="F351" s="29" t="s">
        <v>1094</v>
      </c>
      <c r="G351" s="17">
        <v>5.3187444444444445</v>
      </c>
      <c r="H351" s="17">
        <v>-72.404452777777777</v>
      </c>
      <c r="I351" s="93" t="s">
        <v>697</v>
      </c>
      <c r="J351" s="36" t="s">
        <v>717</v>
      </c>
      <c r="K351" s="24" t="str">
        <f t="shared" si="21"/>
        <v>2023</v>
      </c>
      <c r="L351" s="24" t="str">
        <f t="shared" si="22"/>
        <v>JUNIO</v>
      </c>
      <c r="M351" s="225">
        <v>45078</v>
      </c>
      <c r="N351" s="24" t="str">
        <f t="shared" si="23"/>
        <v>JUEVES</v>
      </c>
      <c r="O351" s="101">
        <v>6.25E-2</v>
      </c>
      <c r="P351" s="57" t="s">
        <v>469</v>
      </c>
      <c r="Q351" s="57"/>
      <c r="R351" s="36">
        <f>COUNTIF(Tabla1[[#This Row],[VEHICULOS_ACCIDENTADOS]:[VEHICULOS_ACCIDENTADOS2]],"MOTOCICLETA")</f>
        <v>1</v>
      </c>
      <c r="S351" s="36">
        <f>COUNTIF(Tabla1[[#This Row],[VEHICULOS_ACCIDENTADOS]:[VEHICULOS_ACCIDENTADOS2]],"MOTOCARRO")</f>
        <v>0</v>
      </c>
      <c r="T351" s="36">
        <f>COUNTIF(Tabla1[[#This Row],[VEHICULOS_ACCIDENTADOS]:[VEHICULOS_ACCIDENTADOS2]],"AUTOMOVIL")</f>
        <v>0</v>
      </c>
      <c r="U351" s="36">
        <f>COUNTIF(Tabla1[[#This Row],[VEHICULOS_ACCIDENTADOS]:[VEHICULOS_ACCIDENTADOS2]],"CAMPERO")</f>
        <v>0</v>
      </c>
      <c r="V351" s="36">
        <f>COUNTIF(Tabla1[[#This Row],[VEHICULOS_ACCIDENTADOS]:[VEHICULOS_ACCIDENTADOS2]],"CAMIONETA")</f>
        <v>0</v>
      </c>
      <c r="W351" s="36">
        <f>COUNTIF(Tabla1[[#This Row],[VEHICULOS_ACCIDENTADOS]:[VEHICULOS_ACCIDENTADOS2]],"MICROBUS")</f>
        <v>0</v>
      </c>
      <c r="X351" s="36">
        <f>COUNTIF(Tabla1[[#This Row],[VEHICULOS_ACCIDENTADOS]:[VEHICULOS_ACCIDENTADOS2]],"BUS")</f>
        <v>0</v>
      </c>
      <c r="Y351" s="36">
        <f>COUNTIF(Tabla1[[#This Row],[VEHICULOS_ACCIDENTADOS]:[VEHICULOS_ACCIDENTADOS2]],"BUSETA")</f>
        <v>0</v>
      </c>
      <c r="Z351" s="36">
        <f>COUNTIF(Tabla1[[#This Row],[VEHICULOS_ACCIDENTADOS]:[VEHICULOS_ACCIDENTADOS2]],"CAMION")</f>
        <v>0</v>
      </c>
      <c r="AA351" s="36">
        <f>COUNTIF(Tabla1[[#This Row],[VEHICULOS_ACCIDENTADOS]:[VEHICULOS_ACCIDENTADOS2]],"TRACTOCAMION")</f>
        <v>0</v>
      </c>
      <c r="AB351" s="36">
        <f>COUNTIF(Tabla1[[#This Row],[VEHICULOS_ACCIDENTADOS]:[VEHICULOS_ACCIDENTADOS2]],"VOLQUETA")</f>
        <v>0</v>
      </c>
      <c r="AC351" s="36">
        <f>COUNTIF(Tabla1[[#This Row],[VEHICULOS_ACCIDENTADOS]:[VEHICULOS_ACCIDENTADOS2]],"BICICLETA")</f>
        <v>0</v>
      </c>
      <c r="AD351" s="36" t="s">
        <v>471</v>
      </c>
      <c r="AE351" s="36"/>
      <c r="AF351" s="36">
        <f>COUNTIF(Tabla1[[#This Row],[GENERO_MASCULINO]:[GENERO_FEMENINO]],"MASCULINO")</f>
        <v>1</v>
      </c>
      <c r="AG351" s="36">
        <f>COUNTIF(Tabla1[[#This Row],[GENERO_MASCULINO]:[GENERO_FEMENINO]],"FEMENINO")</f>
        <v>0</v>
      </c>
      <c r="AH351" s="61"/>
      <c r="AI351" s="61"/>
      <c r="AJ351" s="61"/>
      <c r="AK351" s="61"/>
      <c r="AL351" s="61"/>
      <c r="AM351" s="36">
        <v>19</v>
      </c>
      <c r="AN351" s="61">
        <v>139</v>
      </c>
      <c r="AO351" s="36" t="str">
        <f>IFERROR(((VLOOKUP(Tabla1[[#This Row],[HIPOTESIS_1]],listas!$D$1:$E$105,2,FALSE))),"SIN INFORMACIÓN")</f>
        <v>Impericia en el manejo.</v>
      </c>
      <c r="AP351" s="36">
        <v>116</v>
      </c>
      <c r="AQ351" s="36" t="str">
        <f>IFERROR(((VLOOKUP(Tabla1[[#This Row],[HIPOTESIS_2]],listas!$D$1:$E$105,2,FALSE))),"")</f>
        <v>Exceso de velocidad</v>
      </c>
      <c r="AR351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352" spans="1:44" x14ac:dyDescent="0.25">
      <c r="A352" s="12">
        <v>48</v>
      </c>
      <c r="B352" s="36">
        <v>0</v>
      </c>
      <c r="C352" s="36">
        <v>0</v>
      </c>
      <c r="D352" s="36">
        <v>1</v>
      </c>
      <c r="E352" s="18" t="str">
        <f t="shared" si="20"/>
        <v>FALLECIDO</v>
      </c>
      <c r="F352" s="29" t="s">
        <v>1098</v>
      </c>
      <c r="G352" s="17">
        <v>5.2942388888888887</v>
      </c>
      <c r="H352" s="17">
        <v>-72.402269444444457</v>
      </c>
      <c r="I352" s="93" t="s">
        <v>697</v>
      </c>
      <c r="J352" s="36" t="s">
        <v>717</v>
      </c>
      <c r="K352" s="24" t="str">
        <f t="shared" si="21"/>
        <v>2022</v>
      </c>
      <c r="L352" s="24" t="str">
        <f t="shared" si="22"/>
        <v>FEBRERO</v>
      </c>
      <c r="M352" s="225">
        <v>44605</v>
      </c>
      <c r="N352" s="24" t="str">
        <f t="shared" si="23"/>
        <v>DOMINGO</v>
      </c>
      <c r="O352" s="101">
        <v>0.89583333333333304</v>
      </c>
      <c r="P352" s="63" t="s">
        <v>469</v>
      </c>
      <c r="Q352" s="63"/>
      <c r="R352" s="36">
        <f>COUNTIF(Tabla1[[#This Row],[VEHICULOS_ACCIDENTADOS]:[VEHICULOS_ACCIDENTADOS2]],"MOTOCICLETA")</f>
        <v>1</v>
      </c>
      <c r="S352" s="36">
        <f>COUNTIF(Tabla1[[#This Row],[VEHICULOS_ACCIDENTADOS]:[VEHICULOS_ACCIDENTADOS2]],"MOTOCARRO")</f>
        <v>0</v>
      </c>
      <c r="T352" s="36">
        <f>COUNTIF(Tabla1[[#This Row],[VEHICULOS_ACCIDENTADOS]:[VEHICULOS_ACCIDENTADOS2]],"AUTOMOVIL")</f>
        <v>0</v>
      </c>
      <c r="U352" s="36">
        <f>COUNTIF(Tabla1[[#This Row],[VEHICULOS_ACCIDENTADOS]:[VEHICULOS_ACCIDENTADOS2]],"CAMPERO")</f>
        <v>0</v>
      </c>
      <c r="V352" s="36">
        <f>COUNTIF(Tabla1[[#This Row],[VEHICULOS_ACCIDENTADOS]:[VEHICULOS_ACCIDENTADOS2]],"CAMIONETA")</f>
        <v>0</v>
      </c>
      <c r="W352" s="36">
        <f>COUNTIF(Tabla1[[#This Row],[VEHICULOS_ACCIDENTADOS]:[VEHICULOS_ACCIDENTADOS2]],"MICROBUS")</f>
        <v>0</v>
      </c>
      <c r="X352" s="36">
        <f>COUNTIF(Tabla1[[#This Row],[VEHICULOS_ACCIDENTADOS]:[VEHICULOS_ACCIDENTADOS2]],"BUS")</f>
        <v>0</v>
      </c>
      <c r="Y352" s="36">
        <f>COUNTIF(Tabla1[[#This Row],[VEHICULOS_ACCIDENTADOS]:[VEHICULOS_ACCIDENTADOS2]],"BUSETA")</f>
        <v>0</v>
      </c>
      <c r="Z352" s="36">
        <f>COUNTIF(Tabla1[[#This Row],[VEHICULOS_ACCIDENTADOS]:[VEHICULOS_ACCIDENTADOS2]],"CAMION")</f>
        <v>0</v>
      </c>
      <c r="AA352" s="36">
        <f>COUNTIF(Tabla1[[#This Row],[VEHICULOS_ACCIDENTADOS]:[VEHICULOS_ACCIDENTADOS2]],"TRACTOCAMION")</f>
        <v>0</v>
      </c>
      <c r="AB352" s="36">
        <f>COUNTIF(Tabla1[[#This Row],[VEHICULOS_ACCIDENTADOS]:[VEHICULOS_ACCIDENTADOS2]],"VOLQUETA")</f>
        <v>0</v>
      </c>
      <c r="AC352" s="36">
        <f>COUNTIF(Tabla1[[#This Row],[VEHICULOS_ACCIDENTADOS]:[VEHICULOS_ACCIDENTADOS2]],"BICICLETA")</f>
        <v>0</v>
      </c>
      <c r="AD352" s="36"/>
      <c r="AE352" s="36" t="s">
        <v>472</v>
      </c>
      <c r="AF352" s="36">
        <f>COUNTIF(Tabla1[[#This Row],[GENERO_MASCULINO]:[GENERO_FEMENINO]],"MASCULINO")</f>
        <v>0</v>
      </c>
      <c r="AG352" s="36">
        <f>COUNTIF(Tabla1[[#This Row],[GENERO_MASCULINO]:[GENERO_FEMENINO]],"FEMENINO")</f>
        <v>1</v>
      </c>
      <c r="AH352" s="61"/>
      <c r="AI352" s="61"/>
      <c r="AJ352" s="78"/>
      <c r="AK352" s="61"/>
      <c r="AL352" s="61"/>
      <c r="AM352" s="36">
        <v>31</v>
      </c>
      <c r="AN352" s="61">
        <v>114</v>
      </c>
      <c r="AO352" s="36" t="str">
        <f>IFERROR(((VLOOKUP(Tabla1[[#This Row],[HIPOTESIS_1]],listas!$D$1:$E$105,2,FALSE))),"SIN INFORMACIÓN")</f>
        <v>Embriaguez aparente.</v>
      </c>
      <c r="AP352" s="36">
        <v>116</v>
      </c>
      <c r="AQ352" s="36" t="str">
        <f>IFERROR(((VLOOKUP(Tabla1[[#This Row],[HIPOTESIS_2]],listas!$D$1:$E$105,2,FALSE))),"")</f>
        <v>Exceso de velocidad</v>
      </c>
      <c r="AR352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353" spans="1:44" x14ac:dyDescent="0.25">
      <c r="A353" s="12">
        <v>1062</v>
      </c>
      <c r="B353" s="137">
        <v>0</v>
      </c>
      <c r="C353" s="137">
        <v>2</v>
      </c>
      <c r="D353" s="137">
        <v>0</v>
      </c>
      <c r="E353" s="24" t="str">
        <f t="shared" si="20"/>
        <v>LESIONADO</v>
      </c>
      <c r="F353" s="155" t="s">
        <v>699</v>
      </c>
      <c r="G353" s="30">
        <v>5.3216899399203399</v>
      </c>
      <c r="H353" s="30">
        <v>-72.404666665601496</v>
      </c>
      <c r="I353" s="165" t="s">
        <v>697</v>
      </c>
      <c r="J353" s="36" t="s">
        <v>717</v>
      </c>
      <c r="K353" s="24" t="str">
        <f t="shared" si="21"/>
        <v>2025</v>
      </c>
      <c r="L353" s="24" t="str">
        <f t="shared" si="22"/>
        <v>SEPTIEMBRE</v>
      </c>
      <c r="M353" s="225">
        <v>45909</v>
      </c>
      <c r="N353" s="24" t="str">
        <f t="shared" si="23"/>
        <v>MARTES</v>
      </c>
      <c r="O353" s="101">
        <v>0.27083333333333331</v>
      </c>
      <c r="P353" s="63" t="s">
        <v>438</v>
      </c>
      <c r="Q353" s="63" t="s">
        <v>469</v>
      </c>
      <c r="R353" s="36">
        <f>COUNTIF(Tabla1[[#This Row],[VEHICULOS_ACCIDENTADOS]:[VEHICULOS_ACCIDENTADOS2]],"MOTOCICLETA")</f>
        <v>1</v>
      </c>
      <c r="S353" s="36">
        <f>COUNTIF(Tabla1[[#This Row],[VEHICULOS_ACCIDENTADOS]:[VEHICULOS_ACCIDENTADOS2]],"MOTOCARRO")</f>
        <v>0</v>
      </c>
      <c r="T353" s="36">
        <f>COUNTIF(Tabla1[[#This Row],[VEHICULOS_ACCIDENTADOS]:[VEHICULOS_ACCIDENTADOS2]],"AUTOMOVIL")</f>
        <v>0</v>
      </c>
      <c r="U353" s="36">
        <f>COUNTIF(Tabla1[[#This Row],[VEHICULOS_ACCIDENTADOS]:[VEHICULOS_ACCIDENTADOS2]],"CAMPERO")</f>
        <v>0</v>
      </c>
      <c r="V353" s="36">
        <f>COUNTIF(Tabla1[[#This Row],[VEHICULOS_ACCIDENTADOS]:[VEHICULOS_ACCIDENTADOS2]],"CAMIONETA")</f>
        <v>0</v>
      </c>
      <c r="W353" s="36">
        <f>COUNTIF(Tabla1[[#This Row],[VEHICULOS_ACCIDENTADOS]:[VEHICULOS_ACCIDENTADOS2]],"MICROBUS")</f>
        <v>0</v>
      </c>
      <c r="X353" s="36">
        <f>COUNTIF(Tabla1[[#This Row],[VEHICULOS_ACCIDENTADOS]:[VEHICULOS_ACCIDENTADOS2]],"BUS")</f>
        <v>0</v>
      </c>
      <c r="Y353" s="36">
        <f>COUNTIF(Tabla1[[#This Row],[VEHICULOS_ACCIDENTADOS]:[VEHICULOS_ACCIDENTADOS2]],"BUSETA")</f>
        <v>0</v>
      </c>
      <c r="Z353" s="36">
        <f>COUNTIF(Tabla1[[#This Row],[VEHICULOS_ACCIDENTADOS]:[VEHICULOS_ACCIDENTADOS2]],"CAMION")</f>
        <v>0</v>
      </c>
      <c r="AA353" s="36">
        <f>COUNTIF(Tabla1[[#This Row],[VEHICULOS_ACCIDENTADOS]:[VEHICULOS_ACCIDENTADOS2]],"TRACTOCAMION")</f>
        <v>0</v>
      </c>
      <c r="AB353" s="36">
        <f>COUNTIF(Tabla1[[#This Row],[VEHICULOS_ACCIDENTADOS]:[VEHICULOS_ACCIDENTADOS2]],"VOLQUETA")</f>
        <v>0</v>
      </c>
      <c r="AC353" s="36">
        <f>COUNTIF(Tabla1[[#This Row],[VEHICULOS_ACCIDENTADOS]:[VEHICULOS_ACCIDENTADOS2]],"BICICLETA")</f>
        <v>1</v>
      </c>
      <c r="AD353" s="61" t="s">
        <v>471</v>
      </c>
      <c r="AE353" s="61" t="s">
        <v>471</v>
      </c>
      <c r="AF353" s="36">
        <f>COUNTIF(Tabla1[[#This Row],[GENERO_MASCULINO]:[GENERO_FEMENINO]],"MASCULINO")</f>
        <v>2</v>
      </c>
      <c r="AG353" s="36">
        <f>COUNTIF(Tabla1[[#This Row],[GENERO_MASCULINO]:[GENERO_FEMENINO]],"FEMENINO")</f>
        <v>0</v>
      </c>
      <c r="AH353" s="85">
        <v>67</v>
      </c>
      <c r="AI353" s="85">
        <v>46</v>
      </c>
      <c r="AJ353" s="85"/>
      <c r="AK353" s="78"/>
      <c r="AL353" s="78"/>
      <c r="AM353" s="59"/>
      <c r="AN353" s="61">
        <v>114</v>
      </c>
      <c r="AO353" s="59" t="str">
        <f>IFERROR(((VLOOKUP(Tabla1[[#This Row],[HIPOTESIS_1]],listas!$D$1:$E$105,2,FALSE))),"SIN INFORMACIÓN")</f>
        <v>Embriaguez aparente.</v>
      </c>
      <c r="AP353" s="36">
        <v>116</v>
      </c>
      <c r="AQ353" s="36" t="str">
        <f>IFERROR(((VLOOKUP(Tabla1[[#This Row],[HIPOTESIS_2]],listas!$D$1:$E$105,2,FALSE))),"")</f>
        <v>Exceso de velocidad</v>
      </c>
      <c r="AR353" s="2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354" spans="1:44" x14ac:dyDescent="0.25">
      <c r="A354" s="12">
        <v>66</v>
      </c>
      <c r="B354" s="36">
        <v>0</v>
      </c>
      <c r="C354" s="36">
        <v>1</v>
      </c>
      <c r="D354" s="36">
        <v>0</v>
      </c>
      <c r="E354" s="18" t="str">
        <f t="shared" si="20"/>
        <v>LESIONADO</v>
      </c>
      <c r="F354" s="29" t="s">
        <v>1008</v>
      </c>
      <c r="G354" s="17">
        <v>5.2972333333333328</v>
      </c>
      <c r="H354" s="17">
        <v>-72.397388888888898</v>
      </c>
      <c r="I354" s="93" t="s">
        <v>697</v>
      </c>
      <c r="J354" s="36" t="s">
        <v>717</v>
      </c>
      <c r="K354" s="24" t="str">
        <f t="shared" si="21"/>
        <v>2022</v>
      </c>
      <c r="L354" s="24" t="str">
        <f t="shared" si="22"/>
        <v>FEBRERO</v>
      </c>
      <c r="M354" s="225">
        <v>44616</v>
      </c>
      <c r="N354" s="24" t="str">
        <f t="shared" si="23"/>
        <v>JUEVES</v>
      </c>
      <c r="O354" s="101">
        <v>0.51388888888888895</v>
      </c>
      <c r="P354" s="63" t="s">
        <v>469</v>
      </c>
      <c r="Q354" s="63" t="s">
        <v>447</v>
      </c>
      <c r="R354" s="36">
        <f>COUNTIF(Tabla1[[#This Row],[VEHICULOS_ACCIDENTADOS]:[VEHICULOS_ACCIDENTADOS2]],"MOTOCICLETA")</f>
        <v>1</v>
      </c>
      <c r="S354" s="36">
        <f>COUNTIF(Tabla1[[#This Row],[VEHICULOS_ACCIDENTADOS]:[VEHICULOS_ACCIDENTADOS2]],"MOTOCARRO")</f>
        <v>0</v>
      </c>
      <c r="T354" s="36">
        <f>COUNTIF(Tabla1[[#This Row],[VEHICULOS_ACCIDENTADOS]:[VEHICULOS_ACCIDENTADOS2]],"AUTOMOVIL")</f>
        <v>1</v>
      </c>
      <c r="U354" s="36">
        <f>COUNTIF(Tabla1[[#This Row],[VEHICULOS_ACCIDENTADOS]:[VEHICULOS_ACCIDENTADOS2]],"CAMPERO")</f>
        <v>0</v>
      </c>
      <c r="V354" s="36">
        <f>COUNTIF(Tabla1[[#This Row],[VEHICULOS_ACCIDENTADOS]:[VEHICULOS_ACCIDENTADOS2]],"CAMIONETA")</f>
        <v>0</v>
      </c>
      <c r="W354" s="36">
        <f>COUNTIF(Tabla1[[#This Row],[VEHICULOS_ACCIDENTADOS]:[VEHICULOS_ACCIDENTADOS2]],"MICROBUS")</f>
        <v>0</v>
      </c>
      <c r="X354" s="36">
        <f>COUNTIF(Tabla1[[#This Row],[VEHICULOS_ACCIDENTADOS]:[VEHICULOS_ACCIDENTADOS2]],"BUS")</f>
        <v>0</v>
      </c>
      <c r="Y354" s="36">
        <f>COUNTIF(Tabla1[[#This Row],[VEHICULOS_ACCIDENTADOS]:[VEHICULOS_ACCIDENTADOS2]],"BUSETA")</f>
        <v>0</v>
      </c>
      <c r="Z354" s="36">
        <f>COUNTIF(Tabla1[[#This Row],[VEHICULOS_ACCIDENTADOS]:[VEHICULOS_ACCIDENTADOS2]],"CAMION")</f>
        <v>0</v>
      </c>
      <c r="AA354" s="36">
        <f>COUNTIF(Tabla1[[#This Row],[VEHICULOS_ACCIDENTADOS]:[VEHICULOS_ACCIDENTADOS2]],"TRACTOCAMION")</f>
        <v>0</v>
      </c>
      <c r="AB354" s="36">
        <f>COUNTIF(Tabla1[[#This Row],[VEHICULOS_ACCIDENTADOS]:[VEHICULOS_ACCIDENTADOS2]],"VOLQUETA")</f>
        <v>0</v>
      </c>
      <c r="AC354" s="36">
        <f>COUNTIF(Tabla1[[#This Row],[VEHICULOS_ACCIDENTADOS]:[VEHICULOS_ACCIDENTADOS2]],"BICICLETA")</f>
        <v>0</v>
      </c>
      <c r="AD354" s="36" t="s">
        <v>471</v>
      </c>
      <c r="AE354" s="36"/>
      <c r="AF354" s="36">
        <f>COUNTIF(Tabla1[[#This Row],[GENERO_MASCULINO]:[GENERO_FEMENINO]],"MASCULINO")</f>
        <v>1</v>
      </c>
      <c r="AG354" s="36">
        <f>COUNTIF(Tabla1[[#This Row],[GENERO_MASCULINO]:[GENERO_FEMENINO]],"FEMENINO")</f>
        <v>0</v>
      </c>
      <c r="AH354" s="61">
        <v>20</v>
      </c>
      <c r="AI354" s="61"/>
      <c r="AJ354" s="61"/>
      <c r="AK354" s="61"/>
      <c r="AL354" s="61"/>
      <c r="AM354" s="36"/>
      <c r="AN354" s="61">
        <v>141</v>
      </c>
      <c r="AO354" s="36" t="str">
        <f>IFERROR(((VLOOKUP(Tabla1[[#This Row],[HIPOTESIS_1]],listas!$D$1:$E$105,2,FALSE))),"SIN INFORMACIÓN")</f>
        <v>Vehículo mal estacionado.</v>
      </c>
      <c r="AP354" s="36">
        <v>116</v>
      </c>
      <c r="AQ354" s="36" t="str">
        <f>IFERROR(((VLOOKUP(Tabla1[[#This Row],[HIPOTESIS_2]],listas!$D$1:$E$105,2,FALSE))),"")</f>
        <v>Exceso de velocidad</v>
      </c>
      <c r="AR354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355" spans="1:44" x14ac:dyDescent="0.25">
      <c r="A355" s="12">
        <v>1051</v>
      </c>
      <c r="B355" s="137">
        <v>0</v>
      </c>
      <c r="C355" s="137">
        <v>1</v>
      </c>
      <c r="D355" s="137">
        <v>0</v>
      </c>
      <c r="E355" s="18" t="str">
        <f t="shared" si="20"/>
        <v>LESIONADO</v>
      </c>
      <c r="F355" s="152" t="s">
        <v>1015</v>
      </c>
      <c r="G355" s="37">
        <v>5.3117774000000004</v>
      </c>
      <c r="H355" s="37">
        <v>-72.398182800000001</v>
      </c>
      <c r="I355" s="93" t="s">
        <v>697</v>
      </c>
      <c r="J355" s="36" t="s">
        <v>717</v>
      </c>
      <c r="K355" s="24" t="str">
        <f t="shared" si="21"/>
        <v>2025</v>
      </c>
      <c r="L355" s="24" t="str">
        <f t="shared" si="22"/>
        <v>AGOSTO</v>
      </c>
      <c r="M355" s="225">
        <v>45892</v>
      </c>
      <c r="N355" s="24" t="str">
        <f t="shared" si="23"/>
        <v>SÁBADO</v>
      </c>
      <c r="O355" s="101">
        <v>0.81944444444444453</v>
      </c>
      <c r="P355" s="63" t="s">
        <v>469</v>
      </c>
      <c r="Q355" s="63" t="s">
        <v>469</v>
      </c>
      <c r="R355" s="36">
        <f>COUNTIF(Tabla1[[#This Row],[VEHICULOS_ACCIDENTADOS]:[VEHICULOS_ACCIDENTADOS2]],"MOTOCICLETA")</f>
        <v>2</v>
      </c>
      <c r="S355" s="36">
        <f>COUNTIF(Tabla1[[#This Row],[VEHICULOS_ACCIDENTADOS]:[VEHICULOS_ACCIDENTADOS2]],"MOTOCARRO")</f>
        <v>0</v>
      </c>
      <c r="T355" s="36">
        <f>COUNTIF(Tabla1[[#This Row],[VEHICULOS_ACCIDENTADOS]:[VEHICULOS_ACCIDENTADOS2]],"AUTOMOVIL")</f>
        <v>0</v>
      </c>
      <c r="U355" s="36">
        <f>COUNTIF(Tabla1[[#This Row],[VEHICULOS_ACCIDENTADOS]:[VEHICULOS_ACCIDENTADOS2]],"CAMPERO")</f>
        <v>0</v>
      </c>
      <c r="V355" s="36">
        <f>COUNTIF(Tabla1[[#This Row],[VEHICULOS_ACCIDENTADOS]:[VEHICULOS_ACCIDENTADOS2]],"CAMIONETA")</f>
        <v>0</v>
      </c>
      <c r="W355" s="36">
        <f>COUNTIF(Tabla1[[#This Row],[VEHICULOS_ACCIDENTADOS]:[VEHICULOS_ACCIDENTADOS2]],"MICROBUS")</f>
        <v>0</v>
      </c>
      <c r="X355" s="36">
        <f>COUNTIF(Tabla1[[#This Row],[VEHICULOS_ACCIDENTADOS]:[VEHICULOS_ACCIDENTADOS2]],"BUS")</f>
        <v>0</v>
      </c>
      <c r="Y355" s="36">
        <f>COUNTIF(Tabla1[[#This Row],[VEHICULOS_ACCIDENTADOS]:[VEHICULOS_ACCIDENTADOS2]],"BUSETA")</f>
        <v>0</v>
      </c>
      <c r="Z355" s="36">
        <f>COUNTIF(Tabla1[[#This Row],[VEHICULOS_ACCIDENTADOS]:[VEHICULOS_ACCIDENTADOS2]],"CAMION")</f>
        <v>0</v>
      </c>
      <c r="AA355" s="36">
        <f>COUNTIF(Tabla1[[#This Row],[VEHICULOS_ACCIDENTADOS]:[VEHICULOS_ACCIDENTADOS2]],"TRACTOCAMION")</f>
        <v>0</v>
      </c>
      <c r="AB355" s="36">
        <f>COUNTIF(Tabla1[[#This Row],[VEHICULOS_ACCIDENTADOS]:[VEHICULOS_ACCIDENTADOS2]],"VOLQUETA")</f>
        <v>0</v>
      </c>
      <c r="AC355" s="36">
        <f>COUNTIF(Tabla1[[#This Row],[VEHICULOS_ACCIDENTADOS]:[VEHICULOS_ACCIDENTADOS2]],"BICICLETA")</f>
        <v>0</v>
      </c>
      <c r="AD355" s="61" t="s">
        <v>471</v>
      </c>
      <c r="AE355" s="61" t="s">
        <v>471</v>
      </c>
      <c r="AF355" s="36">
        <f>COUNTIF(Tabla1[[#This Row],[GENERO_MASCULINO]:[GENERO_FEMENINO]],"MASCULINO")</f>
        <v>2</v>
      </c>
      <c r="AG355" s="36">
        <f>COUNTIF(Tabla1[[#This Row],[GENERO_MASCULINO]:[GENERO_FEMENINO]],"FEMENINO")</f>
        <v>0</v>
      </c>
      <c r="AH355" s="85">
        <v>49</v>
      </c>
      <c r="AI355" s="85">
        <v>32</v>
      </c>
      <c r="AJ355" s="85"/>
      <c r="AK355" s="78"/>
      <c r="AL355" s="78"/>
      <c r="AM355" s="59"/>
      <c r="AN355" s="61">
        <v>115</v>
      </c>
      <c r="AO355" s="59" t="str">
        <f>IFERROR(((VLOOKUP(Tabla1[[#This Row],[HIPOTESIS_1]],listas!$D$1:$E$105,2,FALSE))),"SIN INFORMACIÓN")</f>
        <v>Embriaguez o Sustancias alucinogenas</v>
      </c>
      <c r="AP355" s="36">
        <v>116</v>
      </c>
      <c r="AQ355" s="36" t="str">
        <f>IFERROR(((VLOOKUP(Tabla1[[#This Row],[HIPOTESIS_2]],listas!$D$1:$E$105,2,FALSE))),"")</f>
        <v>Exceso de velocidad</v>
      </c>
      <c r="AR355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356" spans="1:44" x14ac:dyDescent="0.25">
      <c r="A356" s="12">
        <v>427</v>
      </c>
      <c r="B356" s="36">
        <v>0</v>
      </c>
      <c r="C356" s="36">
        <v>0</v>
      </c>
      <c r="D356" s="36">
        <v>2</v>
      </c>
      <c r="E356" s="18" t="str">
        <f t="shared" si="20"/>
        <v>FALLECIDO</v>
      </c>
      <c r="F356" s="29" t="s">
        <v>272</v>
      </c>
      <c r="G356" s="21">
        <v>5.1910869444444447</v>
      </c>
      <c r="H356" s="21">
        <v>-72.317316666666656</v>
      </c>
      <c r="I356" s="94" t="s">
        <v>662</v>
      </c>
      <c r="J356" s="36" t="s">
        <v>1</v>
      </c>
      <c r="K356" s="24" t="str">
        <f t="shared" si="21"/>
        <v>2023</v>
      </c>
      <c r="L356" s="24" t="str">
        <f t="shared" si="22"/>
        <v>MARZO</v>
      </c>
      <c r="M356" s="225">
        <v>44997</v>
      </c>
      <c r="N356" s="24" t="str">
        <f t="shared" si="23"/>
        <v>DOMINGO</v>
      </c>
      <c r="O356" s="101">
        <v>0.8125</v>
      </c>
      <c r="P356" s="57" t="s">
        <v>469</v>
      </c>
      <c r="Q356" s="57" t="s">
        <v>447</v>
      </c>
      <c r="R356" s="36">
        <f>COUNTIF(Tabla1[[#This Row],[VEHICULOS_ACCIDENTADOS]:[VEHICULOS_ACCIDENTADOS2]],"MOTOCICLETA")</f>
        <v>1</v>
      </c>
      <c r="S356" s="36">
        <f>COUNTIF(Tabla1[[#This Row],[VEHICULOS_ACCIDENTADOS]:[VEHICULOS_ACCIDENTADOS2]],"MOTOCARRO")</f>
        <v>0</v>
      </c>
      <c r="T356" s="36">
        <f>COUNTIF(Tabla1[[#This Row],[VEHICULOS_ACCIDENTADOS]:[VEHICULOS_ACCIDENTADOS2]],"AUTOMOVIL")</f>
        <v>1</v>
      </c>
      <c r="U356" s="36">
        <f>COUNTIF(Tabla1[[#This Row],[VEHICULOS_ACCIDENTADOS]:[VEHICULOS_ACCIDENTADOS2]],"CAMPERO")</f>
        <v>0</v>
      </c>
      <c r="V356" s="36">
        <f>COUNTIF(Tabla1[[#This Row],[VEHICULOS_ACCIDENTADOS]:[VEHICULOS_ACCIDENTADOS2]],"CAMIONETA")</f>
        <v>0</v>
      </c>
      <c r="W356" s="36">
        <f>COUNTIF(Tabla1[[#This Row],[VEHICULOS_ACCIDENTADOS]:[VEHICULOS_ACCIDENTADOS2]],"MICROBUS")</f>
        <v>0</v>
      </c>
      <c r="X356" s="36">
        <f>COUNTIF(Tabla1[[#This Row],[VEHICULOS_ACCIDENTADOS]:[VEHICULOS_ACCIDENTADOS2]],"BUS")</f>
        <v>0</v>
      </c>
      <c r="Y356" s="36">
        <f>COUNTIF(Tabla1[[#This Row],[VEHICULOS_ACCIDENTADOS]:[VEHICULOS_ACCIDENTADOS2]],"BUSETA")</f>
        <v>0</v>
      </c>
      <c r="Z356" s="36">
        <f>COUNTIF(Tabla1[[#This Row],[VEHICULOS_ACCIDENTADOS]:[VEHICULOS_ACCIDENTADOS2]],"CAMION")</f>
        <v>0</v>
      </c>
      <c r="AA356" s="36">
        <f>COUNTIF(Tabla1[[#This Row],[VEHICULOS_ACCIDENTADOS]:[VEHICULOS_ACCIDENTADOS2]],"TRACTOCAMION")</f>
        <v>0</v>
      </c>
      <c r="AB356" s="36">
        <f>COUNTIF(Tabla1[[#This Row],[VEHICULOS_ACCIDENTADOS]:[VEHICULOS_ACCIDENTADOS2]],"VOLQUETA")</f>
        <v>0</v>
      </c>
      <c r="AC356" s="36">
        <f>COUNTIF(Tabla1[[#This Row],[VEHICULOS_ACCIDENTADOS]:[VEHICULOS_ACCIDENTADOS2]],"BICICLETA")</f>
        <v>0</v>
      </c>
      <c r="AD356" s="36"/>
      <c r="AE356" s="36" t="s">
        <v>472</v>
      </c>
      <c r="AF356" s="36">
        <f>COUNTIF(Tabla1[[#This Row],[GENERO_MASCULINO]:[GENERO_FEMENINO]],"MASCULINO")</f>
        <v>0</v>
      </c>
      <c r="AG356" s="36">
        <f>COUNTIF(Tabla1[[#This Row],[GENERO_MASCULINO]:[GENERO_FEMENINO]],"FEMENINO")</f>
        <v>1</v>
      </c>
      <c r="AH356" s="61"/>
      <c r="AI356" s="61">
        <v>7</v>
      </c>
      <c r="AJ356" s="61"/>
      <c r="AK356" s="61">
        <v>2</v>
      </c>
      <c r="AL356" s="61"/>
      <c r="AM356" s="36">
        <v>35</v>
      </c>
      <c r="AN356" s="61">
        <v>141</v>
      </c>
      <c r="AO356" s="36" t="str">
        <f>IFERROR(((VLOOKUP(Tabla1[[#This Row],[HIPOTESIS_1]],listas!$D$1:$E$105,2,FALSE))),"SIN INFORMACIÓN")</f>
        <v>Vehículo mal estacionado.</v>
      </c>
      <c r="AP356" s="36">
        <v>116</v>
      </c>
      <c r="AQ356" s="36" t="str">
        <f>IFERROR(((VLOOKUP(Tabla1[[#This Row],[HIPOTESIS_2]],listas!$D$1:$E$105,2,FALSE))),"")</f>
        <v>Exceso de velocidad</v>
      </c>
      <c r="AR356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357" spans="1:44" x14ac:dyDescent="0.25">
      <c r="A357" s="12">
        <v>950</v>
      </c>
      <c r="B357" s="135">
        <v>0</v>
      </c>
      <c r="C357" s="136">
        <v>1</v>
      </c>
      <c r="D357" s="136">
        <v>1</v>
      </c>
      <c r="E357" s="18" t="str">
        <f t="shared" si="20"/>
        <v>FALLECIDO</v>
      </c>
      <c r="F357" s="26" t="s">
        <v>35</v>
      </c>
      <c r="G357" s="20">
        <v>5.3877370000000004</v>
      </c>
      <c r="H357" s="20">
        <v>-72.423214999999999</v>
      </c>
      <c r="I357" s="94" t="s">
        <v>662</v>
      </c>
      <c r="J357" s="136" t="s">
        <v>1</v>
      </c>
      <c r="K357" s="24" t="str">
        <f t="shared" si="21"/>
        <v>2025</v>
      </c>
      <c r="L357" s="24" t="str">
        <f t="shared" si="22"/>
        <v>ABRIL</v>
      </c>
      <c r="M357" s="224">
        <v>45775</v>
      </c>
      <c r="N357" s="24" t="str">
        <f t="shared" si="23"/>
        <v>LUNES</v>
      </c>
      <c r="O357" s="171">
        <v>6.9444444444444447E-4</v>
      </c>
      <c r="P357" s="136" t="s">
        <v>469</v>
      </c>
      <c r="Q357" s="136"/>
      <c r="R357" s="36">
        <f>COUNTIF(Tabla1[[#This Row],[VEHICULOS_ACCIDENTADOS]:[VEHICULOS_ACCIDENTADOS2]],"MOTOCICLETA")</f>
        <v>1</v>
      </c>
      <c r="S357" s="36">
        <f>COUNTIF(Tabla1[[#This Row],[VEHICULOS_ACCIDENTADOS]:[VEHICULOS_ACCIDENTADOS2]],"MOTOCARRO")</f>
        <v>0</v>
      </c>
      <c r="T357" s="36">
        <f>COUNTIF(Tabla1[[#This Row],[VEHICULOS_ACCIDENTADOS]:[VEHICULOS_ACCIDENTADOS2]],"AUTOMOVIL")</f>
        <v>0</v>
      </c>
      <c r="U357" s="36">
        <f>COUNTIF(Tabla1[[#This Row],[VEHICULOS_ACCIDENTADOS]:[VEHICULOS_ACCIDENTADOS2]],"CAMPERO")</f>
        <v>0</v>
      </c>
      <c r="V357" s="36">
        <f>COUNTIF(Tabla1[[#This Row],[VEHICULOS_ACCIDENTADOS]:[VEHICULOS_ACCIDENTADOS2]],"CAMIONETA")</f>
        <v>0</v>
      </c>
      <c r="W357" s="36">
        <f>COUNTIF(Tabla1[[#This Row],[VEHICULOS_ACCIDENTADOS]:[VEHICULOS_ACCIDENTADOS2]],"MICROBUS")</f>
        <v>0</v>
      </c>
      <c r="X357" s="36">
        <f>COUNTIF(Tabla1[[#This Row],[VEHICULOS_ACCIDENTADOS]:[VEHICULOS_ACCIDENTADOS2]],"BUS")</f>
        <v>0</v>
      </c>
      <c r="Y357" s="36">
        <f>COUNTIF(Tabla1[[#This Row],[VEHICULOS_ACCIDENTADOS]:[VEHICULOS_ACCIDENTADOS2]],"BUSETA")</f>
        <v>0</v>
      </c>
      <c r="Z357" s="36">
        <f>COUNTIF(Tabla1[[#This Row],[VEHICULOS_ACCIDENTADOS]:[VEHICULOS_ACCIDENTADOS2]],"CAMION")</f>
        <v>0</v>
      </c>
      <c r="AA357" s="36">
        <f>COUNTIF(Tabla1[[#This Row],[VEHICULOS_ACCIDENTADOS]:[VEHICULOS_ACCIDENTADOS2]],"TRACTOCAMION")</f>
        <v>0</v>
      </c>
      <c r="AB357" s="36">
        <f>COUNTIF(Tabla1[[#This Row],[VEHICULOS_ACCIDENTADOS]:[VEHICULOS_ACCIDENTADOS2]],"VOLQUETA")</f>
        <v>0</v>
      </c>
      <c r="AC357" s="36">
        <f>COUNTIF(Tabla1[[#This Row],[VEHICULOS_ACCIDENTADOS]:[VEHICULOS_ACCIDENTADOS2]],"BICICLETA")</f>
        <v>0</v>
      </c>
      <c r="AD357" s="136" t="s">
        <v>471</v>
      </c>
      <c r="AE357" s="136" t="s">
        <v>471</v>
      </c>
      <c r="AF357" s="136">
        <f>COUNTIF(Tabla1[[#This Row],[GENERO_MASCULINO]:[GENERO_FEMENINO]],"MASCULINO")</f>
        <v>2</v>
      </c>
      <c r="AG357" s="36">
        <f>COUNTIF(Tabla1[[#This Row],[GENERO_MASCULINO]:[GENERO_FEMENINO]],"FEMENINO")</f>
        <v>0</v>
      </c>
      <c r="AH357" s="85">
        <v>22</v>
      </c>
      <c r="AI357" s="85">
        <v>26</v>
      </c>
      <c r="AJ357" s="85"/>
      <c r="AK357" s="78"/>
      <c r="AL357" s="78"/>
      <c r="AM357" s="59"/>
      <c r="AN357" s="85">
        <v>114</v>
      </c>
      <c r="AO357" s="36" t="str">
        <f>IFERROR(((VLOOKUP(Tabla1[[#This Row],[HIPOTESIS_1]],listas!$D$1:$E$105,2,FALSE))),"SIN INFORMACIÓN")</f>
        <v>Embriaguez aparente.</v>
      </c>
      <c r="AP357" s="36">
        <v>116</v>
      </c>
      <c r="AQ357" s="36" t="str">
        <f>IFERROR(((VLOOKUP(Tabla1[[#This Row],[HIPOTESIS_2]],listas!$D$1:$E$105,2,FALSE))),"")</f>
        <v>Exceso de velocidad</v>
      </c>
      <c r="AR357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358" spans="1:44" x14ac:dyDescent="0.25">
      <c r="A358" s="12">
        <v>341</v>
      </c>
      <c r="B358" s="36">
        <v>0</v>
      </c>
      <c r="C358" s="36">
        <v>0</v>
      </c>
      <c r="D358" s="36">
        <v>1</v>
      </c>
      <c r="E358" s="18" t="str">
        <f t="shared" si="20"/>
        <v>FALLECIDO</v>
      </c>
      <c r="F358" s="29" t="s">
        <v>749</v>
      </c>
      <c r="G358" s="17">
        <v>5.3135983333333332</v>
      </c>
      <c r="H358" s="17">
        <v>-72.2675725</v>
      </c>
      <c r="I358" s="93" t="s">
        <v>697</v>
      </c>
      <c r="J358" s="36" t="s">
        <v>1</v>
      </c>
      <c r="K358" s="24" t="str">
        <f t="shared" si="21"/>
        <v>2022</v>
      </c>
      <c r="L358" s="24" t="str">
        <f t="shared" si="22"/>
        <v>OCTUBRE</v>
      </c>
      <c r="M358" s="225">
        <v>44860</v>
      </c>
      <c r="N358" s="24" t="str">
        <f t="shared" si="23"/>
        <v>MIÉRCOLES</v>
      </c>
      <c r="O358" s="102">
        <v>9.7222222222222196E-2</v>
      </c>
      <c r="P358" s="53" t="s">
        <v>469</v>
      </c>
      <c r="Q358" s="53"/>
      <c r="R358" s="36">
        <f>COUNTIF(Tabla1[[#This Row],[VEHICULOS_ACCIDENTADOS]:[VEHICULOS_ACCIDENTADOS2]],"MOTOCICLETA")</f>
        <v>1</v>
      </c>
      <c r="S358" s="36">
        <f>COUNTIF(Tabla1[[#This Row],[VEHICULOS_ACCIDENTADOS]:[VEHICULOS_ACCIDENTADOS2]],"MOTOCARRO")</f>
        <v>0</v>
      </c>
      <c r="T358" s="36">
        <f>COUNTIF(Tabla1[[#This Row],[VEHICULOS_ACCIDENTADOS]:[VEHICULOS_ACCIDENTADOS2]],"AUTOMOVIL")</f>
        <v>0</v>
      </c>
      <c r="U358" s="36">
        <f>COUNTIF(Tabla1[[#This Row],[VEHICULOS_ACCIDENTADOS]:[VEHICULOS_ACCIDENTADOS2]],"CAMPERO")</f>
        <v>0</v>
      </c>
      <c r="V358" s="36">
        <f>COUNTIF(Tabla1[[#This Row],[VEHICULOS_ACCIDENTADOS]:[VEHICULOS_ACCIDENTADOS2]],"CAMIONETA")</f>
        <v>0</v>
      </c>
      <c r="W358" s="36">
        <f>COUNTIF(Tabla1[[#This Row],[VEHICULOS_ACCIDENTADOS]:[VEHICULOS_ACCIDENTADOS2]],"MICROBUS")</f>
        <v>0</v>
      </c>
      <c r="X358" s="36">
        <f>COUNTIF(Tabla1[[#This Row],[VEHICULOS_ACCIDENTADOS]:[VEHICULOS_ACCIDENTADOS2]],"BUS")</f>
        <v>0</v>
      </c>
      <c r="Y358" s="36">
        <f>COUNTIF(Tabla1[[#This Row],[VEHICULOS_ACCIDENTADOS]:[VEHICULOS_ACCIDENTADOS2]],"BUSETA")</f>
        <v>0</v>
      </c>
      <c r="Z358" s="36">
        <f>COUNTIF(Tabla1[[#This Row],[VEHICULOS_ACCIDENTADOS]:[VEHICULOS_ACCIDENTADOS2]],"CAMION")</f>
        <v>0</v>
      </c>
      <c r="AA358" s="36">
        <f>COUNTIF(Tabla1[[#This Row],[VEHICULOS_ACCIDENTADOS]:[VEHICULOS_ACCIDENTADOS2]],"TRACTOCAMION")</f>
        <v>0</v>
      </c>
      <c r="AB358" s="36">
        <f>COUNTIF(Tabla1[[#This Row],[VEHICULOS_ACCIDENTADOS]:[VEHICULOS_ACCIDENTADOS2]],"VOLQUETA")</f>
        <v>0</v>
      </c>
      <c r="AC358" s="36">
        <f>COUNTIF(Tabla1[[#This Row],[VEHICULOS_ACCIDENTADOS]:[VEHICULOS_ACCIDENTADOS2]],"BICICLETA")</f>
        <v>0</v>
      </c>
      <c r="AD358" s="36" t="s">
        <v>471</v>
      </c>
      <c r="AE358" s="36"/>
      <c r="AF358" s="36">
        <f>COUNTIF(Tabla1[[#This Row],[GENERO_MASCULINO]:[GENERO_FEMENINO]],"MASCULINO")</f>
        <v>1</v>
      </c>
      <c r="AG358" s="36">
        <f>COUNTIF(Tabla1[[#This Row],[GENERO_MASCULINO]:[GENERO_FEMENINO]],"FEMENINO")</f>
        <v>0</v>
      </c>
      <c r="AH358" s="61"/>
      <c r="AI358" s="61"/>
      <c r="AJ358" s="61"/>
      <c r="AK358" s="61"/>
      <c r="AL358" s="61"/>
      <c r="AM358" s="36">
        <v>31</v>
      </c>
      <c r="AN358" s="61">
        <v>114</v>
      </c>
      <c r="AO358" s="36" t="str">
        <f>IFERROR(((VLOOKUP(Tabla1[[#This Row],[HIPOTESIS_1]],listas!$D$1:$E$105,2,FALSE))),"SIN INFORMACIÓN")</f>
        <v>Embriaguez aparente.</v>
      </c>
      <c r="AP358" s="36">
        <v>116</v>
      </c>
      <c r="AQ358" s="36" t="str">
        <f>IFERROR(((VLOOKUP(Tabla1[[#This Row],[HIPOTESIS_2]],listas!$D$1:$E$105,2,FALSE))),"")</f>
        <v>Exceso de velocidad</v>
      </c>
      <c r="AR358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359" spans="1:44" x14ac:dyDescent="0.25">
      <c r="A359" s="12">
        <v>977</v>
      </c>
      <c r="B359" s="137">
        <v>0</v>
      </c>
      <c r="C359" s="137">
        <v>2</v>
      </c>
      <c r="D359" s="137">
        <v>1</v>
      </c>
      <c r="E359" s="18" t="str">
        <f t="shared" si="20"/>
        <v>FALLECIDO</v>
      </c>
      <c r="F359" s="152" t="s">
        <v>710</v>
      </c>
      <c r="G359" s="30">
        <v>5.3369400000000002</v>
      </c>
      <c r="H359" s="30">
        <v>-72.352029999999999</v>
      </c>
      <c r="I359" s="93" t="s">
        <v>697</v>
      </c>
      <c r="J359" s="36" t="s">
        <v>1</v>
      </c>
      <c r="K359" s="24" t="str">
        <f t="shared" si="21"/>
        <v>2025</v>
      </c>
      <c r="L359" s="24" t="str">
        <f t="shared" si="22"/>
        <v>JUNIO</v>
      </c>
      <c r="M359" s="228">
        <v>45809</v>
      </c>
      <c r="N359" s="24" t="str">
        <f t="shared" si="23"/>
        <v>DOMINGO</v>
      </c>
      <c r="O359" s="101">
        <v>0.15138888888888888</v>
      </c>
      <c r="P359" s="63" t="s">
        <v>445</v>
      </c>
      <c r="Q359" s="63"/>
      <c r="R359" s="36">
        <f>COUNTIF(Tabla1[[#This Row],[VEHICULOS_ACCIDENTADOS]:[VEHICULOS_ACCIDENTADOS2]],"MOTOCICLETA")</f>
        <v>0</v>
      </c>
      <c r="S359" s="36">
        <f>COUNTIF(Tabla1[[#This Row],[VEHICULOS_ACCIDENTADOS]:[VEHICULOS_ACCIDENTADOS2]],"MOTOCARRO")</f>
        <v>0</v>
      </c>
      <c r="T359" s="36">
        <f>COUNTIF(Tabla1[[#This Row],[VEHICULOS_ACCIDENTADOS]:[VEHICULOS_ACCIDENTADOS2]],"AUTOMOVIL")</f>
        <v>0</v>
      </c>
      <c r="U359" s="36">
        <f>COUNTIF(Tabla1[[#This Row],[VEHICULOS_ACCIDENTADOS]:[VEHICULOS_ACCIDENTADOS2]],"CAMPERO")</f>
        <v>0</v>
      </c>
      <c r="V359" s="36">
        <f>COUNTIF(Tabla1[[#This Row],[VEHICULOS_ACCIDENTADOS]:[VEHICULOS_ACCIDENTADOS2]],"CAMIONETA")</f>
        <v>1</v>
      </c>
      <c r="W359" s="36">
        <f>COUNTIF(Tabla1[[#This Row],[VEHICULOS_ACCIDENTADOS]:[VEHICULOS_ACCIDENTADOS2]],"MICROBUS")</f>
        <v>0</v>
      </c>
      <c r="X359" s="36">
        <f>COUNTIF(Tabla1[[#This Row],[VEHICULOS_ACCIDENTADOS]:[VEHICULOS_ACCIDENTADOS2]],"BUS")</f>
        <v>0</v>
      </c>
      <c r="Y359" s="36">
        <f>COUNTIF(Tabla1[[#This Row],[VEHICULOS_ACCIDENTADOS]:[VEHICULOS_ACCIDENTADOS2]],"BUSETA")</f>
        <v>0</v>
      </c>
      <c r="Z359" s="36">
        <f>COUNTIF(Tabla1[[#This Row],[VEHICULOS_ACCIDENTADOS]:[VEHICULOS_ACCIDENTADOS2]],"CAMION")</f>
        <v>0</v>
      </c>
      <c r="AA359" s="36">
        <f>COUNTIF(Tabla1[[#This Row],[VEHICULOS_ACCIDENTADOS]:[VEHICULOS_ACCIDENTADOS2]],"TRACTOCAMION")</f>
        <v>0</v>
      </c>
      <c r="AB359" s="36">
        <f>COUNTIF(Tabla1[[#This Row],[VEHICULOS_ACCIDENTADOS]:[VEHICULOS_ACCIDENTADOS2]],"VOLQUETA")</f>
        <v>0</v>
      </c>
      <c r="AC359" s="36">
        <f>COUNTIF(Tabla1[[#This Row],[VEHICULOS_ACCIDENTADOS]:[VEHICULOS_ACCIDENTADOS2]],"BICICLETA")</f>
        <v>0</v>
      </c>
      <c r="AD359" s="36" t="s">
        <v>471</v>
      </c>
      <c r="AE359" s="36" t="s">
        <v>471</v>
      </c>
      <c r="AF359" s="36">
        <f>COUNTIF(Tabla1[[#This Row],[GENERO_MASCULINO]:[GENERO_FEMENINO]],"MASCULINO")</f>
        <v>2</v>
      </c>
      <c r="AG359" s="36">
        <f>COUNTIF(Tabla1[[#This Row],[GENERO_MASCULINO]:[GENERO_FEMENINO]],"FEMENINO")</f>
        <v>0</v>
      </c>
      <c r="AH359" s="85">
        <v>19</v>
      </c>
      <c r="AI359" s="85">
        <v>23</v>
      </c>
      <c r="AJ359" s="85"/>
      <c r="AK359" s="78"/>
      <c r="AL359" s="78"/>
      <c r="AM359" s="59"/>
      <c r="AN359" s="61">
        <v>139</v>
      </c>
      <c r="AO359" s="36" t="str">
        <f>IFERROR(((VLOOKUP(Tabla1[[#This Row],[HIPOTESIS_1]],listas!$D$1:$E$105,2,FALSE))),"SIN INFORMACIÓN")</f>
        <v>Impericia en el manejo.</v>
      </c>
      <c r="AP359" s="36">
        <v>116</v>
      </c>
      <c r="AQ359" s="36" t="str">
        <f>IFERROR(((VLOOKUP(Tabla1[[#This Row],[HIPOTESIS_2]],listas!$D$1:$E$105,2,FALSE))),"")</f>
        <v>Exceso de velocidad</v>
      </c>
      <c r="AR359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360" spans="1:44" x14ac:dyDescent="0.25">
      <c r="A360" s="12">
        <v>307</v>
      </c>
      <c r="B360" s="36">
        <v>0</v>
      </c>
      <c r="C360" s="36">
        <v>1</v>
      </c>
      <c r="D360" s="36">
        <v>0</v>
      </c>
      <c r="E360" s="18" t="str">
        <f t="shared" si="20"/>
        <v>LESIONADO</v>
      </c>
      <c r="F360" s="212" t="s">
        <v>321</v>
      </c>
      <c r="G360" s="17">
        <v>5.3509266666666662</v>
      </c>
      <c r="H360" s="17">
        <v>-72.368641944444434</v>
      </c>
      <c r="I360" s="93" t="s">
        <v>697</v>
      </c>
      <c r="J360" s="36" t="s">
        <v>717</v>
      </c>
      <c r="K360" s="24" t="str">
        <f t="shared" si="21"/>
        <v>2022</v>
      </c>
      <c r="L360" s="24" t="str">
        <f t="shared" si="22"/>
        <v>SEPTIEMBRE</v>
      </c>
      <c r="M360" s="225">
        <v>44818</v>
      </c>
      <c r="N360" s="24" t="str">
        <f t="shared" si="23"/>
        <v>MIÉRCOLES</v>
      </c>
      <c r="O360" s="102">
        <v>0.29861111111111099</v>
      </c>
      <c r="P360" s="53" t="s">
        <v>447</v>
      </c>
      <c r="Q360" s="53" t="s">
        <v>447</v>
      </c>
      <c r="R360" s="36">
        <f>COUNTIF(Tabla1[[#This Row],[VEHICULOS_ACCIDENTADOS]:[VEHICULOS_ACCIDENTADOS2]],"MOTOCICLETA")</f>
        <v>0</v>
      </c>
      <c r="S360" s="36">
        <f>COUNTIF(Tabla1[[#This Row],[VEHICULOS_ACCIDENTADOS]:[VEHICULOS_ACCIDENTADOS2]],"MOTOCARRO")</f>
        <v>0</v>
      </c>
      <c r="T360" s="36">
        <f>COUNTIF(Tabla1[[#This Row],[VEHICULOS_ACCIDENTADOS]:[VEHICULOS_ACCIDENTADOS2]],"AUTOMOVIL")</f>
        <v>2</v>
      </c>
      <c r="U360" s="36">
        <f>COUNTIF(Tabla1[[#This Row],[VEHICULOS_ACCIDENTADOS]:[VEHICULOS_ACCIDENTADOS2]],"CAMPERO")</f>
        <v>0</v>
      </c>
      <c r="V360" s="36">
        <f>COUNTIF(Tabla1[[#This Row],[VEHICULOS_ACCIDENTADOS]:[VEHICULOS_ACCIDENTADOS2]],"CAMIONETA")</f>
        <v>0</v>
      </c>
      <c r="W360" s="36">
        <f>COUNTIF(Tabla1[[#This Row],[VEHICULOS_ACCIDENTADOS]:[VEHICULOS_ACCIDENTADOS2]],"MICROBUS")</f>
        <v>0</v>
      </c>
      <c r="X360" s="36">
        <f>COUNTIF(Tabla1[[#This Row],[VEHICULOS_ACCIDENTADOS]:[VEHICULOS_ACCIDENTADOS2]],"BUS")</f>
        <v>0</v>
      </c>
      <c r="Y360" s="36">
        <f>COUNTIF(Tabla1[[#This Row],[VEHICULOS_ACCIDENTADOS]:[VEHICULOS_ACCIDENTADOS2]],"BUSETA")</f>
        <v>0</v>
      </c>
      <c r="Z360" s="36">
        <f>COUNTIF(Tabla1[[#This Row],[VEHICULOS_ACCIDENTADOS]:[VEHICULOS_ACCIDENTADOS2]],"CAMION")</f>
        <v>0</v>
      </c>
      <c r="AA360" s="36">
        <f>COUNTIF(Tabla1[[#This Row],[VEHICULOS_ACCIDENTADOS]:[VEHICULOS_ACCIDENTADOS2]],"TRACTOCAMION")</f>
        <v>0</v>
      </c>
      <c r="AB360" s="36">
        <f>COUNTIF(Tabla1[[#This Row],[VEHICULOS_ACCIDENTADOS]:[VEHICULOS_ACCIDENTADOS2]],"VOLQUETA")</f>
        <v>0</v>
      </c>
      <c r="AC360" s="36">
        <f>COUNTIF(Tabla1[[#This Row],[VEHICULOS_ACCIDENTADOS]:[VEHICULOS_ACCIDENTADOS2]],"BICICLETA")</f>
        <v>0</v>
      </c>
      <c r="AD360" s="36"/>
      <c r="AE360" s="36" t="s">
        <v>472</v>
      </c>
      <c r="AF360" s="36">
        <f>COUNTIF(Tabla1[[#This Row],[GENERO_MASCULINO]:[GENERO_FEMENINO]],"MASCULINO")</f>
        <v>0</v>
      </c>
      <c r="AG360" s="36">
        <f>COUNTIF(Tabla1[[#This Row],[GENERO_MASCULINO]:[GENERO_FEMENINO]],"FEMENINO")</f>
        <v>1</v>
      </c>
      <c r="AH360" s="61">
        <v>49</v>
      </c>
      <c r="AI360" s="61"/>
      <c r="AJ360" s="78"/>
      <c r="AK360" s="61"/>
      <c r="AL360" s="61"/>
      <c r="AM360" s="36"/>
      <c r="AN360" s="61">
        <v>121</v>
      </c>
      <c r="AO360" s="36" t="str">
        <f>IFERROR(((VLOOKUP(Tabla1[[#This Row],[HIPOTESIS_1]],listas!$D$1:$E$105,2,FALSE))),"SIN INFORMACIÓN")</f>
        <v>No mantener distancia de seguridad.</v>
      </c>
      <c r="AP360" s="36">
        <v>125</v>
      </c>
      <c r="AQ360" s="36" t="str">
        <f>IFERROR(((VLOOKUP(Tabla1[[#This Row],[HIPOTESIS_2]],listas!$D$1:$E$105,2,FALSE))),"")</f>
        <v>Estacionar sin seguridad.</v>
      </c>
      <c r="AR360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361" spans="1:44" x14ac:dyDescent="0.25">
      <c r="A361" s="12">
        <v>794</v>
      </c>
      <c r="B361" s="36">
        <v>1</v>
      </c>
      <c r="C361" s="136">
        <v>0</v>
      </c>
      <c r="D361" s="141">
        <v>0</v>
      </c>
      <c r="E361" s="18" t="str">
        <f t="shared" si="20"/>
        <v>SOLO DAÑO</v>
      </c>
      <c r="F361" s="26" t="s">
        <v>825</v>
      </c>
      <c r="G361" s="21">
        <v>5.3488599999999993</v>
      </c>
      <c r="H361" s="21">
        <v>-72.387747500000003</v>
      </c>
      <c r="I361" s="93" t="s">
        <v>697</v>
      </c>
      <c r="J361" s="36" t="s">
        <v>717</v>
      </c>
      <c r="K361" s="24" t="str">
        <f t="shared" si="21"/>
        <v>2024</v>
      </c>
      <c r="L361" s="24" t="str">
        <f t="shared" si="22"/>
        <v>OCTUBRE</v>
      </c>
      <c r="M361" s="224">
        <v>45583</v>
      </c>
      <c r="N361" s="24" t="str">
        <f t="shared" si="23"/>
        <v>VIERNES</v>
      </c>
      <c r="O361" s="171">
        <v>0.4548611111111111</v>
      </c>
      <c r="P361" s="178" t="s">
        <v>447</v>
      </c>
      <c r="Q361" s="178" t="s">
        <v>446</v>
      </c>
      <c r="R361" s="36">
        <f>COUNTIF(Tabla1[[#This Row],[VEHICULOS_ACCIDENTADOS]:[VEHICULOS_ACCIDENTADOS2]],"MOTOCICLETA")</f>
        <v>0</v>
      </c>
      <c r="S361" s="36">
        <f>COUNTIF(Tabla1[[#This Row],[VEHICULOS_ACCIDENTADOS]:[VEHICULOS_ACCIDENTADOS2]],"MOTOCARRO")</f>
        <v>0</v>
      </c>
      <c r="T361" s="36">
        <f>COUNTIF(Tabla1[[#This Row],[VEHICULOS_ACCIDENTADOS]:[VEHICULOS_ACCIDENTADOS2]],"AUTOMOVIL")</f>
        <v>1</v>
      </c>
      <c r="U361" s="36">
        <f>COUNTIF(Tabla1[[#This Row],[VEHICULOS_ACCIDENTADOS]:[VEHICULOS_ACCIDENTADOS2]],"CAMPERO")</f>
        <v>1</v>
      </c>
      <c r="V361" s="36">
        <f>COUNTIF(Tabla1[[#This Row],[VEHICULOS_ACCIDENTADOS]:[VEHICULOS_ACCIDENTADOS2]],"CAMIONETA")</f>
        <v>0</v>
      </c>
      <c r="W361" s="36">
        <f>COUNTIF(Tabla1[[#This Row],[VEHICULOS_ACCIDENTADOS]:[VEHICULOS_ACCIDENTADOS2]],"MICROBUS")</f>
        <v>0</v>
      </c>
      <c r="X361" s="36">
        <f>COUNTIF(Tabla1[[#This Row],[VEHICULOS_ACCIDENTADOS]:[VEHICULOS_ACCIDENTADOS2]],"BUS")</f>
        <v>0</v>
      </c>
      <c r="Y361" s="36">
        <f>COUNTIF(Tabla1[[#This Row],[VEHICULOS_ACCIDENTADOS]:[VEHICULOS_ACCIDENTADOS2]],"BUSETA")</f>
        <v>0</v>
      </c>
      <c r="Z361" s="36">
        <f>COUNTIF(Tabla1[[#This Row],[VEHICULOS_ACCIDENTADOS]:[VEHICULOS_ACCIDENTADOS2]],"CAMION")</f>
        <v>0</v>
      </c>
      <c r="AA361" s="36">
        <f>COUNTIF(Tabla1[[#This Row],[VEHICULOS_ACCIDENTADOS]:[VEHICULOS_ACCIDENTADOS2]],"TRACTOCAMION")</f>
        <v>0</v>
      </c>
      <c r="AB361" s="36">
        <f>COUNTIF(Tabla1[[#This Row],[VEHICULOS_ACCIDENTADOS]:[VEHICULOS_ACCIDENTADOS2]],"VOLQUETA")</f>
        <v>0</v>
      </c>
      <c r="AC361" s="36">
        <f>COUNTIF(Tabla1[[#This Row],[VEHICULOS_ACCIDENTADOS]:[VEHICULOS_ACCIDENTADOS2]],"BICICLETA")</f>
        <v>0</v>
      </c>
      <c r="AD361" s="136" t="s">
        <v>471</v>
      </c>
      <c r="AE361" s="136"/>
      <c r="AF361" s="136">
        <f>COUNTIF(Tabla1[[#This Row],[GENERO_MASCULINO]:[GENERO_FEMENINO]],"MASCULINO")</f>
        <v>1</v>
      </c>
      <c r="AG361" s="36">
        <f>COUNTIF(Tabla1[[#This Row],[GENERO_MASCULINO]:[GENERO_FEMENINO]],"FEMENINO")</f>
        <v>0</v>
      </c>
      <c r="AH361" s="85">
        <v>33</v>
      </c>
      <c r="AI361" s="85"/>
      <c r="AJ361" s="85"/>
      <c r="AK361" s="85"/>
      <c r="AL361" s="85"/>
      <c r="AM361" s="136"/>
      <c r="AN361" s="85">
        <v>1</v>
      </c>
      <c r="AO361" s="36" t="str">
        <f>IFERROR(((VLOOKUP(Tabla1[[#This Row],[HIPOTESIS_1]],listas!$D$1:$E$105,2,FALSE))),"SIN INFORMACIÓN")</f>
        <v>SIN INFORMACIÓN</v>
      </c>
      <c r="AP361" s="136">
        <v>115</v>
      </c>
      <c r="AQ361" s="36" t="str">
        <f>IFERROR(((VLOOKUP(Tabla1[[#This Row],[HIPOTESIS_2]],listas!$D$1:$E$105,2,FALSE))),"")</f>
        <v>Embriaguez o Sustancias alucinogenas</v>
      </c>
      <c r="AR361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362" spans="1:44" x14ac:dyDescent="0.25">
      <c r="A362" s="12">
        <v>964</v>
      </c>
      <c r="B362" s="136">
        <v>1</v>
      </c>
      <c r="C362" s="136">
        <v>0</v>
      </c>
      <c r="D362" s="141">
        <v>0</v>
      </c>
      <c r="E362" s="18" t="str">
        <f t="shared" si="20"/>
        <v>SOLO DAÑO</v>
      </c>
      <c r="F362" s="26" t="s">
        <v>26</v>
      </c>
      <c r="G362" s="20">
        <v>5.3279009999999998</v>
      </c>
      <c r="H362" s="20">
        <v>-72.399811</v>
      </c>
      <c r="I362" s="93" t="s">
        <v>697</v>
      </c>
      <c r="J362" s="135" t="s">
        <v>717</v>
      </c>
      <c r="K362" s="24" t="str">
        <f t="shared" si="21"/>
        <v>2025</v>
      </c>
      <c r="L362" s="24" t="str">
        <f t="shared" si="22"/>
        <v>MAYO</v>
      </c>
      <c r="M362" s="224">
        <v>45788</v>
      </c>
      <c r="N362" s="24" t="str">
        <f t="shared" si="23"/>
        <v>DOMINGO</v>
      </c>
      <c r="O362" s="171">
        <v>0.69444444444444453</v>
      </c>
      <c r="P362" s="63" t="s">
        <v>447</v>
      </c>
      <c r="Q362" s="63" t="s">
        <v>469</v>
      </c>
      <c r="R362" s="36">
        <f>COUNTIF(Tabla1[[#This Row],[VEHICULOS_ACCIDENTADOS]:[VEHICULOS_ACCIDENTADOS2]],"MOTOCICLETA")</f>
        <v>1</v>
      </c>
      <c r="S362" s="36">
        <f>COUNTIF(Tabla1[[#This Row],[VEHICULOS_ACCIDENTADOS]:[VEHICULOS_ACCIDENTADOS2]],"MOTOCARRO")</f>
        <v>0</v>
      </c>
      <c r="T362" s="36">
        <f>COUNTIF(Tabla1[[#This Row],[VEHICULOS_ACCIDENTADOS]:[VEHICULOS_ACCIDENTADOS2]],"AUTOMOVIL")</f>
        <v>1</v>
      </c>
      <c r="U362" s="36">
        <f>COUNTIF(Tabla1[[#This Row],[VEHICULOS_ACCIDENTADOS]:[VEHICULOS_ACCIDENTADOS2]],"CAMPERO")</f>
        <v>0</v>
      </c>
      <c r="V362" s="36">
        <f>COUNTIF(Tabla1[[#This Row],[VEHICULOS_ACCIDENTADOS]:[VEHICULOS_ACCIDENTADOS2]],"CAMIONETA")</f>
        <v>0</v>
      </c>
      <c r="W362" s="36">
        <f>COUNTIF(Tabla1[[#This Row],[VEHICULOS_ACCIDENTADOS]:[VEHICULOS_ACCIDENTADOS2]],"MICROBUS")</f>
        <v>0</v>
      </c>
      <c r="X362" s="36">
        <f>COUNTIF(Tabla1[[#This Row],[VEHICULOS_ACCIDENTADOS]:[VEHICULOS_ACCIDENTADOS2]],"BUS")</f>
        <v>0</v>
      </c>
      <c r="Y362" s="36">
        <f>COUNTIF(Tabla1[[#This Row],[VEHICULOS_ACCIDENTADOS]:[VEHICULOS_ACCIDENTADOS2]],"BUSETA")</f>
        <v>0</v>
      </c>
      <c r="Z362" s="36">
        <f>COUNTIF(Tabla1[[#This Row],[VEHICULOS_ACCIDENTADOS]:[VEHICULOS_ACCIDENTADOS2]],"CAMION")</f>
        <v>0</v>
      </c>
      <c r="AA362" s="36">
        <f>COUNTIF(Tabla1[[#This Row],[VEHICULOS_ACCIDENTADOS]:[VEHICULOS_ACCIDENTADOS2]],"TRACTOCAMION")</f>
        <v>0</v>
      </c>
      <c r="AB362" s="36">
        <f>COUNTIF(Tabla1[[#This Row],[VEHICULOS_ACCIDENTADOS]:[VEHICULOS_ACCIDENTADOS2]],"VOLQUETA")</f>
        <v>0</v>
      </c>
      <c r="AC362" s="36">
        <f>COUNTIF(Tabla1[[#This Row],[VEHICULOS_ACCIDENTADOS]:[VEHICULOS_ACCIDENTADOS2]],"BICICLETA")</f>
        <v>0</v>
      </c>
      <c r="AD362" s="36" t="s">
        <v>471</v>
      </c>
      <c r="AE362" s="36" t="s">
        <v>471</v>
      </c>
      <c r="AF362" s="36">
        <f>COUNTIF(Tabla1[[#This Row],[GENERO_MASCULINO]:[GENERO_FEMENINO]],"MASCULINO")</f>
        <v>2</v>
      </c>
      <c r="AG362" s="36">
        <f>COUNTIF(Tabla1[[#This Row],[GENERO_MASCULINO]:[GENERO_FEMENINO]],"FEMENINO")</f>
        <v>0</v>
      </c>
      <c r="AH362" s="85">
        <v>58</v>
      </c>
      <c r="AI362" s="85"/>
      <c r="AJ362" s="85"/>
      <c r="AK362" s="85"/>
      <c r="AL362" s="78"/>
      <c r="AM362" s="59"/>
      <c r="AN362" s="85">
        <v>115</v>
      </c>
      <c r="AO362" s="36" t="str">
        <f>IFERROR(((VLOOKUP(Tabla1[[#This Row],[HIPOTESIS_1]],listas!$D$1:$E$105,2,FALSE))),"SIN INFORMACIÓN")</f>
        <v>Embriaguez o Sustancias alucinogenas</v>
      </c>
      <c r="AP362" s="36">
        <v>115</v>
      </c>
      <c r="AQ362" s="36" t="str">
        <f>IFERROR(((VLOOKUP(Tabla1[[#This Row],[HIPOTESIS_2]],listas!$D$1:$E$105,2,FALSE))),"")</f>
        <v>Embriaguez o Sustancias alucinogenas</v>
      </c>
      <c r="AR362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363" spans="1:44" x14ac:dyDescent="0.25">
      <c r="A363" s="12">
        <v>872</v>
      </c>
      <c r="B363" s="135">
        <v>0</v>
      </c>
      <c r="C363" s="136">
        <v>3</v>
      </c>
      <c r="D363" s="136">
        <v>0</v>
      </c>
      <c r="E363" s="18" t="str">
        <f t="shared" si="20"/>
        <v>LESIONADO</v>
      </c>
      <c r="F363" s="26" t="s">
        <v>73</v>
      </c>
      <c r="G363" s="21">
        <v>5.3160080000000001</v>
      </c>
      <c r="H363" s="21">
        <v>-72.398576000000006</v>
      </c>
      <c r="I363" s="93" t="s">
        <v>697</v>
      </c>
      <c r="J363" s="167" t="s">
        <v>717</v>
      </c>
      <c r="K363" s="24" t="str">
        <f t="shared" si="21"/>
        <v>2025</v>
      </c>
      <c r="L363" s="24" t="str">
        <f t="shared" si="22"/>
        <v>FEBRERO</v>
      </c>
      <c r="M363" s="224">
        <v>45702</v>
      </c>
      <c r="N363" s="24" t="str">
        <f t="shared" si="23"/>
        <v>VIERNES</v>
      </c>
      <c r="O363" s="171">
        <v>0.74305555555555547</v>
      </c>
      <c r="P363" s="178" t="s">
        <v>469</v>
      </c>
      <c r="Q363" s="178" t="s">
        <v>469</v>
      </c>
      <c r="R363" s="36">
        <f>COUNTIF(Tabla1[[#This Row],[VEHICULOS_ACCIDENTADOS]:[VEHICULOS_ACCIDENTADOS2]],"MOTOCICLETA")</f>
        <v>2</v>
      </c>
      <c r="S363" s="36">
        <f>COUNTIF(Tabla1[[#This Row],[VEHICULOS_ACCIDENTADOS]:[VEHICULOS_ACCIDENTADOS2]],"MOTOCARRO")</f>
        <v>0</v>
      </c>
      <c r="T363" s="36">
        <f>COUNTIF(Tabla1[[#This Row],[VEHICULOS_ACCIDENTADOS]:[VEHICULOS_ACCIDENTADOS2]],"AUTOMOVIL")</f>
        <v>0</v>
      </c>
      <c r="U363" s="36">
        <f>COUNTIF(Tabla1[[#This Row],[VEHICULOS_ACCIDENTADOS]:[VEHICULOS_ACCIDENTADOS2]],"CAMPERO")</f>
        <v>0</v>
      </c>
      <c r="V363" s="36">
        <f>COUNTIF(Tabla1[[#This Row],[VEHICULOS_ACCIDENTADOS]:[VEHICULOS_ACCIDENTADOS2]],"CAMIONETA")</f>
        <v>0</v>
      </c>
      <c r="W363" s="36">
        <f>COUNTIF(Tabla1[[#This Row],[VEHICULOS_ACCIDENTADOS]:[VEHICULOS_ACCIDENTADOS2]],"MICROBUS")</f>
        <v>0</v>
      </c>
      <c r="X363" s="36">
        <f>COUNTIF(Tabla1[[#This Row],[VEHICULOS_ACCIDENTADOS]:[VEHICULOS_ACCIDENTADOS2]],"BUS")</f>
        <v>0</v>
      </c>
      <c r="Y363" s="36">
        <f>COUNTIF(Tabla1[[#This Row],[VEHICULOS_ACCIDENTADOS]:[VEHICULOS_ACCIDENTADOS2]],"BUSETA")</f>
        <v>0</v>
      </c>
      <c r="Z363" s="36">
        <f>COUNTIF(Tabla1[[#This Row],[VEHICULOS_ACCIDENTADOS]:[VEHICULOS_ACCIDENTADOS2]],"CAMION")</f>
        <v>0</v>
      </c>
      <c r="AA363" s="36">
        <f>COUNTIF(Tabla1[[#This Row],[VEHICULOS_ACCIDENTADOS]:[VEHICULOS_ACCIDENTADOS2]],"TRACTOCAMION")</f>
        <v>0</v>
      </c>
      <c r="AB363" s="36">
        <f>COUNTIF(Tabla1[[#This Row],[VEHICULOS_ACCIDENTADOS]:[VEHICULOS_ACCIDENTADOS2]],"VOLQUETA")</f>
        <v>0</v>
      </c>
      <c r="AC363" s="36">
        <f>COUNTIF(Tabla1[[#This Row],[VEHICULOS_ACCIDENTADOS]:[VEHICULOS_ACCIDENTADOS2]],"BICICLETA")</f>
        <v>0</v>
      </c>
      <c r="AD363" s="136" t="s">
        <v>472</v>
      </c>
      <c r="AE363" s="136" t="s">
        <v>471</v>
      </c>
      <c r="AF363" s="136">
        <f>COUNTIF(Tabla1[[#This Row],[GENERO_MASCULINO]:[GENERO_FEMENINO]],"MASCULINO")</f>
        <v>1</v>
      </c>
      <c r="AG363" s="36">
        <f>COUNTIF(Tabla1[[#This Row],[GENERO_MASCULINO]:[GENERO_FEMENINO]],"FEMENINO")</f>
        <v>1</v>
      </c>
      <c r="AH363" s="85">
        <v>27</v>
      </c>
      <c r="AI363" s="85">
        <v>54</v>
      </c>
      <c r="AJ363" s="85">
        <v>28</v>
      </c>
      <c r="AK363" s="85"/>
      <c r="AL363" s="85"/>
      <c r="AM363" s="136"/>
      <c r="AN363" s="85">
        <v>139</v>
      </c>
      <c r="AO363" s="36" t="str">
        <f>IFERROR(((VLOOKUP(Tabla1[[#This Row],[HIPOTESIS_1]],listas!$D$1:$E$105,2,FALSE))),"SIN INFORMACIÓN")</f>
        <v>Impericia en el manejo.</v>
      </c>
      <c r="AP363" s="136">
        <v>115</v>
      </c>
      <c r="AQ363" s="36" t="str">
        <f>IFERROR(((VLOOKUP(Tabla1[[#This Row],[HIPOTESIS_2]],listas!$D$1:$E$105,2,FALSE))),"")</f>
        <v>Embriaguez o Sustancias alucinogenas</v>
      </c>
      <c r="AR363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364" spans="1:44" x14ac:dyDescent="0.25">
      <c r="A364" s="12">
        <v>597</v>
      </c>
      <c r="B364" s="36">
        <v>0</v>
      </c>
      <c r="C364" s="36">
        <v>2</v>
      </c>
      <c r="D364" s="36">
        <v>0</v>
      </c>
      <c r="E364" s="18" t="str">
        <f t="shared" si="20"/>
        <v>LESIONADO</v>
      </c>
      <c r="F364" s="29" t="s">
        <v>185</v>
      </c>
      <c r="G364" s="21">
        <v>5.3388611111111111</v>
      </c>
      <c r="H364" s="21">
        <v>-72.399752777777778</v>
      </c>
      <c r="I364" s="93" t="s">
        <v>697</v>
      </c>
      <c r="J364" s="36" t="s">
        <v>717</v>
      </c>
      <c r="K364" s="24" t="str">
        <f t="shared" si="21"/>
        <v>2023</v>
      </c>
      <c r="L364" s="24" t="str">
        <f t="shared" si="22"/>
        <v>NOVIEMBRE</v>
      </c>
      <c r="M364" s="225">
        <v>45232</v>
      </c>
      <c r="N364" s="24" t="str">
        <f t="shared" si="23"/>
        <v>JUEVES</v>
      </c>
      <c r="O364" s="101">
        <v>0.66666666666666663</v>
      </c>
      <c r="P364" s="57" t="s">
        <v>469</v>
      </c>
      <c r="Q364" s="57" t="s">
        <v>469</v>
      </c>
      <c r="R364" s="36">
        <f>COUNTIF(Tabla1[[#This Row],[VEHICULOS_ACCIDENTADOS]:[VEHICULOS_ACCIDENTADOS2]],"MOTOCICLETA")</f>
        <v>2</v>
      </c>
      <c r="S364" s="36">
        <f>COUNTIF(Tabla1[[#This Row],[VEHICULOS_ACCIDENTADOS]:[VEHICULOS_ACCIDENTADOS2]],"MOTOCARRO")</f>
        <v>0</v>
      </c>
      <c r="T364" s="36">
        <f>COUNTIF(Tabla1[[#This Row],[VEHICULOS_ACCIDENTADOS]:[VEHICULOS_ACCIDENTADOS2]],"AUTOMOVIL")</f>
        <v>0</v>
      </c>
      <c r="U364" s="36">
        <f>COUNTIF(Tabla1[[#This Row],[VEHICULOS_ACCIDENTADOS]:[VEHICULOS_ACCIDENTADOS2]],"CAMPERO")</f>
        <v>0</v>
      </c>
      <c r="V364" s="36">
        <f>COUNTIF(Tabla1[[#This Row],[VEHICULOS_ACCIDENTADOS]:[VEHICULOS_ACCIDENTADOS2]],"CAMIONETA")</f>
        <v>0</v>
      </c>
      <c r="W364" s="36">
        <f>COUNTIF(Tabla1[[#This Row],[VEHICULOS_ACCIDENTADOS]:[VEHICULOS_ACCIDENTADOS2]],"MICROBUS")</f>
        <v>0</v>
      </c>
      <c r="X364" s="36">
        <f>COUNTIF(Tabla1[[#This Row],[VEHICULOS_ACCIDENTADOS]:[VEHICULOS_ACCIDENTADOS2]],"BUS")</f>
        <v>0</v>
      </c>
      <c r="Y364" s="36">
        <f>COUNTIF(Tabla1[[#This Row],[VEHICULOS_ACCIDENTADOS]:[VEHICULOS_ACCIDENTADOS2]],"BUSETA")</f>
        <v>0</v>
      </c>
      <c r="Z364" s="36">
        <f>COUNTIF(Tabla1[[#This Row],[VEHICULOS_ACCIDENTADOS]:[VEHICULOS_ACCIDENTADOS2]],"CAMION")</f>
        <v>0</v>
      </c>
      <c r="AA364" s="36">
        <f>COUNTIF(Tabla1[[#This Row],[VEHICULOS_ACCIDENTADOS]:[VEHICULOS_ACCIDENTADOS2]],"TRACTOCAMION")</f>
        <v>0</v>
      </c>
      <c r="AB364" s="36">
        <f>COUNTIF(Tabla1[[#This Row],[VEHICULOS_ACCIDENTADOS]:[VEHICULOS_ACCIDENTADOS2]],"VOLQUETA")</f>
        <v>0</v>
      </c>
      <c r="AC364" s="36">
        <f>COUNTIF(Tabla1[[#This Row],[VEHICULOS_ACCIDENTADOS]:[VEHICULOS_ACCIDENTADOS2]],"BICICLETA")</f>
        <v>0</v>
      </c>
      <c r="AD364" s="36" t="s">
        <v>471</v>
      </c>
      <c r="AE364" s="36" t="s">
        <v>472</v>
      </c>
      <c r="AF364" s="36">
        <f>COUNTIF(Tabla1[[#This Row],[GENERO_MASCULINO]:[GENERO_FEMENINO]],"MASCULINO")</f>
        <v>1</v>
      </c>
      <c r="AG364" s="36">
        <f>COUNTIF(Tabla1[[#This Row],[GENERO_MASCULINO]:[GENERO_FEMENINO]],"FEMENINO")</f>
        <v>1</v>
      </c>
      <c r="AH364" s="61">
        <v>47</v>
      </c>
      <c r="AI364" s="61">
        <v>38</v>
      </c>
      <c r="AJ364" s="61"/>
      <c r="AK364" s="61"/>
      <c r="AL364" s="61"/>
      <c r="AM364" s="36"/>
      <c r="AN364" s="61">
        <v>112</v>
      </c>
      <c r="AO364" s="36" t="str">
        <f>IFERROR(((VLOOKUP(Tabla1[[#This Row],[HIPOTESIS_1]],listas!$D$1:$E$105,2,FALSE))),"SIN INFORMACIÓN")</f>
        <v>Desobedecer señales o normas de tránsito.</v>
      </c>
      <c r="AP364" s="36">
        <v>115</v>
      </c>
      <c r="AQ364" s="36" t="str">
        <f>IFERROR(((VLOOKUP(Tabla1[[#This Row],[HIPOTESIS_2]],listas!$D$1:$E$105,2,FALSE))),"")</f>
        <v>Embriaguez o Sustancias alucinogenas</v>
      </c>
      <c r="AR364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365" spans="1:44" x14ac:dyDescent="0.25">
      <c r="A365" s="12">
        <v>488</v>
      </c>
      <c r="B365" s="36">
        <v>0</v>
      </c>
      <c r="C365" s="36">
        <v>1</v>
      </c>
      <c r="D365" s="36">
        <v>0</v>
      </c>
      <c r="E365" s="18" t="str">
        <f t="shared" si="20"/>
        <v>LESIONADO</v>
      </c>
      <c r="F365" s="29" t="s">
        <v>240</v>
      </c>
      <c r="G365" s="21">
        <v>5.3408527777777772</v>
      </c>
      <c r="H365" s="21">
        <v>-72.397766666666669</v>
      </c>
      <c r="I365" s="93" t="s">
        <v>697</v>
      </c>
      <c r="J365" s="36" t="s">
        <v>717</v>
      </c>
      <c r="K365" s="24" t="str">
        <f t="shared" si="21"/>
        <v>2023</v>
      </c>
      <c r="L365" s="24" t="str">
        <f t="shared" si="22"/>
        <v>MAYO</v>
      </c>
      <c r="M365" s="225">
        <v>45063</v>
      </c>
      <c r="N365" s="24" t="str">
        <f t="shared" si="23"/>
        <v>MIÉRCOLES</v>
      </c>
      <c r="O365" s="101">
        <v>0.19444444444444445</v>
      </c>
      <c r="P365" s="57" t="s">
        <v>447</v>
      </c>
      <c r="Q365" s="57" t="s">
        <v>445</v>
      </c>
      <c r="R365" s="36">
        <f>COUNTIF(Tabla1[[#This Row],[VEHICULOS_ACCIDENTADOS]:[VEHICULOS_ACCIDENTADOS2]],"MOTOCICLETA")</f>
        <v>0</v>
      </c>
      <c r="S365" s="36">
        <f>COUNTIF(Tabla1[[#This Row],[VEHICULOS_ACCIDENTADOS]:[VEHICULOS_ACCIDENTADOS2]],"MOTOCARRO")</f>
        <v>0</v>
      </c>
      <c r="T365" s="36">
        <f>COUNTIF(Tabla1[[#This Row],[VEHICULOS_ACCIDENTADOS]:[VEHICULOS_ACCIDENTADOS2]],"AUTOMOVIL")</f>
        <v>1</v>
      </c>
      <c r="U365" s="36">
        <f>COUNTIF(Tabla1[[#This Row],[VEHICULOS_ACCIDENTADOS]:[VEHICULOS_ACCIDENTADOS2]],"CAMPERO")</f>
        <v>0</v>
      </c>
      <c r="V365" s="36">
        <f>COUNTIF(Tabla1[[#This Row],[VEHICULOS_ACCIDENTADOS]:[VEHICULOS_ACCIDENTADOS2]],"CAMIONETA")</f>
        <v>1</v>
      </c>
      <c r="W365" s="36">
        <f>COUNTIF(Tabla1[[#This Row],[VEHICULOS_ACCIDENTADOS]:[VEHICULOS_ACCIDENTADOS2]],"MICROBUS")</f>
        <v>0</v>
      </c>
      <c r="X365" s="36">
        <f>COUNTIF(Tabla1[[#This Row],[VEHICULOS_ACCIDENTADOS]:[VEHICULOS_ACCIDENTADOS2]],"BUS")</f>
        <v>0</v>
      </c>
      <c r="Y365" s="36">
        <f>COUNTIF(Tabla1[[#This Row],[VEHICULOS_ACCIDENTADOS]:[VEHICULOS_ACCIDENTADOS2]],"BUSETA")</f>
        <v>0</v>
      </c>
      <c r="Z365" s="36">
        <f>COUNTIF(Tabla1[[#This Row],[VEHICULOS_ACCIDENTADOS]:[VEHICULOS_ACCIDENTADOS2]],"CAMION")</f>
        <v>0</v>
      </c>
      <c r="AA365" s="36">
        <f>COUNTIF(Tabla1[[#This Row],[VEHICULOS_ACCIDENTADOS]:[VEHICULOS_ACCIDENTADOS2]],"TRACTOCAMION")</f>
        <v>0</v>
      </c>
      <c r="AB365" s="36">
        <f>COUNTIF(Tabla1[[#This Row],[VEHICULOS_ACCIDENTADOS]:[VEHICULOS_ACCIDENTADOS2]],"VOLQUETA")</f>
        <v>0</v>
      </c>
      <c r="AC365" s="36">
        <f>COUNTIF(Tabla1[[#This Row],[VEHICULOS_ACCIDENTADOS]:[VEHICULOS_ACCIDENTADOS2]],"BICICLETA")</f>
        <v>0</v>
      </c>
      <c r="AD365" s="36"/>
      <c r="AE365" s="36" t="s">
        <v>472</v>
      </c>
      <c r="AF365" s="36">
        <f>COUNTIF(Tabla1[[#This Row],[GENERO_MASCULINO]:[GENERO_FEMENINO]],"MASCULINO")</f>
        <v>0</v>
      </c>
      <c r="AG365" s="36">
        <f>COUNTIF(Tabla1[[#This Row],[GENERO_MASCULINO]:[GENERO_FEMENINO]],"FEMENINO")</f>
        <v>1</v>
      </c>
      <c r="AH365" s="61"/>
      <c r="AI365" s="61"/>
      <c r="AJ365" s="78"/>
      <c r="AK365" s="61">
        <v>51</v>
      </c>
      <c r="AL365" s="61"/>
      <c r="AM365" s="36"/>
      <c r="AN365" s="61">
        <v>1</v>
      </c>
      <c r="AO365" s="36" t="str">
        <f>IFERROR(((VLOOKUP(Tabla1[[#This Row],[HIPOTESIS_1]],listas!$D$1:$E$105,2,FALSE))),"SIN INFORMACIÓN")</f>
        <v>SIN INFORMACIÓN</v>
      </c>
      <c r="AP365" s="36">
        <v>115</v>
      </c>
      <c r="AQ365" s="36" t="str">
        <f>IFERROR(((VLOOKUP(Tabla1[[#This Row],[HIPOTESIS_2]],listas!$D$1:$E$105,2,FALSE))),"")</f>
        <v>Embriaguez o Sustancias alucinogenas</v>
      </c>
      <c r="AR365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366" spans="1:44" x14ac:dyDescent="0.25">
      <c r="A366" s="12">
        <v>418</v>
      </c>
      <c r="B366" s="55">
        <v>0</v>
      </c>
      <c r="C366" s="55">
        <v>2</v>
      </c>
      <c r="D366" s="55">
        <v>0</v>
      </c>
      <c r="E366" s="18" t="str">
        <f t="shared" si="20"/>
        <v>LESIONADO</v>
      </c>
      <c r="F366" s="29" t="s">
        <v>278</v>
      </c>
      <c r="G366" s="21">
        <v>5.3375694444444441</v>
      </c>
      <c r="H366" s="21">
        <v>-72.396091666666678</v>
      </c>
      <c r="I366" s="93" t="s">
        <v>697</v>
      </c>
      <c r="J366" s="36" t="s">
        <v>717</v>
      </c>
      <c r="K366" s="24" t="str">
        <f t="shared" si="21"/>
        <v>2023</v>
      </c>
      <c r="L366" s="24" t="str">
        <f t="shared" si="22"/>
        <v>FEBRERO</v>
      </c>
      <c r="M366" s="225">
        <v>44982</v>
      </c>
      <c r="N366" s="24" t="str">
        <f t="shared" si="23"/>
        <v>SÁBADO</v>
      </c>
      <c r="O366" s="101">
        <v>0.875</v>
      </c>
      <c r="P366" s="67" t="s">
        <v>469</v>
      </c>
      <c r="Q366" s="67" t="s">
        <v>469</v>
      </c>
      <c r="R366" s="36">
        <f>COUNTIF(Tabla1[[#This Row],[VEHICULOS_ACCIDENTADOS]:[VEHICULOS_ACCIDENTADOS2]],"MOTOCICLETA")</f>
        <v>2</v>
      </c>
      <c r="S366" s="36">
        <f>COUNTIF(Tabla1[[#This Row],[VEHICULOS_ACCIDENTADOS]:[VEHICULOS_ACCIDENTADOS2]],"MOTOCARRO")</f>
        <v>0</v>
      </c>
      <c r="T366" s="36">
        <f>COUNTIF(Tabla1[[#This Row],[VEHICULOS_ACCIDENTADOS]:[VEHICULOS_ACCIDENTADOS2]],"AUTOMOVIL")</f>
        <v>0</v>
      </c>
      <c r="U366" s="36">
        <f>COUNTIF(Tabla1[[#This Row],[VEHICULOS_ACCIDENTADOS]:[VEHICULOS_ACCIDENTADOS2]],"CAMPERO")</f>
        <v>0</v>
      </c>
      <c r="V366" s="36">
        <f>COUNTIF(Tabla1[[#This Row],[VEHICULOS_ACCIDENTADOS]:[VEHICULOS_ACCIDENTADOS2]],"CAMIONETA")</f>
        <v>0</v>
      </c>
      <c r="W366" s="36">
        <f>COUNTIF(Tabla1[[#This Row],[VEHICULOS_ACCIDENTADOS]:[VEHICULOS_ACCIDENTADOS2]],"MICROBUS")</f>
        <v>0</v>
      </c>
      <c r="X366" s="36">
        <f>COUNTIF(Tabla1[[#This Row],[VEHICULOS_ACCIDENTADOS]:[VEHICULOS_ACCIDENTADOS2]],"BUS")</f>
        <v>0</v>
      </c>
      <c r="Y366" s="36">
        <f>COUNTIF(Tabla1[[#This Row],[VEHICULOS_ACCIDENTADOS]:[VEHICULOS_ACCIDENTADOS2]],"BUSETA")</f>
        <v>0</v>
      </c>
      <c r="Z366" s="36">
        <f>COUNTIF(Tabla1[[#This Row],[VEHICULOS_ACCIDENTADOS]:[VEHICULOS_ACCIDENTADOS2]],"CAMION")</f>
        <v>0</v>
      </c>
      <c r="AA366" s="36">
        <f>COUNTIF(Tabla1[[#This Row],[VEHICULOS_ACCIDENTADOS]:[VEHICULOS_ACCIDENTADOS2]],"TRACTOCAMION")</f>
        <v>0</v>
      </c>
      <c r="AB366" s="36">
        <f>COUNTIF(Tabla1[[#This Row],[VEHICULOS_ACCIDENTADOS]:[VEHICULOS_ACCIDENTADOS2]],"VOLQUETA")</f>
        <v>0</v>
      </c>
      <c r="AC366" s="36">
        <f>COUNTIF(Tabla1[[#This Row],[VEHICULOS_ACCIDENTADOS]:[VEHICULOS_ACCIDENTADOS2]],"BICICLETA")</f>
        <v>0</v>
      </c>
      <c r="AD366" s="36" t="s">
        <v>471</v>
      </c>
      <c r="AE366" s="36"/>
      <c r="AF366" s="36">
        <f>COUNTIF(Tabla1[[#This Row],[GENERO_MASCULINO]:[GENERO_FEMENINO]],"MASCULINO")</f>
        <v>1</v>
      </c>
      <c r="AG366" s="36">
        <f>COUNTIF(Tabla1[[#This Row],[GENERO_MASCULINO]:[GENERO_FEMENINO]],"FEMENINO")</f>
        <v>0</v>
      </c>
      <c r="AH366" s="84">
        <v>21</v>
      </c>
      <c r="AI366" s="84">
        <v>56</v>
      </c>
      <c r="AJ366" s="80"/>
      <c r="AK366" s="80"/>
      <c r="AL366" s="80"/>
      <c r="AM366" s="54"/>
      <c r="AN366" s="79">
        <v>139</v>
      </c>
      <c r="AO366" s="36" t="str">
        <f>IFERROR(((VLOOKUP(Tabla1[[#This Row],[HIPOTESIS_1]],listas!$D$1:$E$105,2,FALSE))),"SIN INFORMACIÓN")</f>
        <v>Impericia en el manejo.</v>
      </c>
      <c r="AP366" s="55">
        <v>115</v>
      </c>
      <c r="AQ366" s="36" t="str">
        <f>IFERROR(((VLOOKUP(Tabla1[[#This Row],[HIPOTESIS_2]],listas!$D$1:$E$105,2,FALSE))),"")</f>
        <v>Embriaguez o Sustancias alucinogenas</v>
      </c>
      <c r="AR366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367" spans="1:44" x14ac:dyDescent="0.25">
      <c r="A367" s="12">
        <v>136</v>
      </c>
      <c r="B367" s="36">
        <v>0</v>
      </c>
      <c r="C367" s="36">
        <v>2</v>
      </c>
      <c r="D367" s="36">
        <v>0</v>
      </c>
      <c r="E367" s="18" t="str">
        <f t="shared" si="20"/>
        <v>LESIONADO</v>
      </c>
      <c r="F367" s="29" t="s">
        <v>1120</v>
      </c>
      <c r="G367" s="17">
        <v>5.3333416666666666</v>
      </c>
      <c r="H367" s="17">
        <v>-72.392600000000002</v>
      </c>
      <c r="I367" s="93" t="s">
        <v>697</v>
      </c>
      <c r="J367" s="36" t="s">
        <v>717</v>
      </c>
      <c r="K367" s="24" t="str">
        <f t="shared" si="21"/>
        <v>2022</v>
      </c>
      <c r="L367" s="24" t="str">
        <f t="shared" si="22"/>
        <v>ABRIL</v>
      </c>
      <c r="M367" s="225">
        <v>44665</v>
      </c>
      <c r="N367" s="24" t="str">
        <f t="shared" si="23"/>
        <v>JUEVES</v>
      </c>
      <c r="O367" s="101">
        <v>0.52083333333333304</v>
      </c>
      <c r="P367" s="63" t="s">
        <v>469</v>
      </c>
      <c r="Q367" s="63" t="s">
        <v>444</v>
      </c>
      <c r="R367" s="36">
        <f>COUNTIF(Tabla1[[#This Row],[VEHICULOS_ACCIDENTADOS]:[VEHICULOS_ACCIDENTADOS2]],"MOTOCICLETA")</f>
        <v>1</v>
      </c>
      <c r="S367" s="36">
        <f>COUNTIF(Tabla1[[#This Row],[VEHICULOS_ACCIDENTADOS]:[VEHICULOS_ACCIDENTADOS2]],"MOTOCARRO")</f>
        <v>0</v>
      </c>
      <c r="T367" s="36">
        <f>COUNTIF(Tabla1[[#This Row],[VEHICULOS_ACCIDENTADOS]:[VEHICULOS_ACCIDENTADOS2]],"AUTOMOVIL")</f>
        <v>0</v>
      </c>
      <c r="U367" s="36">
        <f>COUNTIF(Tabla1[[#This Row],[VEHICULOS_ACCIDENTADOS]:[VEHICULOS_ACCIDENTADOS2]],"CAMPERO")</f>
        <v>0</v>
      </c>
      <c r="V367" s="36">
        <f>COUNTIF(Tabla1[[#This Row],[VEHICULOS_ACCIDENTADOS]:[VEHICULOS_ACCIDENTADOS2]],"CAMIONETA")</f>
        <v>0</v>
      </c>
      <c r="W367" s="36">
        <f>COUNTIF(Tabla1[[#This Row],[VEHICULOS_ACCIDENTADOS]:[VEHICULOS_ACCIDENTADOS2]],"MICROBUS")</f>
        <v>1</v>
      </c>
      <c r="X367" s="36">
        <f>COUNTIF(Tabla1[[#This Row],[VEHICULOS_ACCIDENTADOS]:[VEHICULOS_ACCIDENTADOS2]],"BUS")</f>
        <v>0</v>
      </c>
      <c r="Y367" s="36">
        <f>COUNTIF(Tabla1[[#This Row],[VEHICULOS_ACCIDENTADOS]:[VEHICULOS_ACCIDENTADOS2]],"BUSETA")</f>
        <v>0</v>
      </c>
      <c r="Z367" s="36">
        <f>COUNTIF(Tabla1[[#This Row],[VEHICULOS_ACCIDENTADOS]:[VEHICULOS_ACCIDENTADOS2]],"CAMION")</f>
        <v>0</v>
      </c>
      <c r="AA367" s="36">
        <f>COUNTIF(Tabla1[[#This Row],[VEHICULOS_ACCIDENTADOS]:[VEHICULOS_ACCIDENTADOS2]],"TRACTOCAMION")</f>
        <v>0</v>
      </c>
      <c r="AB367" s="36">
        <f>COUNTIF(Tabla1[[#This Row],[VEHICULOS_ACCIDENTADOS]:[VEHICULOS_ACCIDENTADOS2]],"VOLQUETA")</f>
        <v>0</v>
      </c>
      <c r="AC367" s="36">
        <f>COUNTIF(Tabla1[[#This Row],[VEHICULOS_ACCIDENTADOS]:[VEHICULOS_ACCIDENTADOS2]],"BICICLETA")</f>
        <v>0</v>
      </c>
      <c r="AD367" s="36" t="s">
        <v>471</v>
      </c>
      <c r="AE367" s="36" t="s">
        <v>472</v>
      </c>
      <c r="AF367" s="36">
        <f>COUNTIF(Tabla1[[#This Row],[GENERO_MASCULINO]:[GENERO_FEMENINO]],"MASCULINO")</f>
        <v>1</v>
      </c>
      <c r="AG367" s="36">
        <f>COUNTIF(Tabla1[[#This Row],[GENERO_MASCULINO]:[GENERO_FEMENINO]],"FEMENINO")</f>
        <v>1</v>
      </c>
      <c r="AH367" s="61">
        <v>23</v>
      </c>
      <c r="AI367" s="61"/>
      <c r="AJ367" s="61"/>
      <c r="AK367" s="61"/>
      <c r="AL367" s="61">
        <v>24</v>
      </c>
      <c r="AM367" s="36"/>
      <c r="AN367" s="61">
        <v>112</v>
      </c>
      <c r="AO367" s="36" t="str">
        <f>IFERROR(((VLOOKUP(Tabla1[[#This Row],[HIPOTESIS_1]],listas!$D$1:$E$105,2,FALSE))),"SIN INFORMACIÓN")</f>
        <v>Desobedecer señales o normas de tránsito.</v>
      </c>
      <c r="AP367" s="36">
        <v>115</v>
      </c>
      <c r="AQ367" s="36" t="str">
        <f>IFERROR(((VLOOKUP(Tabla1[[#This Row],[HIPOTESIS_2]],listas!$D$1:$E$105,2,FALSE))),"")</f>
        <v>Embriaguez o Sustancias alucinogenas</v>
      </c>
      <c r="AR367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368" spans="1:44" x14ac:dyDescent="0.25">
      <c r="A368" s="12">
        <v>371</v>
      </c>
      <c r="B368" s="36">
        <v>0</v>
      </c>
      <c r="C368" s="36">
        <v>1</v>
      </c>
      <c r="D368" s="36">
        <v>0</v>
      </c>
      <c r="E368" s="18" t="str">
        <f t="shared" si="20"/>
        <v>LESIONADO</v>
      </c>
      <c r="F368" s="29" t="s">
        <v>1129</v>
      </c>
      <c r="G368" s="17">
        <v>5.3424480000000001</v>
      </c>
      <c r="H368" s="17">
        <v>-72.396553999999995</v>
      </c>
      <c r="I368" s="93" t="s">
        <v>697</v>
      </c>
      <c r="J368" s="36" t="s">
        <v>717</v>
      </c>
      <c r="K368" s="24" t="str">
        <f t="shared" si="21"/>
        <v>2022</v>
      </c>
      <c r="L368" s="24" t="str">
        <f t="shared" si="22"/>
        <v>DICIEMBRE</v>
      </c>
      <c r="M368" s="225">
        <v>44903</v>
      </c>
      <c r="N368" s="24" t="str">
        <f t="shared" si="23"/>
        <v>JUEVES</v>
      </c>
      <c r="O368" s="102">
        <v>0.30555555555555602</v>
      </c>
      <c r="P368" s="53" t="s">
        <v>469</v>
      </c>
      <c r="Q368" s="53" t="s">
        <v>445</v>
      </c>
      <c r="R368" s="36">
        <f>COUNTIF(Tabla1[[#This Row],[VEHICULOS_ACCIDENTADOS]:[VEHICULOS_ACCIDENTADOS2]],"MOTOCICLETA")</f>
        <v>1</v>
      </c>
      <c r="S368" s="36">
        <f>COUNTIF(Tabla1[[#This Row],[VEHICULOS_ACCIDENTADOS]:[VEHICULOS_ACCIDENTADOS2]],"MOTOCARRO")</f>
        <v>0</v>
      </c>
      <c r="T368" s="36">
        <f>COUNTIF(Tabla1[[#This Row],[VEHICULOS_ACCIDENTADOS]:[VEHICULOS_ACCIDENTADOS2]],"AUTOMOVIL")</f>
        <v>0</v>
      </c>
      <c r="U368" s="36">
        <f>COUNTIF(Tabla1[[#This Row],[VEHICULOS_ACCIDENTADOS]:[VEHICULOS_ACCIDENTADOS2]],"CAMPERO")</f>
        <v>0</v>
      </c>
      <c r="V368" s="36">
        <f>COUNTIF(Tabla1[[#This Row],[VEHICULOS_ACCIDENTADOS]:[VEHICULOS_ACCIDENTADOS2]],"CAMIONETA")</f>
        <v>1</v>
      </c>
      <c r="W368" s="36">
        <f>COUNTIF(Tabla1[[#This Row],[VEHICULOS_ACCIDENTADOS]:[VEHICULOS_ACCIDENTADOS2]],"MICROBUS")</f>
        <v>0</v>
      </c>
      <c r="X368" s="36">
        <f>COUNTIF(Tabla1[[#This Row],[VEHICULOS_ACCIDENTADOS]:[VEHICULOS_ACCIDENTADOS2]],"BUS")</f>
        <v>0</v>
      </c>
      <c r="Y368" s="36">
        <f>COUNTIF(Tabla1[[#This Row],[VEHICULOS_ACCIDENTADOS]:[VEHICULOS_ACCIDENTADOS2]],"BUSETA")</f>
        <v>0</v>
      </c>
      <c r="Z368" s="36">
        <f>COUNTIF(Tabla1[[#This Row],[VEHICULOS_ACCIDENTADOS]:[VEHICULOS_ACCIDENTADOS2]],"CAMION")</f>
        <v>0</v>
      </c>
      <c r="AA368" s="36">
        <f>COUNTIF(Tabla1[[#This Row],[VEHICULOS_ACCIDENTADOS]:[VEHICULOS_ACCIDENTADOS2]],"TRACTOCAMION")</f>
        <v>0</v>
      </c>
      <c r="AB368" s="36">
        <f>COUNTIF(Tabla1[[#This Row],[VEHICULOS_ACCIDENTADOS]:[VEHICULOS_ACCIDENTADOS2]],"VOLQUETA")</f>
        <v>0</v>
      </c>
      <c r="AC368" s="36">
        <f>COUNTIF(Tabla1[[#This Row],[VEHICULOS_ACCIDENTADOS]:[VEHICULOS_ACCIDENTADOS2]],"BICICLETA")</f>
        <v>0</v>
      </c>
      <c r="AD368" s="36" t="s">
        <v>471</v>
      </c>
      <c r="AE368" s="36"/>
      <c r="AF368" s="36">
        <f>COUNTIF(Tabla1[[#This Row],[GENERO_MASCULINO]:[GENERO_FEMENINO]],"MASCULINO")</f>
        <v>1</v>
      </c>
      <c r="AG368" s="36">
        <f>COUNTIF(Tabla1[[#This Row],[GENERO_MASCULINO]:[GENERO_FEMENINO]],"FEMENINO")</f>
        <v>0</v>
      </c>
      <c r="AH368" s="61">
        <v>26</v>
      </c>
      <c r="AI368" s="61"/>
      <c r="AJ368" s="78"/>
      <c r="AK368" s="61"/>
      <c r="AL368" s="61"/>
      <c r="AM368" s="36"/>
      <c r="AN368" s="61">
        <v>142</v>
      </c>
      <c r="AO368" s="36" t="str">
        <f>IFERROR(((VLOOKUP(Tabla1[[#This Row],[HIPOTESIS_1]],listas!$D$1:$E$105,2,FALSE))),"SIN INFORMACIÓN")</f>
        <v>Semáforo en rojo.</v>
      </c>
      <c r="AP368" s="36">
        <v>115</v>
      </c>
      <c r="AQ368" s="36" t="str">
        <f>IFERROR(((VLOOKUP(Tabla1[[#This Row],[HIPOTESIS_2]],listas!$D$1:$E$105,2,FALSE))),"")</f>
        <v>Embriaguez o Sustancias alucinogenas</v>
      </c>
      <c r="AR368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369" spans="1:44" x14ac:dyDescent="0.25">
      <c r="A369" s="12">
        <v>733</v>
      </c>
      <c r="B369" s="136">
        <v>0</v>
      </c>
      <c r="C369" s="36">
        <v>1</v>
      </c>
      <c r="D369" s="36">
        <v>0</v>
      </c>
      <c r="E369" s="18" t="str">
        <f t="shared" si="20"/>
        <v>LESIONADO</v>
      </c>
      <c r="F369" s="29" t="s">
        <v>939</v>
      </c>
      <c r="G369" s="21">
        <v>5.3336174999999999</v>
      </c>
      <c r="H369" s="21">
        <v>-72.3890913888889</v>
      </c>
      <c r="I369" s="93" t="s">
        <v>697</v>
      </c>
      <c r="J369" s="136" t="s">
        <v>717</v>
      </c>
      <c r="K369" s="24" t="str">
        <f t="shared" si="21"/>
        <v>2024</v>
      </c>
      <c r="L369" s="24" t="str">
        <f t="shared" si="22"/>
        <v>JUNIO</v>
      </c>
      <c r="M369" s="225">
        <v>45465</v>
      </c>
      <c r="N369" s="24" t="str">
        <f t="shared" si="23"/>
        <v>SÁBADO</v>
      </c>
      <c r="O369" s="101">
        <v>0.81874999999999998</v>
      </c>
      <c r="P369" s="57" t="s">
        <v>469</v>
      </c>
      <c r="Q369" s="57" t="s">
        <v>447</v>
      </c>
      <c r="R369" s="36">
        <f>COUNTIF(Tabla1[[#This Row],[VEHICULOS_ACCIDENTADOS]:[VEHICULOS_ACCIDENTADOS2]],"MOTOCICLETA")</f>
        <v>1</v>
      </c>
      <c r="S369" s="36">
        <f>COUNTIF(Tabla1[[#This Row],[VEHICULOS_ACCIDENTADOS]:[VEHICULOS_ACCIDENTADOS2]],"MOTOCARRO")</f>
        <v>0</v>
      </c>
      <c r="T369" s="36">
        <f>COUNTIF(Tabla1[[#This Row],[VEHICULOS_ACCIDENTADOS]:[VEHICULOS_ACCIDENTADOS2]],"AUTOMOVIL")</f>
        <v>1</v>
      </c>
      <c r="U369" s="36">
        <f>COUNTIF(Tabla1[[#This Row],[VEHICULOS_ACCIDENTADOS]:[VEHICULOS_ACCIDENTADOS2]],"CAMPERO")</f>
        <v>0</v>
      </c>
      <c r="V369" s="36">
        <f>COUNTIF(Tabla1[[#This Row],[VEHICULOS_ACCIDENTADOS]:[VEHICULOS_ACCIDENTADOS2]],"CAMIONETA")</f>
        <v>0</v>
      </c>
      <c r="W369" s="36">
        <f>COUNTIF(Tabla1[[#This Row],[VEHICULOS_ACCIDENTADOS]:[VEHICULOS_ACCIDENTADOS2]],"MICROBUS")</f>
        <v>0</v>
      </c>
      <c r="X369" s="36">
        <f>COUNTIF(Tabla1[[#This Row],[VEHICULOS_ACCIDENTADOS]:[VEHICULOS_ACCIDENTADOS2]],"BUS")</f>
        <v>0</v>
      </c>
      <c r="Y369" s="36">
        <f>COUNTIF(Tabla1[[#This Row],[VEHICULOS_ACCIDENTADOS]:[VEHICULOS_ACCIDENTADOS2]],"BUSETA")</f>
        <v>0</v>
      </c>
      <c r="Z369" s="36">
        <f>COUNTIF(Tabla1[[#This Row],[VEHICULOS_ACCIDENTADOS]:[VEHICULOS_ACCIDENTADOS2]],"CAMION")</f>
        <v>0</v>
      </c>
      <c r="AA369" s="36">
        <f>COUNTIF(Tabla1[[#This Row],[VEHICULOS_ACCIDENTADOS]:[VEHICULOS_ACCIDENTADOS2]],"TRACTOCAMION")</f>
        <v>0</v>
      </c>
      <c r="AB369" s="36">
        <f>COUNTIF(Tabla1[[#This Row],[VEHICULOS_ACCIDENTADOS]:[VEHICULOS_ACCIDENTADOS2]],"VOLQUETA")</f>
        <v>0</v>
      </c>
      <c r="AC369" s="36">
        <f>COUNTIF(Tabla1[[#This Row],[VEHICULOS_ACCIDENTADOS]:[VEHICULOS_ACCIDENTADOS2]],"BICICLETA")</f>
        <v>0</v>
      </c>
      <c r="AD369" s="36" t="s">
        <v>471</v>
      </c>
      <c r="AE369" s="36"/>
      <c r="AF369" s="36">
        <f>COUNTIF(Tabla1[[#This Row],[GENERO_MASCULINO]:[GENERO_FEMENINO]],"MASCULINO")</f>
        <v>1</v>
      </c>
      <c r="AG369" s="36">
        <f>COUNTIF(Tabla1[[#This Row],[GENERO_MASCULINO]:[GENERO_FEMENINO]],"FEMENINO")</f>
        <v>0</v>
      </c>
      <c r="AH369" s="61">
        <v>22</v>
      </c>
      <c r="AI369" s="61">
        <v>44</v>
      </c>
      <c r="AJ369" s="61"/>
      <c r="AK369" s="61"/>
      <c r="AL369" s="61"/>
      <c r="AM369" s="36"/>
      <c r="AN369" s="61">
        <v>139</v>
      </c>
      <c r="AO369" s="36" t="str">
        <f>IFERROR(((VLOOKUP(Tabla1[[#This Row],[HIPOTESIS_1]],listas!$D$1:$E$105,2,FALSE))),"SIN INFORMACIÓN")</f>
        <v>Impericia en el manejo.</v>
      </c>
      <c r="AP369" s="36">
        <v>115</v>
      </c>
      <c r="AQ369" s="36" t="str">
        <f>IFERROR(((VLOOKUP(Tabla1[[#This Row],[HIPOTESIS_2]],listas!$D$1:$E$105,2,FALSE))),"")</f>
        <v>Embriaguez o Sustancias alucinogenas</v>
      </c>
      <c r="AR369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370" spans="1:44" x14ac:dyDescent="0.25">
      <c r="A370" s="12">
        <v>449</v>
      </c>
      <c r="B370" s="36">
        <v>0</v>
      </c>
      <c r="C370" s="36">
        <v>1</v>
      </c>
      <c r="D370" s="36">
        <v>1</v>
      </c>
      <c r="E370" s="18" t="str">
        <f t="shared" si="20"/>
        <v>FALLECIDO</v>
      </c>
      <c r="F370" s="29" t="s">
        <v>1149</v>
      </c>
      <c r="G370" s="17">
        <v>5.3325027777777771</v>
      </c>
      <c r="H370" s="17">
        <v>-72.38847777777778</v>
      </c>
      <c r="I370" s="93" t="s">
        <v>697</v>
      </c>
      <c r="J370" s="36" t="s">
        <v>717</v>
      </c>
      <c r="K370" s="24" t="str">
        <f t="shared" si="21"/>
        <v>2023</v>
      </c>
      <c r="L370" s="24" t="str">
        <f t="shared" si="22"/>
        <v>ABRIL</v>
      </c>
      <c r="M370" s="225">
        <v>45022</v>
      </c>
      <c r="N370" s="24" t="str">
        <f t="shared" si="23"/>
        <v>JUEVES</v>
      </c>
      <c r="O370" s="101">
        <v>0.10416666666666667</v>
      </c>
      <c r="P370" s="57" t="s">
        <v>469</v>
      </c>
      <c r="Q370" s="57" t="s">
        <v>469</v>
      </c>
      <c r="R370" s="36">
        <f>COUNTIF(Tabla1[[#This Row],[VEHICULOS_ACCIDENTADOS]:[VEHICULOS_ACCIDENTADOS2]],"MOTOCICLETA")</f>
        <v>2</v>
      </c>
      <c r="S370" s="36">
        <f>COUNTIF(Tabla1[[#This Row],[VEHICULOS_ACCIDENTADOS]:[VEHICULOS_ACCIDENTADOS2]],"MOTOCARRO")</f>
        <v>0</v>
      </c>
      <c r="T370" s="36">
        <f>COUNTIF(Tabla1[[#This Row],[VEHICULOS_ACCIDENTADOS]:[VEHICULOS_ACCIDENTADOS2]],"AUTOMOVIL")</f>
        <v>0</v>
      </c>
      <c r="U370" s="36">
        <f>COUNTIF(Tabla1[[#This Row],[VEHICULOS_ACCIDENTADOS]:[VEHICULOS_ACCIDENTADOS2]],"CAMPERO")</f>
        <v>0</v>
      </c>
      <c r="V370" s="36">
        <f>COUNTIF(Tabla1[[#This Row],[VEHICULOS_ACCIDENTADOS]:[VEHICULOS_ACCIDENTADOS2]],"CAMIONETA")</f>
        <v>0</v>
      </c>
      <c r="W370" s="36">
        <f>COUNTIF(Tabla1[[#This Row],[VEHICULOS_ACCIDENTADOS]:[VEHICULOS_ACCIDENTADOS2]],"MICROBUS")</f>
        <v>0</v>
      </c>
      <c r="X370" s="36">
        <f>COUNTIF(Tabla1[[#This Row],[VEHICULOS_ACCIDENTADOS]:[VEHICULOS_ACCIDENTADOS2]],"BUS")</f>
        <v>0</v>
      </c>
      <c r="Y370" s="36">
        <f>COUNTIF(Tabla1[[#This Row],[VEHICULOS_ACCIDENTADOS]:[VEHICULOS_ACCIDENTADOS2]],"BUSETA")</f>
        <v>0</v>
      </c>
      <c r="Z370" s="36">
        <f>COUNTIF(Tabla1[[#This Row],[VEHICULOS_ACCIDENTADOS]:[VEHICULOS_ACCIDENTADOS2]],"CAMION")</f>
        <v>0</v>
      </c>
      <c r="AA370" s="36">
        <f>COUNTIF(Tabla1[[#This Row],[VEHICULOS_ACCIDENTADOS]:[VEHICULOS_ACCIDENTADOS2]],"TRACTOCAMION")</f>
        <v>0</v>
      </c>
      <c r="AB370" s="36">
        <f>COUNTIF(Tabla1[[#This Row],[VEHICULOS_ACCIDENTADOS]:[VEHICULOS_ACCIDENTADOS2]],"VOLQUETA")</f>
        <v>0</v>
      </c>
      <c r="AC370" s="36">
        <f>COUNTIF(Tabla1[[#This Row],[VEHICULOS_ACCIDENTADOS]:[VEHICULOS_ACCIDENTADOS2]],"BICICLETA")</f>
        <v>0</v>
      </c>
      <c r="AD370" s="36" t="s">
        <v>471</v>
      </c>
      <c r="AE370" s="36"/>
      <c r="AF370" s="36">
        <f>COUNTIF(Tabla1[[#This Row],[GENERO_MASCULINO]:[GENERO_FEMENINO]],"MASCULINO")</f>
        <v>1</v>
      </c>
      <c r="AG370" s="36">
        <f>COUNTIF(Tabla1[[#This Row],[GENERO_MASCULINO]:[GENERO_FEMENINO]],"FEMENINO")</f>
        <v>0</v>
      </c>
      <c r="AH370" s="61">
        <v>26</v>
      </c>
      <c r="AI370" s="61"/>
      <c r="AJ370" s="61"/>
      <c r="AK370" s="61"/>
      <c r="AL370" s="61"/>
      <c r="AM370" s="36">
        <v>32</v>
      </c>
      <c r="AN370" s="61">
        <v>142</v>
      </c>
      <c r="AO370" s="36" t="str">
        <f>IFERROR(((VLOOKUP(Tabla1[[#This Row],[HIPOTESIS_1]],listas!$D$1:$E$105,2,FALSE))),"SIN INFORMACIÓN")</f>
        <v>Semáforo en rojo.</v>
      </c>
      <c r="AP370" s="36">
        <v>115</v>
      </c>
      <c r="AQ370" s="36" t="str">
        <f>IFERROR(((VLOOKUP(Tabla1[[#This Row],[HIPOTESIS_2]],listas!$D$1:$E$105,2,FALSE))),"")</f>
        <v>Embriaguez o Sustancias alucinogenas</v>
      </c>
      <c r="AR370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371" spans="1:44" x14ac:dyDescent="0.25">
      <c r="A371" s="12">
        <v>653</v>
      </c>
      <c r="B371" s="136">
        <v>1</v>
      </c>
      <c r="C371" s="136">
        <v>0</v>
      </c>
      <c r="D371" s="136">
        <v>0</v>
      </c>
      <c r="E371" s="18" t="str">
        <f t="shared" si="20"/>
        <v>SOLO DAÑO</v>
      </c>
      <c r="F371" s="29" t="s">
        <v>1149</v>
      </c>
      <c r="G371" s="17">
        <v>5.3325027777777771</v>
      </c>
      <c r="H371" s="17">
        <v>-72.38847777777778</v>
      </c>
      <c r="I371" s="93" t="s">
        <v>697</v>
      </c>
      <c r="J371" s="136" t="s">
        <v>717</v>
      </c>
      <c r="K371" s="24" t="str">
        <f t="shared" si="21"/>
        <v>2024</v>
      </c>
      <c r="L371" s="24" t="str">
        <f t="shared" si="22"/>
        <v>ENERO</v>
      </c>
      <c r="M371" s="224">
        <v>45320</v>
      </c>
      <c r="N371" s="24" t="str">
        <f t="shared" si="23"/>
        <v>LUNES</v>
      </c>
      <c r="O371" s="171">
        <v>0.91666666666666663</v>
      </c>
      <c r="P371" s="178" t="s">
        <v>447</v>
      </c>
      <c r="Q371" s="178" t="s">
        <v>447</v>
      </c>
      <c r="R371" s="36">
        <f>COUNTIF(Tabla1[[#This Row],[VEHICULOS_ACCIDENTADOS]:[VEHICULOS_ACCIDENTADOS2]],"MOTOCICLETA")</f>
        <v>0</v>
      </c>
      <c r="S371" s="36">
        <f>COUNTIF(Tabla1[[#This Row],[VEHICULOS_ACCIDENTADOS]:[VEHICULOS_ACCIDENTADOS2]],"MOTOCARRO")</f>
        <v>0</v>
      </c>
      <c r="T371" s="36">
        <f>COUNTIF(Tabla1[[#This Row],[VEHICULOS_ACCIDENTADOS]:[VEHICULOS_ACCIDENTADOS2]],"AUTOMOVIL")</f>
        <v>2</v>
      </c>
      <c r="U371" s="36">
        <f>COUNTIF(Tabla1[[#This Row],[VEHICULOS_ACCIDENTADOS]:[VEHICULOS_ACCIDENTADOS2]],"CAMPERO")</f>
        <v>0</v>
      </c>
      <c r="V371" s="36">
        <f>COUNTIF(Tabla1[[#This Row],[VEHICULOS_ACCIDENTADOS]:[VEHICULOS_ACCIDENTADOS2]],"CAMIONETA")</f>
        <v>0</v>
      </c>
      <c r="W371" s="36">
        <f>COUNTIF(Tabla1[[#This Row],[VEHICULOS_ACCIDENTADOS]:[VEHICULOS_ACCIDENTADOS2]],"MICROBUS")</f>
        <v>0</v>
      </c>
      <c r="X371" s="36">
        <f>COUNTIF(Tabla1[[#This Row],[VEHICULOS_ACCIDENTADOS]:[VEHICULOS_ACCIDENTADOS2]],"BUS")</f>
        <v>0</v>
      </c>
      <c r="Y371" s="36">
        <f>COUNTIF(Tabla1[[#This Row],[VEHICULOS_ACCIDENTADOS]:[VEHICULOS_ACCIDENTADOS2]],"BUSETA")</f>
        <v>0</v>
      </c>
      <c r="Z371" s="36">
        <f>COUNTIF(Tabla1[[#This Row],[VEHICULOS_ACCIDENTADOS]:[VEHICULOS_ACCIDENTADOS2]],"CAMION")</f>
        <v>0</v>
      </c>
      <c r="AA371" s="36">
        <f>COUNTIF(Tabla1[[#This Row],[VEHICULOS_ACCIDENTADOS]:[VEHICULOS_ACCIDENTADOS2]],"TRACTOCAMION")</f>
        <v>0</v>
      </c>
      <c r="AB371" s="36">
        <f>COUNTIF(Tabla1[[#This Row],[VEHICULOS_ACCIDENTADOS]:[VEHICULOS_ACCIDENTADOS2]],"VOLQUETA")</f>
        <v>0</v>
      </c>
      <c r="AC371" s="36">
        <f>COUNTIF(Tabla1[[#This Row],[VEHICULOS_ACCIDENTADOS]:[VEHICULOS_ACCIDENTADOS2]],"BICICLETA")</f>
        <v>0</v>
      </c>
      <c r="AD371" s="136" t="s">
        <v>471</v>
      </c>
      <c r="AE371" s="136"/>
      <c r="AF371" s="136">
        <f>COUNTIF(Tabla1[[#This Row],[GENERO_MASCULINO]:[GENERO_FEMENINO]],"MASCULINO")</f>
        <v>1</v>
      </c>
      <c r="AG371" s="36">
        <f>COUNTIF(Tabla1[[#This Row],[GENERO_MASCULINO]:[GENERO_FEMENINO]],"FEMENINO")</f>
        <v>0</v>
      </c>
      <c r="AH371" s="85">
        <v>45</v>
      </c>
      <c r="AI371" s="85">
        <v>29</v>
      </c>
      <c r="AJ371" s="85"/>
      <c r="AK371" s="85"/>
      <c r="AL371" s="85"/>
      <c r="AM371" s="136"/>
      <c r="AN371" s="85">
        <v>112</v>
      </c>
      <c r="AO371" s="36" t="str">
        <f>IFERROR(((VLOOKUP(Tabla1[[#This Row],[HIPOTESIS_1]],listas!$D$1:$E$105,2,FALSE))),"SIN INFORMACIÓN")</f>
        <v>Desobedecer señales o normas de tránsito.</v>
      </c>
      <c r="AP371" s="136">
        <v>115</v>
      </c>
      <c r="AQ371" s="36" t="str">
        <f>IFERROR(((VLOOKUP(Tabla1[[#This Row],[HIPOTESIS_2]],listas!$D$1:$E$105,2,FALSE))),"")</f>
        <v>Embriaguez o Sustancias alucinogenas</v>
      </c>
      <c r="AR371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372" spans="1:44" x14ac:dyDescent="0.25">
      <c r="A372" s="12">
        <v>377</v>
      </c>
      <c r="B372" s="36">
        <v>1</v>
      </c>
      <c r="C372" s="36">
        <v>0</v>
      </c>
      <c r="D372" s="36">
        <v>0</v>
      </c>
      <c r="E372" s="18" t="str">
        <f t="shared" si="20"/>
        <v>SOLO DAÑO</v>
      </c>
      <c r="F372" s="29" t="s">
        <v>1150</v>
      </c>
      <c r="G372" s="17">
        <v>5.3285472222222223</v>
      </c>
      <c r="H372" s="17">
        <v>-72.386288888888899</v>
      </c>
      <c r="I372" s="93" t="s">
        <v>697</v>
      </c>
      <c r="J372" s="36" t="s">
        <v>717</v>
      </c>
      <c r="K372" s="24" t="str">
        <f t="shared" si="21"/>
        <v>2022</v>
      </c>
      <c r="L372" s="24" t="str">
        <f t="shared" si="22"/>
        <v>DICIEMBRE</v>
      </c>
      <c r="M372" s="225">
        <v>44914</v>
      </c>
      <c r="N372" s="24" t="str">
        <f t="shared" si="23"/>
        <v>LUNES</v>
      </c>
      <c r="O372" s="102">
        <v>0.83333333333333304</v>
      </c>
      <c r="P372" s="53" t="s">
        <v>447</v>
      </c>
      <c r="Q372" s="53" t="s">
        <v>445</v>
      </c>
      <c r="R372" s="36">
        <f>COUNTIF(Tabla1[[#This Row],[VEHICULOS_ACCIDENTADOS]:[VEHICULOS_ACCIDENTADOS2]],"MOTOCICLETA")</f>
        <v>0</v>
      </c>
      <c r="S372" s="36">
        <f>COUNTIF(Tabla1[[#This Row],[VEHICULOS_ACCIDENTADOS]:[VEHICULOS_ACCIDENTADOS2]],"MOTOCARRO")</f>
        <v>0</v>
      </c>
      <c r="T372" s="36">
        <f>COUNTIF(Tabla1[[#This Row],[VEHICULOS_ACCIDENTADOS]:[VEHICULOS_ACCIDENTADOS2]],"AUTOMOVIL")</f>
        <v>1</v>
      </c>
      <c r="U372" s="36">
        <f>COUNTIF(Tabla1[[#This Row],[VEHICULOS_ACCIDENTADOS]:[VEHICULOS_ACCIDENTADOS2]],"CAMPERO")</f>
        <v>0</v>
      </c>
      <c r="V372" s="36">
        <f>COUNTIF(Tabla1[[#This Row],[VEHICULOS_ACCIDENTADOS]:[VEHICULOS_ACCIDENTADOS2]],"CAMIONETA")</f>
        <v>1</v>
      </c>
      <c r="W372" s="36">
        <f>COUNTIF(Tabla1[[#This Row],[VEHICULOS_ACCIDENTADOS]:[VEHICULOS_ACCIDENTADOS2]],"MICROBUS")</f>
        <v>0</v>
      </c>
      <c r="X372" s="36">
        <f>COUNTIF(Tabla1[[#This Row],[VEHICULOS_ACCIDENTADOS]:[VEHICULOS_ACCIDENTADOS2]],"BUS")</f>
        <v>0</v>
      </c>
      <c r="Y372" s="36">
        <f>COUNTIF(Tabla1[[#This Row],[VEHICULOS_ACCIDENTADOS]:[VEHICULOS_ACCIDENTADOS2]],"BUSETA")</f>
        <v>0</v>
      </c>
      <c r="Z372" s="36">
        <f>COUNTIF(Tabla1[[#This Row],[VEHICULOS_ACCIDENTADOS]:[VEHICULOS_ACCIDENTADOS2]],"CAMION")</f>
        <v>0</v>
      </c>
      <c r="AA372" s="36">
        <f>COUNTIF(Tabla1[[#This Row],[VEHICULOS_ACCIDENTADOS]:[VEHICULOS_ACCIDENTADOS2]],"TRACTOCAMION")</f>
        <v>0</v>
      </c>
      <c r="AB372" s="36">
        <f>COUNTIF(Tabla1[[#This Row],[VEHICULOS_ACCIDENTADOS]:[VEHICULOS_ACCIDENTADOS2]],"VOLQUETA")</f>
        <v>0</v>
      </c>
      <c r="AC372" s="36">
        <f>COUNTIF(Tabla1[[#This Row],[VEHICULOS_ACCIDENTADOS]:[VEHICULOS_ACCIDENTADOS2]],"BICICLETA")</f>
        <v>0</v>
      </c>
      <c r="AD372" s="36" t="s">
        <v>471</v>
      </c>
      <c r="AE372" s="36"/>
      <c r="AF372" s="36">
        <f>COUNTIF(Tabla1[[#This Row],[GENERO_MASCULINO]:[GENERO_FEMENINO]],"MASCULINO")</f>
        <v>1</v>
      </c>
      <c r="AG372" s="36">
        <f>COUNTIF(Tabla1[[#This Row],[GENERO_MASCULINO]:[GENERO_FEMENINO]],"FEMENINO")</f>
        <v>0</v>
      </c>
      <c r="AH372" s="61">
        <v>43</v>
      </c>
      <c r="AI372" s="61">
        <v>39</v>
      </c>
      <c r="AJ372" s="78"/>
      <c r="AK372" s="61"/>
      <c r="AL372" s="61"/>
      <c r="AM372" s="36"/>
      <c r="AN372" s="61">
        <v>112</v>
      </c>
      <c r="AO372" s="36" t="str">
        <f>IFERROR(((VLOOKUP(Tabla1[[#This Row],[HIPOTESIS_1]],listas!$D$1:$E$105,2,FALSE))),"SIN INFORMACIÓN")</f>
        <v>Desobedecer señales o normas de tránsito.</v>
      </c>
      <c r="AP372" s="36">
        <v>115</v>
      </c>
      <c r="AQ372" s="36" t="str">
        <f>IFERROR(((VLOOKUP(Tabla1[[#This Row],[HIPOTESIS_2]],listas!$D$1:$E$105,2,FALSE))),"")</f>
        <v>Embriaguez o Sustancias alucinogenas</v>
      </c>
      <c r="AR372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373" spans="1:44" x14ac:dyDescent="0.25">
      <c r="A373" s="12">
        <v>757</v>
      </c>
      <c r="B373" s="135">
        <v>0</v>
      </c>
      <c r="C373" s="136">
        <v>3</v>
      </c>
      <c r="D373" s="136">
        <v>0</v>
      </c>
      <c r="E373" s="18" t="str">
        <f t="shared" si="20"/>
        <v>LESIONADO</v>
      </c>
      <c r="F373" s="26" t="s">
        <v>1105</v>
      </c>
      <c r="G373" s="21">
        <v>5.3382050000000003</v>
      </c>
      <c r="H373" s="21">
        <v>-72.389366999999993</v>
      </c>
      <c r="I373" s="93" t="s">
        <v>697</v>
      </c>
      <c r="J373" s="136" t="s">
        <v>717</v>
      </c>
      <c r="K373" s="24" t="str">
        <f t="shared" si="21"/>
        <v>2024</v>
      </c>
      <c r="L373" s="24" t="str">
        <f t="shared" si="22"/>
        <v>AGOSTO</v>
      </c>
      <c r="M373" s="224">
        <v>45508</v>
      </c>
      <c r="N373" s="24" t="str">
        <f t="shared" si="23"/>
        <v>DOMINGO</v>
      </c>
      <c r="O373" s="171">
        <v>0.59722222222222221</v>
      </c>
      <c r="P373" s="178" t="s">
        <v>469</v>
      </c>
      <c r="Q373" s="178" t="s">
        <v>447</v>
      </c>
      <c r="R373" s="36">
        <f>COUNTIF(Tabla1[[#This Row],[VEHICULOS_ACCIDENTADOS]:[VEHICULOS_ACCIDENTADOS2]],"MOTOCICLETA")</f>
        <v>1</v>
      </c>
      <c r="S373" s="36">
        <f>COUNTIF(Tabla1[[#This Row],[VEHICULOS_ACCIDENTADOS]:[VEHICULOS_ACCIDENTADOS2]],"MOTOCARRO")</f>
        <v>0</v>
      </c>
      <c r="T373" s="36">
        <f>COUNTIF(Tabla1[[#This Row],[VEHICULOS_ACCIDENTADOS]:[VEHICULOS_ACCIDENTADOS2]],"AUTOMOVIL")</f>
        <v>1</v>
      </c>
      <c r="U373" s="36">
        <f>COUNTIF(Tabla1[[#This Row],[VEHICULOS_ACCIDENTADOS]:[VEHICULOS_ACCIDENTADOS2]],"CAMPERO")</f>
        <v>0</v>
      </c>
      <c r="V373" s="36">
        <f>COUNTIF(Tabla1[[#This Row],[VEHICULOS_ACCIDENTADOS]:[VEHICULOS_ACCIDENTADOS2]],"CAMIONETA")</f>
        <v>0</v>
      </c>
      <c r="W373" s="36">
        <f>COUNTIF(Tabla1[[#This Row],[VEHICULOS_ACCIDENTADOS]:[VEHICULOS_ACCIDENTADOS2]],"MICROBUS")</f>
        <v>0</v>
      </c>
      <c r="X373" s="36">
        <f>COUNTIF(Tabla1[[#This Row],[VEHICULOS_ACCIDENTADOS]:[VEHICULOS_ACCIDENTADOS2]],"BUS")</f>
        <v>0</v>
      </c>
      <c r="Y373" s="36">
        <f>COUNTIF(Tabla1[[#This Row],[VEHICULOS_ACCIDENTADOS]:[VEHICULOS_ACCIDENTADOS2]],"BUSETA")</f>
        <v>0</v>
      </c>
      <c r="Z373" s="36">
        <f>COUNTIF(Tabla1[[#This Row],[VEHICULOS_ACCIDENTADOS]:[VEHICULOS_ACCIDENTADOS2]],"CAMION")</f>
        <v>0</v>
      </c>
      <c r="AA373" s="36">
        <f>COUNTIF(Tabla1[[#This Row],[VEHICULOS_ACCIDENTADOS]:[VEHICULOS_ACCIDENTADOS2]],"TRACTOCAMION")</f>
        <v>0</v>
      </c>
      <c r="AB373" s="36">
        <f>COUNTIF(Tabla1[[#This Row],[VEHICULOS_ACCIDENTADOS]:[VEHICULOS_ACCIDENTADOS2]],"VOLQUETA")</f>
        <v>0</v>
      </c>
      <c r="AC373" s="36">
        <f>COUNTIF(Tabla1[[#This Row],[VEHICULOS_ACCIDENTADOS]:[VEHICULOS_ACCIDENTADOS2]],"BICICLETA")</f>
        <v>0</v>
      </c>
      <c r="AD373" s="136" t="s">
        <v>471</v>
      </c>
      <c r="AE373" s="136" t="s">
        <v>472</v>
      </c>
      <c r="AF373" s="136">
        <f>COUNTIF(Tabla1[[#This Row],[GENERO_MASCULINO]:[GENERO_FEMENINO]],"MASCULINO")</f>
        <v>1</v>
      </c>
      <c r="AG373" s="36">
        <f>COUNTIF(Tabla1[[#This Row],[GENERO_MASCULINO]:[GENERO_FEMENINO]],"FEMENINO")</f>
        <v>1</v>
      </c>
      <c r="AH373" s="85">
        <v>65</v>
      </c>
      <c r="AI373" s="85">
        <v>36</v>
      </c>
      <c r="AJ373" s="85">
        <v>14</v>
      </c>
      <c r="AK373" s="85"/>
      <c r="AL373" s="85"/>
      <c r="AM373" s="136"/>
      <c r="AN373" s="85">
        <v>112</v>
      </c>
      <c r="AO373" s="36" t="str">
        <f>IFERROR(((VLOOKUP(Tabla1[[#This Row],[HIPOTESIS_1]],listas!$D$1:$E$105,2,FALSE))),"SIN INFORMACIÓN")</f>
        <v>Desobedecer señales o normas de tránsito.</v>
      </c>
      <c r="AP373" s="136">
        <v>115</v>
      </c>
      <c r="AQ373" s="36" t="str">
        <f>IFERROR(((VLOOKUP(Tabla1[[#This Row],[HIPOTESIS_2]],listas!$D$1:$E$105,2,FALSE))),"")</f>
        <v>Embriaguez o Sustancias alucinogenas</v>
      </c>
      <c r="AR373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374" spans="1:44" x14ac:dyDescent="0.25">
      <c r="A374" s="12">
        <v>280</v>
      </c>
      <c r="B374" s="36">
        <v>0</v>
      </c>
      <c r="C374" s="36">
        <v>1</v>
      </c>
      <c r="D374" s="36">
        <v>0</v>
      </c>
      <c r="E374" s="18" t="str">
        <f t="shared" si="20"/>
        <v>LESIONADO</v>
      </c>
      <c r="F374" s="29" t="s">
        <v>1078</v>
      </c>
      <c r="G374" s="17">
        <v>5.3229138888888885</v>
      </c>
      <c r="H374" s="17">
        <v>-72.387750000000011</v>
      </c>
      <c r="I374" s="93" t="s">
        <v>697</v>
      </c>
      <c r="J374" s="36" t="s">
        <v>717</v>
      </c>
      <c r="K374" s="24" t="str">
        <f t="shared" si="21"/>
        <v>2022</v>
      </c>
      <c r="L374" s="24" t="str">
        <f t="shared" si="22"/>
        <v>AGOSTO</v>
      </c>
      <c r="M374" s="225">
        <v>44784</v>
      </c>
      <c r="N374" s="24" t="str">
        <f t="shared" si="23"/>
        <v>JUEVES</v>
      </c>
      <c r="O374" s="102">
        <v>0.91666666666666696</v>
      </c>
      <c r="P374" s="53" t="s">
        <v>447</v>
      </c>
      <c r="Q374" s="53"/>
      <c r="R374" s="36">
        <f>COUNTIF(Tabla1[[#This Row],[VEHICULOS_ACCIDENTADOS]:[VEHICULOS_ACCIDENTADOS2]],"MOTOCICLETA")</f>
        <v>0</v>
      </c>
      <c r="S374" s="36">
        <f>COUNTIF(Tabla1[[#This Row],[VEHICULOS_ACCIDENTADOS]:[VEHICULOS_ACCIDENTADOS2]],"MOTOCARRO")</f>
        <v>0</v>
      </c>
      <c r="T374" s="36">
        <f>COUNTIF(Tabla1[[#This Row],[VEHICULOS_ACCIDENTADOS]:[VEHICULOS_ACCIDENTADOS2]],"AUTOMOVIL")</f>
        <v>1</v>
      </c>
      <c r="U374" s="36">
        <f>COUNTIF(Tabla1[[#This Row],[VEHICULOS_ACCIDENTADOS]:[VEHICULOS_ACCIDENTADOS2]],"CAMPERO")</f>
        <v>0</v>
      </c>
      <c r="V374" s="36">
        <f>COUNTIF(Tabla1[[#This Row],[VEHICULOS_ACCIDENTADOS]:[VEHICULOS_ACCIDENTADOS2]],"CAMIONETA")</f>
        <v>0</v>
      </c>
      <c r="W374" s="36">
        <f>COUNTIF(Tabla1[[#This Row],[VEHICULOS_ACCIDENTADOS]:[VEHICULOS_ACCIDENTADOS2]],"MICROBUS")</f>
        <v>0</v>
      </c>
      <c r="X374" s="36">
        <f>COUNTIF(Tabla1[[#This Row],[VEHICULOS_ACCIDENTADOS]:[VEHICULOS_ACCIDENTADOS2]],"BUS")</f>
        <v>0</v>
      </c>
      <c r="Y374" s="36">
        <f>COUNTIF(Tabla1[[#This Row],[VEHICULOS_ACCIDENTADOS]:[VEHICULOS_ACCIDENTADOS2]],"BUSETA")</f>
        <v>0</v>
      </c>
      <c r="Z374" s="36">
        <f>COUNTIF(Tabla1[[#This Row],[VEHICULOS_ACCIDENTADOS]:[VEHICULOS_ACCIDENTADOS2]],"CAMION")</f>
        <v>0</v>
      </c>
      <c r="AA374" s="36">
        <f>COUNTIF(Tabla1[[#This Row],[VEHICULOS_ACCIDENTADOS]:[VEHICULOS_ACCIDENTADOS2]],"TRACTOCAMION")</f>
        <v>0</v>
      </c>
      <c r="AB374" s="36">
        <f>COUNTIF(Tabla1[[#This Row],[VEHICULOS_ACCIDENTADOS]:[VEHICULOS_ACCIDENTADOS2]],"VOLQUETA")</f>
        <v>0</v>
      </c>
      <c r="AC374" s="36">
        <f>COUNTIF(Tabla1[[#This Row],[VEHICULOS_ACCIDENTADOS]:[VEHICULOS_ACCIDENTADOS2]],"BICICLETA")</f>
        <v>0</v>
      </c>
      <c r="AD374" s="36" t="s">
        <v>471</v>
      </c>
      <c r="AE374" s="36"/>
      <c r="AF374" s="36">
        <f>COUNTIF(Tabla1[[#This Row],[GENERO_MASCULINO]:[GENERO_FEMENINO]],"MASCULINO")</f>
        <v>1</v>
      </c>
      <c r="AG374" s="36">
        <f>COUNTIF(Tabla1[[#This Row],[GENERO_MASCULINO]:[GENERO_FEMENINO]],"FEMENINO")</f>
        <v>0</v>
      </c>
      <c r="AH374" s="61">
        <v>25</v>
      </c>
      <c r="AI374" s="61"/>
      <c r="AJ374" s="61"/>
      <c r="AK374" s="61"/>
      <c r="AL374" s="61"/>
      <c r="AM374" s="36"/>
      <c r="AN374" s="61">
        <v>112</v>
      </c>
      <c r="AO374" s="36" t="str">
        <f>IFERROR(((VLOOKUP(Tabla1[[#This Row],[HIPOTESIS_1]],listas!$D$1:$E$105,2,FALSE))),"SIN INFORMACIÓN")</f>
        <v>Desobedecer señales o normas de tránsito.</v>
      </c>
      <c r="AP374" s="36">
        <v>115</v>
      </c>
      <c r="AQ374" s="36" t="str">
        <f>IFERROR(((VLOOKUP(Tabla1[[#This Row],[HIPOTESIS_2]],listas!$D$1:$E$105,2,FALSE))),"")</f>
        <v>Embriaguez o Sustancias alucinogenas</v>
      </c>
      <c r="AR374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375" spans="1:44" x14ac:dyDescent="0.25">
      <c r="A375" s="12">
        <v>705</v>
      </c>
      <c r="B375" s="136">
        <v>0</v>
      </c>
      <c r="C375" s="36">
        <v>1</v>
      </c>
      <c r="D375" s="36">
        <v>0</v>
      </c>
      <c r="E375" s="18" t="str">
        <f t="shared" si="20"/>
        <v>LESIONADO</v>
      </c>
      <c r="F375" s="29" t="s">
        <v>1080</v>
      </c>
      <c r="G375" s="17">
        <v>5.3386527777777779</v>
      </c>
      <c r="H375" s="17">
        <v>-72.384800000000013</v>
      </c>
      <c r="I375" s="93" t="s">
        <v>697</v>
      </c>
      <c r="J375" s="136" t="s">
        <v>717</v>
      </c>
      <c r="K375" s="24" t="str">
        <f t="shared" si="21"/>
        <v>2024</v>
      </c>
      <c r="L375" s="24" t="str">
        <f t="shared" si="22"/>
        <v>MAYO</v>
      </c>
      <c r="M375" s="225">
        <v>45420</v>
      </c>
      <c r="N375" s="24" t="str">
        <f t="shared" si="23"/>
        <v>MIÉRCOLES</v>
      </c>
      <c r="O375" s="101">
        <v>0.30208333333333331</v>
      </c>
      <c r="P375" s="57" t="s">
        <v>469</v>
      </c>
      <c r="Q375" s="57" t="s">
        <v>447</v>
      </c>
      <c r="R375" s="36">
        <f>COUNTIF(Tabla1[[#This Row],[VEHICULOS_ACCIDENTADOS]:[VEHICULOS_ACCIDENTADOS2]],"MOTOCICLETA")</f>
        <v>1</v>
      </c>
      <c r="S375" s="36">
        <f>COUNTIF(Tabla1[[#This Row],[VEHICULOS_ACCIDENTADOS]:[VEHICULOS_ACCIDENTADOS2]],"MOTOCARRO")</f>
        <v>0</v>
      </c>
      <c r="T375" s="36">
        <f>COUNTIF(Tabla1[[#This Row],[VEHICULOS_ACCIDENTADOS]:[VEHICULOS_ACCIDENTADOS2]],"AUTOMOVIL")</f>
        <v>1</v>
      </c>
      <c r="U375" s="36">
        <f>COUNTIF(Tabla1[[#This Row],[VEHICULOS_ACCIDENTADOS]:[VEHICULOS_ACCIDENTADOS2]],"CAMPERO")</f>
        <v>0</v>
      </c>
      <c r="V375" s="36">
        <f>COUNTIF(Tabla1[[#This Row],[VEHICULOS_ACCIDENTADOS]:[VEHICULOS_ACCIDENTADOS2]],"CAMIONETA")</f>
        <v>0</v>
      </c>
      <c r="W375" s="36">
        <f>COUNTIF(Tabla1[[#This Row],[VEHICULOS_ACCIDENTADOS]:[VEHICULOS_ACCIDENTADOS2]],"MICROBUS")</f>
        <v>0</v>
      </c>
      <c r="X375" s="36">
        <f>COUNTIF(Tabla1[[#This Row],[VEHICULOS_ACCIDENTADOS]:[VEHICULOS_ACCIDENTADOS2]],"BUS")</f>
        <v>0</v>
      </c>
      <c r="Y375" s="36">
        <f>COUNTIF(Tabla1[[#This Row],[VEHICULOS_ACCIDENTADOS]:[VEHICULOS_ACCIDENTADOS2]],"BUSETA")</f>
        <v>0</v>
      </c>
      <c r="Z375" s="36">
        <f>COUNTIF(Tabla1[[#This Row],[VEHICULOS_ACCIDENTADOS]:[VEHICULOS_ACCIDENTADOS2]],"CAMION")</f>
        <v>0</v>
      </c>
      <c r="AA375" s="36">
        <f>COUNTIF(Tabla1[[#This Row],[VEHICULOS_ACCIDENTADOS]:[VEHICULOS_ACCIDENTADOS2]],"TRACTOCAMION")</f>
        <v>0</v>
      </c>
      <c r="AB375" s="36">
        <f>COUNTIF(Tabla1[[#This Row],[VEHICULOS_ACCIDENTADOS]:[VEHICULOS_ACCIDENTADOS2]],"VOLQUETA")</f>
        <v>0</v>
      </c>
      <c r="AC375" s="36">
        <f>COUNTIF(Tabla1[[#This Row],[VEHICULOS_ACCIDENTADOS]:[VEHICULOS_ACCIDENTADOS2]],"BICICLETA")</f>
        <v>0</v>
      </c>
      <c r="AD375" s="36" t="s">
        <v>471</v>
      </c>
      <c r="AE375" s="36"/>
      <c r="AF375" s="36">
        <f>COUNTIF(Tabla1[[#This Row],[GENERO_MASCULINO]:[GENERO_FEMENINO]],"MASCULINO")</f>
        <v>1</v>
      </c>
      <c r="AG375" s="36">
        <f>COUNTIF(Tabla1[[#This Row],[GENERO_MASCULINO]:[GENERO_FEMENINO]],"FEMENINO")</f>
        <v>0</v>
      </c>
      <c r="AH375" s="61">
        <v>17</v>
      </c>
      <c r="AI375" s="61">
        <v>39</v>
      </c>
      <c r="AJ375" s="61"/>
      <c r="AK375" s="61"/>
      <c r="AL375" s="61"/>
      <c r="AM375" s="36"/>
      <c r="AN375" s="61">
        <v>139</v>
      </c>
      <c r="AO375" s="36" t="str">
        <f>IFERROR(((VLOOKUP(Tabla1[[#This Row],[HIPOTESIS_1]],listas!$D$1:$E$105,2,FALSE))),"SIN INFORMACIÓN")</f>
        <v>Impericia en el manejo.</v>
      </c>
      <c r="AP375" s="36">
        <v>115</v>
      </c>
      <c r="AQ375" s="36" t="str">
        <f>IFERROR(((VLOOKUP(Tabla1[[#This Row],[HIPOTESIS_2]],listas!$D$1:$E$105,2,FALSE))),"")</f>
        <v>Embriaguez o Sustancias alucinogenas</v>
      </c>
      <c r="AR375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376" spans="1:44" x14ac:dyDescent="0.25">
      <c r="A376" s="12">
        <v>374</v>
      </c>
      <c r="B376" s="36">
        <v>0</v>
      </c>
      <c r="C376" s="36">
        <v>0</v>
      </c>
      <c r="D376" s="36">
        <v>2</v>
      </c>
      <c r="E376" s="18" t="str">
        <f t="shared" si="20"/>
        <v>FALLECIDO</v>
      </c>
      <c r="F376" s="29" t="s">
        <v>297</v>
      </c>
      <c r="G376" s="17">
        <v>5.3424749999999994</v>
      </c>
      <c r="H376" s="17">
        <v>-72.387166666666673</v>
      </c>
      <c r="I376" s="93" t="s">
        <v>697</v>
      </c>
      <c r="J376" s="36" t="s">
        <v>717</v>
      </c>
      <c r="K376" s="24" t="str">
        <f t="shared" si="21"/>
        <v>2022</v>
      </c>
      <c r="L376" s="24" t="str">
        <f t="shared" si="22"/>
        <v>DICIEMBRE</v>
      </c>
      <c r="M376" s="225">
        <v>44910</v>
      </c>
      <c r="N376" s="24" t="str">
        <f t="shared" si="23"/>
        <v>JUEVES</v>
      </c>
      <c r="O376" s="102">
        <v>0.97222222222222199</v>
      </c>
      <c r="P376" s="53" t="s">
        <v>469</v>
      </c>
      <c r="Q376" s="53" t="s">
        <v>445</v>
      </c>
      <c r="R376" s="36">
        <f>COUNTIF(Tabla1[[#This Row],[VEHICULOS_ACCIDENTADOS]:[VEHICULOS_ACCIDENTADOS2]],"MOTOCICLETA")</f>
        <v>1</v>
      </c>
      <c r="S376" s="36">
        <f>COUNTIF(Tabla1[[#This Row],[VEHICULOS_ACCIDENTADOS]:[VEHICULOS_ACCIDENTADOS2]],"MOTOCARRO")</f>
        <v>0</v>
      </c>
      <c r="T376" s="36">
        <f>COUNTIF(Tabla1[[#This Row],[VEHICULOS_ACCIDENTADOS]:[VEHICULOS_ACCIDENTADOS2]],"AUTOMOVIL")</f>
        <v>0</v>
      </c>
      <c r="U376" s="36">
        <f>COUNTIF(Tabla1[[#This Row],[VEHICULOS_ACCIDENTADOS]:[VEHICULOS_ACCIDENTADOS2]],"CAMPERO")</f>
        <v>0</v>
      </c>
      <c r="V376" s="36">
        <f>COUNTIF(Tabla1[[#This Row],[VEHICULOS_ACCIDENTADOS]:[VEHICULOS_ACCIDENTADOS2]],"CAMIONETA")</f>
        <v>1</v>
      </c>
      <c r="W376" s="36">
        <f>COUNTIF(Tabla1[[#This Row],[VEHICULOS_ACCIDENTADOS]:[VEHICULOS_ACCIDENTADOS2]],"MICROBUS")</f>
        <v>0</v>
      </c>
      <c r="X376" s="36">
        <f>COUNTIF(Tabla1[[#This Row],[VEHICULOS_ACCIDENTADOS]:[VEHICULOS_ACCIDENTADOS2]],"BUS")</f>
        <v>0</v>
      </c>
      <c r="Y376" s="36">
        <f>COUNTIF(Tabla1[[#This Row],[VEHICULOS_ACCIDENTADOS]:[VEHICULOS_ACCIDENTADOS2]],"BUSETA")</f>
        <v>0</v>
      </c>
      <c r="Z376" s="36">
        <f>COUNTIF(Tabla1[[#This Row],[VEHICULOS_ACCIDENTADOS]:[VEHICULOS_ACCIDENTADOS2]],"CAMION")</f>
        <v>0</v>
      </c>
      <c r="AA376" s="36">
        <f>COUNTIF(Tabla1[[#This Row],[VEHICULOS_ACCIDENTADOS]:[VEHICULOS_ACCIDENTADOS2]],"TRACTOCAMION")</f>
        <v>0</v>
      </c>
      <c r="AB376" s="36">
        <f>COUNTIF(Tabla1[[#This Row],[VEHICULOS_ACCIDENTADOS]:[VEHICULOS_ACCIDENTADOS2]],"VOLQUETA")</f>
        <v>0</v>
      </c>
      <c r="AC376" s="36">
        <f>COUNTIF(Tabla1[[#This Row],[VEHICULOS_ACCIDENTADOS]:[VEHICULOS_ACCIDENTADOS2]],"BICICLETA")</f>
        <v>0</v>
      </c>
      <c r="AD376" s="36"/>
      <c r="AE376" s="36" t="s">
        <v>472</v>
      </c>
      <c r="AF376" s="36">
        <f>COUNTIF(Tabla1[[#This Row],[GENERO_MASCULINO]:[GENERO_FEMENINO]],"MASCULINO")</f>
        <v>0</v>
      </c>
      <c r="AG376" s="36">
        <f>COUNTIF(Tabla1[[#This Row],[GENERO_MASCULINO]:[GENERO_FEMENINO]],"FEMENINO")</f>
        <v>1</v>
      </c>
      <c r="AH376" s="61">
        <v>27</v>
      </c>
      <c r="AI376" s="61">
        <v>27</v>
      </c>
      <c r="AJ376" s="78"/>
      <c r="AK376" s="61"/>
      <c r="AL376" s="61">
        <v>26</v>
      </c>
      <c r="AM376" s="36"/>
      <c r="AN376" s="61">
        <v>112</v>
      </c>
      <c r="AO376" s="36" t="str">
        <f>IFERROR(((VLOOKUP(Tabla1[[#This Row],[HIPOTESIS_1]],listas!$D$1:$E$105,2,FALSE))),"SIN INFORMACIÓN")</f>
        <v>Desobedecer señales o normas de tránsito.</v>
      </c>
      <c r="AP376" s="36">
        <v>115</v>
      </c>
      <c r="AQ376" s="36" t="str">
        <f>IFERROR(((VLOOKUP(Tabla1[[#This Row],[HIPOTESIS_2]],listas!$D$1:$E$105,2,FALSE))),"")</f>
        <v>Embriaguez o Sustancias alucinogenas</v>
      </c>
      <c r="AR376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377" spans="1:44" x14ac:dyDescent="0.25">
      <c r="A377" s="12">
        <v>421</v>
      </c>
      <c r="B377" s="36">
        <v>1</v>
      </c>
      <c r="C377" s="36">
        <v>0</v>
      </c>
      <c r="D377" s="36">
        <v>0</v>
      </c>
      <c r="E377" s="18" t="str">
        <f t="shared" si="20"/>
        <v>SOLO DAÑO</v>
      </c>
      <c r="F377" s="29" t="s">
        <v>1086</v>
      </c>
      <c r="G377" s="17">
        <v>5.3302940000000003</v>
      </c>
      <c r="H377" s="17">
        <v>-72.378360000000001</v>
      </c>
      <c r="I377" s="93" t="s">
        <v>697</v>
      </c>
      <c r="J377" s="36" t="s">
        <v>717</v>
      </c>
      <c r="K377" s="24" t="str">
        <f t="shared" si="21"/>
        <v>2023</v>
      </c>
      <c r="L377" s="24" t="str">
        <f t="shared" si="22"/>
        <v>FEBRERO</v>
      </c>
      <c r="M377" s="225">
        <v>44984</v>
      </c>
      <c r="N377" s="24" t="str">
        <f t="shared" si="23"/>
        <v>LUNES</v>
      </c>
      <c r="O377" s="101">
        <v>0.96875</v>
      </c>
      <c r="P377" s="57" t="s">
        <v>469</v>
      </c>
      <c r="Q377" s="57" t="s">
        <v>469</v>
      </c>
      <c r="R377" s="36">
        <f>COUNTIF(Tabla1[[#This Row],[VEHICULOS_ACCIDENTADOS]:[VEHICULOS_ACCIDENTADOS2]],"MOTOCICLETA")</f>
        <v>2</v>
      </c>
      <c r="S377" s="36">
        <f>COUNTIF(Tabla1[[#This Row],[VEHICULOS_ACCIDENTADOS]:[VEHICULOS_ACCIDENTADOS2]],"MOTOCARRO")</f>
        <v>0</v>
      </c>
      <c r="T377" s="36">
        <f>COUNTIF(Tabla1[[#This Row],[VEHICULOS_ACCIDENTADOS]:[VEHICULOS_ACCIDENTADOS2]],"AUTOMOVIL")</f>
        <v>0</v>
      </c>
      <c r="U377" s="36">
        <f>COUNTIF(Tabla1[[#This Row],[VEHICULOS_ACCIDENTADOS]:[VEHICULOS_ACCIDENTADOS2]],"CAMPERO")</f>
        <v>0</v>
      </c>
      <c r="V377" s="36">
        <f>COUNTIF(Tabla1[[#This Row],[VEHICULOS_ACCIDENTADOS]:[VEHICULOS_ACCIDENTADOS2]],"CAMIONETA")</f>
        <v>0</v>
      </c>
      <c r="W377" s="36">
        <f>COUNTIF(Tabla1[[#This Row],[VEHICULOS_ACCIDENTADOS]:[VEHICULOS_ACCIDENTADOS2]],"MICROBUS")</f>
        <v>0</v>
      </c>
      <c r="X377" s="36">
        <f>COUNTIF(Tabla1[[#This Row],[VEHICULOS_ACCIDENTADOS]:[VEHICULOS_ACCIDENTADOS2]],"BUS")</f>
        <v>0</v>
      </c>
      <c r="Y377" s="36">
        <f>COUNTIF(Tabla1[[#This Row],[VEHICULOS_ACCIDENTADOS]:[VEHICULOS_ACCIDENTADOS2]],"BUSETA")</f>
        <v>0</v>
      </c>
      <c r="Z377" s="36">
        <f>COUNTIF(Tabla1[[#This Row],[VEHICULOS_ACCIDENTADOS]:[VEHICULOS_ACCIDENTADOS2]],"CAMION")</f>
        <v>0</v>
      </c>
      <c r="AA377" s="36">
        <f>COUNTIF(Tabla1[[#This Row],[VEHICULOS_ACCIDENTADOS]:[VEHICULOS_ACCIDENTADOS2]],"TRACTOCAMION")</f>
        <v>0</v>
      </c>
      <c r="AB377" s="36">
        <f>COUNTIF(Tabla1[[#This Row],[VEHICULOS_ACCIDENTADOS]:[VEHICULOS_ACCIDENTADOS2]],"VOLQUETA")</f>
        <v>0</v>
      </c>
      <c r="AC377" s="36">
        <f>COUNTIF(Tabla1[[#This Row],[VEHICULOS_ACCIDENTADOS]:[VEHICULOS_ACCIDENTADOS2]],"BICICLETA")</f>
        <v>0</v>
      </c>
      <c r="AD377" s="36" t="s">
        <v>471</v>
      </c>
      <c r="AE377" s="36"/>
      <c r="AF377" s="36">
        <f>COUNTIF(Tabla1[[#This Row],[GENERO_MASCULINO]:[GENERO_FEMENINO]],"MASCULINO")</f>
        <v>1</v>
      </c>
      <c r="AG377" s="36">
        <f>COUNTIF(Tabla1[[#This Row],[GENERO_MASCULINO]:[GENERO_FEMENINO]],"FEMENINO")</f>
        <v>0</v>
      </c>
      <c r="AH377" s="61"/>
      <c r="AI377" s="61"/>
      <c r="AJ377" s="78"/>
      <c r="AK377" s="61"/>
      <c r="AL377" s="61"/>
      <c r="AM377" s="36"/>
      <c r="AN377" s="61">
        <v>132</v>
      </c>
      <c r="AO377" s="36" t="str">
        <f>IFERROR(((VLOOKUP(Tabla1[[#This Row],[HIPOTESIS_1]],listas!$D$1:$E$105,2,FALSE))),"SIN INFORMACIÓN")</f>
        <v>No respetar prelación.</v>
      </c>
      <c r="AP377" s="36">
        <v>115</v>
      </c>
      <c r="AQ377" s="36" t="str">
        <f>IFERROR(((VLOOKUP(Tabla1[[#This Row],[HIPOTESIS_2]],listas!$D$1:$E$105,2,FALSE))),"")</f>
        <v>Embriaguez o Sustancias alucinogenas</v>
      </c>
      <c r="AR377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378" spans="1:44" x14ac:dyDescent="0.25">
      <c r="A378" s="12">
        <v>600</v>
      </c>
      <c r="B378" s="36">
        <v>0</v>
      </c>
      <c r="C378" s="36">
        <v>1</v>
      </c>
      <c r="D378" s="36">
        <v>0</v>
      </c>
      <c r="E378" s="18" t="str">
        <f t="shared" si="20"/>
        <v>LESIONADO</v>
      </c>
      <c r="F378" s="29" t="s">
        <v>184</v>
      </c>
      <c r="G378" s="21">
        <v>5.3366083333333334</v>
      </c>
      <c r="H378" s="21">
        <v>-72.381122222222217</v>
      </c>
      <c r="I378" s="93" t="s">
        <v>697</v>
      </c>
      <c r="J378" s="36" t="s">
        <v>717</v>
      </c>
      <c r="K378" s="24" t="str">
        <f t="shared" si="21"/>
        <v>2023</v>
      </c>
      <c r="L378" s="24" t="str">
        <f t="shared" si="22"/>
        <v>NOVIEMBRE</v>
      </c>
      <c r="M378" s="225">
        <v>45237</v>
      </c>
      <c r="N378" s="24" t="str">
        <f t="shared" si="23"/>
        <v>MARTES</v>
      </c>
      <c r="O378" s="101">
        <v>0.72916666666666663</v>
      </c>
      <c r="P378" s="57" t="s">
        <v>469</v>
      </c>
      <c r="Q378" s="57" t="s">
        <v>446</v>
      </c>
      <c r="R378" s="36">
        <f>COUNTIF(Tabla1[[#This Row],[VEHICULOS_ACCIDENTADOS]:[VEHICULOS_ACCIDENTADOS2]],"MOTOCICLETA")</f>
        <v>1</v>
      </c>
      <c r="S378" s="36">
        <f>COUNTIF(Tabla1[[#This Row],[VEHICULOS_ACCIDENTADOS]:[VEHICULOS_ACCIDENTADOS2]],"MOTOCARRO")</f>
        <v>0</v>
      </c>
      <c r="T378" s="36">
        <f>COUNTIF(Tabla1[[#This Row],[VEHICULOS_ACCIDENTADOS]:[VEHICULOS_ACCIDENTADOS2]],"AUTOMOVIL")</f>
        <v>0</v>
      </c>
      <c r="U378" s="36">
        <f>COUNTIF(Tabla1[[#This Row],[VEHICULOS_ACCIDENTADOS]:[VEHICULOS_ACCIDENTADOS2]],"CAMPERO")</f>
        <v>1</v>
      </c>
      <c r="V378" s="36">
        <f>COUNTIF(Tabla1[[#This Row],[VEHICULOS_ACCIDENTADOS]:[VEHICULOS_ACCIDENTADOS2]],"CAMIONETA")</f>
        <v>0</v>
      </c>
      <c r="W378" s="36">
        <f>COUNTIF(Tabla1[[#This Row],[VEHICULOS_ACCIDENTADOS]:[VEHICULOS_ACCIDENTADOS2]],"MICROBUS")</f>
        <v>0</v>
      </c>
      <c r="X378" s="36">
        <f>COUNTIF(Tabla1[[#This Row],[VEHICULOS_ACCIDENTADOS]:[VEHICULOS_ACCIDENTADOS2]],"BUS")</f>
        <v>0</v>
      </c>
      <c r="Y378" s="36">
        <f>COUNTIF(Tabla1[[#This Row],[VEHICULOS_ACCIDENTADOS]:[VEHICULOS_ACCIDENTADOS2]],"BUSETA")</f>
        <v>0</v>
      </c>
      <c r="Z378" s="36">
        <f>COUNTIF(Tabla1[[#This Row],[VEHICULOS_ACCIDENTADOS]:[VEHICULOS_ACCIDENTADOS2]],"CAMION")</f>
        <v>0</v>
      </c>
      <c r="AA378" s="36">
        <f>COUNTIF(Tabla1[[#This Row],[VEHICULOS_ACCIDENTADOS]:[VEHICULOS_ACCIDENTADOS2]],"TRACTOCAMION")</f>
        <v>0</v>
      </c>
      <c r="AB378" s="36">
        <f>COUNTIF(Tabla1[[#This Row],[VEHICULOS_ACCIDENTADOS]:[VEHICULOS_ACCIDENTADOS2]],"VOLQUETA")</f>
        <v>0</v>
      </c>
      <c r="AC378" s="36">
        <f>COUNTIF(Tabla1[[#This Row],[VEHICULOS_ACCIDENTADOS]:[VEHICULOS_ACCIDENTADOS2]],"BICICLETA")</f>
        <v>0</v>
      </c>
      <c r="AD378" s="36"/>
      <c r="AE378" s="36" t="s">
        <v>472</v>
      </c>
      <c r="AF378" s="36">
        <f>COUNTIF(Tabla1[[#This Row],[GENERO_MASCULINO]:[GENERO_FEMENINO]],"MASCULINO")</f>
        <v>0</v>
      </c>
      <c r="AG378" s="36">
        <f>COUNTIF(Tabla1[[#This Row],[GENERO_MASCULINO]:[GENERO_FEMENINO]],"FEMENINO")</f>
        <v>1</v>
      </c>
      <c r="AH378" s="61">
        <v>21</v>
      </c>
      <c r="AI378" s="61"/>
      <c r="AJ378" s="61"/>
      <c r="AK378" s="61"/>
      <c r="AL378" s="61"/>
      <c r="AM378" s="36"/>
      <c r="AN378" s="61">
        <v>157</v>
      </c>
      <c r="AO378" s="36" t="str">
        <f>IFERROR(((VLOOKUP(Tabla1[[#This Row],[HIPOTESIS_1]],listas!$D$1:$E$105,2,FALSE))),"SIN INFORMACIÓN")</f>
        <v>Otra</v>
      </c>
      <c r="AP378" s="36">
        <v>115</v>
      </c>
      <c r="AQ378" s="36" t="str">
        <f>IFERROR(((VLOOKUP(Tabla1[[#This Row],[HIPOTESIS_2]],listas!$D$1:$E$105,2,FALSE))),"")</f>
        <v>Embriaguez o Sustancias alucinogenas</v>
      </c>
      <c r="AR378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379" spans="1:44" x14ac:dyDescent="0.25">
      <c r="A379" s="12">
        <v>509</v>
      </c>
      <c r="B379" s="36">
        <v>0</v>
      </c>
      <c r="C379" s="36">
        <v>1</v>
      </c>
      <c r="D379" s="36">
        <v>0</v>
      </c>
      <c r="E379" s="18" t="str">
        <f t="shared" si="20"/>
        <v>LESIONADO</v>
      </c>
      <c r="F379" s="29" t="s">
        <v>227</v>
      </c>
      <c r="G379" s="21">
        <v>5.3372441666666663</v>
      </c>
      <c r="H379" s="21">
        <v>-72.38002583333332</v>
      </c>
      <c r="I379" s="93" t="s">
        <v>697</v>
      </c>
      <c r="J379" s="36" t="s">
        <v>717</v>
      </c>
      <c r="K379" s="24" t="str">
        <f t="shared" si="21"/>
        <v>2023</v>
      </c>
      <c r="L379" s="24" t="str">
        <f t="shared" si="22"/>
        <v>JUNIO</v>
      </c>
      <c r="M379" s="225">
        <v>45095</v>
      </c>
      <c r="N379" s="24" t="str">
        <f t="shared" si="23"/>
        <v>DOMINGO</v>
      </c>
      <c r="O379" s="101">
        <v>0.89583333333333337</v>
      </c>
      <c r="P379" s="57" t="s">
        <v>469</v>
      </c>
      <c r="Q379" s="57" t="s">
        <v>469</v>
      </c>
      <c r="R379" s="36">
        <f>COUNTIF(Tabla1[[#This Row],[VEHICULOS_ACCIDENTADOS]:[VEHICULOS_ACCIDENTADOS2]],"MOTOCICLETA")</f>
        <v>2</v>
      </c>
      <c r="S379" s="36">
        <f>COUNTIF(Tabla1[[#This Row],[VEHICULOS_ACCIDENTADOS]:[VEHICULOS_ACCIDENTADOS2]],"MOTOCARRO")</f>
        <v>0</v>
      </c>
      <c r="T379" s="36">
        <f>COUNTIF(Tabla1[[#This Row],[VEHICULOS_ACCIDENTADOS]:[VEHICULOS_ACCIDENTADOS2]],"AUTOMOVIL")</f>
        <v>0</v>
      </c>
      <c r="U379" s="36">
        <f>COUNTIF(Tabla1[[#This Row],[VEHICULOS_ACCIDENTADOS]:[VEHICULOS_ACCIDENTADOS2]],"CAMPERO")</f>
        <v>0</v>
      </c>
      <c r="V379" s="36">
        <f>COUNTIF(Tabla1[[#This Row],[VEHICULOS_ACCIDENTADOS]:[VEHICULOS_ACCIDENTADOS2]],"CAMIONETA")</f>
        <v>0</v>
      </c>
      <c r="W379" s="36">
        <f>COUNTIF(Tabla1[[#This Row],[VEHICULOS_ACCIDENTADOS]:[VEHICULOS_ACCIDENTADOS2]],"MICROBUS")</f>
        <v>0</v>
      </c>
      <c r="X379" s="36">
        <f>COUNTIF(Tabla1[[#This Row],[VEHICULOS_ACCIDENTADOS]:[VEHICULOS_ACCIDENTADOS2]],"BUS")</f>
        <v>0</v>
      </c>
      <c r="Y379" s="36">
        <f>COUNTIF(Tabla1[[#This Row],[VEHICULOS_ACCIDENTADOS]:[VEHICULOS_ACCIDENTADOS2]],"BUSETA")</f>
        <v>0</v>
      </c>
      <c r="Z379" s="36">
        <f>COUNTIF(Tabla1[[#This Row],[VEHICULOS_ACCIDENTADOS]:[VEHICULOS_ACCIDENTADOS2]],"CAMION")</f>
        <v>0</v>
      </c>
      <c r="AA379" s="36">
        <f>COUNTIF(Tabla1[[#This Row],[VEHICULOS_ACCIDENTADOS]:[VEHICULOS_ACCIDENTADOS2]],"TRACTOCAMION")</f>
        <v>0</v>
      </c>
      <c r="AB379" s="36">
        <f>COUNTIF(Tabla1[[#This Row],[VEHICULOS_ACCIDENTADOS]:[VEHICULOS_ACCIDENTADOS2]],"VOLQUETA")</f>
        <v>0</v>
      </c>
      <c r="AC379" s="36">
        <f>COUNTIF(Tabla1[[#This Row],[VEHICULOS_ACCIDENTADOS]:[VEHICULOS_ACCIDENTADOS2]],"BICICLETA")</f>
        <v>0</v>
      </c>
      <c r="AD379" s="36"/>
      <c r="AE379" s="36" t="s">
        <v>472</v>
      </c>
      <c r="AF379" s="36">
        <f>COUNTIF(Tabla1[[#This Row],[GENERO_MASCULINO]:[GENERO_FEMENINO]],"MASCULINO")</f>
        <v>0</v>
      </c>
      <c r="AG379" s="36">
        <f>COUNTIF(Tabla1[[#This Row],[GENERO_MASCULINO]:[GENERO_FEMENINO]],"FEMENINO")</f>
        <v>1</v>
      </c>
      <c r="AH379" s="61">
        <v>17</v>
      </c>
      <c r="AI379" s="61"/>
      <c r="AJ379" s="61"/>
      <c r="AK379" s="61"/>
      <c r="AL379" s="61"/>
      <c r="AM379" s="36"/>
      <c r="AN379" s="61">
        <v>139</v>
      </c>
      <c r="AO379" s="36" t="str">
        <f>IFERROR(((VLOOKUP(Tabla1[[#This Row],[HIPOTESIS_1]],listas!$D$1:$E$105,2,FALSE))),"SIN INFORMACIÓN")</f>
        <v>Impericia en el manejo.</v>
      </c>
      <c r="AP379" s="36">
        <v>115</v>
      </c>
      <c r="AQ379" s="36" t="str">
        <f>IFERROR(((VLOOKUP(Tabla1[[#This Row],[HIPOTESIS_2]],listas!$D$1:$E$105,2,FALSE))),"")</f>
        <v>Embriaguez o Sustancias alucinogenas</v>
      </c>
      <c r="AR379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380" spans="1:44" x14ac:dyDescent="0.25">
      <c r="A380" s="12">
        <v>765</v>
      </c>
      <c r="B380" s="135">
        <v>0</v>
      </c>
      <c r="C380" s="136">
        <v>1</v>
      </c>
      <c r="D380" s="136">
        <v>0</v>
      </c>
      <c r="E380" s="18" t="str">
        <f t="shared" si="20"/>
        <v>LESIONADO</v>
      </c>
      <c r="F380" s="26" t="s">
        <v>1003</v>
      </c>
      <c r="G380" s="21">
        <v>5.3185972222222224</v>
      </c>
      <c r="H380" s="21">
        <v>-72.402122222222232</v>
      </c>
      <c r="I380" s="93" t="s">
        <v>697</v>
      </c>
      <c r="J380" s="136" t="s">
        <v>717</v>
      </c>
      <c r="K380" s="24" t="str">
        <f t="shared" si="21"/>
        <v>2024</v>
      </c>
      <c r="L380" s="24" t="str">
        <f t="shared" si="22"/>
        <v>AGOSTO</v>
      </c>
      <c r="M380" s="224">
        <v>45524</v>
      </c>
      <c r="N380" s="24" t="str">
        <f t="shared" si="23"/>
        <v>MARTES</v>
      </c>
      <c r="O380" s="171">
        <v>0.47916666666666669</v>
      </c>
      <c r="P380" s="178" t="s">
        <v>469</v>
      </c>
      <c r="Q380" s="178" t="s">
        <v>445</v>
      </c>
      <c r="R380" s="36">
        <f>COUNTIF(Tabla1[[#This Row],[VEHICULOS_ACCIDENTADOS]:[VEHICULOS_ACCIDENTADOS2]],"MOTOCICLETA")</f>
        <v>1</v>
      </c>
      <c r="S380" s="36">
        <f>COUNTIF(Tabla1[[#This Row],[VEHICULOS_ACCIDENTADOS]:[VEHICULOS_ACCIDENTADOS2]],"MOTOCARRO")</f>
        <v>0</v>
      </c>
      <c r="T380" s="36">
        <f>COUNTIF(Tabla1[[#This Row],[VEHICULOS_ACCIDENTADOS]:[VEHICULOS_ACCIDENTADOS2]],"AUTOMOVIL")</f>
        <v>0</v>
      </c>
      <c r="U380" s="36">
        <f>COUNTIF(Tabla1[[#This Row],[VEHICULOS_ACCIDENTADOS]:[VEHICULOS_ACCIDENTADOS2]],"CAMPERO")</f>
        <v>0</v>
      </c>
      <c r="V380" s="36">
        <f>COUNTIF(Tabla1[[#This Row],[VEHICULOS_ACCIDENTADOS]:[VEHICULOS_ACCIDENTADOS2]],"CAMIONETA")</f>
        <v>1</v>
      </c>
      <c r="W380" s="36">
        <f>COUNTIF(Tabla1[[#This Row],[VEHICULOS_ACCIDENTADOS]:[VEHICULOS_ACCIDENTADOS2]],"MICROBUS")</f>
        <v>0</v>
      </c>
      <c r="X380" s="36">
        <f>COUNTIF(Tabla1[[#This Row],[VEHICULOS_ACCIDENTADOS]:[VEHICULOS_ACCIDENTADOS2]],"BUS")</f>
        <v>0</v>
      </c>
      <c r="Y380" s="36">
        <f>COUNTIF(Tabla1[[#This Row],[VEHICULOS_ACCIDENTADOS]:[VEHICULOS_ACCIDENTADOS2]],"BUSETA")</f>
        <v>0</v>
      </c>
      <c r="Z380" s="36">
        <f>COUNTIF(Tabla1[[#This Row],[VEHICULOS_ACCIDENTADOS]:[VEHICULOS_ACCIDENTADOS2]],"CAMION")</f>
        <v>0</v>
      </c>
      <c r="AA380" s="36">
        <f>COUNTIF(Tabla1[[#This Row],[VEHICULOS_ACCIDENTADOS]:[VEHICULOS_ACCIDENTADOS2]],"TRACTOCAMION")</f>
        <v>0</v>
      </c>
      <c r="AB380" s="36">
        <f>COUNTIF(Tabla1[[#This Row],[VEHICULOS_ACCIDENTADOS]:[VEHICULOS_ACCIDENTADOS2]],"VOLQUETA")</f>
        <v>0</v>
      </c>
      <c r="AC380" s="36">
        <f>COUNTIF(Tabla1[[#This Row],[VEHICULOS_ACCIDENTADOS]:[VEHICULOS_ACCIDENTADOS2]],"BICICLETA")</f>
        <v>0</v>
      </c>
      <c r="AD380" s="136" t="s">
        <v>471</v>
      </c>
      <c r="AE380" s="136"/>
      <c r="AF380" s="136">
        <f>COUNTIF(Tabla1[[#This Row],[GENERO_MASCULINO]:[GENERO_FEMENINO]],"MASCULINO")</f>
        <v>1</v>
      </c>
      <c r="AG380" s="36">
        <f>COUNTIF(Tabla1[[#This Row],[GENERO_MASCULINO]:[GENERO_FEMENINO]],"FEMENINO")</f>
        <v>0</v>
      </c>
      <c r="AH380" s="85">
        <v>39</v>
      </c>
      <c r="AI380" s="85">
        <v>31</v>
      </c>
      <c r="AJ380" s="85">
        <v>59</v>
      </c>
      <c r="AK380" s="85"/>
      <c r="AL380" s="85"/>
      <c r="AM380" s="136"/>
      <c r="AN380" s="85">
        <v>104</v>
      </c>
      <c r="AO380" s="36" t="str">
        <f>IFERROR(((VLOOKUP(Tabla1[[#This Row],[HIPOTESIS_1]],listas!$D$1:$E$105,2,FALSE))),"SIN INFORMACIÓN")</f>
        <v>Adelantar invadiendo carril de sentido contrario.</v>
      </c>
      <c r="AP380" s="136">
        <v>115</v>
      </c>
      <c r="AQ380" s="36" t="str">
        <f>IFERROR(((VLOOKUP(Tabla1[[#This Row],[HIPOTESIS_2]],listas!$D$1:$E$105,2,FALSE))),"")</f>
        <v>Embriaguez o Sustancias alucinogenas</v>
      </c>
      <c r="AR380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381" spans="1:44" x14ac:dyDescent="0.25">
      <c r="A381" s="12">
        <v>690</v>
      </c>
      <c r="B381" s="135">
        <v>0</v>
      </c>
      <c r="C381" s="136">
        <v>4</v>
      </c>
      <c r="D381" s="136">
        <v>0</v>
      </c>
      <c r="E381" s="18" t="str">
        <f t="shared" si="20"/>
        <v>LESIONADO</v>
      </c>
      <c r="F381" s="26" t="s">
        <v>1102</v>
      </c>
      <c r="G381" s="17">
        <v>5.316613888888889</v>
      </c>
      <c r="H381" s="17">
        <v>-72.402241666666669</v>
      </c>
      <c r="I381" s="93" t="s">
        <v>697</v>
      </c>
      <c r="J381" s="136" t="s">
        <v>717</v>
      </c>
      <c r="K381" s="24" t="str">
        <f t="shared" si="21"/>
        <v>2024</v>
      </c>
      <c r="L381" s="24" t="str">
        <f t="shared" si="22"/>
        <v>ABRIL</v>
      </c>
      <c r="M381" s="224">
        <v>45390</v>
      </c>
      <c r="N381" s="24" t="str">
        <f t="shared" si="23"/>
        <v>LUNES</v>
      </c>
      <c r="O381" s="171">
        <v>0.88541666666666663</v>
      </c>
      <c r="P381" s="178" t="s">
        <v>469</v>
      </c>
      <c r="Q381" s="178" t="s">
        <v>469</v>
      </c>
      <c r="R381" s="36">
        <f>COUNTIF(Tabla1[[#This Row],[VEHICULOS_ACCIDENTADOS]:[VEHICULOS_ACCIDENTADOS2]],"MOTOCICLETA")</f>
        <v>2</v>
      </c>
      <c r="S381" s="36">
        <f>COUNTIF(Tabla1[[#This Row],[VEHICULOS_ACCIDENTADOS]:[VEHICULOS_ACCIDENTADOS2]],"MOTOCARRO")</f>
        <v>0</v>
      </c>
      <c r="T381" s="36">
        <f>COUNTIF(Tabla1[[#This Row],[VEHICULOS_ACCIDENTADOS]:[VEHICULOS_ACCIDENTADOS2]],"AUTOMOVIL")</f>
        <v>0</v>
      </c>
      <c r="U381" s="36">
        <f>COUNTIF(Tabla1[[#This Row],[VEHICULOS_ACCIDENTADOS]:[VEHICULOS_ACCIDENTADOS2]],"CAMPERO")</f>
        <v>0</v>
      </c>
      <c r="V381" s="36">
        <f>COUNTIF(Tabla1[[#This Row],[VEHICULOS_ACCIDENTADOS]:[VEHICULOS_ACCIDENTADOS2]],"CAMIONETA")</f>
        <v>0</v>
      </c>
      <c r="W381" s="36">
        <f>COUNTIF(Tabla1[[#This Row],[VEHICULOS_ACCIDENTADOS]:[VEHICULOS_ACCIDENTADOS2]],"MICROBUS")</f>
        <v>0</v>
      </c>
      <c r="X381" s="36">
        <f>COUNTIF(Tabla1[[#This Row],[VEHICULOS_ACCIDENTADOS]:[VEHICULOS_ACCIDENTADOS2]],"BUS")</f>
        <v>0</v>
      </c>
      <c r="Y381" s="36">
        <f>COUNTIF(Tabla1[[#This Row],[VEHICULOS_ACCIDENTADOS]:[VEHICULOS_ACCIDENTADOS2]],"BUSETA")</f>
        <v>0</v>
      </c>
      <c r="Z381" s="36">
        <f>COUNTIF(Tabla1[[#This Row],[VEHICULOS_ACCIDENTADOS]:[VEHICULOS_ACCIDENTADOS2]],"CAMION")</f>
        <v>0</v>
      </c>
      <c r="AA381" s="36">
        <f>COUNTIF(Tabla1[[#This Row],[VEHICULOS_ACCIDENTADOS]:[VEHICULOS_ACCIDENTADOS2]],"TRACTOCAMION")</f>
        <v>0</v>
      </c>
      <c r="AB381" s="36">
        <f>COUNTIF(Tabla1[[#This Row],[VEHICULOS_ACCIDENTADOS]:[VEHICULOS_ACCIDENTADOS2]],"VOLQUETA")</f>
        <v>0</v>
      </c>
      <c r="AC381" s="36">
        <f>COUNTIF(Tabla1[[#This Row],[VEHICULOS_ACCIDENTADOS]:[VEHICULOS_ACCIDENTADOS2]],"BICICLETA")</f>
        <v>0</v>
      </c>
      <c r="AD381" s="136" t="s">
        <v>471</v>
      </c>
      <c r="AE381" s="136" t="s">
        <v>472</v>
      </c>
      <c r="AF381" s="136">
        <f>COUNTIF(Tabla1[[#This Row],[GENERO_MASCULINO]:[GENERO_FEMENINO]],"MASCULINO")</f>
        <v>1</v>
      </c>
      <c r="AG381" s="36">
        <f>COUNTIF(Tabla1[[#This Row],[GENERO_MASCULINO]:[GENERO_FEMENINO]],"FEMENINO")</f>
        <v>1</v>
      </c>
      <c r="AH381" s="85">
        <v>43</v>
      </c>
      <c r="AI381" s="85">
        <v>31</v>
      </c>
      <c r="AJ381" s="85">
        <v>30</v>
      </c>
      <c r="AK381" s="85">
        <v>2</v>
      </c>
      <c r="AL381" s="85"/>
      <c r="AM381" s="136"/>
      <c r="AN381" s="85">
        <v>139</v>
      </c>
      <c r="AO381" s="36" t="str">
        <f>IFERROR(((VLOOKUP(Tabla1[[#This Row],[HIPOTESIS_1]],listas!$D$1:$E$105,2,FALSE))),"SIN INFORMACIÓN")</f>
        <v>Impericia en el manejo.</v>
      </c>
      <c r="AP381" s="136">
        <v>115</v>
      </c>
      <c r="AQ381" s="36" t="str">
        <f>IFERROR(((VLOOKUP(Tabla1[[#This Row],[HIPOTESIS_2]],listas!$D$1:$E$105,2,FALSE))),"")</f>
        <v>Embriaguez o Sustancias alucinogenas</v>
      </c>
      <c r="AR381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382" spans="1:44" x14ac:dyDescent="0.25">
      <c r="A382" s="12">
        <v>99</v>
      </c>
      <c r="B382" s="36">
        <v>0</v>
      </c>
      <c r="C382" s="36">
        <v>1</v>
      </c>
      <c r="D382" s="36">
        <v>0</v>
      </c>
      <c r="E382" s="18" t="str">
        <f t="shared" si="20"/>
        <v>LESIONADO</v>
      </c>
      <c r="F382" s="29" t="s">
        <v>356</v>
      </c>
      <c r="G382" s="17">
        <v>5.31</v>
      </c>
      <c r="H382" s="17">
        <v>-72.40162222222223</v>
      </c>
      <c r="I382" s="93" t="s">
        <v>697</v>
      </c>
      <c r="J382" s="36" t="s">
        <v>717</v>
      </c>
      <c r="K382" s="24" t="str">
        <f t="shared" si="21"/>
        <v>2022</v>
      </c>
      <c r="L382" s="24" t="str">
        <f t="shared" si="22"/>
        <v>MARZO</v>
      </c>
      <c r="M382" s="225">
        <v>44646</v>
      </c>
      <c r="N382" s="24" t="str">
        <f t="shared" si="23"/>
        <v>SÁBADO</v>
      </c>
      <c r="O382" s="101">
        <v>0.77083333333333304</v>
      </c>
      <c r="P382" s="63" t="s">
        <v>469</v>
      </c>
      <c r="Q382" s="63" t="s">
        <v>447</v>
      </c>
      <c r="R382" s="36">
        <f>COUNTIF(Tabla1[[#This Row],[VEHICULOS_ACCIDENTADOS]:[VEHICULOS_ACCIDENTADOS2]],"MOTOCICLETA")</f>
        <v>1</v>
      </c>
      <c r="S382" s="36">
        <f>COUNTIF(Tabla1[[#This Row],[VEHICULOS_ACCIDENTADOS]:[VEHICULOS_ACCIDENTADOS2]],"MOTOCARRO")</f>
        <v>0</v>
      </c>
      <c r="T382" s="36">
        <f>COUNTIF(Tabla1[[#This Row],[VEHICULOS_ACCIDENTADOS]:[VEHICULOS_ACCIDENTADOS2]],"AUTOMOVIL")</f>
        <v>1</v>
      </c>
      <c r="U382" s="36">
        <f>COUNTIF(Tabla1[[#This Row],[VEHICULOS_ACCIDENTADOS]:[VEHICULOS_ACCIDENTADOS2]],"CAMPERO")</f>
        <v>0</v>
      </c>
      <c r="V382" s="36">
        <f>COUNTIF(Tabla1[[#This Row],[VEHICULOS_ACCIDENTADOS]:[VEHICULOS_ACCIDENTADOS2]],"CAMIONETA")</f>
        <v>0</v>
      </c>
      <c r="W382" s="36">
        <f>COUNTIF(Tabla1[[#This Row],[VEHICULOS_ACCIDENTADOS]:[VEHICULOS_ACCIDENTADOS2]],"MICROBUS")</f>
        <v>0</v>
      </c>
      <c r="X382" s="36">
        <f>COUNTIF(Tabla1[[#This Row],[VEHICULOS_ACCIDENTADOS]:[VEHICULOS_ACCIDENTADOS2]],"BUS")</f>
        <v>0</v>
      </c>
      <c r="Y382" s="36">
        <f>COUNTIF(Tabla1[[#This Row],[VEHICULOS_ACCIDENTADOS]:[VEHICULOS_ACCIDENTADOS2]],"BUSETA")</f>
        <v>0</v>
      </c>
      <c r="Z382" s="36">
        <f>COUNTIF(Tabla1[[#This Row],[VEHICULOS_ACCIDENTADOS]:[VEHICULOS_ACCIDENTADOS2]],"CAMION")</f>
        <v>0</v>
      </c>
      <c r="AA382" s="36">
        <f>COUNTIF(Tabla1[[#This Row],[VEHICULOS_ACCIDENTADOS]:[VEHICULOS_ACCIDENTADOS2]],"TRACTOCAMION")</f>
        <v>0</v>
      </c>
      <c r="AB382" s="36">
        <f>COUNTIF(Tabla1[[#This Row],[VEHICULOS_ACCIDENTADOS]:[VEHICULOS_ACCIDENTADOS2]],"VOLQUETA")</f>
        <v>0</v>
      </c>
      <c r="AC382" s="36">
        <f>COUNTIF(Tabla1[[#This Row],[VEHICULOS_ACCIDENTADOS]:[VEHICULOS_ACCIDENTADOS2]],"BICICLETA")</f>
        <v>0</v>
      </c>
      <c r="AD382" s="36" t="s">
        <v>471</v>
      </c>
      <c r="AE382" s="36"/>
      <c r="AF382" s="36">
        <f>COUNTIF(Tabla1[[#This Row],[GENERO_MASCULINO]:[GENERO_FEMENINO]],"MASCULINO")</f>
        <v>1</v>
      </c>
      <c r="AG382" s="36">
        <f>COUNTIF(Tabla1[[#This Row],[GENERO_MASCULINO]:[GENERO_FEMENINO]],"FEMENINO")</f>
        <v>0</v>
      </c>
      <c r="AH382" s="61">
        <v>21</v>
      </c>
      <c r="AI382" s="61"/>
      <c r="AJ382" s="61"/>
      <c r="AK382" s="61"/>
      <c r="AL382" s="61"/>
      <c r="AM382" s="36"/>
      <c r="AN382" s="61">
        <v>112</v>
      </c>
      <c r="AO382" s="36" t="str">
        <f>IFERROR(((VLOOKUP(Tabla1[[#This Row],[HIPOTESIS_1]],listas!$D$1:$E$105,2,FALSE))),"SIN INFORMACIÓN")</f>
        <v>Desobedecer señales o normas de tránsito.</v>
      </c>
      <c r="AP382" s="36">
        <v>115</v>
      </c>
      <c r="AQ382" s="36" t="str">
        <f>IFERROR(((VLOOKUP(Tabla1[[#This Row],[HIPOTESIS_2]],listas!$D$1:$E$105,2,FALSE))),"")</f>
        <v>Embriaguez o Sustancias alucinogenas</v>
      </c>
      <c r="AR382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383" spans="1:44" x14ac:dyDescent="0.25">
      <c r="A383" s="12">
        <v>1040</v>
      </c>
      <c r="B383" s="137">
        <v>0</v>
      </c>
      <c r="C383" s="137">
        <v>0</v>
      </c>
      <c r="D383" s="137">
        <v>1</v>
      </c>
      <c r="E383" s="18" t="str">
        <f t="shared" si="20"/>
        <v>FALLECIDO</v>
      </c>
      <c r="F383" s="152" t="s">
        <v>787</v>
      </c>
      <c r="G383" s="30">
        <v>5.312195</v>
      </c>
      <c r="H383" s="30">
        <v>-72.357566000000006</v>
      </c>
      <c r="I383" s="93" t="s">
        <v>697</v>
      </c>
      <c r="J383" s="36" t="s">
        <v>1</v>
      </c>
      <c r="K383" s="24" t="str">
        <f t="shared" si="21"/>
        <v>2025</v>
      </c>
      <c r="L383" s="24" t="str">
        <f t="shared" si="22"/>
        <v>AGOSTO</v>
      </c>
      <c r="M383" s="225">
        <v>45878</v>
      </c>
      <c r="N383" s="24" t="str">
        <f t="shared" si="23"/>
        <v>SÁBADO</v>
      </c>
      <c r="O383" s="101">
        <v>0.70833333333333337</v>
      </c>
      <c r="P383" s="217" t="s">
        <v>469</v>
      </c>
      <c r="Q383" s="217"/>
      <c r="R383" s="36">
        <f>COUNTIF(Tabla1[[#This Row],[VEHICULOS_ACCIDENTADOS]:[VEHICULOS_ACCIDENTADOS2]],"MOTOCICLETA")</f>
        <v>1</v>
      </c>
      <c r="S383" s="36">
        <f>COUNTIF(Tabla1[[#This Row],[VEHICULOS_ACCIDENTADOS]:[VEHICULOS_ACCIDENTADOS2]],"MOTOCARRO")</f>
        <v>0</v>
      </c>
      <c r="T383" s="36">
        <f>COUNTIF(Tabla1[[#This Row],[VEHICULOS_ACCIDENTADOS]:[VEHICULOS_ACCIDENTADOS2]],"AUTOMOVIL")</f>
        <v>0</v>
      </c>
      <c r="U383" s="36">
        <f>COUNTIF(Tabla1[[#This Row],[VEHICULOS_ACCIDENTADOS]:[VEHICULOS_ACCIDENTADOS2]],"CAMPERO")</f>
        <v>0</v>
      </c>
      <c r="V383" s="36">
        <f>COUNTIF(Tabla1[[#This Row],[VEHICULOS_ACCIDENTADOS]:[VEHICULOS_ACCIDENTADOS2]],"CAMIONETA")</f>
        <v>0</v>
      </c>
      <c r="W383" s="36">
        <f>COUNTIF(Tabla1[[#This Row],[VEHICULOS_ACCIDENTADOS]:[VEHICULOS_ACCIDENTADOS2]],"MICROBUS")</f>
        <v>0</v>
      </c>
      <c r="X383" s="36">
        <f>COUNTIF(Tabla1[[#This Row],[VEHICULOS_ACCIDENTADOS]:[VEHICULOS_ACCIDENTADOS2]],"BUS")</f>
        <v>0</v>
      </c>
      <c r="Y383" s="36">
        <f>COUNTIF(Tabla1[[#This Row],[VEHICULOS_ACCIDENTADOS]:[VEHICULOS_ACCIDENTADOS2]],"BUSETA")</f>
        <v>0</v>
      </c>
      <c r="Z383" s="36">
        <f>COUNTIF(Tabla1[[#This Row],[VEHICULOS_ACCIDENTADOS]:[VEHICULOS_ACCIDENTADOS2]],"CAMION")</f>
        <v>0</v>
      </c>
      <c r="AA383" s="36">
        <f>COUNTIF(Tabla1[[#This Row],[VEHICULOS_ACCIDENTADOS]:[VEHICULOS_ACCIDENTADOS2]],"TRACTOCAMION")</f>
        <v>0</v>
      </c>
      <c r="AB383" s="36">
        <f>COUNTIF(Tabla1[[#This Row],[VEHICULOS_ACCIDENTADOS]:[VEHICULOS_ACCIDENTADOS2]],"VOLQUETA")</f>
        <v>0</v>
      </c>
      <c r="AC383" s="36">
        <f>COUNTIF(Tabla1[[#This Row],[VEHICULOS_ACCIDENTADOS]:[VEHICULOS_ACCIDENTADOS2]],"BICICLETA")</f>
        <v>0</v>
      </c>
      <c r="AD383" s="61" t="s">
        <v>471</v>
      </c>
      <c r="AE383" s="61" t="s">
        <v>472</v>
      </c>
      <c r="AF383" s="36">
        <f>COUNTIF(Tabla1[[#This Row],[GENERO_MASCULINO]:[GENERO_FEMENINO]],"MASCULINO")</f>
        <v>1</v>
      </c>
      <c r="AG383" s="36">
        <f>COUNTIF(Tabla1[[#This Row],[GENERO_MASCULINO]:[GENERO_FEMENINO]],"FEMENINO")</f>
        <v>1</v>
      </c>
      <c r="AH383" s="85">
        <v>26</v>
      </c>
      <c r="AI383" s="85"/>
      <c r="AJ383" s="85"/>
      <c r="AK383" s="78"/>
      <c r="AL383" s="78"/>
      <c r="AM383" s="59"/>
      <c r="AN383" s="61">
        <v>157</v>
      </c>
      <c r="AO383" s="59" t="str">
        <f>IFERROR(((VLOOKUP(Tabla1[[#This Row],[HIPOTESIS_1]],listas!$D$1:$E$105,2,FALSE))),"SIN INFORMACIÓN")</f>
        <v>Otra</v>
      </c>
      <c r="AP383" s="36">
        <v>115</v>
      </c>
      <c r="AQ383" s="36" t="str">
        <f>IFERROR(((VLOOKUP(Tabla1[[#This Row],[HIPOTESIS_2]],listas!$D$1:$E$105,2,FALSE))),"")</f>
        <v>Embriaguez o Sustancias alucinogenas</v>
      </c>
      <c r="AR383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384" spans="1:44" x14ac:dyDescent="0.25">
      <c r="A384" s="12">
        <v>613</v>
      </c>
      <c r="B384" s="36">
        <v>0</v>
      </c>
      <c r="C384" s="36">
        <v>2</v>
      </c>
      <c r="D384" s="60">
        <v>0</v>
      </c>
      <c r="E384" s="18" t="str">
        <f t="shared" si="20"/>
        <v>LESIONADO</v>
      </c>
      <c r="F384" s="29" t="s">
        <v>758</v>
      </c>
      <c r="G384" s="21">
        <v>5.1417291666666669</v>
      </c>
      <c r="H384" s="21">
        <v>-72.221426666666673</v>
      </c>
      <c r="I384" s="93" t="s">
        <v>697</v>
      </c>
      <c r="J384" s="36" t="s">
        <v>1</v>
      </c>
      <c r="K384" s="24" t="str">
        <f t="shared" si="21"/>
        <v>2023</v>
      </c>
      <c r="L384" s="24" t="str">
        <f t="shared" si="22"/>
        <v>NOVIEMBRE</v>
      </c>
      <c r="M384" s="225">
        <v>45248</v>
      </c>
      <c r="N384" s="24" t="str">
        <f t="shared" si="23"/>
        <v>SÁBADO</v>
      </c>
      <c r="O384" s="103">
        <v>0.90625</v>
      </c>
      <c r="P384" s="57" t="s">
        <v>446</v>
      </c>
      <c r="Q384" s="57" t="s">
        <v>445</v>
      </c>
      <c r="R384" s="36">
        <f>COUNTIF(Tabla1[[#This Row],[VEHICULOS_ACCIDENTADOS]:[VEHICULOS_ACCIDENTADOS2]],"MOTOCICLETA")</f>
        <v>0</v>
      </c>
      <c r="S384" s="36">
        <f>COUNTIF(Tabla1[[#This Row],[VEHICULOS_ACCIDENTADOS]:[VEHICULOS_ACCIDENTADOS2]],"MOTOCARRO")</f>
        <v>0</v>
      </c>
      <c r="T384" s="36">
        <f>COUNTIF(Tabla1[[#This Row],[VEHICULOS_ACCIDENTADOS]:[VEHICULOS_ACCIDENTADOS2]],"AUTOMOVIL")</f>
        <v>0</v>
      </c>
      <c r="U384" s="36">
        <f>COUNTIF(Tabla1[[#This Row],[VEHICULOS_ACCIDENTADOS]:[VEHICULOS_ACCIDENTADOS2]],"CAMPERO")</f>
        <v>1</v>
      </c>
      <c r="V384" s="36">
        <f>COUNTIF(Tabla1[[#This Row],[VEHICULOS_ACCIDENTADOS]:[VEHICULOS_ACCIDENTADOS2]],"CAMIONETA")</f>
        <v>1</v>
      </c>
      <c r="W384" s="36">
        <f>COUNTIF(Tabla1[[#This Row],[VEHICULOS_ACCIDENTADOS]:[VEHICULOS_ACCIDENTADOS2]],"MICROBUS")</f>
        <v>0</v>
      </c>
      <c r="X384" s="36">
        <f>COUNTIF(Tabla1[[#This Row],[VEHICULOS_ACCIDENTADOS]:[VEHICULOS_ACCIDENTADOS2]],"BUS")</f>
        <v>0</v>
      </c>
      <c r="Y384" s="36">
        <f>COUNTIF(Tabla1[[#This Row],[VEHICULOS_ACCIDENTADOS]:[VEHICULOS_ACCIDENTADOS2]],"BUSETA")</f>
        <v>0</v>
      </c>
      <c r="Z384" s="36">
        <f>COUNTIF(Tabla1[[#This Row],[VEHICULOS_ACCIDENTADOS]:[VEHICULOS_ACCIDENTADOS2]],"CAMION")</f>
        <v>0</v>
      </c>
      <c r="AA384" s="36">
        <f>COUNTIF(Tabla1[[#This Row],[VEHICULOS_ACCIDENTADOS]:[VEHICULOS_ACCIDENTADOS2]],"TRACTOCAMION")</f>
        <v>0</v>
      </c>
      <c r="AB384" s="36">
        <f>COUNTIF(Tabla1[[#This Row],[VEHICULOS_ACCIDENTADOS]:[VEHICULOS_ACCIDENTADOS2]],"VOLQUETA")</f>
        <v>0</v>
      </c>
      <c r="AC384" s="36">
        <f>COUNTIF(Tabla1[[#This Row],[VEHICULOS_ACCIDENTADOS]:[VEHICULOS_ACCIDENTADOS2]],"BICICLETA")</f>
        <v>0</v>
      </c>
      <c r="AD384" s="66" t="s">
        <v>471</v>
      </c>
      <c r="AE384" s="66"/>
      <c r="AF384" s="66">
        <f>COUNTIF(Tabla1[[#This Row],[GENERO_MASCULINO]:[GENERO_FEMENINO]],"MASCULINO")</f>
        <v>1</v>
      </c>
      <c r="AG384" s="36">
        <f>COUNTIF(Tabla1[[#This Row],[GENERO_MASCULINO]:[GENERO_FEMENINO]],"FEMENINO")</f>
        <v>0</v>
      </c>
      <c r="AH384" s="83">
        <v>45</v>
      </c>
      <c r="AI384" s="83">
        <v>34</v>
      </c>
      <c r="AJ384" s="61"/>
      <c r="AK384" s="61"/>
      <c r="AL384" s="61"/>
      <c r="AM384" s="65"/>
      <c r="AN384" s="77">
        <v>115</v>
      </c>
      <c r="AO384" s="36" t="str">
        <f>IFERROR(((VLOOKUP(Tabla1[[#This Row],[HIPOTESIS_1]],listas!$D$1:$E$105,2,FALSE))),"SIN INFORMACIÓN")</f>
        <v>Embriaguez o Sustancias alucinogenas</v>
      </c>
      <c r="AP384" s="36">
        <v>115</v>
      </c>
      <c r="AQ384" s="36" t="str">
        <f>IFERROR(((VLOOKUP(Tabla1[[#This Row],[HIPOTESIS_2]],listas!$D$1:$E$105,2,FALSE))),"")</f>
        <v>Embriaguez o Sustancias alucinogenas</v>
      </c>
      <c r="AR384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385" spans="1:44" x14ac:dyDescent="0.25">
      <c r="A385" s="12">
        <v>268</v>
      </c>
      <c r="B385" s="36">
        <v>0</v>
      </c>
      <c r="C385" s="36">
        <v>3</v>
      </c>
      <c r="D385" s="60">
        <v>0</v>
      </c>
      <c r="E385" s="18" t="str">
        <f t="shared" si="20"/>
        <v>LESIONADO</v>
      </c>
      <c r="F385" s="29" t="s">
        <v>46</v>
      </c>
      <c r="G385" s="21">
        <v>5.3165166666666668</v>
      </c>
      <c r="H385" s="21">
        <v>-72.392266666666671</v>
      </c>
      <c r="I385" s="93" t="s">
        <v>697</v>
      </c>
      <c r="J385" s="36" t="s">
        <v>717</v>
      </c>
      <c r="K385" s="24" t="str">
        <f t="shared" si="21"/>
        <v>2022</v>
      </c>
      <c r="L385" s="24" t="str">
        <f t="shared" si="22"/>
        <v>AGOSTO</v>
      </c>
      <c r="M385" s="225">
        <v>44774</v>
      </c>
      <c r="N385" s="24" t="str">
        <f t="shared" si="23"/>
        <v>LUNES</v>
      </c>
      <c r="O385" s="170">
        <v>0.2638888888888889</v>
      </c>
      <c r="P385" s="53" t="s">
        <v>469</v>
      </c>
      <c r="Q385" s="53" t="s">
        <v>447</v>
      </c>
      <c r="R385" s="36">
        <f>COUNTIF(Tabla1[[#This Row],[VEHICULOS_ACCIDENTADOS]:[VEHICULOS_ACCIDENTADOS2]],"MOTOCICLETA")</f>
        <v>1</v>
      </c>
      <c r="S385" s="36">
        <f>COUNTIF(Tabla1[[#This Row],[VEHICULOS_ACCIDENTADOS]:[VEHICULOS_ACCIDENTADOS2]],"MOTOCARRO")</f>
        <v>0</v>
      </c>
      <c r="T385" s="36">
        <f>COUNTIF(Tabla1[[#This Row],[VEHICULOS_ACCIDENTADOS]:[VEHICULOS_ACCIDENTADOS2]],"AUTOMOVIL")</f>
        <v>1</v>
      </c>
      <c r="U385" s="36">
        <f>COUNTIF(Tabla1[[#This Row],[VEHICULOS_ACCIDENTADOS]:[VEHICULOS_ACCIDENTADOS2]],"CAMPERO")</f>
        <v>0</v>
      </c>
      <c r="V385" s="36">
        <f>COUNTIF(Tabla1[[#This Row],[VEHICULOS_ACCIDENTADOS]:[VEHICULOS_ACCIDENTADOS2]],"CAMIONETA")</f>
        <v>0</v>
      </c>
      <c r="W385" s="36">
        <f>COUNTIF(Tabla1[[#This Row],[VEHICULOS_ACCIDENTADOS]:[VEHICULOS_ACCIDENTADOS2]],"MICROBUS")</f>
        <v>0</v>
      </c>
      <c r="X385" s="36">
        <f>COUNTIF(Tabla1[[#This Row],[VEHICULOS_ACCIDENTADOS]:[VEHICULOS_ACCIDENTADOS2]],"BUS")</f>
        <v>0</v>
      </c>
      <c r="Y385" s="36">
        <f>COUNTIF(Tabla1[[#This Row],[VEHICULOS_ACCIDENTADOS]:[VEHICULOS_ACCIDENTADOS2]],"BUSETA")</f>
        <v>0</v>
      </c>
      <c r="Z385" s="36">
        <f>COUNTIF(Tabla1[[#This Row],[VEHICULOS_ACCIDENTADOS]:[VEHICULOS_ACCIDENTADOS2]],"CAMION")</f>
        <v>0</v>
      </c>
      <c r="AA385" s="36">
        <f>COUNTIF(Tabla1[[#This Row],[VEHICULOS_ACCIDENTADOS]:[VEHICULOS_ACCIDENTADOS2]],"TRACTOCAMION")</f>
        <v>0</v>
      </c>
      <c r="AB385" s="36">
        <f>COUNTIF(Tabla1[[#This Row],[VEHICULOS_ACCIDENTADOS]:[VEHICULOS_ACCIDENTADOS2]],"VOLQUETA")</f>
        <v>0</v>
      </c>
      <c r="AC385" s="36">
        <f>COUNTIF(Tabla1[[#This Row],[VEHICULOS_ACCIDENTADOS]:[VEHICULOS_ACCIDENTADOS2]],"BICICLETA")</f>
        <v>0</v>
      </c>
      <c r="AD385" s="56"/>
      <c r="AE385" s="56" t="s">
        <v>472</v>
      </c>
      <c r="AF385" s="56">
        <f>COUNTIF(Tabla1[[#This Row],[GENERO_MASCULINO]:[GENERO_FEMENINO]],"MASCULINO")</f>
        <v>0</v>
      </c>
      <c r="AG385" s="36">
        <f>COUNTIF(Tabla1[[#This Row],[GENERO_MASCULINO]:[GENERO_FEMENINO]],"FEMENINO")</f>
        <v>1</v>
      </c>
      <c r="AH385" s="61">
        <v>18</v>
      </c>
      <c r="AI385" s="61"/>
      <c r="AJ385" s="61"/>
      <c r="AK385" s="61"/>
      <c r="AL385" s="61">
        <v>23</v>
      </c>
      <c r="AM385" s="36"/>
      <c r="AN385" s="61">
        <v>139</v>
      </c>
      <c r="AO385" s="36" t="str">
        <f>IFERROR(((VLOOKUP(Tabla1[[#This Row],[HIPOTESIS_1]],listas!$D$1:$E$105,2,FALSE))),"SIN INFORMACIÓN")</f>
        <v>Impericia en el manejo.</v>
      </c>
      <c r="AP385" s="36">
        <v>115</v>
      </c>
      <c r="AQ385" s="36" t="str">
        <f>IFERROR(((VLOOKUP(Tabla1[[#This Row],[HIPOTESIS_2]],listas!$D$1:$E$105,2,FALSE))),"")</f>
        <v>Embriaguez o Sustancias alucinogenas</v>
      </c>
      <c r="AR385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386" spans="1:44" x14ac:dyDescent="0.25">
      <c r="A386" s="12">
        <v>606</v>
      </c>
      <c r="B386" s="36">
        <v>0</v>
      </c>
      <c r="C386" s="36">
        <v>0</v>
      </c>
      <c r="D386" s="60">
        <v>1</v>
      </c>
      <c r="E386" s="18" t="str">
        <f t="shared" ref="E386:E449" si="24">IF(D386&gt;=1,"FALLECIDO",IF(C386&gt;=1,"LESIONADO",IF(B386&gt;=1,"SOLO DAÑO","")))</f>
        <v>FALLECIDO</v>
      </c>
      <c r="F386" s="29" t="s">
        <v>182</v>
      </c>
      <c r="G386" s="21">
        <v>5.312180555555555</v>
      </c>
      <c r="H386" s="21">
        <v>-72.397455555555567</v>
      </c>
      <c r="I386" s="93" t="s">
        <v>697</v>
      </c>
      <c r="J386" s="36" t="s">
        <v>717</v>
      </c>
      <c r="K386" s="24" t="str">
        <f t="shared" ref="K386:K449" si="25">UPPER(TEXT(M386,"YYYY"))</f>
        <v>2023</v>
      </c>
      <c r="L386" s="24" t="str">
        <f t="shared" ref="L386:L449" si="26">UPPER(TEXT(M386,"MMMM"))</f>
        <v>NOVIEMBRE</v>
      </c>
      <c r="M386" s="225">
        <v>45241</v>
      </c>
      <c r="N386" s="24" t="str">
        <f t="shared" ref="N386:N449" si="27">UPPER(TEXT(M386,"DDDD"))</f>
        <v>SÁBADO</v>
      </c>
      <c r="O386" s="103">
        <v>0.60416666666666663</v>
      </c>
      <c r="P386" s="57" t="s">
        <v>469</v>
      </c>
      <c r="Q386" s="57" t="s">
        <v>439</v>
      </c>
      <c r="R386" s="36">
        <f>COUNTIF(Tabla1[[#This Row],[VEHICULOS_ACCIDENTADOS]:[VEHICULOS_ACCIDENTADOS2]],"MOTOCICLETA")</f>
        <v>1</v>
      </c>
      <c r="S386" s="36">
        <f>COUNTIF(Tabla1[[#This Row],[VEHICULOS_ACCIDENTADOS]:[VEHICULOS_ACCIDENTADOS2]],"MOTOCARRO")</f>
        <v>0</v>
      </c>
      <c r="T386" s="36">
        <f>COUNTIF(Tabla1[[#This Row],[VEHICULOS_ACCIDENTADOS]:[VEHICULOS_ACCIDENTADOS2]],"AUTOMOVIL")</f>
        <v>0</v>
      </c>
      <c r="U386" s="36">
        <f>COUNTIF(Tabla1[[#This Row],[VEHICULOS_ACCIDENTADOS]:[VEHICULOS_ACCIDENTADOS2]],"CAMPERO")</f>
        <v>0</v>
      </c>
      <c r="V386" s="36">
        <f>COUNTIF(Tabla1[[#This Row],[VEHICULOS_ACCIDENTADOS]:[VEHICULOS_ACCIDENTADOS2]],"CAMIONETA")</f>
        <v>0</v>
      </c>
      <c r="W386" s="36">
        <f>COUNTIF(Tabla1[[#This Row],[VEHICULOS_ACCIDENTADOS]:[VEHICULOS_ACCIDENTADOS2]],"MICROBUS")</f>
        <v>0</v>
      </c>
      <c r="X386" s="36">
        <f>COUNTIF(Tabla1[[#This Row],[VEHICULOS_ACCIDENTADOS]:[VEHICULOS_ACCIDENTADOS2]],"BUS")</f>
        <v>0</v>
      </c>
      <c r="Y386" s="36">
        <f>COUNTIF(Tabla1[[#This Row],[VEHICULOS_ACCIDENTADOS]:[VEHICULOS_ACCIDENTADOS2]],"BUSETA")</f>
        <v>0</v>
      </c>
      <c r="Z386" s="36">
        <f>COUNTIF(Tabla1[[#This Row],[VEHICULOS_ACCIDENTADOS]:[VEHICULOS_ACCIDENTADOS2]],"CAMION")</f>
        <v>0</v>
      </c>
      <c r="AA386" s="36">
        <f>COUNTIF(Tabla1[[#This Row],[VEHICULOS_ACCIDENTADOS]:[VEHICULOS_ACCIDENTADOS2]],"TRACTOCAMION")</f>
        <v>0</v>
      </c>
      <c r="AB386" s="36">
        <f>COUNTIF(Tabla1[[#This Row],[VEHICULOS_ACCIDENTADOS]:[VEHICULOS_ACCIDENTADOS2]],"VOLQUETA")</f>
        <v>1</v>
      </c>
      <c r="AC386" s="36">
        <f>COUNTIF(Tabla1[[#This Row],[VEHICULOS_ACCIDENTADOS]:[VEHICULOS_ACCIDENTADOS2]],"BICICLETA")</f>
        <v>0</v>
      </c>
      <c r="AD386" s="56" t="s">
        <v>471</v>
      </c>
      <c r="AE386" s="56" t="s">
        <v>472</v>
      </c>
      <c r="AF386" s="56">
        <f>COUNTIF(Tabla1[[#This Row],[GENERO_MASCULINO]:[GENERO_FEMENINO]],"MASCULINO")</f>
        <v>1</v>
      </c>
      <c r="AG386" s="36">
        <f>COUNTIF(Tabla1[[#This Row],[GENERO_MASCULINO]:[GENERO_FEMENINO]],"FEMENINO")</f>
        <v>1</v>
      </c>
      <c r="AH386" s="61"/>
      <c r="AI386" s="61"/>
      <c r="AJ386" s="61"/>
      <c r="AK386" s="61"/>
      <c r="AL386" s="61"/>
      <c r="AM386" s="36">
        <v>28</v>
      </c>
      <c r="AN386" s="61">
        <v>139</v>
      </c>
      <c r="AO386" s="36" t="str">
        <f>IFERROR(((VLOOKUP(Tabla1[[#This Row],[HIPOTESIS_1]],listas!$D$1:$E$105,2,FALSE))),"SIN INFORMACIÓN")</f>
        <v>Impericia en el manejo.</v>
      </c>
      <c r="AP386" s="36">
        <v>114</v>
      </c>
      <c r="AQ386" s="36" t="str">
        <f>IFERROR(((VLOOKUP(Tabla1[[#This Row],[HIPOTESIS_2]],listas!$D$1:$E$105,2,FALSE))),"")</f>
        <v>Embriaguez aparente.</v>
      </c>
      <c r="AR386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387" spans="1:44" x14ac:dyDescent="0.25">
      <c r="A387" s="12">
        <v>210</v>
      </c>
      <c r="B387" s="36">
        <v>0</v>
      </c>
      <c r="C387" s="36">
        <v>0</v>
      </c>
      <c r="D387" s="60">
        <v>1</v>
      </c>
      <c r="E387" s="18" t="str">
        <f t="shared" si="24"/>
        <v>FALLECIDO</v>
      </c>
      <c r="F387" s="29" t="s">
        <v>882</v>
      </c>
      <c r="G387" s="17">
        <v>5.495338888888889</v>
      </c>
      <c r="H387" s="17">
        <v>-72.224930555555559</v>
      </c>
      <c r="I387" s="93" t="s">
        <v>697</v>
      </c>
      <c r="J387" s="36" t="s">
        <v>1</v>
      </c>
      <c r="K387" s="24" t="str">
        <f t="shared" si="25"/>
        <v>2022</v>
      </c>
      <c r="L387" s="24" t="str">
        <f t="shared" si="26"/>
        <v>JUNIO</v>
      </c>
      <c r="M387" s="225">
        <v>44722</v>
      </c>
      <c r="N387" s="24" t="str">
        <f t="shared" si="27"/>
        <v>VIERNES</v>
      </c>
      <c r="O387" s="170">
        <v>0.15277777777777801</v>
      </c>
      <c r="P387" s="53" t="s">
        <v>469</v>
      </c>
      <c r="Q387" s="53"/>
      <c r="R387" s="36">
        <f>COUNTIF(Tabla1[[#This Row],[VEHICULOS_ACCIDENTADOS]:[VEHICULOS_ACCIDENTADOS2]],"MOTOCICLETA")</f>
        <v>1</v>
      </c>
      <c r="S387" s="36">
        <f>COUNTIF(Tabla1[[#This Row],[VEHICULOS_ACCIDENTADOS]:[VEHICULOS_ACCIDENTADOS2]],"MOTOCARRO")</f>
        <v>0</v>
      </c>
      <c r="T387" s="36">
        <f>COUNTIF(Tabla1[[#This Row],[VEHICULOS_ACCIDENTADOS]:[VEHICULOS_ACCIDENTADOS2]],"AUTOMOVIL")</f>
        <v>0</v>
      </c>
      <c r="U387" s="36">
        <f>COUNTIF(Tabla1[[#This Row],[VEHICULOS_ACCIDENTADOS]:[VEHICULOS_ACCIDENTADOS2]],"CAMPERO")</f>
        <v>0</v>
      </c>
      <c r="V387" s="36">
        <f>COUNTIF(Tabla1[[#This Row],[VEHICULOS_ACCIDENTADOS]:[VEHICULOS_ACCIDENTADOS2]],"CAMIONETA")</f>
        <v>0</v>
      </c>
      <c r="W387" s="36">
        <f>COUNTIF(Tabla1[[#This Row],[VEHICULOS_ACCIDENTADOS]:[VEHICULOS_ACCIDENTADOS2]],"MICROBUS")</f>
        <v>0</v>
      </c>
      <c r="X387" s="36">
        <f>COUNTIF(Tabla1[[#This Row],[VEHICULOS_ACCIDENTADOS]:[VEHICULOS_ACCIDENTADOS2]],"BUS")</f>
        <v>0</v>
      </c>
      <c r="Y387" s="36">
        <f>COUNTIF(Tabla1[[#This Row],[VEHICULOS_ACCIDENTADOS]:[VEHICULOS_ACCIDENTADOS2]],"BUSETA")</f>
        <v>0</v>
      </c>
      <c r="Z387" s="36">
        <f>COUNTIF(Tabla1[[#This Row],[VEHICULOS_ACCIDENTADOS]:[VEHICULOS_ACCIDENTADOS2]],"CAMION")</f>
        <v>0</v>
      </c>
      <c r="AA387" s="36">
        <f>COUNTIF(Tabla1[[#This Row],[VEHICULOS_ACCIDENTADOS]:[VEHICULOS_ACCIDENTADOS2]],"TRACTOCAMION")</f>
        <v>0</v>
      </c>
      <c r="AB387" s="36">
        <f>COUNTIF(Tabla1[[#This Row],[VEHICULOS_ACCIDENTADOS]:[VEHICULOS_ACCIDENTADOS2]],"VOLQUETA")</f>
        <v>0</v>
      </c>
      <c r="AC387" s="36">
        <f>COUNTIF(Tabla1[[#This Row],[VEHICULOS_ACCIDENTADOS]:[VEHICULOS_ACCIDENTADOS2]],"BICICLETA")</f>
        <v>0</v>
      </c>
      <c r="AD387" s="56" t="s">
        <v>471</v>
      </c>
      <c r="AE387" s="56"/>
      <c r="AF387" s="56">
        <f>COUNTIF(Tabla1[[#This Row],[GENERO_MASCULINO]:[GENERO_FEMENINO]],"MASCULINO")</f>
        <v>1</v>
      </c>
      <c r="AG387" s="36">
        <f>COUNTIF(Tabla1[[#This Row],[GENERO_MASCULINO]:[GENERO_FEMENINO]],"FEMENINO")</f>
        <v>0</v>
      </c>
      <c r="AH387" s="61"/>
      <c r="AI387" s="61"/>
      <c r="AJ387" s="61"/>
      <c r="AK387" s="61"/>
      <c r="AL387" s="61"/>
      <c r="AM387" s="36">
        <v>21</v>
      </c>
      <c r="AN387" s="61">
        <v>139</v>
      </c>
      <c r="AO387" s="36" t="str">
        <f>IFERROR(((VLOOKUP(Tabla1[[#This Row],[HIPOTESIS_1]],listas!$D$1:$E$105,2,FALSE))),"SIN INFORMACIÓN")</f>
        <v>Impericia en el manejo.</v>
      </c>
      <c r="AP387" s="36">
        <v>114</v>
      </c>
      <c r="AQ387" s="36" t="str">
        <f>IFERROR(((VLOOKUP(Tabla1[[#This Row],[HIPOTESIS_2]],listas!$D$1:$E$105,2,FALSE))),"")</f>
        <v>Embriaguez aparente.</v>
      </c>
      <c r="AR387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388" spans="1:44" x14ac:dyDescent="0.25">
      <c r="A388" s="12">
        <v>838</v>
      </c>
      <c r="B388" s="136">
        <v>0</v>
      </c>
      <c r="C388" s="136">
        <v>0</v>
      </c>
      <c r="D388" s="149">
        <v>1</v>
      </c>
      <c r="E388" s="18" t="str">
        <f t="shared" si="24"/>
        <v>FALLECIDO</v>
      </c>
      <c r="F388" s="26" t="s">
        <v>92</v>
      </c>
      <c r="G388" s="21">
        <v>5.310232222222222</v>
      </c>
      <c r="H388" s="21">
        <v>-72.415281666666672</v>
      </c>
      <c r="I388" s="93" t="s">
        <v>697</v>
      </c>
      <c r="J388" s="36" t="s">
        <v>717</v>
      </c>
      <c r="K388" s="24" t="str">
        <f t="shared" si="25"/>
        <v>2024</v>
      </c>
      <c r="L388" s="24" t="str">
        <f t="shared" si="26"/>
        <v>DICIEMBRE</v>
      </c>
      <c r="M388" s="224">
        <v>45643</v>
      </c>
      <c r="N388" s="24" t="str">
        <f t="shared" si="27"/>
        <v>MARTES</v>
      </c>
      <c r="O388" s="104">
        <v>7.6388888888888895E-2</v>
      </c>
      <c r="P388" s="178" t="s">
        <v>469</v>
      </c>
      <c r="Q388" s="178"/>
      <c r="R388" s="36">
        <f>COUNTIF(Tabla1[[#This Row],[VEHICULOS_ACCIDENTADOS]:[VEHICULOS_ACCIDENTADOS2]],"MOTOCICLETA")</f>
        <v>1</v>
      </c>
      <c r="S388" s="36">
        <f>COUNTIF(Tabla1[[#This Row],[VEHICULOS_ACCIDENTADOS]:[VEHICULOS_ACCIDENTADOS2]],"MOTOCARRO")</f>
        <v>0</v>
      </c>
      <c r="T388" s="36">
        <f>COUNTIF(Tabla1[[#This Row],[VEHICULOS_ACCIDENTADOS]:[VEHICULOS_ACCIDENTADOS2]],"AUTOMOVIL")</f>
        <v>0</v>
      </c>
      <c r="U388" s="36">
        <f>COUNTIF(Tabla1[[#This Row],[VEHICULOS_ACCIDENTADOS]:[VEHICULOS_ACCIDENTADOS2]],"CAMPERO")</f>
        <v>0</v>
      </c>
      <c r="V388" s="36">
        <f>COUNTIF(Tabla1[[#This Row],[VEHICULOS_ACCIDENTADOS]:[VEHICULOS_ACCIDENTADOS2]],"CAMIONETA")</f>
        <v>0</v>
      </c>
      <c r="W388" s="36">
        <f>COUNTIF(Tabla1[[#This Row],[VEHICULOS_ACCIDENTADOS]:[VEHICULOS_ACCIDENTADOS2]],"MICROBUS")</f>
        <v>0</v>
      </c>
      <c r="X388" s="36">
        <f>COUNTIF(Tabla1[[#This Row],[VEHICULOS_ACCIDENTADOS]:[VEHICULOS_ACCIDENTADOS2]],"BUS")</f>
        <v>0</v>
      </c>
      <c r="Y388" s="36">
        <f>COUNTIF(Tabla1[[#This Row],[VEHICULOS_ACCIDENTADOS]:[VEHICULOS_ACCIDENTADOS2]],"BUSETA")</f>
        <v>0</v>
      </c>
      <c r="Z388" s="36">
        <f>COUNTIF(Tabla1[[#This Row],[VEHICULOS_ACCIDENTADOS]:[VEHICULOS_ACCIDENTADOS2]],"CAMION")</f>
        <v>0</v>
      </c>
      <c r="AA388" s="36">
        <f>COUNTIF(Tabla1[[#This Row],[VEHICULOS_ACCIDENTADOS]:[VEHICULOS_ACCIDENTADOS2]],"TRACTOCAMION")</f>
        <v>0</v>
      </c>
      <c r="AB388" s="36">
        <f>COUNTIF(Tabla1[[#This Row],[VEHICULOS_ACCIDENTADOS]:[VEHICULOS_ACCIDENTADOS2]],"VOLQUETA")</f>
        <v>0</v>
      </c>
      <c r="AC388" s="36">
        <f>COUNTIF(Tabla1[[#This Row],[VEHICULOS_ACCIDENTADOS]:[VEHICULOS_ACCIDENTADOS2]],"BICICLETA")</f>
        <v>0</v>
      </c>
      <c r="AD388" s="190" t="s">
        <v>471</v>
      </c>
      <c r="AE388" s="190"/>
      <c r="AF388" s="190">
        <f>COUNTIF(Tabla1[[#This Row],[GENERO_MASCULINO]:[GENERO_FEMENINO]],"MASCULINO")</f>
        <v>1</v>
      </c>
      <c r="AG388" s="36">
        <f>COUNTIF(Tabla1[[#This Row],[GENERO_MASCULINO]:[GENERO_FEMENINO]],"FEMENINO")</f>
        <v>0</v>
      </c>
      <c r="AH388" s="85"/>
      <c r="AI388" s="85"/>
      <c r="AJ388" s="85"/>
      <c r="AK388" s="85"/>
      <c r="AL388" s="85"/>
      <c r="AM388" s="136">
        <v>28</v>
      </c>
      <c r="AN388" s="85">
        <v>157</v>
      </c>
      <c r="AO388" s="36" t="str">
        <f>IFERROR(((VLOOKUP(Tabla1[[#This Row],[HIPOTESIS_1]],listas!$D$1:$E$105,2,FALSE))),"SIN INFORMACIÓN")</f>
        <v>Otra</v>
      </c>
      <c r="AP388" s="136">
        <v>114</v>
      </c>
      <c r="AQ388" s="36" t="str">
        <f>IFERROR(((VLOOKUP(Tabla1[[#This Row],[HIPOTESIS_2]],listas!$D$1:$E$105,2,FALSE))),"")</f>
        <v>Embriaguez aparente.</v>
      </c>
      <c r="AR388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389" spans="1:44" x14ac:dyDescent="0.25">
      <c r="A389" s="12">
        <v>662</v>
      </c>
      <c r="B389" s="136">
        <v>0</v>
      </c>
      <c r="C389" s="136">
        <v>0</v>
      </c>
      <c r="D389" s="149">
        <v>1</v>
      </c>
      <c r="E389" s="18" t="str">
        <f t="shared" si="24"/>
        <v>FALLECIDO</v>
      </c>
      <c r="F389" s="26" t="s">
        <v>164</v>
      </c>
      <c r="G389" s="21">
        <v>5.335086111111111</v>
      </c>
      <c r="H389" s="21">
        <v>-72.404277777777779</v>
      </c>
      <c r="I389" s="93" t="s">
        <v>697</v>
      </c>
      <c r="J389" s="136" t="s">
        <v>717</v>
      </c>
      <c r="K389" s="24" t="str">
        <f t="shared" si="25"/>
        <v>2024</v>
      </c>
      <c r="L389" s="24" t="str">
        <f t="shared" si="26"/>
        <v>FEBRERO</v>
      </c>
      <c r="M389" s="224">
        <v>45333</v>
      </c>
      <c r="N389" s="24" t="str">
        <f t="shared" si="27"/>
        <v>DOMINGO</v>
      </c>
      <c r="O389" s="104">
        <v>0.6875</v>
      </c>
      <c r="P389" s="178" t="s">
        <v>469</v>
      </c>
      <c r="Q389" s="178" t="s">
        <v>447</v>
      </c>
      <c r="R389" s="36">
        <f>COUNTIF(Tabla1[[#This Row],[VEHICULOS_ACCIDENTADOS]:[VEHICULOS_ACCIDENTADOS2]],"MOTOCICLETA")</f>
        <v>1</v>
      </c>
      <c r="S389" s="36">
        <f>COUNTIF(Tabla1[[#This Row],[VEHICULOS_ACCIDENTADOS]:[VEHICULOS_ACCIDENTADOS2]],"MOTOCARRO")</f>
        <v>0</v>
      </c>
      <c r="T389" s="36">
        <f>COUNTIF(Tabla1[[#This Row],[VEHICULOS_ACCIDENTADOS]:[VEHICULOS_ACCIDENTADOS2]],"AUTOMOVIL")</f>
        <v>1</v>
      </c>
      <c r="U389" s="36">
        <f>COUNTIF(Tabla1[[#This Row],[VEHICULOS_ACCIDENTADOS]:[VEHICULOS_ACCIDENTADOS2]],"CAMPERO")</f>
        <v>0</v>
      </c>
      <c r="V389" s="36">
        <f>COUNTIF(Tabla1[[#This Row],[VEHICULOS_ACCIDENTADOS]:[VEHICULOS_ACCIDENTADOS2]],"CAMIONETA")</f>
        <v>0</v>
      </c>
      <c r="W389" s="36">
        <f>COUNTIF(Tabla1[[#This Row],[VEHICULOS_ACCIDENTADOS]:[VEHICULOS_ACCIDENTADOS2]],"MICROBUS")</f>
        <v>0</v>
      </c>
      <c r="X389" s="36">
        <f>COUNTIF(Tabla1[[#This Row],[VEHICULOS_ACCIDENTADOS]:[VEHICULOS_ACCIDENTADOS2]],"BUS")</f>
        <v>0</v>
      </c>
      <c r="Y389" s="36">
        <f>COUNTIF(Tabla1[[#This Row],[VEHICULOS_ACCIDENTADOS]:[VEHICULOS_ACCIDENTADOS2]],"BUSETA")</f>
        <v>0</v>
      </c>
      <c r="Z389" s="36">
        <f>COUNTIF(Tabla1[[#This Row],[VEHICULOS_ACCIDENTADOS]:[VEHICULOS_ACCIDENTADOS2]],"CAMION")</f>
        <v>0</v>
      </c>
      <c r="AA389" s="36">
        <f>COUNTIF(Tabla1[[#This Row],[VEHICULOS_ACCIDENTADOS]:[VEHICULOS_ACCIDENTADOS2]],"TRACTOCAMION")</f>
        <v>0</v>
      </c>
      <c r="AB389" s="36">
        <f>COUNTIF(Tabla1[[#This Row],[VEHICULOS_ACCIDENTADOS]:[VEHICULOS_ACCIDENTADOS2]],"VOLQUETA")</f>
        <v>0</v>
      </c>
      <c r="AC389" s="36">
        <f>COUNTIF(Tabla1[[#This Row],[VEHICULOS_ACCIDENTADOS]:[VEHICULOS_ACCIDENTADOS2]],"BICICLETA")</f>
        <v>0</v>
      </c>
      <c r="AD389" s="190" t="s">
        <v>471</v>
      </c>
      <c r="AE389" s="190"/>
      <c r="AF389" s="190">
        <f>COUNTIF(Tabla1[[#This Row],[GENERO_MASCULINO]:[GENERO_FEMENINO]],"MASCULINO")</f>
        <v>1</v>
      </c>
      <c r="AG389" s="36">
        <f>COUNTIF(Tabla1[[#This Row],[GENERO_MASCULINO]:[GENERO_FEMENINO]],"FEMENINO")</f>
        <v>0</v>
      </c>
      <c r="AH389" s="85"/>
      <c r="AI389" s="85">
        <v>24</v>
      </c>
      <c r="AJ389" s="85"/>
      <c r="AK389" s="85"/>
      <c r="AL389" s="85"/>
      <c r="AM389" s="136">
        <v>36</v>
      </c>
      <c r="AN389" s="85">
        <v>123</v>
      </c>
      <c r="AO389" s="36" t="str">
        <f>IFERROR(((VLOOKUP(Tabla1[[#This Row],[HIPOTESIS_1]],listas!$D$1:$E$105,2,FALSE))),"SIN INFORMACIÓN")</f>
        <v>No respetar prelación de intersecciones o giros.</v>
      </c>
      <c r="AP389" s="136">
        <v>114</v>
      </c>
      <c r="AQ389" s="36" t="str">
        <f>IFERROR(((VLOOKUP(Tabla1[[#This Row],[HIPOTESIS_2]],listas!$D$1:$E$105,2,FALSE))),"")</f>
        <v>Embriaguez aparente.</v>
      </c>
      <c r="AR389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390" spans="1:44" x14ac:dyDescent="0.25">
      <c r="A390" s="12">
        <v>903</v>
      </c>
      <c r="B390" s="136">
        <v>0</v>
      </c>
      <c r="C390" s="136">
        <v>1</v>
      </c>
      <c r="D390" s="149">
        <v>1</v>
      </c>
      <c r="E390" s="18" t="str">
        <f t="shared" si="24"/>
        <v>FALLECIDO</v>
      </c>
      <c r="F390" s="26" t="s">
        <v>1046</v>
      </c>
      <c r="G390" s="21">
        <v>5.3275449999999998</v>
      </c>
      <c r="H390" s="21">
        <v>-72.401246999999998</v>
      </c>
      <c r="I390" s="93" t="s">
        <v>697</v>
      </c>
      <c r="J390" s="167" t="s">
        <v>717</v>
      </c>
      <c r="K390" s="24" t="str">
        <f t="shared" si="25"/>
        <v>2025</v>
      </c>
      <c r="L390" s="24" t="str">
        <f t="shared" si="26"/>
        <v>MARZO</v>
      </c>
      <c r="M390" s="224">
        <v>45729</v>
      </c>
      <c r="N390" s="24" t="str">
        <f t="shared" si="27"/>
        <v>JUEVES</v>
      </c>
      <c r="O390" s="104">
        <v>3.8194444444444441E-2</v>
      </c>
      <c r="P390" s="178" t="s">
        <v>469</v>
      </c>
      <c r="Q390" s="178"/>
      <c r="R390" s="36">
        <f>COUNTIF(Tabla1[[#This Row],[VEHICULOS_ACCIDENTADOS]:[VEHICULOS_ACCIDENTADOS2]],"MOTOCICLETA")</f>
        <v>1</v>
      </c>
      <c r="S390" s="36">
        <f>COUNTIF(Tabla1[[#This Row],[VEHICULOS_ACCIDENTADOS]:[VEHICULOS_ACCIDENTADOS2]],"MOTOCARRO")</f>
        <v>0</v>
      </c>
      <c r="T390" s="36">
        <f>COUNTIF(Tabla1[[#This Row],[VEHICULOS_ACCIDENTADOS]:[VEHICULOS_ACCIDENTADOS2]],"AUTOMOVIL")</f>
        <v>0</v>
      </c>
      <c r="U390" s="36">
        <f>COUNTIF(Tabla1[[#This Row],[VEHICULOS_ACCIDENTADOS]:[VEHICULOS_ACCIDENTADOS2]],"CAMPERO")</f>
        <v>0</v>
      </c>
      <c r="V390" s="36">
        <f>COUNTIF(Tabla1[[#This Row],[VEHICULOS_ACCIDENTADOS]:[VEHICULOS_ACCIDENTADOS2]],"CAMIONETA")</f>
        <v>0</v>
      </c>
      <c r="W390" s="36">
        <f>COUNTIF(Tabla1[[#This Row],[VEHICULOS_ACCIDENTADOS]:[VEHICULOS_ACCIDENTADOS2]],"MICROBUS")</f>
        <v>0</v>
      </c>
      <c r="X390" s="36">
        <f>COUNTIF(Tabla1[[#This Row],[VEHICULOS_ACCIDENTADOS]:[VEHICULOS_ACCIDENTADOS2]],"BUS")</f>
        <v>0</v>
      </c>
      <c r="Y390" s="36">
        <f>COUNTIF(Tabla1[[#This Row],[VEHICULOS_ACCIDENTADOS]:[VEHICULOS_ACCIDENTADOS2]],"BUSETA")</f>
        <v>0</v>
      </c>
      <c r="Z390" s="36">
        <f>COUNTIF(Tabla1[[#This Row],[VEHICULOS_ACCIDENTADOS]:[VEHICULOS_ACCIDENTADOS2]],"CAMION")</f>
        <v>0</v>
      </c>
      <c r="AA390" s="36">
        <f>COUNTIF(Tabla1[[#This Row],[VEHICULOS_ACCIDENTADOS]:[VEHICULOS_ACCIDENTADOS2]],"TRACTOCAMION")</f>
        <v>0</v>
      </c>
      <c r="AB390" s="36">
        <f>COUNTIF(Tabla1[[#This Row],[VEHICULOS_ACCIDENTADOS]:[VEHICULOS_ACCIDENTADOS2]],"VOLQUETA")</f>
        <v>0</v>
      </c>
      <c r="AC390" s="36">
        <f>COUNTIF(Tabla1[[#This Row],[VEHICULOS_ACCIDENTADOS]:[VEHICULOS_ACCIDENTADOS2]],"BICICLETA")</f>
        <v>0</v>
      </c>
      <c r="AD390" s="190" t="s">
        <v>472</v>
      </c>
      <c r="AE390" s="190" t="s">
        <v>472</v>
      </c>
      <c r="AF390" s="190">
        <f>COUNTIF(Tabla1[[#This Row],[GENERO_MASCULINO]:[GENERO_FEMENINO]],"MASCULINO")</f>
        <v>0</v>
      </c>
      <c r="AG390" s="36">
        <f>COUNTIF(Tabla1[[#This Row],[GENERO_MASCULINO]:[GENERO_FEMENINO]],"FEMENINO")</f>
        <v>2</v>
      </c>
      <c r="AH390" s="85">
        <v>21</v>
      </c>
      <c r="AI390" s="85">
        <v>22</v>
      </c>
      <c r="AJ390" s="85"/>
      <c r="AK390" s="85"/>
      <c r="AL390" s="85"/>
      <c r="AM390" s="136">
        <v>21</v>
      </c>
      <c r="AN390" s="85">
        <v>139</v>
      </c>
      <c r="AO390" s="36" t="str">
        <f>IFERROR(((VLOOKUP(Tabla1[[#This Row],[HIPOTESIS_1]],listas!$D$1:$E$105,2,FALSE))),"SIN INFORMACIÓN")</f>
        <v>Impericia en el manejo.</v>
      </c>
      <c r="AP390" s="136">
        <v>114</v>
      </c>
      <c r="AQ390" s="36" t="str">
        <f>IFERROR(((VLOOKUP(Tabla1[[#This Row],[HIPOTESIS_2]],listas!$D$1:$E$105,2,FALSE))),"")</f>
        <v>Embriaguez aparente.</v>
      </c>
      <c r="AR390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391" spans="1:44" x14ac:dyDescent="0.25">
      <c r="A391" s="12">
        <v>238</v>
      </c>
      <c r="B391" s="36">
        <v>0</v>
      </c>
      <c r="C391" s="36">
        <v>1</v>
      </c>
      <c r="D391" s="60">
        <v>0</v>
      </c>
      <c r="E391" s="18" t="str">
        <f t="shared" si="24"/>
        <v>LESIONADO</v>
      </c>
      <c r="F391" s="29" t="s">
        <v>346</v>
      </c>
      <c r="G391" s="17">
        <v>5.3365219444444438</v>
      </c>
      <c r="H391" s="17">
        <v>-72.403440833333335</v>
      </c>
      <c r="I391" s="93" t="s">
        <v>697</v>
      </c>
      <c r="J391" s="36" t="s">
        <v>717</v>
      </c>
      <c r="K391" s="24" t="str">
        <f t="shared" si="25"/>
        <v>2022</v>
      </c>
      <c r="L391" s="24" t="str">
        <f t="shared" si="26"/>
        <v>JULIO</v>
      </c>
      <c r="M391" s="225">
        <v>44744</v>
      </c>
      <c r="N391" s="24" t="str">
        <f t="shared" si="27"/>
        <v>SÁBADO</v>
      </c>
      <c r="O391" s="170">
        <v>0.77777777777777801</v>
      </c>
      <c r="P391" s="53" t="s">
        <v>469</v>
      </c>
      <c r="Q391" s="53" t="s">
        <v>447</v>
      </c>
      <c r="R391" s="36">
        <f>COUNTIF(Tabla1[[#This Row],[VEHICULOS_ACCIDENTADOS]:[VEHICULOS_ACCIDENTADOS2]],"MOTOCICLETA")</f>
        <v>1</v>
      </c>
      <c r="S391" s="36">
        <f>COUNTIF(Tabla1[[#This Row],[VEHICULOS_ACCIDENTADOS]:[VEHICULOS_ACCIDENTADOS2]],"MOTOCARRO")</f>
        <v>0</v>
      </c>
      <c r="T391" s="36">
        <f>COUNTIF(Tabla1[[#This Row],[VEHICULOS_ACCIDENTADOS]:[VEHICULOS_ACCIDENTADOS2]],"AUTOMOVIL")</f>
        <v>1</v>
      </c>
      <c r="U391" s="36">
        <f>COUNTIF(Tabla1[[#This Row],[VEHICULOS_ACCIDENTADOS]:[VEHICULOS_ACCIDENTADOS2]],"CAMPERO")</f>
        <v>0</v>
      </c>
      <c r="V391" s="36">
        <f>COUNTIF(Tabla1[[#This Row],[VEHICULOS_ACCIDENTADOS]:[VEHICULOS_ACCIDENTADOS2]],"CAMIONETA")</f>
        <v>0</v>
      </c>
      <c r="W391" s="36">
        <f>COUNTIF(Tabla1[[#This Row],[VEHICULOS_ACCIDENTADOS]:[VEHICULOS_ACCIDENTADOS2]],"MICROBUS")</f>
        <v>0</v>
      </c>
      <c r="X391" s="36">
        <f>COUNTIF(Tabla1[[#This Row],[VEHICULOS_ACCIDENTADOS]:[VEHICULOS_ACCIDENTADOS2]],"BUS")</f>
        <v>0</v>
      </c>
      <c r="Y391" s="36">
        <f>COUNTIF(Tabla1[[#This Row],[VEHICULOS_ACCIDENTADOS]:[VEHICULOS_ACCIDENTADOS2]],"BUSETA")</f>
        <v>0</v>
      </c>
      <c r="Z391" s="36">
        <f>COUNTIF(Tabla1[[#This Row],[VEHICULOS_ACCIDENTADOS]:[VEHICULOS_ACCIDENTADOS2]],"CAMION")</f>
        <v>0</v>
      </c>
      <c r="AA391" s="36">
        <f>COUNTIF(Tabla1[[#This Row],[VEHICULOS_ACCIDENTADOS]:[VEHICULOS_ACCIDENTADOS2]],"TRACTOCAMION")</f>
        <v>0</v>
      </c>
      <c r="AB391" s="36">
        <f>COUNTIF(Tabla1[[#This Row],[VEHICULOS_ACCIDENTADOS]:[VEHICULOS_ACCIDENTADOS2]],"VOLQUETA")</f>
        <v>0</v>
      </c>
      <c r="AC391" s="36">
        <f>COUNTIF(Tabla1[[#This Row],[VEHICULOS_ACCIDENTADOS]:[VEHICULOS_ACCIDENTADOS2]],"BICICLETA")</f>
        <v>0</v>
      </c>
      <c r="AD391" s="56" t="s">
        <v>471</v>
      </c>
      <c r="AE391" s="56"/>
      <c r="AF391" s="56">
        <f>COUNTIF(Tabla1[[#This Row],[GENERO_MASCULINO]:[GENERO_FEMENINO]],"MASCULINO")</f>
        <v>1</v>
      </c>
      <c r="AG391" s="36">
        <f>COUNTIF(Tabla1[[#This Row],[GENERO_MASCULINO]:[GENERO_FEMENINO]],"FEMENINO")</f>
        <v>0</v>
      </c>
      <c r="AH391" s="61">
        <v>45</v>
      </c>
      <c r="AI391" s="61"/>
      <c r="AJ391" s="78"/>
      <c r="AK391" s="61"/>
      <c r="AL391" s="61"/>
      <c r="AM391" s="36"/>
      <c r="AN391" s="61">
        <v>112</v>
      </c>
      <c r="AO391" s="36" t="str">
        <f>IFERROR(((VLOOKUP(Tabla1[[#This Row],[HIPOTESIS_1]],listas!$D$1:$E$105,2,FALSE))),"SIN INFORMACIÓN")</f>
        <v>Desobedecer señales o normas de tránsito.</v>
      </c>
      <c r="AP391" s="36">
        <v>114</v>
      </c>
      <c r="AQ391" s="36" t="str">
        <f>IFERROR(((VLOOKUP(Tabla1[[#This Row],[HIPOTESIS_2]],listas!$D$1:$E$105,2,FALSE))),"")</f>
        <v>Embriaguez aparente.</v>
      </c>
      <c r="AR391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392" spans="1:44" x14ac:dyDescent="0.25">
      <c r="A392" s="12">
        <v>403</v>
      </c>
      <c r="B392" s="36">
        <v>0</v>
      </c>
      <c r="C392" s="36">
        <v>2</v>
      </c>
      <c r="D392" s="60">
        <v>0</v>
      </c>
      <c r="E392" s="18" t="str">
        <f t="shared" si="24"/>
        <v>LESIONADO</v>
      </c>
      <c r="F392" s="29" t="s">
        <v>1051</v>
      </c>
      <c r="G392" s="17">
        <v>5.3499786111111112</v>
      </c>
      <c r="H392" s="17">
        <v>-72.391285000000011</v>
      </c>
      <c r="I392" s="93" t="s">
        <v>697</v>
      </c>
      <c r="J392" s="36" t="s">
        <v>717</v>
      </c>
      <c r="K392" s="24" t="str">
        <f t="shared" si="25"/>
        <v>2023</v>
      </c>
      <c r="L392" s="24" t="str">
        <f t="shared" si="26"/>
        <v>FEBRERO</v>
      </c>
      <c r="M392" s="225">
        <v>44963</v>
      </c>
      <c r="N392" s="24" t="str">
        <f t="shared" si="27"/>
        <v>LUNES</v>
      </c>
      <c r="O392" s="103">
        <v>0.6875</v>
      </c>
      <c r="P392" s="57" t="s">
        <v>469</v>
      </c>
      <c r="Q392" s="57" t="s">
        <v>444</v>
      </c>
      <c r="R392" s="36">
        <f>COUNTIF(Tabla1[[#This Row],[VEHICULOS_ACCIDENTADOS]:[VEHICULOS_ACCIDENTADOS2]],"MOTOCICLETA")</f>
        <v>1</v>
      </c>
      <c r="S392" s="36">
        <f>COUNTIF(Tabla1[[#This Row],[VEHICULOS_ACCIDENTADOS]:[VEHICULOS_ACCIDENTADOS2]],"MOTOCARRO")</f>
        <v>0</v>
      </c>
      <c r="T392" s="36">
        <f>COUNTIF(Tabla1[[#This Row],[VEHICULOS_ACCIDENTADOS]:[VEHICULOS_ACCIDENTADOS2]],"AUTOMOVIL")</f>
        <v>0</v>
      </c>
      <c r="U392" s="36">
        <f>COUNTIF(Tabla1[[#This Row],[VEHICULOS_ACCIDENTADOS]:[VEHICULOS_ACCIDENTADOS2]],"CAMPERO")</f>
        <v>0</v>
      </c>
      <c r="V392" s="36">
        <f>COUNTIF(Tabla1[[#This Row],[VEHICULOS_ACCIDENTADOS]:[VEHICULOS_ACCIDENTADOS2]],"CAMIONETA")</f>
        <v>0</v>
      </c>
      <c r="W392" s="36">
        <f>COUNTIF(Tabla1[[#This Row],[VEHICULOS_ACCIDENTADOS]:[VEHICULOS_ACCIDENTADOS2]],"MICROBUS")</f>
        <v>1</v>
      </c>
      <c r="X392" s="36">
        <f>COUNTIF(Tabla1[[#This Row],[VEHICULOS_ACCIDENTADOS]:[VEHICULOS_ACCIDENTADOS2]],"BUS")</f>
        <v>0</v>
      </c>
      <c r="Y392" s="36">
        <f>COUNTIF(Tabla1[[#This Row],[VEHICULOS_ACCIDENTADOS]:[VEHICULOS_ACCIDENTADOS2]],"BUSETA")</f>
        <v>0</v>
      </c>
      <c r="Z392" s="36">
        <f>COUNTIF(Tabla1[[#This Row],[VEHICULOS_ACCIDENTADOS]:[VEHICULOS_ACCIDENTADOS2]],"CAMION")</f>
        <v>0</v>
      </c>
      <c r="AA392" s="36">
        <f>COUNTIF(Tabla1[[#This Row],[VEHICULOS_ACCIDENTADOS]:[VEHICULOS_ACCIDENTADOS2]],"TRACTOCAMION")</f>
        <v>0</v>
      </c>
      <c r="AB392" s="36">
        <f>COUNTIF(Tabla1[[#This Row],[VEHICULOS_ACCIDENTADOS]:[VEHICULOS_ACCIDENTADOS2]],"VOLQUETA")</f>
        <v>0</v>
      </c>
      <c r="AC392" s="36">
        <f>COUNTIF(Tabla1[[#This Row],[VEHICULOS_ACCIDENTADOS]:[VEHICULOS_ACCIDENTADOS2]],"BICICLETA")</f>
        <v>0</v>
      </c>
      <c r="AD392" s="56" t="s">
        <v>471</v>
      </c>
      <c r="AE392" s="56"/>
      <c r="AF392" s="56">
        <f>COUNTIF(Tabla1[[#This Row],[GENERO_MASCULINO]:[GENERO_FEMENINO]],"MASCULINO")</f>
        <v>1</v>
      </c>
      <c r="AG392" s="36">
        <f>COUNTIF(Tabla1[[#This Row],[GENERO_MASCULINO]:[GENERO_FEMENINO]],"FEMENINO")</f>
        <v>0</v>
      </c>
      <c r="AH392" s="61">
        <v>22</v>
      </c>
      <c r="AI392" s="61"/>
      <c r="AJ392" s="61"/>
      <c r="AK392" s="61"/>
      <c r="AL392" s="61">
        <v>20</v>
      </c>
      <c r="AM392" s="36"/>
      <c r="AN392" s="61">
        <v>139</v>
      </c>
      <c r="AO392" s="36" t="str">
        <f>IFERROR(((VLOOKUP(Tabla1[[#This Row],[HIPOTESIS_1]],listas!$D$1:$E$105,2,FALSE))),"SIN INFORMACIÓN")</f>
        <v>Impericia en el manejo.</v>
      </c>
      <c r="AP392" s="36">
        <v>114</v>
      </c>
      <c r="AQ392" s="36" t="str">
        <f>IFERROR(((VLOOKUP(Tabla1[[#This Row],[HIPOTESIS_2]],listas!$D$1:$E$105,2,FALSE))),"")</f>
        <v>Embriaguez aparente.</v>
      </c>
      <c r="AR392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393" spans="1:44" x14ac:dyDescent="0.25">
      <c r="A393" s="12">
        <v>972</v>
      </c>
      <c r="B393" s="136">
        <v>0</v>
      </c>
      <c r="C393" s="136">
        <v>4</v>
      </c>
      <c r="D393" s="149">
        <v>0</v>
      </c>
      <c r="E393" s="18" t="str">
        <f t="shared" si="24"/>
        <v>LESIONADO</v>
      </c>
      <c r="F393" s="26" t="s">
        <v>20</v>
      </c>
      <c r="G393" s="20">
        <v>5.3289590000000002</v>
      </c>
      <c r="H393" s="20">
        <v>-72.395758000000001</v>
      </c>
      <c r="I393" s="93" t="s">
        <v>697</v>
      </c>
      <c r="J393" s="135" t="s">
        <v>717</v>
      </c>
      <c r="K393" s="24" t="str">
        <f t="shared" si="25"/>
        <v>2025</v>
      </c>
      <c r="L393" s="24" t="str">
        <f t="shared" si="26"/>
        <v>MAYO</v>
      </c>
      <c r="M393" s="224">
        <v>45801</v>
      </c>
      <c r="N393" s="24" t="str">
        <f t="shared" si="27"/>
        <v>SÁBADO</v>
      </c>
      <c r="O393" s="104">
        <v>0.69097222222222221</v>
      </c>
      <c r="P393" s="63" t="s">
        <v>469</v>
      </c>
      <c r="Q393" s="63" t="s">
        <v>469</v>
      </c>
      <c r="R393" s="36">
        <f>COUNTIF(Tabla1[[#This Row],[VEHICULOS_ACCIDENTADOS]:[VEHICULOS_ACCIDENTADOS2]],"MOTOCICLETA")</f>
        <v>2</v>
      </c>
      <c r="S393" s="36">
        <f>COUNTIF(Tabla1[[#This Row],[VEHICULOS_ACCIDENTADOS]:[VEHICULOS_ACCIDENTADOS2]],"MOTOCARRO")</f>
        <v>0</v>
      </c>
      <c r="T393" s="36">
        <f>COUNTIF(Tabla1[[#This Row],[VEHICULOS_ACCIDENTADOS]:[VEHICULOS_ACCIDENTADOS2]],"AUTOMOVIL")</f>
        <v>0</v>
      </c>
      <c r="U393" s="36">
        <f>COUNTIF(Tabla1[[#This Row],[VEHICULOS_ACCIDENTADOS]:[VEHICULOS_ACCIDENTADOS2]],"CAMPERO")</f>
        <v>0</v>
      </c>
      <c r="V393" s="36">
        <f>COUNTIF(Tabla1[[#This Row],[VEHICULOS_ACCIDENTADOS]:[VEHICULOS_ACCIDENTADOS2]],"CAMIONETA")</f>
        <v>0</v>
      </c>
      <c r="W393" s="36">
        <f>COUNTIF(Tabla1[[#This Row],[VEHICULOS_ACCIDENTADOS]:[VEHICULOS_ACCIDENTADOS2]],"MICROBUS")</f>
        <v>0</v>
      </c>
      <c r="X393" s="36">
        <f>COUNTIF(Tabla1[[#This Row],[VEHICULOS_ACCIDENTADOS]:[VEHICULOS_ACCIDENTADOS2]],"BUS")</f>
        <v>0</v>
      </c>
      <c r="Y393" s="36">
        <f>COUNTIF(Tabla1[[#This Row],[VEHICULOS_ACCIDENTADOS]:[VEHICULOS_ACCIDENTADOS2]],"BUSETA")</f>
        <v>0</v>
      </c>
      <c r="Z393" s="36">
        <f>COUNTIF(Tabla1[[#This Row],[VEHICULOS_ACCIDENTADOS]:[VEHICULOS_ACCIDENTADOS2]],"CAMION")</f>
        <v>0</v>
      </c>
      <c r="AA393" s="36">
        <f>COUNTIF(Tabla1[[#This Row],[VEHICULOS_ACCIDENTADOS]:[VEHICULOS_ACCIDENTADOS2]],"TRACTOCAMION")</f>
        <v>0</v>
      </c>
      <c r="AB393" s="36">
        <f>COUNTIF(Tabla1[[#This Row],[VEHICULOS_ACCIDENTADOS]:[VEHICULOS_ACCIDENTADOS2]],"VOLQUETA")</f>
        <v>0</v>
      </c>
      <c r="AC393" s="36">
        <f>COUNTIF(Tabla1[[#This Row],[VEHICULOS_ACCIDENTADOS]:[VEHICULOS_ACCIDENTADOS2]],"BICICLETA")</f>
        <v>0</v>
      </c>
      <c r="AD393" s="56" t="s">
        <v>471</v>
      </c>
      <c r="AE393" s="56" t="s">
        <v>471</v>
      </c>
      <c r="AF393" s="56">
        <f>COUNTIF(Tabla1[[#This Row],[GENERO_MASCULINO]:[GENERO_FEMENINO]],"MASCULINO")</f>
        <v>2</v>
      </c>
      <c r="AG393" s="36">
        <f>COUNTIF(Tabla1[[#This Row],[GENERO_MASCULINO]:[GENERO_FEMENINO]],"FEMENINO")</f>
        <v>0</v>
      </c>
      <c r="AH393" s="85">
        <v>64</v>
      </c>
      <c r="AI393" s="85">
        <v>29</v>
      </c>
      <c r="AJ393" s="85">
        <v>32</v>
      </c>
      <c r="AK393" s="85"/>
      <c r="AL393" s="78"/>
      <c r="AM393" s="59"/>
      <c r="AN393" s="85">
        <v>112</v>
      </c>
      <c r="AO393" s="36" t="str">
        <f>IFERROR(((VLOOKUP(Tabla1[[#This Row],[HIPOTESIS_1]],listas!$D$1:$E$105,2,FALSE))),"SIN INFORMACIÓN")</f>
        <v>Desobedecer señales o normas de tránsito.</v>
      </c>
      <c r="AP393" s="36">
        <v>114</v>
      </c>
      <c r="AQ393" s="36" t="str">
        <f>IFERROR(((VLOOKUP(Tabla1[[#This Row],[HIPOTESIS_2]],listas!$D$1:$E$105,2,FALSE))),"")</f>
        <v>Embriaguez aparente.</v>
      </c>
      <c r="AR393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394" spans="1:44" x14ac:dyDescent="0.25">
      <c r="A394" s="12">
        <v>74</v>
      </c>
      <c r="B394" s="36">
        <v>1</v>
      </c>
      <c r="C394" s="36">
        <v>0</v>
      </c>
      <c r="D394" s="60">
        <v>0</v>
      </c>
      <c r="E394" s="18" t="str">
        <f t="shared" si="24"/>
        <v>SOLO DAÑO</v>
      </c>
      <c r="F394" s="29" t="s">
        <v>1060</v>
      </c>
      <c r="G394" s="17">
        <v>5.3458030000000001</v>
      </c>
      <c r="H394" s="17">
        <v>-72.401646</v>
      </c>
      <c r="I394" s="93" t="s">
        <v>697</v>
      </c>
      <c r="J394" s="36" t="s">
        <v>717</v>
      </c>
      <c r="K394" s="24" t="str">
        <f t="shared" si="25"/>
        <v>2022</v>
      </c>
      <c r="L394" s="24" t="str">
        <f t="shared" si="26"/>
        <v>MARZO</v>
      </c>
      <c r="M394" s="225">
        <v>44624</v>
      </c>
      <c r="N394" s="24" t="str">
        <f t="shared" si="27"/>
        <v>VIERNES</v>
      </c>
      <c r="O394" s="103">
        <v>0.60416666666666696</v>
      </c>
      <c r="P394" s="63" t="s">
        <v>469</v>
      </c>
      <c r="Q394" s="63" t="s">
        <v>445</v>
      </c>
      <c r="R394" s="36">
        <f>COUNTIF(Tabla1[[#This Row],[VEHICULOS_ACCIDENTADOS]:[VEHICULOS_ACCIDENTADOS2]],"MOTOCICLETA")</f>
        <v>1</v>
      </c>
      <c r="S394" s="36">
        <f>COUNTIF(Tabla1[[#This Row],[VEHICULOS_ACCIDENTADOS]:[VEHICULOS_ACCIDENTADOS2]],"MOTOCARRO")</f>
        <v>0</v>
      </c>
      <c r="T394" s="36">
        <f>COUNTIF(Tabla1[[#This Row],[VEHICULOS_ACCIDENTADOS]:[VEHICULOS_ACCIDENTADOS2]],"AUTOMOVIL")</f>
        <v>0</v>
      </c>
      <c r="U394" s="36">
        <f>COUNTIF(Tabla1[[#This Row],[VEHICULOS_ACCIDENTADOS]:[VEHICULOS_ACCIDENTADOS2]],"CAMPERO")</f>
        <v>0</v>
      </c>
      <c r="V394" s="36">
        <f>COUNTIF(Tabla1[[#This Row],[VEHICULOS_ACCIDENTADOS]:[VEHICULOS_ACCIDENTADOS2]],"CAMIONETA")</f>
        <v>1</v>
      </c>
      <c r="W394" s="36">
        <f>COUNTIF(Tabla1[[#This Row],[VEHICULOS_ACCIDENTADOS]:[VEHICULOS_ACCIDENTADOS2]],"MICROBUS")</f>
        <v>0</v>
      </c>
      <c r="X394" s="36">
        <f>COUNTIF(Tabla1[[#This Row],[VEHICULOS_ACCIDENTADOS]:[VEHICULOS_ACCIDENTADOS2]],"BUS")</f>
        <v>0</v>
      </c>
      <c r="Y394" s="36">
        <f>COUNTIF(Tabla1[[#This Row],[VEHICULOS_ACCIDENTADOS]:[VEHICULOS_ACCIDENTADOS2]],"BUSETA")</f>
        <v>0</v>
      </c>
      <c r="Z394" s="36">
        <f>COUNTIF(Tabla1[[#This Row],[VEHICULOS_ACCIDENTADOS]:[VEHICULOS_ACCIDENTADOS2]],"CAMION")</f>
        <v>0</v>
      </c>
      <c r="AA394" s="36">
        <f>COUNTIF(Tabla1[[#This Row],[VEHICULOS_ACCIDENTADOS]:[VEHICULOS_ACCIDENTADOS2]],"TRACTOCAMION")</f>
        <v>0</v>
      </c>
      <c r="AB394" s="36">
        <f>COUNTIF(Tabla1[[#This Row],[VEHICULOS_ACCIDENTADOS]:[VEHICULOS_ACCIDENTADOS2]],"VOLQUETA")</f>
        <v>0</v>
      </c>
      <c r="AC394" s="36">
        <f>COUNTIF(Tabla1[[#This Row],[VEHICULOS_ACCIDENTADOS]:[VEHICULOS_ACCIDENTADOS2]],"BICICLETA")</f>
        <v>0</v>
      </c>
      <c r="AD394" s="56"/>
      <c r="AE394" s="56" t="s">
        <v>472</v>
      </c>
      <c r="AF394" s="56">
        <f>COUNTIF(Tabla1[[#This Row],[GENERO_MASCULINO]:[GENERO_FEMENINO]],"MASCULINO")</f>
        <v>0</v>
      </c>
      <c r="AG394" s="36">
        <f>COUNTIF(Tabla1[[#This Row],[GENERO_MASCULINO]:[GENERO_FEMENINO]],"FEMENINO")</f>
        <v>1</v>
      </c>
      <c r="AH394" s="61"/>
      <c r="AI394" s="61"/>
      <c r="AJ394" s="61"/>
      <c r="AK394" s="61"/>
      <c r="AL394" s="61"/>
      <c r="AM394" s="36"/>
      <c r="AN394" s="61">
        <v>139</v>
      </c>
      <c r="AO394" s="36" t="str">
        <f>IFERROR(((VLOOKUP(Tabla1[[#This Row],[HIPOTESIS_1]],listas!$D$1:$E$105,2,FALSE))),"SIN INFORMACIÓN")</f>
        <v>Impericia en el manejo.</v>
      </c>
      <c r="AP394" s="36">
        <v>114</v>
      </c>
      <c r="AQ394" s="36" t="str">
        <f>IFERROR(((VLOOKUP(Tabla1[[#This Row],[HIPOTESIS_2]],listas!$D$1:$E$105,2,FALSE))),"")</f>
        <v>Embriaguez aparente.</v>
      </c>
      <c r="AR394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395" spans="1:44" x14ac:dyDescent="0.25">
      <c r="A395" s="12">
        <v>504</v>
      </c>
      <c r="B395" s="36">
        <v>0</v>
      </c>
      <c r="C395" s="36">
        <v>0</v>
      </c>
      <c r="D395" s="60">
        <v>1</v>
      </c>
      <c r="E395" s="18" t="str">
        <f t="shared" si="24"/>
        <v>FALLECIDO</v>
      </c>
      <c r="F395" s="29" t="s">
        <v>908</v>
      </c>
      <c r="G395" s="21">
        <v>5.3372399999999995</v>
      </c>
      <c r="H395" s="21">
        <v>-72.395954722222228</v>
      </c>
      <c r="I395" s="93" t="s">
        <v>697</v>
      </c>
      <c r="J395" s="36" t="s">
        <v>717</v>
      </c>
      <c r="K395" s="24" t="str">
        <f t="shared" si="25"/>
        <v>2023</v>
      </c>
      <c r="L395" s="24" t="str">
        <f t="shared" si="26"/>
        <v>JUNIO</v>
      </c>
      <c r="M395" s="225">
        <v>45088</v>
      </c>
      <c r="N395" s="24" t="str">
        <f t="shared" si="27"/>
        <v>DOMINGO</v>
      </c>
      <c r="O395" s="103">
        <v>0.32083333333333336</v>
      </c>
      <c r="P395" s="57" t="s">
        <v>469</v>
      </c>
      <c r="Q395" s="57"/>
      <c r="R395" s="36">
        <f>COUNTIF(Tabla1[[#This Row],[VEHICULOS_ACCIDENTADOS]:[VEHICULOS_ACCIDENTADOS2]],"MOTOCICLETA")</f>
        <v>1</v>
      </c>
      <c r="S395" s="36">
        <f>COUNTIF(Tabla1[[#This Row],[VEHICULOS_ACCIDENTADOS]:[VEHICULOS_ACCIDENTADOS2]],"MOTOCARRO")</f>
        <v>0</v>
      </c>
      <c r="T395" s="36">
        <f>COUNTIF(Tabla1[[#This Row],[VEHICULOS_ACCIDENTADOS]:[VEHICULOS_ACCIDENTADOS2]],"AUTOMOVIL")</f>
        <v>0</v>
      </c>
      <c r="U395" s="36">
        <f>COUNTIF(Tabla1[[#This Row],[VEHICULOS_ACCIDENTADOS]:[VEHICULOS_ACCIDENTADOS2]],"CAMPERO")</f>
        <v>0</v>
      </c>
      <c r="V395" s="36">
        <f>COUNTIF(Tabla1[[#This Row],[VEHICULOS_ACCIDENTADOS]:[VEHICULOS_ACCIDENTADOS2]],"CAMIONETA")</f>
        <v>0</v>
      </c>
      <c r="W395" s="36">
        <f>COUNTIF(Tabla1[[#This Row],[VEHICULOS_ACCIDENTADOS]:[VEHICULOS_ACCIDENTADOS2]],"MICROBUS")</f>
        <v>0</v>
      </c>
      <c r="X395" s="36">
        <f>COUNTIF(Tabla1[[#This Row],[VEHICULOS_ACCIDENTADOS]:[VEHICULOS_ACCIDENTADOS2]],"BUS")</f>
        <v>0</v>
      </c>
      <c r="Y395" s="36">
        <f>COUNTIF(Tabla1[[#This Row],[VEHICULOS_ACCIDENTADOS]:[VEHICULOS_ACCIDENTADOS2]],"BUSETA")</f>
        <v>0</v>
      </c>
      <c r="Z395" s="36">
        <f>COUNTIF(Tabla1[[#This Row],[VEHICULOS_ACCIDENTADOS]:[VEHICULOS_ACCIDENTADOS2]],"CAMION")</f>
        <v>0</v>
      </c>
      <c r="AA395" s="36">
        <f>COUNTIF(Tabla1[[#This Row],[VEHICULOS_ACCIDENTADOS]:[VEHICULOS_ACCIDENTADOS2]],"TRACTOCAMION")</f>
        <v>0</v>
      </c>
      <c r="AB395" s="36">
        <f>COUNTIF(Tabla1[[#This Row],[VEHICULOS_ACCIDENTADOS]:[VEHICULOS_ACCIDENTADOS2]],"VOLQUETA")</f>
        <v>0</v>
      </c>
      <c r="AC395" s="36">
        <f>COUNTIF(Tabla1[[#This Row],[VEHICULOS_ACCIDENTADOS]:[VEHICULOS_ACCIDENTADOS2]],"BICICLETA")</f>
        <v>0</v>
      </c>
      <c r="AD395" s="56" t="s">
        <v>471</v>
      </c>
      <c r="AE395" s="56"/>
      <c r="AF395" s="56">
        <f>COUNTIF(Tabla1[[#This Row],[GENERO_MASCULINO]:[GENERO_FEMENINO]],"MASCULINO")</f>
        <v>1</v>
      </c>
      <c r="AG395" s="36">
        <f>COUNTIF(Tabla1[[#This Row],[GENERO_MASCULINO]:[GENERO_FEMENINO]],"FEMENINO")</f>
        <v>0</v>
      </c>
      <c r="AH395" s="61"/>
      <c r="AI395" s="61"/>
      <c r="AJ395" s="61"/>
      <c r="AK395" s="61"/>
      <c r="AL395" s="61"/>
      <c r="AM395" s="36">
        <v>24</v>
      </c>
      <c r="AN395" s="61">
        <v>139</v>
      </c>
      <c r="AO395" s="36" t="str">
        <f>IFERROR(((VLOOKUP(Tabla1[[#This Row],[HIPOTESIS_1]],listas!$D$1:$E$105,2,FALSE))),"SIN INFORMACIÓN")</f>
        <v>Impericia en el manejo.</v>
      </c>
      <c r="AP395" s="36">
        <v>114</v>
      </c>
      <c r="AQ395" s="36" t="str">
        <f>IFERROR(((VLOOKUP(Tabla1[[#This Row],[HIPOTESIS_2]],listas!$D$1:$E$105,2,FALSE))),"")</f>
        <v>Embriaguez aparente.</v>
      </c>
      <c r="AR395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396" spans="1:44" x14ac:dyDescent="0.25">
      <c r="A396" s="12">
        <v>510</v>
      </c>
      <c r="B396" s="36">
        <v>0</v>
      </c>
      <c r="C396" s="36">
        <v>0</v>
      </c>
      <c r="D396" s="60">
        <v>1</v>
      </c>
      <c r="E396" s="18" t="str">
        <f t="shared" si="24"/>
        <v>FALLECIDO</v>
      </c>
      <c r="F396" s="29" t="s">
        <v>910</v>
      </c>
      <c r="G396" s="21">
        <v>5.3330124999999997</v>
      </c>
      <c r="H396" s="21">
        <v>-72.393681944444452</v>
      </c>
      <c r="I396" s="93" t="s">
        <v>697</v>
      </c>
      <c r="J396" s="36" t="s">
        <v>717</v>
      </c>
      <c r="K396" s="24" t="str">
        <f t="shared" si="25"/>
        <v>2023</v>
      </c>
      <c r="L396" s="24" t="str">
        <f t="shared" si="26"/>
        <v>JUNIO</v>
      </c>
      <c r="M396" s="225">
        <v>45094</v>
      </c>
      <c r="N396" s="24" t="str">
        <f t="shared" si="27"/>
        <v>SÁBADO</v>
      </c>
      <c r="O396" s="103">
        <v>0.80555555555555547</v>
      </c>
      <c r="P396" s="57" t="s">
        <v>469</v>
      </c>
      <c r="Q396" s="57"/>
      <c r="R396" s="36">
        <f>COUNTIF(Tabla1[[#This Row],[VEHICULOS_ACCIDENTADOS]:[VEHICULOS_ACCIDENTADOS2]],"MOTOCICLETA")</f>
        <v>1</v>
      </c>
      <c r="S396" s="36">
        <f>COUNTIF(Tabla1[[#This Row],[VEHICULOS_ACCIDENTADOS]:[VEHICULOS_ACCIDENTADOS2]],"MOTOCARRO")</f>
        <v>0</v>
      </c>
      <c r="T396" s="36">
        <f>COUNTIF(Tabla1[[#This Row],[VEHICULOS_ACCIDENTADOS]:[VEHICULOS_ACCIDENTADOS2]],"AUTOMOVIL")</f>
        <v>0</v>
      </c>
      <c r="U396" s="36">
        <f>COUNTIF(Tabla1[[#This Row],[VEHICULOS_ACCIDENTADOS]:[VEHICULOS_ACCIDENTADOS2]],"CAMPERO")</f>
        <v>0</v>
      </c>
      <c r="V396" s="36">
        <f>COUNTIF(Tabla1[[#This Row],[VEHICULOS_ACCIDENTADOS]:[VEHICULOS_ACCIDENTADOS2]],"CAMIONETA")</f>
        <v>0</v>
      </c>
      <c r="W396" s="36">
        <f>COUNTIF(Tabla1[[#This Row],[VEHICULOS_ACCIDENTADOS]:[VEHICULOS_ACCIDENTADOS2]],"MICROBUS")</f>
        <v>0</v>
      </c>
      <c r="X396" s="36">
        <f>COUNTIF(Tabla1[[#This Row],[VEHICULOS_ACCIDENTADOS]:[VEHICULOS_ACCIDENTADOS2]],"BUS")</f>
        <v>0</v>
      </c>
      <c r="Y396" s="36">
        <f>COUNTIF(Tabla1[[#This Row],[VEHICULOS_ACCIDENTADOS]:[VEHICULOS_ACCIDENTADOS2]],"BUSETA")</f>
        <v>0</v>
      </c>
      <c r="Z396" s="36">
        <f>COUNTIF(Tabla1[[#This Row],[VEHICULOS_ACCIDENTADOS]:[VEHICULOS_ACCIDENTADOS2]],"CAMION")</f>
        <v>0</v>
      </c>
      <c r="AA396" s="36">
        <f>COUNTIF(Tabla1[[#This Row],[VEHICULOS_ACCIDENTADOS]:[VEHICULOS_ACCIDENTADOS2]],"TRACTOCAMION")</f>
        <v>0</v>
      </c>
      <c r="AB396" s="36">
        <f>COUNTIF(Tabla1[[#This Row],[VEHICULOS_ACCIDENTADOS]:[VEHICULOS_ACCIDENTADOS2]],"VOLQUETA")</f>
        <v>0</v>
      </c>
      <c r="AC396" s="36">
        <f>COUNTIF(Tabla1[[#This Row],[VEHICULOS_ACCIDENTADOS]:[VEHICULOS_ACCIDENTADOS2]],"BICICLETA")</f>
        <v>0</v>
      </c>
      <c r="AD396" s="56" t="s">
        <v>471</v>
      </c>
      <c r="AE396" s="56"/>
      <c r="AF396" s="56">
        <f>COUNTIF(Tabla1[[#This Row],[GENERO_MASCULINO]:[GENERO_FEMENINO]],"MASCULINO")</f>
        <v>1</v>
      </c>
      <c r="AG396" s="36">
        <f>COUNTIF(Tabla1[[#This Row],[GENERO_MASCULINO]:[GENERO_FEMENINO]],"FEMENINO")</f>
        <v>0</v>
      </c>
      <c r="AH396" s="61"/>
      <c r="AI396" s="61"/>
      <c r="AJ396" s="61"/>
      <c r="AK396" s="61"/>
      <c r="AL396" s="61"/>
      <c r="AM396" s="36">
        <v>75</v>
      </c>
      <c r="AN396" s="61">
        <v>116</v>
      </c>
      <c r="AO396" s="36" t="str">
        <f>IFERROR(((VLOOKUP(Tabla1[[#This Row],[HIPOTESIS_1]],listas!$D$1:$E$105,2,FALSE))),"SIN INFORMACIÓN")</f>
        <v>Exceso de velocidad</v>
      </c>
      <c r="AP396" s="36">
        <v>114</v>
      </c>
      <c r="AQ396" s="36" t="str">
        <f>IFERROR(((VLOOKUP(Tabla1[[#This Row],[HIPOTESIS_2]],listas!$D$1:$E$105,2,FALSE))),"")</f>
        <v>Embriaguez aparente.</v>
      </c>
      <c r="AR396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397" spans="1:44" x14ac:dyDescent="0.25">
      <c r="A397" s="12">
        <v>443</v>
      </c>
      <c r="B397" s="36">
        <v>0</v>
      </c>
      <c r="C397" s="36">
        <v>0</v>
      </c>
      <c r="D397" s="60">
        <v>1</v>
      </c>
      <c r="E397" s="18" t="str">
        <f t="shared" si="24"/>
        <v>FALLECIDO</v>
      </c>
      <c r="F397" s="29" t="s">
        <v>1111</v>
      </c>
      <c r="G397" s="17">
        <v>5.3336027777777772</v>
      </c>
      <c r="H397" s="17">
        <v>-72.393975000000012</v>
      </c>
      <c r="I397" s="93" t="s">
        <v>697</v>
      </c>
      <c r="J397" s="36" t="s">
        <v>717</v>
      </c>
      <c r="K397" s="24" t="str">
        <f t="shared" si="25"/>
        <v>2023</v>
      </c>
      <c r="L397" s="24" t="str">
        <f t="shared" si="26"/>
        <v>ABRIL</v>
      </c>
      <c r="M397" s="225">
        <v>45018</v>
      </c>
      <c r="N397" s="24" t="str">
        <f t="shared" si="27"/>
        <v>DOMINGO</v>
      </c>
      <c r="O397" s="103">
        <v>0.20833333333333334</v>
      </c>
      <c r="P397" s="57" t="s">
        <v>469</v>
      </c>
      <c r="Q397" s="57"/>
      <c r="R397" s="36">
        <f>COUNTIF(Tabla1[[#This Row],[VEHICULOS_ACCIDENTADOS]:[VEHICULOS_ACCIDENTADOS2]],"MOTOCICLETA")</f>
        <v>1</v>
      </c>
      <c r="S397" s="36">
        <f>COUNTIF(Tabla1[[#This Row],[VEHICULOS_ACCIDENTADOS]:[VEHICULOS_ACCIDENTADOS2]],"MOTOCARRO")</f>
        <v>0</v>
      </c>
      <c r="T397" s="36">
        <f>COUNTIF(Tabla1[[#This Row],[VEHICULOS_ACCIDENTADOS]:[VEHICULOS_ACCIDENTADOS2]],"AUTOMOVIL")</f>
        <v>0</v>
      </c>
      <c r="U397" s="36">
        <f>COUNTIF(Tabla1[[#This Row],[VEHICULOS_ACCIDENTADOS]:[VEHICULOS_ACCIDENTADOS2]],"CAMPERO")</f>
        <v>0</v>
      </c>
      <c r="V397" s="36">
        <f>COUNTIF(Tabla1[[#This Row],[VEHICULOS_ACCIDENTADOS]:[VEHICULOS_ACCIDENTADOS2]],"CAMIONETA")</f>
        <v>0</v>
      </c>
      <c r="W397" s="36">
        <f>COUNTIF(Tabla1[[#This Row],[VEHICULOS_ACCIDENTADOS]:[VEHICULOS_ACCIDENTADOS2]],"MICROBUS")</f>
        <v>0</v>
      </c>
      <c r="X397" s="36">
        <f>COUNTIF(Tabla1[[#This Row],[VEHICULOS_ACCIDENTADOS]:[VEHICULOS_ACCIDENTADOS2]],"BUS")</f>
        <v>0</v>
      </c>
      <c r="Y397" s="36">
        <f>COUNTIF(Tabla1[[#This Row],[VEHICULOS_ACCIDENTADOS]:[VEHICULOS_ACCIDENTADOS2]],"BUSETA")</f>
        <v>0</v>
      </c>
      <c r="Z397" s="36">
        <f>COUNTIF(Tabla1[[#This Row],[VEHICULOS_ACCIDENTADOS]:[VEHICULOS_ACCIDENTADOS2]],"CAMION")</f>
        <v>0</v>
      </c>
      <c r="AA397" s="36">
        <f>COUNTIF(Tabla1[[#This Row],[VEHICULOS_ACCIDENTADOS]:[VEHICULOS_ACCIDENTADOS2]],"TRACTOCAMION")</f>
        <v>0</v>
      </c>
      <c r="AB397" s="36">
        <f>COUNTIF(Tabla1[[#This Row],[VEHICULOS_ACCIDENTADOS]:[VEHICULOS_ACCIDENTADOS2]],"VOLQUETA")</f>
        <v>0</v>
      </c>
      <c r="AC397" s="36">
        <f>COUNTIF(Tabla1[[#This Row],[VEHICULOS_ACCIDENTADOS]:[VEHICULOS_ACCIDENTADOS2]],"BICICLETA")</f>
        <v>0</v>
      </c>
      <c r="AD397" s="56" t="s">
        <v>471</v>
      </c>
      <c r="AE397" s="56"/>
      <c r="AF397" s="56">
        <f>COUNTIF(Tabla1[[#This Row],[GENERO_MASCULINO]:[GENERO_FEMENINO]],"MASCULINO")</f>
        <v>1</v>
      </c>
      <c r="AG397" s="36">
        <f>COUNTIF(Tabla1[[#This Row],[GENERO_MASCULINO]:[GENERO_FEMENINO]],"FEMENINO")</f>
        <v>0</v>
      </c>
      <c r="AH397" s="61"/>
      <c r="AI397" s="83"/>
      <c r="AJ397" s="83"/>
      <c r="AK397" s="61"/>
      <c r="AL397" s="61"/>
      <c r="AM397" s="36">
        <v>35</v>
      </c>
      <c r="AN397" s="61">
        <v>116</v>
      </c>
      <c r="AO397" s="36" t="str">
        <f>IFERROR(((VLOOKUP(Tabla1[[#This Row],[HIPOTESIS_1]],listas!$D$1:$E$105,2,FALSE))),"SIN INFORMACIÓN")</f>
        <v>Exceso de velocidad</v>
      </c>
      <c r="AP397" s="36">
        <v>114</v>
      </c>
      <c r="AQ397" s="36" t="str">
        <f>IFERROR(((VLOOKUP(Tabla1[[#This Row],[HIPOTESIS_2]],listas!$D$1:$E$105,2,FALSE))),"")</f>
        <v>Embriaguez aparente.</v>
      </c>
      <c r="AR397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398" spans="1:44" x14ac:dyDescent="0.25">
      <c r="A398" s="12">
        <v>553</v>
      </c>
      <c r="B398" s="36">
        <v>1</v>
      </c>
      <c r="C398" s="36">
        <v>0</v>
      </c>
      <c r="D398" s="60">
        <v>0</v>
      </c>
      <c r="E398" s="18" t="str">
        <f t="shared" si="24"/>
        <v>SOLO DAÑO</v>
      </c>
      <c r="F398" s="29" t="s">
        <v>920</v>
      </c>
      <c r="G398" s="21">
        <v>5.3417427777777773</v>
      </c>
      <c r="H398" s="21">
        <v>-72.397216666666679</v>
      </c>
      <c r="I398" s="93" t="s">
        <v>697</v>
      </c>
      <c r="J398" s="36" t="s">
        <v>717</v>
      </c>
      <c r="K398" s="24" t="str">
        <f t="shared" si="25"/>
        <v>2023</v>
      </c>
      <c r="L398" s="24" t="str">
        <f t="shared" si="26"/>
        <v>SEPTIEMBRE</v>
      </c>
      <c r="M398" s="225">
        <v>45177</v>
      </c>
      <c r="N398" s="24" t="str">
        <f t="shared" si="27"/>
        <v>VIERNES</v>
      </c>
      <c r="O398" s="103">
        <v>0.375</v>
      </c>
      <c r="P398" s="57" t="s">
        <v>469</v>
      </c>
      <c r="Q398" s="57" t="s">
        <v>447</v>
      </c>
      <c r="R398" s="36">
        <f>COUNTIF(Tabla1[[#This Row],[VEHICULOS_ACCIDENTADOS]:[VEHICULOS_ACCIDENTADOS2]],"MOTOCICLETA")</f>
        <v>1</v>
      </c>
      <c r="S398" s="36">
        <f>COUNTIF(Tabla1[[#This Row],[VEHICULOS_ACCIDENTADOS]:[VEHICULOS_ACCIDENTADOS2]],"MOTOCARRO")</f>
        <v>0</v>
      </c>
      <c r="T398" s="36">
        <f>COUNTIF(Tabla1[[#This Row],[VEHICULOS_ACCIDENTADOS]:[VEHICULOS_ACCIDENTADOS2]],"AUTOMOVIL")</f>
        <v>1</v>
      </c>
      <c r="U398" s="36">
        <f>COUNTIF(Tabla1[[#This Row],[VEHICULOS_ACCIDENTADOS]:[VEHICULOS_ACCIDENTADOS2]],"CAMPERO")</f>
        <v>0</v>
      </c>
      <c r="V398" s="36">
        <f>COUNTIF(Tabla1[[#This Row],[VEHICULOS_ACCIDENTADOS]:[VEHICULOS_ACCIDENTADOS2]],"CAMIONETA")</f>
        <v>0</v>
      </c>
      <c r="W398" s="36">
        <f>COUNTIF(Tabla1[[#This Row],[VEHICULOS_ACCIDENTADOS]:[VEHICULOS_ACCIDENTADOS2]],"MICROBUS")</f>
        <v>0</v>
      </c>
      <c r="X398" s="36">
        <f>COUNTIF(Tabla1[[#This Row],[VEHICULOS_ACCIDENTADOS]:[VEHICULOS_ACCIDENTADOS2]],"BUS")</f>
        <v>0</v>
      </c>
      <c r="Y398" s="36">
        <f>COUNTIF(Tabla1[[#This Row],[VEHICULOS_ACCIDENTADOS]:[VEHICULOS_ACCIDENTADOS2]],"BUSETA")</f>
        <v>0</v>
      </c>
      <c r="Z398" s="36">
        <f>COUNTIF(Tabla1[[#This Row],[VEHICULOS_ACCIDENTADOS]:[VEHICULOS_ACCIDENTADOS2]],"CAMION")</f>
        <v>0</v>
      </c>
      <c r="AA398" s="36">
        <f>COUNTIF(Tabla1[[#This Row],[VEHICULOS_ACCIDENTADOS]:[VEHICULOS_ACCIDENTADOS2]],"TRACTOCAMION")</f>
        <v>0</v>
      </c>
      <c r="AB398" s="36">
        <f>COUNTIF(Tabla1[[#This Row],[VEHICULOS_ACCIDENTADOS]:[VEHICULOS_ACCIDENTADOS2]],"VOLQUETA")</f>
        <v>0</v>
      </c>
      <c r="AC398" s="36">
        <f>COUNTIF(Tabla1[[#This Row],[VEHICULOS_ACCIDENTADOS]:[VEHICULOS_ACCIDENTADOS2]],"BICICLETA")</f>
        <v>0</v>
      </c>
      <c r="AD398" s="56" t="s">
        <v>471</v>
      </c>
      <c r="AE398" s="56"/>
      <c r="AF398" s="56">
        <f>COUNTIF(Tabla1[[#This Row],[GENERO_MASCULINO]:[GENERO_FEMENINO]],"MASCULINO")</f>
        <v>1</v>
      </c>
      <c r="AG398" s="36">
        <f>COUNTIF(Tabla1[[#This Row],[GENERO_MASCULINO]:[GENERO_FEMENINO]],"FEMENINO")</f>
        <v>0</v>
      </c>
      <c r="AH398" s="61"/>
      <c r="AI398" s="61"/>
      <c r="AJ398" s="61"/>
      <c r="AK398" s="61"/>
      <c r="AL398" s="61"/>
      <c r="AM398" s="36"/>
      <c r="AN398" s="61">
        <v>139</v>
      </c>
      <c r="AO398" s="36" t="str">
        <f>IFERROR(((VLOOKUP(Tabla1[[#This Row],[HIPOTESIS_1]],listas!$D$1:$E$105,2,FALSE))),"SIN INFORMACIÓN")</f>
        <v>Impericia en el manejo.</v>
      </c>
      <c r="AP398" s="36">
        <v>114</v>
      </c>
      <c r="AQ398" s="36" t="str">
        <f>IFERROR(((VLOOKUP(Tabla1[[#This Row],[HIPOTESIS_2]],listas!$D$1:$E$105,2,FALSE))),"")</f>
        <v>Embriaguez aparente.</v>
      </c>
      <c r="AR398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399" spans="1:44" x14ac:dyDescent="0.25">
      <c r="A399" s="12">
        <v>253</v>
      </c>
      <c r="B399" s="36">
        <v>0</v>
      </c>
      <c r="C399" s="36">
        <v>1</v>
      </c>
      <c r="D399" s="60">
        <v>0</v>
      </c>
      <c r="E399" s="18" t="str">
        <f t="shared" si="24"/>
        <v>LESIONADO</v>
      </c>
      <c r="F399" s="29" t="s">
        <v>1120</v>
      </c>
      <c r="G399" s="17">
        <v>5.3333416666666666</v>
      </c>
      <c r="H399" s="17">
        <v>-72.392600000000002</v>
      </c>
      <c r="I399" s="93" t="s">
        <v>697</v>
      </c>
      <c r="J399" s="36" t="s">
        <v>717</v>
      </c>
      <c r="K399" s="24" t="str">
        <f t="shared" si="25"/>
        <v>2022</v>
      </c>
      <c r="L399" s="24" t="str">
        <f t="shared" si="26"/>
        <v>JULIO</v>
      </c>
      <c r="M399" s="225">
        <v>44758</v>
      </c>
      <c r="N399" s="24" t="str">
        <f t="shared" si="27"/>
        <v>SÁBADO</v>
      </c>
      <c r="O399" s="170">
        <v>0.43055555555555602</v>
      </c>
      <c r="P399" s="53" t="s">
        <v>469</v>
      </c>
      <c r="Q399" s="53" t="s">
        <v>441</v>
      </c>
      <c r="R399" s="36">
        <f>COUNTIF(Tabla1[[#This Row],[VEHICULOS_ACCIDENTADOS]:[VEHICULOS_ACCIDENTADOS2]],"MOTOCICLETA")</f>
        <v>1</v>
      </c>
      <c r="S399" s="36">
        <f>COUNTIF(Tabla1[[#This Row],[VEHICULOS_ACCIDENTADOS]:[VEHICULOS_ACCIDENTADOS2]],"MOTOCARRO")</f>
        <v>0</v>
      </c>
      <c r="T399" s="36">
        <f>COUNTIF(Tabla1[[#This Row],[VEHICULOS_ACCIDENTADOS]:[VEHICULOS_ACCIDENTADOS2]],"AUTOMOVIL")</f>
        <v>0</v>
      </c>
      <c r="U399" s="36">
        <f>COUNTIF(Tabla1[[#This Row],[VEHICULOS_ACCIDENTADOS]:[VEHICULOS_ACCIDENTADOS2]],"CAMPERO")</f>
        <v>0</v>
      </c>
      <c r="V399" s="36">
        <f>COUNTIF(Tabla1[[#This Row],[VEHICULOS_ACCIDENTADOS]:[VEHICULOS_ACCIDENTADOS2]],"CAMIONETA")</f>
        <v>0</v>
      </c>
      <c r="W399" s="36">
        <f>COUNTIF(Tabla1[[#This Row],[VEHICULOS_ACCIDENTADOS]:[VEHICULOS_ACCIDENTADOS2]],"MICROBUS")</f>
        <v>0</v>
      </c>
      <c r="X399" s="36">
        <f>COUNTIF(Tabla1[[#This Row],[VEHICULOS_ACCIDENTADOS]:[VEHICULOS_ACCIDENTADOS2]],"BUS")</f>
        <v>0</v>
      </c>
      <c r="Y399" s="36">
        <f>COUNTIF(Tabla1[[#This Row],[VEHICULOS_ACCIDENTADOS]:[VEHICULOS_ACCIDENTADOS2]],"BUSETA")</f>
        <v>0</v>
      </c>
      <c r="Z399" s="36">
        <f>COUNTIF(Tabla1[[#This Row],[VEHICULOS_ACCIDENTADOS]:[VEHICULOS_ACCIDENTADOS2]],"CAMION")</f>
        <v>1</v>
      </c>
      <c r="AA399" s="36">
        <f>COUNTIF(Tabla1[[#This Row],[VEHICULOS_ACCIDENTADOS]:[VEHICULOS_ACCIDENTADOS2]],"TRACTOCAMION")</f>
        <v>0</v>
      </c>
      <c r="AB399" s="36">
        <f>COUNTIF(Tabla1[[#This Row],[VEHICULOS_ACCIDENTADOS]:[VEHICULOS_ACCIDENTADOS2]],"VOLQUETA")</f>
        <v>0</v>
      </c>
      <c r="AC399" s="36">
        <f>COUNTIF(Tabla1[[#This Row],[VEHICULOS_ACCIDENTADOS]:[VEHICULOS_ACCIDENTADOS2]],"BICICLETA")</f>
        <v>0</v>
      </c>
      <c r="AD399" s="56" t="s">
        <v>471</v>
      </c>
      <c r="AE399" s="56"/>
      <c r="AF399" s="56">
        <f>COUNTIF(Tabla1[[#This Row],[GENERO_MASCULINO]:[GENERO_FEMENINO]],"MASCULINO")</f>
        <v>1</v>
      </c>
      <c r="AG399" s="36">
        <f>COUNTIF(Tabla1[[#This Row],[GENERO_MASCULINO]:[GENERO_FEMENINO]],"FEMENINO")</f>
        <v>0</v>
      </c>
      <c r="AH399" s="61">
        <v>45</v>
      </c>
      <c r="AI399" s="61"/>
      <c r="AJ399" s="78"/>
      <c r="AK399" s="61"/>
      <c r="AL399" s="61"/>
      <c r="AM399" s="36"/>
      <c r="AN399" s="61">
        <v>139</v>
      </c>
      <c r="AO399" s="36" t="str">
        <f>IFERROR(((VLOOKUP(Tabla1[[#This Row],[HIPOTESIS_1]],listas!$D$1:$E$105,2,FALSE))),"SIN INFORMACIÓN")</f>
        <v>Impericia en el manejo.</v>
      </c>
      <c r="AP399" s="36">
        <v>114</v>
      </c>
      <c r="AQ399" s="36" t="str">
        <f>IFERROR(((VLOOKUP(Tabla1[[#This Row],[HIPOTESIS_2]],listas!$D$1:$E$105,2,FALSE))),"")</f>
        <v>Embriaguez aparente.</v>
      </c>
      <c r="AR399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400" spans="1:44" x14ac:dyDescent="0.25">
      <c r="A400" s="12">
        <v>163</v>
      </c>
      <c r="B400" s="36">
        <v>1</v>
      </c>
      <c r="C400" s="36">
        <v>0</v>
      </c>
      <c r="D400" s="60">
        <v>0</v>
      </c>
      <c r="E400" s="18" t="str">
        <f t="shared" si="24"/>
        <v>SOLO DAÑO</v>
      </c>
      <c r="F400" s="29" t="s">
        <v>1129</v>
      </c>
      <c r="G400" s="17">
        <v>5.3424480000000001</v>
      </c>
      <c r="H400" s="17">
        <v>-72.396553999999995</v>
      </c>
      <c r="I400" s="93" t="s">
        <v>697</v>
      </c>
      <c r="J400" s="36" t="s">
        <v>717</v>
      </c>
      <c r="K400" s="24" t="str">
        <f t="shared" si="25"/>
        <v>2022</v>
      </c>
      <c r="L400" s="24" t="str">
        <f t="shared" si="26"/>
        <v>MAYO</v>
      </c>
      <c r="M400" s="225">
        <v>44682</v>
      </c>
      <c r="N400" s="24" t="str">
        <f t="shared" si="27"/>
        <v>DOMINGO</v>
      </c>
      <c r="O400" s="103">
        <v>0.58333333333333304</v>
      </c>
      <c r="P400" s="63" t="s">
        <v>469</v>
      </c>
      <c r="Q400" s="63" t="s">
        <v>447</v>
      </c>
      <c r="R400" s="36">
        <f>COUNTIF(Tabla1[[#This Row],[VEHICULOS_ACCIDENTADOS]:[VEHICULOS_ACCIDENTADOS2]],"MOTOCICLETA")</f>
        <v>1</v>
      </c>
      <c r="S400" s="36">
        <f>COUNTIF(Tabla1[[#This Row],[VEHICULOS_ACCIDENTADOS]:[VEHICULOS_ACCIDENTADOS2]],"MOTOCARRO")</f>
        <v>0</v>
      </c>
      <c r="T400" s="36">
        <f>COUNTIF(Tabla1[[#This Row],[VEHICULOS_ACCIDENTADOS]:[VEHICULOS_ACCIDENTADOS2]],"AUTOMOVIL")</f>
        <v>1</v>
      </c>
      <c r="U400" s="36">
        <f>COUNTIF(Tabla1[[#This Row],[VEHICULOS_ACCIDENTADOS]:[VEHICULOS_ACCIDENTADOS2]],"CAMPERO")</f>
        <v>0</v>
      </c>
      <c r="V400" s="36">
        <f>COUNTIF(Tabla1[[#This Row],[VEHICULOS_ACCIDENTADOS]:[VEHICULOS_ACCIDENTADOS2]],"CAMIONETA")</f>
        <v>0</v>
      </c>
      <c r="W400" s="36">
        <f>COUNTIF(Tabla1[[#This Row],[VEHICULOS_ACCIDENTADOS]:[VEHICULOS_ACCIDENTADOS2]],"MICROBUS")</f>
        <v>0</v>
      </c>
      <c r="X400" s="36">
        <f>COUNTIF(Tabla1[[#This Row],[VEHICULOS_ACCIDENTADOS]:[VEHICULOS_ACCIDENTADOS2]],"BUS")</f>
        <v>0</v>
      </c>
      <c r="Y400" s="36">
        <f>COUNTIF(Tabla1[[#This Row],[VEHICULOS_ACCIDENTADOS]:[VEHICULOS_ACCIDENTADOS2]],"BUSETA")</f>
        <v>0</v>
      </c>
      <c r="Z400" s="36">
        <f>COUNTIF(Tabla1[[#This Row],[VEHICULOS_ACCIDENTADOS]:[VEHICULOS_ACCIDENTADOS2]],"CAMION")</f>
        <v>0</v>
      </c>
      <c r="AA400" s="36">
        <f>COUNTIF(Tabla1[[#This Row],[VEHICULOS_ACCIDENTADOS]:[VEHICULOS_ACCIDENTADOS2]],"TRACTOCAMION")</f>
        <v>0</v>
      </c>
      <c r="AB400" s="36">
        <f>COUNTIF(Tabla1[[#This Row],[VEHICULOS_ACCIDENTADOS]:[VEHICULOS_ACCIDENTADOS2]],"VOLQUETA")</f>
        <v>0</v>
      </c>
      <c r="AC400" s="36">
        <f>COUNTIF(Tabla1[[#This Row],[VEHICULOS_ACCIDENTADOS]:[VEHICULOS_ACCIDENTADOS2]],"BICICLETA")</f>
        <v>0</v>
      </c>
      <c r="AD400" s="56" t="s">
        <v>471</v>
      </c>
      <c r="AE400" s="56" t="s">
        <v>472</v>
      </c>
      <c r="AF400" s="56">
        <f>COUNTIF(Tabla1[[#This Row],[GENERO_MASCULINO]:[GENERO_FEMENINO]],"MASCULINO")</f>
        <v>1</v>
      </c>
      <c r="AG400" s="36">
        <f>COUNTIF(Tabla1[[#This Row],[GENERO_MASCULINO]:[GENERO_FEMENINO]],"FEMENINO")</f>
        <v>1</v>
      </c>
      <c r="AH400" s="61"/>
      <c r="AI400" s="61"/>
      <c r="AJ400" s="61"/>
      <c r="AK400" s="61"/>
      <c r="AL400" s="61"/>
      <c r="AM400" s="36"/>
      <c r="AN400" s="61">
        <v>157</v>
      </c>
      <c r="AO400" s="36" t="str">
        <f>IFERROR(((VLOOKUP(Tabla1[[#This Row],[HIPOTESIS_1]],listas!$D$1:$E$105,2,FALSE))),"SIN INFORMACIÓN")</f>
        <v>Otra</v>
      </c>
      <c r="AP400" s="36">
        <v>114</v>
      </c>
      <c r="AQ400" s="36" t="str">
        <f>IFERROR(((VLOOKUP(Tabla1[[#This Row],[HIPOTESIS_2]],listas!$D$1:$E$105,2,FALSE))),"")</f>
        <v>Embriaguez aparente.</v>
      </c>
      <c r="AR400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401" spans="1:44" x14ac:dyDescent="0.25">
      <c r="A401" s="12">
        <v>817</v>
      </c>
      <c r="B401" s="136">
        <v>0</v>
      </c>
      <c r="C401" s="136">
        <v>0</v>
      </c>
      <c r="D401" s="149">
        <v>2</v>
      </c>
      <c r="E401" s="18" t="str">
        <f t="shared" si="24"/>
        <v>FALLECIDO</v>
      </c>
      <c r="F401" s="26" t="s">
        <v>101</v>
      </c>
      <c r="G401" s="21">
        <v>5.3274416666666662</v>
      </c>
      <c r="H401" s="21">
        <v>-72.388319444444448</v>
      </c>
      <c r="I401" s="93" t="s">
        <v>697</v>
      </c>
      <c r="J401" s="36" t="s">
        <v>717</v>
      </c>
      <c r="K401" s="24" t="str">
        <f t="shared" si="25"/>
        <v>2024</v>
      </c>
      <c r="L401" s="24" t="str">
        <f t="shared" si="26"/>
        <v>NOVIEMBRE</v>
      </c>
      <c r="M401" s="224">
        <v>45613</v>
      </c>
      <c r="N401" s="24" t="str">
        <f t="shared" si="27"/>
        <v>DOMINGO</v>
      </c>
      <c r="O401" s="104">
        <v>7.6388888888888895E-2</v>
      </c>
      <c r="P401" s="178" t="s">
        <v>469</v>
      </c>
      <c r="Q401" s="178" t="s">
        <v>445</v>
      </c>
      <c r="R401" s="36">
        <f>COUNTIF(Tabla1[[#This Row],[VEHICULOS_ACCIDENTADOS]:[VEHICULOS_ACCIDENTADOS2]],"MOTOCICLETA")</f>
        <v>1</v>
      </c>
      <c r="S401" s="36">
        <f>COUNTIF(Tabla1[[#This Row],[VEHICULOS_ACCIDENTADOS]:[VEHICULOS_ACCIDENTADOS2]],"MOTOCARRO")</f>
        <v>0</v>
      </c>
      <c r="T401" s="36">
        <f>COUNTIF(Tabla1[[#This Row],[VEHICULOS_ACCIDENTADOS]:[VEHICULOS_ACCIDENTADOS2]],"AUTOMOVIL")</f>
        <v>0</v>
      </c>
      <c r="U401" s="36">
        <f>COUNTIF(Tabla1[[#This Row],[VEHICULOS_ACCIDENTADOS]:[VEHICULOS_ACCIDENTADOS2]],"CAMPERO")</f>
        <v>0</v>
      </c>
      <c r="V401" s="36">
        <f>COUNTIF(Tabla1[[#This Row],[VEHICULOS_ACCIDENTADOS]:[VEHICULOS_ACCIDENTADOS2]],"CAMIONETA")</f>
        <v>1</v>
      </c>
      <c r="W401" s="36">
        <f>COUNTIF(Tabla1[[#This Row],[VEHICULOS_ACCIDENTADOS]:[VEHICULOS_ACCIDENTADOS2]],"MICROBUS")</f>
        <v>0</v>
      </c>
      <c r="X401" s="36">
        <f>COUNTIF(Tabla1[[#This Row],[VEHICULOS_ACCIDENTADOS]:[VEHICULOS_ACCIDENTADOS2]],"BUS")</f>
        <v>0</v>
      </c>
      <c r="Y401" s="36">
        <f>COUNTIF(Tabla1[[#This Row],[VEHICULOS_ACCIDENTADOS]:[VEHICULOS_ACCIDENTADOS2]],"BUSETA")</f>
        <v>0</v>
      </c>
      <c r="Z401" s="36">
        <f>COUNTIF(Tabla1[[#This Row],[VEHICULOS_ACCIDENTADOS]:[VEHICULOS_ACCIDENTADOS2]],"CAMION")</f>
        <v>0</v>
      </c>
      <c r="AA401" s="36">
        <f>COUNTIF(Tabla1[[#This Row],[VEHICULOS_ACCIDENTADOS]:[VEHICULOS_ACCIDENTADOS2]],"TRACTOCAMION")</f>
        <v>0</v>
      </c>
      <c r="AB401" s="36">
        <f>COUNTIF(Tabla1[[#This Row],[VEHICULOS_ACCIDENTADOS]:[VEHICULOS_ACCIDENTADOS2]],"VOLQUETA")</f>
        <v>0</v>
      </c>
      <c r="AC401" s="36">
        <f>COUNTIF(Tabla1[[#This Row],[VEHICULOS_ACCIDENTADOS]:[VEHICULOS_ACCIDENTADOS2]],"BICICLETA")</f>
        <v>0</v>
      </c>
      <c r="AD401" s="190" t="s">
        <v>471</v>
      </c>
      <c r="AE401" s="190" t="s">
        <v>472</v>
      </c>
      <c r="AF401" s="190">
        <f>COUNTIF(Tabla1[[#This Row],[GENERO_MASCULINO]:[GENERO_FEMENINO]],"MASCULINO")</f>
        <v>1</v>
      </c>
      <c r="AG401" s="36">
        <f>COUNTIF(Tabla1[[#This Row],[GENERO_MASCULINO]:[GENERO_FEMENINO]],"FEMENINO")</f>
        <v>1</v>
      </c>
      <c r="AH401" s="85"/>
      <c r="AI401" s="85">
        <v>36</v>
      </c>
      <c r="AJ401" s="85">
        <v>4</v>
      </c>
      <c r="AK401" s="85"/>
      <c r="AL401" s="85"/>
      <c r="AM401" s="136">
        <v>23</v>
      </c>
      <c r="AN401" s="85">
        <v>139</v>
      </c>
      <c r="AO401" s="36" t="str">
        <f>IFERROR(((VLOOKUP(Tabla1[[#This Row],[HIPOTESIS_1]],listas!$D$1:$E$105,2,FALSE))),"SIN INFORMACIÓN")</f>
        <v>Impericia en el manejo.</v>
      </c>
      <c r="AP401" s="136">
        <v>114</v>
      </c>
      <c r="AQ401" s="36" t="str">
        <f>IFERROR(((VLOOKUP(Tabla1[[#This Row],[HIPOTESIS_2]],listas!$D$1:$E$105,2,FALSE))),"")</f>
        <v>Embriaguez aparente.</v>
      </c>
      <c r="AR401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402" spans="1:44" x14ac:dyDescent="0.25">
      <c r="A402" s="12">
        <v>862</v>
      </c>
      <c r="B402" s="136">
        <v>0</v>
      </c>
      <c r="C402" s="136">
        <v>3</v>
      </c>
      <c r="D402" s="149">
        <v>1</v>
      </c>
      <c r="E402" s="18" t="str">
        <f t="shared" si="24"/>
        <v>FALLECIDO</v>
      </c>
      <c r="F402" s="26" t="s">
        <v>1142</v>
      </c>
      <c r="G402" s="21">
        <v>5.3420611111111107</v>
      </c>
      <c r="H402" s="21">
        <v>-72.393580555555559</v>
      </c>
      <c r="I402" s="93" t="s">
        <v>697</v>
      </c>
      <c r="J402" s="167" t="s">
        <v>717</v>
      </c>
      <c r="K402" s="24" t="str">
        <f t="shared" si="25"/>
        <v>2025</v>
      </c>
      <c r="L402" s="24" t="str">
        <f t="shared" si="26"/>
        <v>ENERO</v>
      </c>
      <c r="M402" s="224">
        <v>45675</v>
      </c>
      <c r="N402" s="24" t="str">
        <f t="shared" si="27"/>
        <v>SÁBADO</v>
      </c>
      <c r="O402" s="104">
        <v>7.2916666666666671E-2</v>
      </c>
      <c r="P402" s="178" t="s">
        <v>469</v>
      </c>
      <c r="Q402" s="178" t="s">
        <v>469</v>
      </c>
      <c r="R402" s="36">
        <f>COUNTIF(Tabla1[[#This Row],[VEHICULOS_ACCIDENTADOS]:[VEHICULOS_ACCIDENTADOS2]],"MOTOCICLETA")</f>
        <v>2</v>
      </c>
      <c r="S402" s="36">
        <f>COUNTIF(Tabla1[[#This Row],[VEHICULOS_ACCIDENTADOS]:[VEHICULOS_ACCIDENTADOS2]],"MOTOCARRO")</f>
        <v>0</v>
      </c>
      <c r="T402" s="36">
        <f>COUNTIF(Tabla1[[#This Row],[VEHICULOS_ACCIDENTADOS]:[VEHICULOS_ACCIDENTADOS2]],"AUTOMOVIL")</f>
        <v>0</v>
      </c>
      <c r="U402" s="36">
        <f>COUNTIF(Tabla1[[#This Row],[VEHICULOS_ACCIDENTADOS]:[VEHICULOS_ACCIDENTADOS2]],"CAMPERO")</f>
        <v>0</v>
      </c>
      <c r="V402" s="36">
        <f>COUNTIF(Tabla1[[#This Row],[VEHICULOS_ACCIDENTADOS]:[VEHICULOS_ACCIDENTADOS2]],"CAMIONETA")</f>
        <v>0</v>
      </c>
      <c r="W402" s="36">
        <f>COUNTIF(Tabla1[[#This Row],[VEHICULOS_ACCIDENTADOS]:[VEHICULOS_ACCIDENTADOS2]],"MICROBUS")</f>
        <v>0</v>
      </c>
      <c r="X402" s="36">
        <f>COUNTIF(Tabla1[[#This Row],[VEHICULOS_ACCIDENTADOS]:[VEHICULOS_ACCIDENTADOS2]],"BUS")</f>
        <v>0</v>
      </c>
      <c r="Y402" s="36">
        <f>COUNTIF(Tabla1[[#This Row],[VEHICULOS_ACCIDENTADOS]:[VEHICULOS_ACCIDENTADOS2]],"BUSETA")</f>
        <v>0</v>
      </c>
      <c r="Z402" s="36">
        <f>COUNTIF(Tabla1[[#This Row],[VEHICULOS_ACCIDENTADOS]:[VEHICULOS_ACCIDENTADOS2]],"CAMION")</f>
        <v>0</v>
      </c>
      <c r="AA402" s="36">
        <f>COUNTIF(Tabla1[[#This Row],[VEHICULOS_ACCIDENTADOS]:[VEHICULOS_ACCIDENTADOS2]],"TRACTOCAMION")</f>
        <v>0</v>
      </c>
      <c r="AB402" s="36">
        <f>COUNTIF(Tabla1[[#This Row],[VEHICULOS_ACCIDENTADOS]:[VEHICULOS_ACCIDENTADOS2]],"VOLQUETA")</f>
        <v>0</v>
      </c>
      <c r="AC402" s="36">
        <f>COUNTIF(Tabla1[[#This Row],[VEHICULOS_ACCIDENTADOS]:[VEHICULOS_ACCIDENTADOS2]],"BICICLETA")</f>
        <v>0</v>
      </c>
      <c r="AD402" s="190" t="s">
        <v>471</v>
      </c>
      <c r="AE402" s="190" t="s">
        <v>471</v>
      </c>
      <c r="AF402" s="190">
        <f>COUNTIF(Tabla1[[#This Row],[GENERO_MASCULINO]:[GENERO_FEMENINO]],"MASCULINO")</f>
        <v>2</v>
      </c>
      <c r="AG402" s="36">
        <f>COUNTIF(Tabla1[[#This Row],[GENERO_MASCULINO]:[GENERO_FEMENINO]],"FEMENINO")</f>
        <v>0</v>
      </c>
      <c r="AH402" s="85"/>
      <c r="AI402" s="85">
        <v>32</v>
      </c>
      <c r="AJ402" s="85"/>
      <c r="AK402" s="85"/>
      <c r="AL402" s="85"/>
      <c r="AM402" s="136">
        <v>32</v>
      </c>
      <c r="AN402" s="85">
        <v>112</v>
      </c>
      <c r="AO402" s="36" t="str">
        <f>IFERROR(((VLOOKUP(Tabla1[[#This Row],[HIPOTESIS_1]],listas!$D$1:$E$105,2,FALSE))),"SIN INFORMACIÓN")</f>
        <v>Desobedecer señales o normas de tránsito.</v>
      </c>
      <c r="AP402" s="136">
        <v>114</v>
      </c>
      <c r="AQ402" s="36" t="str">
        <f>IFERROR(((VLOOKUP(Tabla1[[#This Row],[HIPOTESIS_2]],listas!$D$1:$E$105,2,FALSE))),"")</f>
        <v>Embriaguez aparente.</v>
      </c>
      <c r="AR402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403" spans="1:44" x14ac:dyDescent="0.25">
      <c r="A403" s="12">
        <v>354</v>
      </c>
      <c r="B403" s="36">
        <v>0</v>
      </c>
      <c r="C403" s="36">
        <v>1</v>
      </c>
      <c r="D403" s="60">
        <v>0</v>
      </c>
      <c r="E403" s="18" t="str">
        <f t="shared" si="24"/>
        <v>LESIONADO</v>
      </c>
      <c r="F403" s="29" t="s">
        <v>1153</v>
      </c>
      <c r="G403" s="17">
        <v>5.3510080000000002</v>
      </c>
      <c r="H403" s="17">
        <v>-72.398617000000002</v>
      </c>
      <c r="I403" s="93" t="s">
        <v>697</v>
      </c>
      <c r="J403" s="36" t="s">
        <v>717</v>
      </c>
      <c r="K403" s="24" t="str">
        <f t="shared" si="25"/>
        <v>2022</v>
      </c>
      <c r="L403" s="24" t="str">
        <f t="shared" si="26"/>
        <v>NOVIEMBRE</v>
      </c>
      <c r="M403" s="225">
        <v>44880</v>
      </c>
      <c r="N403" s="24" t="str">
        <f t="shared" si="27"/>
        <v>MARTES</v>
      </c>
      <c r="O403" s="170">
        <v>0.75694444444444497</v>
      </c>
      <c r="P403" s="53" t="s">
        <v>469</v>
      </c>
      <c r="Q403" s="53" t="s">
        <v>469</v>
      </c>
      <c r="R403" s="36">
        <f>COUNTIF(Tabla1[[#This Row],[VEHICULOS_ACCIDENTADOS]:[VEHICULOS_ACCIDENTADOS2]],"MOTOCICLETA")</f>
        <v>2</v>
      </c>
      <c r="S403" s="36">
        <f>COUNTIF(Tabla1[[#This Row],[VEHICULOS_ACCIDENTADOS]:[VEHICULOS_ACCIDENTADOS2]],"MOTOCARRO")</f>
        <v>0</v>
      </c>
      <c r="T403" s="36">
        <f>COUNTIF(Tabla1[[#This Row],[VEHICULOS_ACCIDENTADOS]:[VEHICULOS_ACCIDENTADOS2]],"AUTOMOVIL")</f>
        <v>0</v>
      </c>
      <c r="U403" s="36">
        <f>COUNTIF(Tabla1[[#This Row],[VEHICULOS_ACCIDENTADOS]:[VEHICULOS_ACCIDENTADOS2]],"CAMPERO")</f>
        <v>0</v>
      </c>
      <c r="V403" s="36">
        <f>COUNTIF(Tabla1[[#This Row],[VEHICULOS_ACCIDENTADOS]:[VEHICULOS_ACCIDENTADOS2]],"CAMIONETA")</f>
        <v>0</v>
      </c>
      <c r="W403" s="36">
        <f>COUNTIF(Tabla1[[#This Row],[VEHICULOS_ACCIDENTADOS]:[VEHICULOS_ACCIDENTADOS2]],"MICROBUS")</f>
        <v>0</v>
      </c>
      <c r="X403" s="36">
        <f>COUNTIF(Tabla1[[#This Row],[VEHICULOS_ACCIDENTADOS]:[VEHICULOS_ACCIDENTADOS2]],"BUS")</f>
        <v>0</v>
      </c>
      <c r="Y403" s="36">
        <f>COUNTIF(Tabla1[[#This Row],[VEHICULOS_ACCIDENTADOS]:[VEHICULOS_ACCIDENTADOS2]],"BUSETA")</f>
        <v>0</v>
      </c>
      <c r="Z403" s="36">
        <f>COUNTIF(Tabla1[[#This Row],[VEHICULOS_ACCIDENTADOS]:[VEHICULOS_ACCIDENTADOS2]],"CAMION")</f>
        <v>0</v>
      </c>
      <c r="AA403" s="36">
        <f>COUNTIF(Tabla1[[#This Row],[VEHICULOS_ACCIDENTADOS]:[VEHICULOS_ACCIDENTADOS2]],"TRACTOCAMION")</f>
        <v>0</v>
      </c>
      <c r="AB403" s="36">
        <f>COUNTIF(Tabla1[[#This Row],[VEHICULOS_ACCIDENTADOS]:[VEHICULOS_ACCIDENTADOS2]],"VOLQUETA")</f>
        <v>0</v>
      </c>
      <c r="AC403" s="36">
        <f>COUNTIF(Tabla1[[#This Row],[VEHICULOS_ACCIDENTADOS]:[VEHICULOS_ACCIDENTADOS2]],"BICICLETA")</f>
        <v>0</v>
      </c>
      <c r="AD403" s="56"/>
      <c r="AE403" s="56" t="s">
        <v>472</v>
      </c>
      <c r="AF403" s="56">
        <f>COUNTIF(Tabla1[[#This Row],[GENERO_MASCULINO]:[GENERO_FEMENINO]],"MASCULINO")</f>
        <v>0</v>
      </c>
      <c r="AG403" s="36">
        <f>COUNTIF(Tabla1[[#This Row],[GENERO_MASCULINO]:[GENERO_FEMENINO]],"FEMENINO")</f>
        <v>1</v>
      </c>
      <c r="AH403" s="61"/>
      <c r="AI403" s="61"/>
      <c r="AJ403" s="61"/>
      <c r="AK403" s="61"/>
      <c r="AL403" s="61">
        <v>17</v>
      </c>
      <c r="AM403" s="36"/>
      <c r="AN403" s="61">
        <v>139</v>
      </c>
      <c r="AO403" s="36" t="str">
        <f>IFERROR(((VLOOKUP(Tabla1[[#This Row],[HIPOTESIS_1]],listas!$D$1:$E$105,2,FALSE))),"SIN INFORMACIÓN")</f>
        <v>Impericia en el manejo.</v>
      </c>
      <c r="AP403" s="36">
        <v>114</v>
      </c>
      <c r="AQ403" s="36" t="str">
        <f>IFERROR(((VLOOKUP(Tabla1[[#This Row],[HIPOTESIS_2]],listas!$D$1:$E$105,2,FALSE))),"")</f>
        <v>Embriaguez aparente.</v>
      </c>
      <c r="AR403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404" spans="1:44" x14ac:dyDescent="0.25">
      <c r="A404" s="12">
        <v>958</v>
      </c>
      <c r="B404" s="136">
        <v>0</v>
      </c>
      <c r="C404" s="136">
        <v>2</v>
      </c>
      <c r="D404" s="148">
        <v>0</v>
      </c>
      <c r="E404" s="18" t="str">
        <f t="shared" si="24"/>
        <v>LESIONADO</v>
      </c>
      <c r="F404" s="26" t="s">
        <v>28</v>
      </c>
      <c r="G404" s="17">
        <v>5.3374420000000002</v>
      </c>
      <c r="H404" s="17">
        <v>-72.391147000000004</v>
      </c>
      <c r="I404" s="93" t="s">
        <v>697</v>
      </c>
      <c r="J404" s="135" t="s">
        <v>717</v>
      </c>
      <c r="K404" s="24" t="str">
        <f t="shared" si="25"/>
        <v>2025</v>
      </c>
      <c r="L404" s="24" t="str">
        <f t="shared" si="26"/>
        <v>MAYO</v>
      </c>
      <c r="M404" s="224">
        <v>45785</v>
      </c>
      <c r="N404" s="24" t="str">
        <f t="shared" si="27"/>
        <v>JUEVES</v>
      </c>
      <c r="O404" s="104">
        <v>0.92361111111111116</v>
      </c>
      <c r="P404" s="63" t="s">
        <v>446</v>
      </c>
      <c r="Q404" s="63" t="s">
        <v>469</v>
      </c>
      <c r="R404" s="36">
        <f>COUNTIF(Tabla1[[#This Row],[VEHICULOS_ACCIDENTADOS]:[VEHICULOS_ACCIDENTADOS2]],"MOTOCICLETA")</f>
        <v>1</v>
      </c>
      <c r="S404" s="36">
        <f>COUNTIF(Tabla1[[#This Row],[VEHICULOS_ACCIDENTADOS]:[VEHICULOS_ACCIDENTADOS2]],"MOTOCARRO")</f>
        <v>0</v>
      </c>
      <c r="T404" s="36">
        <f>COUNTIF(Tabla1[[#This Row],[VEHICULOS_ACCIDENTADOS]:[VEHICULOS_ACCIDENTADOS2]],"AUTOMOVIL")</f>
        <v>0</v>
      </c>
      <c r="U404" s="36">
        <f>COUNTIF(Tabla1[[#This Row],[VEHICULOS_ACCIDENTADOS]:[VEHICULOS_ACCIDENTADOS2]],"CAMPERO")</f>
        <v>1</v>
      </c>
      <c r="V404" s="36">
        <f>COUNTIF(Tabla1[[#This Row],[VEHICULOS_ACCIDENTADOS]:[VEHICULOS_ACCIDENTADOS2]],"CAMIONETA")</f>
        <v>0</v>
      </c>
      <c r="W404" s="36">
        <f>COUNTIF(Tabla1[[#This Row],[VEHICULOS_ACCIDENTADOS]:[VEHICULOS_ACCIDENTADOS2]],"MICROBUS")</f>
        <v>0</v>
      </c>
      <c r="X404" s="36">
        <f>COUNTIF(Tabla1[[#This Row],[VEHICULOS_ACCIDENTADOS]:[VEHICULOS_ACCIDENTADOS2]],"BUS")</f>
        <v>0</v>
      </c>
      <c r="Y404" s="36">
        <f>COUNTIF(Tabla1[[#This Row],[VEHICULOS_ACCIDENTADOS]:[VEHICULOS_ACCIDENTADOS2]],"BUSETA")</f>
        <v>0</v>
      </c>
      <c r="Z404" s="36">
        <f>COUNTIF(Tabla1[[#This Row],[VEHICULOS_ACCIDENTADOS]:[VEHICULOS_ACCIDENTADOS2]],"CAMION")</f>
        <v>0</v>
      </c>
      <c r="AA404" s="36">
        <f>COUNTIF(Tabla1[[#This Row],[VEHICULOS_ACCIDENTADOS]:[VEHICULOS_ACCIDENTADOS2]],"TRACTOCAMION")</f>
        <v>0</v>
      </c>
      <c r="AB404" s="36">
        <f>COUNTIF(Tabla1[[#This Row],[VEHICULOS_ACCIDENTADOS]:[VEHICULOS_ACCIDENTADOS2]],"VOLQUETA")</f>
        <v>0</v>
      </c>
      <c r="AC404" s="36">
        <f>COUNTIF(Tabla1[[#This Row],[VEHICULOS_ACCIDENTADOS]:[VEHICULOS_ACCIDENTADOS2]],"BICICLETA")</f>
        <v>0</v>
      </c>
      <c r="AD404" s="56" t="s">
        <v>471</v>
      </c>
      <c r="AE404" s="56" t="s">
        <v>471</v>
      </c>
      <c r="AF404" s="56">
        <f>COUNTIF(Tabla1[[#This Row],[GENERO_MASCULINO]:[GENERO_FEMENINO]],"MASCULINO")</f>
        <v>2</v>
      </c>
      <c r="AG404" s="36">
        <f>COUNTIF(Tabla1[[#This Row],[GENERO_MASCULINO]:[GENERO_FEMENINO]],"FEMENINO")</f>
        <v>0</v>
      </c>
      <c r="AH404" s="85">
        <v>63</v>
      </c>
      <c r="AI404" s="85">
        <v>30</v>
      </c>
      <c r="AJ404" s="85">
        <v>35</v>
      </c>
      <c r="AK404" s="85"/>
      <c r="AL404" s="78"/>
      <c r="AM404" s="59"/>
      <c r="AN404" s="85">
        <v>157</v>
      </c>
      <c r="AO404" s="36" t="str">
        <f>IFERROR(((VLOOKUP(Tabla1[[#This Row],[HIPOTESIS_1]],listas!$D$1:$E$105,2,FALSE))),"SIN INFORMACIÓN")</f>
        <v>Otra</v>
      </c>
      <c r="AP404" s="36">
        <v>114</v>
      </c>
      <c r="AQ404" s="36" t="str">
        <f>IFERROR(((VLOOKUP(Tabla1[[#This Row],[HIPOTESIS_2]],listas!$D$1:$E$105,2,FALSE))),"")</f>
        <v>Embriaguez aparente.</v>
      </c>
      <c r="AR404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405" spans="1:44" x14ac:dyDescent="0.25">
      <c r="A405" s="12">
        <v>495</v>
      </c>
      <c r="B405" s="36">
        <v>0</v>
      </c>
      <c r="C405" s="36">
        <v>0</v>
      </c>
      <c r="D405" s="60">
        <v>1</v>
      </c>
      <c r="E405" s="18" t="str">
        <f t="shared" si="24"/>
        <v>FALLECIDO</v>
      </c>
      <c r="F405" s="29" t="s">
        <v>1155</v>
      </c>
      <c r="G405" s="17">
        <v>5.3377679999999996</v>
      </c>
      <c r="H405" s="17">
        <v>-72.390201000000005</v>
      </c>
      <c r="I405" s="93" t="s">
        <v>697</v>
      </c>
      <c r="J405" s="36" t="s">
        <v>717</v>
      </c>
      <c r="K405" s="24" t="str">
        <f t="shared" si="25"/>
        <v>2023</v>
      </c>
      <c r="L405" s="24" t="str">
        <f t="shared" si="26"/>
        <v>JUNIO</v>
      </c>
      <c r="M405" s="225">
        <v>45080</v>
      </c>
      <c r="N405" s="24" t="str">
        <f t="shared" si="27"/>
        <v>SÁBADO</v>
      </c>
      <c r="O405" s="103">
        <v>0.15625</v>
      </c>
      <c r="P405" s="57" t="s">
        <v>469</v>
      </c>
      <c r="Q405" s="57" t="s">
        <v>447</v>
      </c>
      <c r="R405" s="36">
        <f>COUNTIF(Tabla1[[#This Row],[VEHICULOS_ACCIDENTADOS]:[VEHICULOS_ACCIDENTADOS2]],"MOTOCICLETA")</f>
        <v>1</v>
      </c>
      <c r="S405" s="36">
        <f>COUNTIF(Tabla1[[#This Row],[VEHICULOS_ACCIDENTADOS]:[VEHICULOS_ACCIDENTADOS2]],"MOTOCARRO")</f>
        <v>0</v>
      </c>
      <c r="T405" s="36">
        <f>COUNTIF(Tabla1[[#This Row],[VEHICULOS_ACCIDENTADOS]:[VEHICULOS_ACCIDENTADOS2]],"AUTOMOVIL")</f>
        <v>1</v>
      </c>
      <c r="U405" s="36">
        <f>COUNTIF(Tabla1[[#This Row],[VEHICULOS_ACCIDENTADOS]:[VEHICULOS_ACCIDENTADOS2]],"CAMPERO")</f>
        <v>0</v>
      </c>
      <c r="V405" s="36">
        <f>COUNTIF(Tabla1[[#This Row],[VEHICULOS_ACCIDENTADOS]:[VEHICULOS_ACCIDENTADOS2]],"CAMIONETA")</f>
        <v>0</v>
      </c>
      <c r="W405" s="36">
        <f>COUNTIF(Tabla1[[#This Row],[VEHICULOS_ACCIDENTADOS]:[VEHICULOS_ACCIDENTADOS2]],"MICROBUS")</f>
        <v>0</v>
      </c>
      <c r="X405" s="36">
        <f>COUNTIF(Tabla1[[#This Row],[VEHICULOS_ACCIDENTADOS]:[VEHICULOS_ACCIDENTADOS2]],"BUS")</f>
        <v>0</v>
      </c>
      <c r="Y405" s="36">
        <f>COUNTIF(Tabla1[[#This Row],[VEHICULOS_ACCIDENTADOS]:[VEHICULOS_ACCIDENTADOS2]],"BUSETA")</f>
        <v>0</v>
      </c>
      <c r="Z405" s="36">
        <f>COUNTIF(Tabla1[[#This Row],[VEHICULOS_ACCIDENTADOS]:[VEHICULOS_ACCIDENTADOS2]],"CAMION")</f>
        <v>0</v>
      </c>
      <c r="AA405" s="36">
        <f>COUNTIF(Tabla1[[#This Row],[VEHICULOS_ACCIDENTADOS]:[VEHICULOS_ACCIDENTADOS2]],"TRACTOCAMION")</f>
        <v>0</v>
      </c>
      <c r="AB405" s="36">
        <f>COUNTIF(Tabla1[[#This Row],[VEHICULOS_ACCIDENTADOS]:[VEHICULOS_ACCIDENTADOS2]],"VOLQUETA")</f>
        <v>0</v>
      </c>
      <c r="AC405" s="36">
        <f>COUNTIF(Tabla1[[#This Row],[VEHICULOS_ACCIDENTADOS]:[VEHICULOS_ACCIDENTADOS2]],"BICICLETA")</f>
        <v>0</v>
      </c>
      <c r="AD405" s="56" t="s">
        <v>471</v>
      </c>
      <c r="AE405" s="56"/>
      <c r="AF405" s="56">
        <f>COUNTIF(Tabla1[[#This Row],[GENERO_MASCULINO]:[GENERO_FEMENINO]],"MASCULINO")</f>
        <v>1</v>
      </c>
      <c r="AG405" s="36">
        <f>COUNTIF(Tabla1[[#This Row],[GENERO_MASCULINO]:[GENERO_FEMENINO]],"FEMENINO")</f>
        <v>0</v>
      </c>
      <c r="AH405" s="61"/>
      <c r="AI405" s="61"/>
      <c r="AJ405" s="61"/>
      <c r="AK405" s="61"/>
      <c r="AL405" s="61"/>
      <c r="AM405" s="36">
        <v>51</v>
      </c>
      <c r="AN405" s="61">
        <v>112</v>
      </c>
      <c r="AO405" s="36" t="str">
        <f>IFERROR(((VLOOKUP(Tabla1[[#This Row],[HIPOTESIS_1]],listas!$D$1:$E$105,2,FALSE))),"SIN INFORMACIÓN")</f>
        <v>Desobedecer señales o normas de tránsito.</v>
      </c>
      <c r="AP405" s="36">
        <v>114</v>
      </c>
      <c r="AQ405" s="36" t="str">
        <f>IFERROR(((VLOOKUP(Tabla1[[#This Row],[HIPOTESIS_2]],listas!$D$1:$E$105,2,FALSE))),"")</f>
        <v>Embriaguez aparente.</v>
      </c>
      <c r="AR405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406" spans="1:44" x14ac:dyDescent="0.25">
      <c r="A406" s="12">
        <v>254</v>
      </c>
      <c r="B406" s="36">
        <v>0</v>
      </c>
      <c r="C406" s="36">
        <v>1</v>
      </c>
      <c r="D406" s="60">
        <v>0</v>
      </c>
      <c r="E406" s="18" t="str">
        <f t="shared" si="24"/>
        <v>LESIONADO</v>
      </c>
      <c r="F406" s="29" t="s">
        <v>1066</v>
      </c>
      <c r="G406" s="17">
        <v>5.3378524999999994</v>
      </c>
      <c r="H406" s="17">
        <v>-72.388133888888902</v>
      </c>
      <c r="I406" s="93" t="s">
        <v>697</v>
      </c>
      <c r="J406" s="36" t="s">
        <v>717</v>
      </c>
      <c r="K406" s="24" t="str">
        <f t="shared" si="25"/>
        <v>2022</v>
      </c>
      <c r="L406" s="24" t="str">
        <f t="shared" si="26"/>
        <v>JULIO</v>
      </c>
      <c r="M406" s="225">
        <v>44758</v>
      </c>
      <c r="N406" s="24" t="str">
        <f t="shared" si="27"/>
        <v>SÁBADO</v>
      </c>
      <c r="O406" s="170">
        <v>0.8125</v>
      </c>
      <c r="P406" s="53" t="s">
        <v>469</v>
      </c>
      <c r="Q406" s="53" t="s">
        <v>447</v>
      </c>
      <c r="R406" s="36">
        <f>COUNTIF(Tabla1[[#This Row],[VEHICULOS_ACCIDENTADOS]:[VEHICULOS_ACCIDENTADOS2]],"MOTOCICLETA")</f>
        <v>1</v>
      </c>
      <c r="S406" s="36">
        <f>COUNTIF(Tabla1[[#This Row],[VEHICULOS_ACCIDENTADOS]:[VEHICULOS_ACCIDENTADOS2]],"MOTOCARRO")</f>
        <v>0</v>
      </c>
      <c r="T406" s="36">
        <f>COUNTIF(Tabla1[[#This Row],[VEHICULOS_ACCIDENTADOS]:[VEHICULOS_ACCIDENTADOS2]],"AUTOMOVIL")</f>
        <v>1</v>
      </c>
      <c r="U406" s="36">
        <f>COUNTIF(Tabla1[[#This Row],[VEHICULOS_ACCIDENTADOS]:[VEHICULOS_ACCIDENTADOS2]],"CAMPERO")</f>
        <v>0</v>
      </c>
      <c r="V406" s="36">
        <f>COUNTIF(Tabla1[[#This Row],[VEHICULOS_ACCIDENTADOS]:[VEHICULOS_ACCIDENTADOS2]],"CAMIONETA")</f>
        <v>0</v>
      </c>
      <c r="W406" s="36">
        <f>COUNTIF(Tabla1[[#This Row],[VEHICULOS_ACCIDENTADOS]:[VEHICULOS_ACCIDENTADOS2]],"MICROBUS")</f>
        <v>0</v>
      </c>
      <c r="X406" s="36">
        <f>COUNTIF(Tabla1[[#This Row],[VEHICULOS_ACCIDENTADOS]:[VEHICULOS_ACCIDENTADOS2]],"BUS")</f>
        <v>0</v>
      </c>
      <c r="Y406" s="36">
        <f>COUNTIF(Tabla1[[#This Row],[VEHICULOS_ACCIDENTADOS]:[VEHICULOS_ACCIDENTADOS2]],"BUSETA")</f>
        <v>0</v>
      </c>
      <c r="Z406" s="36">
        <f>COUNTIF(Tabla1[[#This Row],[VEHICULOS_ACCIDENTADOS]:[VEHICULOS_ACCIDENTADOS2]],"CAMION")</f>
        <v>0</v>
      </c>
      <c r="AA406" s="36">
        <f>COUNTIF(Tabla1[[#This Row],[VEHICULOS_ACCIDENTADOS]:[VEHICULOS_ACCIDENTADOS2]],"TRACTOCAMION")</f>
        <v>0</v>
      </c>
      <c r="AB406" s="36">
        <f>COUNTIF(Tabla1[[#This Row],[VEHICULOS_ACCIDENTADOS]:[VEHICULOS_ACCIDENTADOS2]],"VOLQUETA")</f>
        <v>0</v>
      </c>
      <c r="AC406" s="36">
        <f>COUNTIF(Tabla1[[#This Row],[VEHICULOS_ACCIDENTADOS]:[VEHICULOS_ACCIDENTADOS2]],"BICICLETA")</f>
        <v>0</v>
      </c>
      <c r="AD406" s="56" t="s">
        <v>471</v>
      </c>
      <c r="AE406" s="56"/>
      <c r="AF406" s="56">
        <f>COUNTIF(Tabla1[[#This Row],[GENERO_MASCULINO]:[GENERO_FEMENINO]],"MASCULINO")</f>
        <v>1</v>
      </c>
      <c r="AG406" s="36">
        <f>COUNTIF(Tabla1[[#This Row],[GENERO_MASCULINO]:[GENERO_FEMENINO]],"FEMENINO")</f>
        <v>0</v>
      </c>
      <c r="AH406" s="61">
        <v>21</v>
      </c>
      <c r="AI406" s="61"/>
      <c r="AJ406" s="78"/>
      <c r="AK406" s="61"/>
      <c r="AL406" s="61"/>
      <c r="AM406" s="36"/>
      <c r="AN406" s="61">
        <v>112</v>
      </c>
      <c r="AO406" s="36" t="str">
        <f>IFERROR(((VLOOKUP(Tabla1[[#This Row],[HIPOTESIS_1]],listas!$D$1:$E$105,2,FALSE))),"SIN INFORMACIÓN")</f>
        <v>Desobedecer señales o normas de tránsito.</v>
      </c>
      <c r="AP406" s="36">
        <v>114</v>
      </c>
      <c r="AQ406" s="36" t="str">
        <f>IFERROR(((VLOOKUP(Tabla1[[#This Row],[HIPOTESIS_2]],listas!$D$1:$E$105,2,FALSE))),"")</f>
        <v>Embriaguez aparente.</v>
      </c>
      <c r="AR406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407" spans="1:44" x14ac:dyDescent="0.25">
      <c r="A407" s="12">
        <v>361</v>
      </c>
      <c r="B407" s="36">
        <v>0</v>
      </c>
      <c r="C407" s="36">
        <v>0</v>
      </c>
      <c r="D407" s="60">
        <v>2</v>
      </c>
      <c r="E407" s="18" t="str">
        <f t="shared" si="24"/>
        <v>FALLECIDO</v>
      </c>
      <c r="F407" s="29" t="s">
        <v>973</v>
      </c>
      <c r="G407" s="17">
        <v>5.3390944444444441</v>
      </c>
      <c r="H407" s="17">
        <v>-72.385066666666674</v>
      </c>
      <c r="I407" s="93" t="s">
        <v>697</v>
      </c>
      <c r="J407" s="36" t="s">
        <v>717</v>
      </c>
      <c r="K407" s="24" t="str">
        <f t="shared" si="25"/>
        <v>2022</v>
      </c>
      <c r="L407" s="24" t="str">
        <f t="shared" si="26"/>
        <v>NOVIEMBRE</v>
      </c>
      <c r="M407" s="225">
        <v>44891</v>
      </c>
      <c r="N407" s="24" t="str">
        <f t="shared" si="27"/>
        <v>SÁBADO</v>
      </c>
      <c r="O407" s="170">
        <v>9.375E-2</v>
      </c>
      <c r="P407" s="53" t="s">
        <v>469</v>
      </c>
      <c r="Q407" s="53"/>
      <c r="R407" s="36">
        <f>COUNTIF(Tabla1[[#This Row],[VEHICULOS_ACCIDENTADOS]:[VEHICULOS_ACCIDENTADOS2]],"MOTOCICLETA")</f>
        <v>1</v>
      </c>
      <c r="S407" s="36">
        <f>COUNTIF(Tabla1[[#This Row],[VEHICULOS_ACCIDENTADOS]:[VEHICULOS_ACCIDENTADOS2]],"MOTOCARRO")</f>
        <v>0</v>
      </c>
      <c r="T407" s="36">
        <f>COUNTIF(Tabla1[[#This Row],[VEHICULOS_ACCIDENTADOS]:[VEHICULOS_ACCIDENTADOS2]],"AUTOMOVIL")</f>
        <v>0</v>
      </c>
      <c r="U407" s="36">
        <f>COUNTIF(Tabla1[[#This Row],[VEHICULOS_ACCIDENTADOS]:[VEHICULOS_ACCIDENTADOS2]],"CAMPERO")</f>
        <v>0</v>
      </c>
      <c r="V407" s="36">
        <f>COUNTIF(Tabla1[[#This Row],[VEHICULOS_ACCIDENTADOS]:[VEHICULOS_ACCIDENTADOS2]],"CAMIONETA")</f>
        <v>0</v>
      </c>
      <c r="W407" s="36">
        <f>COUNTIF(Tabla1[[#This Row],[VEHICULOS_ACCIDENTADOS]:[VEHICULOS_ACCIDENTADOS2]],"MICROBUS")</f>
        <v>0</v>
      </c>
      <c r="X407" s="36">
        <f>COUNTIF(Tabla1[[#This Row],[VEHICULOS_ACCIDENTADOS]:[VEHICULOS_ACCIDENTADOS2]],"BUS")</f>
        <v>0</v>
      </c>
      <c r="Y407" s="36">
        <f>COUNTIF(Tabla1[[#This Row],[VEHICULOS_ACCIDENTADOS]:[VEHICULOS_ACCIDENTADOS2]],"BUSETA")</f>
        <v>0</v>
      </c>
      <c r="Z407" s="36">
        <f>COUNTIF(Tabla1[[#This Row],[VEHICULOS_ACCIDENTADOS]:[VEHICULOS_ACCIDENTADOS2]],"CAMION")</f>
        <v>0</v>
      </c>
      <c r="AA407" s="36">
        <f>COUNTIF(Tabla1[[#This Row],[VEHICULOS_ACCIDENTADOS]:[VEHICULOS_ACCIDENTADOS2]],"TRACTOCAMION")</f>
        <v>0</v>
      </c>
      <c r="AB407" s="36">
        <f>COUNTIF(Tabla1[[#This Row],[VEHICULOS_ACCIDENTADOS]:[VEHICULOS_ACCIDENTADOS2]],"VOLQUETA")</f>
        <v>0</v>
      </c>
      <c r="AC407" s="36">
        <f>COUNTIF(Tabla1[[#This Row],[VEHICULOS_ACCIDENTADOS]:[VEHICULOS_ACCIDENTADOS2]],"BICICLETA")</f>
        <v>0</v>
      </c>
      <c r="AD407" s="56" t="s">
        <v>471</v>
      </c>
      <c r="AE407" s="56"/>
      <c r="AF407" s="56">
        <f>COUNTIF(Tabla1[[#This Row],[GENERO_MASCULINO]:[GENERO_FEMENINO]],"MASCULINO")</f>
        <v>1</v>
      </c>
      <c r="AG407" s="36">
        <f>COUNTIF(Tabla1[[#This Row],[GENERO_MASCULINO]:[GENERO_FEMENINO]],"FEMENINO")</f>
        <v>0</v>
      </c>
      <c r="AH407" s="61"/>
      <c r="AI407" s="61"/>
      <c r="AJ407" s="61"/>
      <c r="AK407" s="61"/>
      <c r="AL407" s="61"/>
      <c r="AM407" s="36"/>
      <c r="AN407" s="61">
        <v>116</v>
      </c>
      <c r="AO407" s="36" t="str">
        <f>IFERROR(((VLOOKUP(Tabla1[[#This Row],[HIPOTESIS_1]],listas!$D$1:$E$105,2,FALSE))),"SIN INFORMACIÓN")</f>
        <v>Exceso de velocidad</v>
      </c>
      <c r="AP407" s="36">
        <v>114</v>
      </c>
      <c r="AQ407" s="36" t="str">
        <f>IFERROR(((VLOOKUP(Tabla1[[#This Row],[HIPOTESIS_2]],listas!$D$1:$E$105,2,FALSE))),"")</f>
        <v>Embriaguez aparente.</v>
      </c>
      <c r="AR407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408" spans="1:44" x14ac:dyDescent="0.25">
      <c r="A408" s="12">
        <v>574</v>
      </c>
      <c r="B408" s="36">
        <v>0</v>
      </c>
      <c r="C408" s="36">
        <v>1</v>
      </c>
      <c r="D408" s="60">
        <v>0</v>
      </c>
      <c r="E408" s="18" t="str">
        <f t="shared" si="24"/>
        <v>LESIONADO</v>
      </c>
      <c r="F408" s="29" t="s">
        <v>1081</v>
      </c>
      <c r="G408" s="17">
        <v>5.3355259999999998</v>
      </c>
      <c r="H408" s="17">
        <v>-72.382839000000004</v>
      </c>
      <c r="I408" s="93" t="s">
        <v>697</v>
      </c>
      <c r="J408" s="36" t="s">
        <v>717</v>
      </c>
      <c r="K408" s="24" t="str">
        <f t="shared" si="25"/>
        <v>2023</v>
      </c>
      <c r="L408" s="24" t="str">
        <f t="shared" si="26"/>
        <v>OCTUBRE</v>
      </c>
      <c r="M408" s="225">
        <v>45212</v>
      </c>
      <c r="N408" s="24" t="str">
        <f t="shared" si="27"/>
        <v>VIERNES</v>
      </c>
      <c r="O408" s="103">
        <v>0.80902777777777779</v>
      </c>
      <c r="P408" s="57" t="s">
        <v>469</v>
      </c>
      <c r="Q408" s="57" t="s">
        <v>447</v>
      </c>
      <c r="R408" s="36">
        <f>COUNTIF(Tabla1[[#This Row],[VEHICULOS_ACCIDENTADOS]:[VEHICULOS_ACCIDENTADOS2]],"MOTOCICLETA")</f>
        <v>1</v>
      </c>
      <c r="S408" s="36">
        <f>COUNTIF(Tabla1[[#This Row],[VEHICULOS_ACCIDENTADOS]:[VEHICULOS_ACCIDENTADOS2]],"MOTOCARRO")</f>
        <v>0</v>
      </c>
      <c r="T408" s="36">
        <f>COUNTIF(Tabla1[[#This Row],[VEHICULOS_ACCIDENTADOS]:[VEHICULOS_ACCIDENTADOS2]],"AUTOMOVIL")</f>
        <v>1</v>
      </c>
      <c r="U408" s="36">
        <f>COUNTIF(Tabla1[[#This Row],[VEHICULOS_ACCIDENTADOS]:[VEHICULOS_ACCIDENTADOS2]],"CAMPERO")</f>
        <v>0</v>
      </c>
      <c r="V408" s="36">
        <f>COUNTIF(Tabla1[[#This Row],[VEHICULOS_ACCIDENTADOS]:[VEHICULOS_ACCIDENTADOS2]],"CAMIONETA")</f>
        <v>0</v>
      </c>
      <c r="W408" s="36">
        <f>COUNTIF(Tabla1[[#This Row],[VEHICULOS_ACCIDENTADOS]:[VEHICULOS_ACCIDENTADOS2]],"MICROBUS")</f>
        <v>0</v>
      </c>
      <c r="X408" s="36">
        <f>COUNTIF(Tabla1[[#This Row],[VEHICULOS_ACCIDENTADOS]:[VEHICULOS_ACCIDENTADOS2]],"BUS")</f>
        <v>0</v>
      </c>
      <c r="Y408" s="36">
        <f>COUNTIF(Tabla1[[#This Row],[VEHICULOS_ACCIDENTADOS]:[VEHICULOS_ACCIDENTADOS2]],"BUSETA")</f>
        <v>0</v>
      </c>
      <c r="Z408" s="36">
        <f>COUNTIF(Tabla1[[#This Row],[VEHICULOS_ACCIDENTADOS]:[VEHICULOS_ACCIDENTADOS2]],"CAMION")</f>
        <v>0</v>
      </c>
      <c r="AA408" s="36">
        <f>COUNTIF(Tabla1[[#This Row],[VEHICULOS_ACCIDENTADOS]:[VEHICULOS_ACCIDENTADOS2]],"TRACTOCAMION")</f>
        <v>0</v>
      </c>
      <c r="AB408" s="36">
        <f>COUNTIF(Tabla1[[#This Row],[VEHICULOS_ACCIDENTADOS]:[VEHICULOS_ACCIDENTADOS2]],"VOLQUETA")</f>
        <v>0</v>
      </c>
      <c r="AC408" s="36">
        <f>COUNTIF(Tabla1[[#This Row],[VEHICULOS_ACCIDENTADOS]:[VEHICULOS_ACCIDENTADOS2]],"BICICLETA")</f>
        <v>0</v>
      </c>
      <c r="AD408" s="56" t="s">
        <v>471</v>
      </c>
      <c r="AE408" s="56"/>
      <c r="AF408" s="56">
        <f>COUNTIF(Tabla1[[#This Row],[GENERO_MASCULINO]:[GENERO_FEMENINO]],"MASCULINO")</f>
        <v>1</v>
      </c>
      <c r="AG408" s="36">
        <f>COUNTIF(Tabla1[[#This Row],[GENERO_MASCULINO]:[GENERO_FEMENINO]],"FEMENINO")</f>
        <v>0</v>
      </c>
      <c r="AH408" s="61">
        <v>66</v>
      </c>
      <c r="AI408" s="61"/>
      <c r="AJ408" s="61"/>
      <c r="AK408" s="61"/>
      <c r="AL408" s="61"/>
      <c r="AM408" s="36"/>
      <c r="AN408" s="61">
        <v>142</v>
      </c>
      <c r="AO408" s="36" t="str">
        <f>IFERROR(((VLOOKUP(Tabla1[[#This Row],[HIPOTESIS_1]],listas!$D$1:$E$105,2,FALSE))),"SIN INFORMACIÓN")</f>
        <v>Semáforo en rojo.</v>
      </c>
      <c r="AP408" s="36">
        <v>114</v>
      </c>
      <c r="AQ408" s="36" t="str">
        <f>IFERROR(((VLOOKUP(Tabla1[[#This Row],[HIPOTESIS_2]],listas!$D$1:$E$105,2,FALSE))),"")</f>
        <v>Embriaguez aparente.</v>
      </c>
      <c r="AR408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409" spans="1:44" x14ac:dyDescent="0.25">
      <c r="A409" s="12">
        <v>637</v>
      </c>
      <c r="B409" s="36">
        <v>0</v>
      </c>
      <c r="C409" s="36">
        <v>1</v>
      </c>
      <c r="D409" s="60">
        <v>1</v>
      </c>
      <c r="E409" s="18" t="str">
        <f t="shared" si="24"/>
        <v>FALLECIDO</v>
      </c>
      <c r="F409" s="29" t="s">
        <v>985</v>
      </c>
      <c r="G409" s="21">
        <v>5.3269083333333329</v>
      </c>
      <c r="H409" s="21">
        <v>-72.374955555555545</v>
      </c>
      <c r="I409" s="93" t="s">
        <v>697</v>
      </c>
      <c r="J409" s="36" t="s">
        <v>717</v>
      </c>
      <c r="K409" s="24" t="str">
        <f t="shared" si="25"/>
        <v>2023</v>
      </c>
      <c r="L409" s="24" t="str">
        <f t="shared" si="26"/>
        <v>DICIEMBRE</v>
      </c>
      <c r="M409" s="225">
        <v>45283</v>
      </c>
      <c r="N409" s="24" t="str">
        <f t="shared" si="27"/>
        <v>SÁBADO</v>
      </c>
      <c r="O409" s="103">
        <v>0.96527777777777779</v>
      </c>
      <c r="P409" s="214" t="s">
        <v>469</v>
      </c>
      <c r="Q409" s="214"/>
      <c r="R409" s="36">
        <f>COUNTIF(Tabla1[[#This Row],[VEHICULOS_ACCIDENTADOS]:[VEHICULOS_ACCIDENTADOS2]],"MOTOCICLETA")</f>
        <v>1</v>
      </c>
      <c r="S409" s="36">
        <f>COUNTIF(Tabla1[[#This Row],[VEHICULOS_ACCIDENTADOS]:[VEHICULOS_ACCIDENTADOS2]],"MOTOCARRO")</f>
        <v>0</v>
      </c>
      <c r="T409" s="36">
        <f>COUNTIF(Tabla1[[#This Row],[VEHICULOS_ACCIDENTADOS]:[VEHICULOS_ACCIDENTADOS2]],"AUTOMOVIL")</f>
        <v>0</v>
      </c>
      <c r="U409" s="36">
        <f>COUNTIF(Tabla1[[#This Row],[VEHICULOS_ACCIDENTADOS]:[VEHICULOS_ACCIDENTADOS2]],"CAMPERO")</f>
        <v>0</v>
      </c>
      <c r="V409" s="36">
        <f>COUNTIF(Tabla1[[#This Row],[VEHICULOS_ACCIDENTADOS]:[VEHICULOS_ACCIDENTADOS2]],"CAMIONETA")</f>
        <v>0</v>
      </c>
      <c r="W409" s="36">
        <f>COUNTIF(Tabla1[[#This Row],[VEHICULOS_ACCIDENTADOS]:[VEHICULOS_ACCIDENTADOS2]],"MICROBUS")</f>
        <v>0</v>
      </c>
      <c r="X409" s="36">
        <f>COUNTIF(Tabla1[[#This Row],[VEHICULOS_ACCIDENTADOS]:[VEHICULOS_ACCIDENTADOS2]],"BUS")</f>
        <v>0</v>
      </c>
      <c r="Y409" s="36">
        <f>COUNTIF(Tabla1[[#This Row],[VEHICULOS_ACCIDENTADOS]:[VEHICULOS_ACCIDENTADOS2]],"BUSETA")</f>
        <v>0</v>
      </c>
      <c r="Z409" s="36">
        <f>COUNTIF(Tabla1[[#This Row],[VEHICULOS_ACCIDENTADOS]:[VEHICULOS_ACCIDENTADOS2]],"CAMION")</f>
        <v>0</v>
      </c>
      <c r="AA409" s="36">
        <f>COUNTIF(Tabla1[[#This Row],[VEHICULOS_ACCIDENTADOS]:[VEHICULOS_ACCIDENTADOS2]],"TRACTOCAMION")</f>
        <v>0</v>
      </c>
      <c r="AB409" s="36">
        <f>COUNTIF(Tabla1[[#This Row],[VEHICULOS_ACCIDENTADOS]:[VEHICULOS_ACCIDENTADOS2]],"VOLQUETA")</f>
        <v>0</v>
      </c>
      <c r="AC409" s="36">
        <f>COUNTIF(Tabla1[[#This Row],[VEHICULOS_ACCIDENTADOS]:[VEHICULOS_ACCIDENTADOS2]],"BICICLETA")</f>
        <v>0</v>
      </c>
      <c r="AD409" s="56" t="s">
        <v>471</v>
      </c>
      <c r="AE409" s="56"/>
      <c r="AF409" s="56">
        <f>COUNTIF(Tabla1[[#This Row],[GENERO_MASCULINO]:[GENERO_FEMENINO]],"MASCULINO")</f>
        <v>1</v>
      </c>
      <c r="AG409" s="36">
        <f>COUNTIF(Tabla1[[#This Row],[GENERO_MASCULINO]:[GENERO_FEMENINO]],"FEMENINO")</f>
        <v>0</v>
      </c>
      <c r="AH409" s="61">
        <v>26</v>
      </c>
      <c r="AI409" s="61"/>
      <c r="AJ409" s="61"/>
      <c r="AK409" s="61"/>
      <c r="AL409" s="61"/>
      <c r="AM409" s="36"/>
      <c r="AN409" s="61">
        <v>139</v>
      </c>
      <c r="AO409" s="36" t="str">
        <f>IFERROR(((VLOOKUP(Tabla1[[#This Row],[HIPOTESIS_1]],listas!$D$1:$E$105,2,FALSE))),"SIN INFORMACIÓN")</f>
        <v>Impericia en el manejo.</v>
      </c>
      <c r="AP409" s="36">
        <v>114</v>
      </c>
      <c r="AQ409" s="36" t="str">
        <f>IFERROR(((VLOOKUP(Tabla1[[#This Row],[HIPOTESIS_2]],listas!$D$1:$E$105,2,FALSE))),"")</f>
        <v>Embriaguez aparente.</v>
      </c>
      <c r="AR409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410" spans="1:44" x14ac:dyDescent="0.25">
      <c r="A410" s="12">
        <v>525</v>
      </c>
      <c r="B410" s="36">
        <v>0</v>
      </c>
      <c r="C410" s="36">
        <v>2</v>
      </c>
      <c r="D410" s="60">
        <v>0</v>
      </c>
      <c r="E410" s="18" t="str">
        <f t="shared" si="24"/>
        <v>LESIONADO</v>
      </c>
      <c r="F410" s="29" t="s">
        <v>1092</v>
      </c>
      <c r="G410" s="21">
        <v>5.3399916666666662</v>
      </c>
      <c r="H410" s="21">
        <v>-72.375622222222219</v>
      </c>
      <c r="I410" s="93" t="s">
        <v>697</v>
      </c>
      <c r="J410" s="36" t="s">
        <v>717</v>
      </c>
      <c r="K410" s="24" t="str">
        <f t="shared" si="25"/>
        <v>2023</v>
      </c>
      <c r="L410" s="24" t="str">
        <f t="shared" si="26"/>
        <v>JULIO</v>
      </c>
      <c r="M410" s="225">
        <v>45136</v>
      </c>
      <c r="N410" s="24" t="str">
        <f t="shared" si="27"/>
        <v>SÁBADO</v>
      </c>
      <c r="O410" s="103">
        <v>0.91319444444444453</v>
      </c>
      <c r="P410" s="57" t="s">
        <v>469</v>
      </c>
      <c r="Q410" s="57" t="s">
        <v>469</v>
      </c>
      <c r="R410" s="36">
        <f>COUNTIF(Tabla1[[#This Row],[VEHICULOS_ACCIDENTADOS]:[VEHICULOS_ACCIDENTADOS2]],"MOTOCICLETA")</f>
        <v>2</v>
      </c>
      <c r="S410" s="36">
        <f>COUNTIF(Tabla1[[#This Row],[VEHICULOS_ACCIDENTADOS]:[VEHICULOS_ACCIDENTADOS2]],"MOTOCARRO")</f>
        <v>0</v>
      </c>
      <c r="T410" s="36">
        <f>COUNTIF(Tabla1[[#This Row],[VEHICULOS_ACCIDENTADOS]:[VEHICULOS_ACCIDENTADOS2]],"AUTOMOVIL")</f>
        <v>0</v>
      </c>
      <c r="U410" s="36">
        <f>COUNTIF(Tabla1[[#This Row],[VEHICULOS_ACCIDENTADOS]:[VEHICULOS_ACCIDENTADOS2]],"CAMPERO")</f>
        <v>0</v>
      </c>
      <c r="V410" s="36">
        <f>COUNTIF(Tabla1[[#This Row],[VEHICULOS_ACCIDENTADOS]:[VEHICULOS_ACCIDENTADOS2]],"CAMIONETA")</f>
        <v>0</v>
      </c>
      <c r="W410" s="36">
        <f>COUNTIF(Tabla1[[#This Row],[VEHICULOS_ACCIDENTADOS]:[VEHICULOS_ACCIDENTADOS2]],"MICROBUS")</f>
        <v>0</v>
      </c>
      <c r="X410" s="36">
        <f>COUNTIF(Tabla1[[#This Row],[VEHICULOS_ACCIDENTADOS]:[VEHICULOS_ACCIDENTADOS2]],"BUS")</f>
        <v>0</v>
      </c>
      <c r="Y410" s="36">
        <f>COUNTIF(Tabla1[[#This Row],[VEHICULOS_ACCIDENTADOS]:[VEHICULOS_ACCIDENTADOS2]],"BUSETA")</f>
        <v>0</v>
      </c>
      <c r="Z410" s="36">
        <f>COUNTIF(Tabla1[[#This Row],[VEHICULOS_ACCIDENTADOS]:[VEHICULOS_ACCIDENTADOS2]],"CAMION")</f>
        <v>0</v>
      </c>
      <c r="AA410" s="36">
        <f>COUNTIF(Tabla1[[#This Row],[VEHICULOS_ACCIDENTADOS]:[VEHICULOS_ACCIDENTADOS2]],"TRACTOCAMION")</f>
        <v>0</v>
      </c>
      <c r="AB410" s="36">
        <f>COUNTIF(Tabla1[[#This Row],[VEHICULOS_ACCIDENTADOS]:[VEHICULOS_ACCIDENTADOS2]],"VOLQUETA")</f>
        <v>0</v>
      </c>
      <c r="AC410" s="36">
        <f>COUNTIF(Tabla1[[#This Row],[VEHICULOS_ACCIDENTADOS]:[VEHICULOS_ACCIDENTADOS2]],"BICICLETA")</f>
        <v>0</v>
      </c>
      <c r="AD410" s="56" t="s">
        <v>471</v>
      </c>
      <c r="AE410" s="56" t="s">
        <v>472</v>
      </c>
      <c r="AF410" s="56">
        <f>COUNTIF(Tabla1[[#This Row],[GENERO_MASCULINO]:[GENERO_FEMENINO]],"MASCULINO")</f>
        <v>1</v>
      </c>
      <c r="AG410" s="36">
        <f>COUNTIF(Tabla1[[#This Row],[GENERO_MASCULINO]:[GENERO_FEMENINO]],"FEMENINO")</f>
        <v>1</v>
      </c>
      <c r="AH410" s="61">
        <v>37</v>
      </c>
      <c r="AI410" s="61"/>
      <c r="AJ410" s="61"/>
      <c r="AK410" s="61"/>
      <c r="AL410" s="61">
        <v>35</v>
      </c>
      <c r="AM410" s="36"/>
      <c r="AN410" s="61">
        <v>157</v>
      </c>
      <c r="AO410" s="36" t="str">
        <f>IFERROR(((VLOOKUP(Tabla1[[#This Row],[HIPOTESIS_1]],listas!$D$1:$E$105,2,FALSE))),"SIN INFORMACIÓN")</f>
        <v>Otra</v>
      </c>
      <c r="AP410" s="36">
        <v>114</v>
      </c>
      <c r="AQ410" s="36" t="str">
        <f>IFERROR(((VLOOKUP(Tabla1[[#This Row],[HIPOTESIS_2]],listas!$D$1:$E$105,2,FALSE))),"")</f>
        <v>Embriaguez aparente.</v>
      </c>
      <c r="AR410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411" spans="1:44" x14ac:dyDescent="0.25">
      <c r="A411" s="12">
        <v>652</v>
      </c>
      <c r="B411" s="136">
        <v>0</v>
      </c>
      <c r="C411" s="136">
        <v>0</v>
      </c>
      <c r="D411" s="149">
        <v>1</v>
      </c>
      <c r="E411" s="18" t="str">
        <f t="shared" si="24"/>
        <v>FALLECIDO</v>
      </c>
      <c r="F411" s="26" t="s">
        <v>1095</v>
      </c>
      <c r="G411" s="17">
        <v>5.3187444444444445</v>
      </c>
      <c r="H411" s="17">
        <v>-72.404452777777777</v>
      </c>
      <c r="I411" s="93" t="s">
        <v>697</v>
      </c>
      <c r="J411" s="136" t="s">
        <v>717</v>
      </c>
      <c r="K411" s="24" t="str">
        <f t="shared" si="25"/>
        <v>2024</v>
      </c>
      <c r="L411" s="24" t="str">
        <f t="shared" si="26"/>
        <v>ENERO</v>
      </c>
      <c r="M411" s="224">
        <v>45320</v>
      </c>
      <c r="N411" s="24" t="str">
        <f t="shared" si="27"/>
        <v>LUNES</v>
      </c>
      <c r="O411" s="104">
        <v>0.95833333333333337</v>
      </c>
      <c r="P411" s="178" t="s">
        <v>439</v>
      </c>
      <c r="Q411" s="178"/>
      <c r="R411" s="36">
        <f>COUNTIF(Tabla1[[#This Row],[VEHICULOS_ACCIDENTADOS]:[VEHICULOS_ACCIDENTADOS2]],"MOTOCICLETA")</f>
        <v>0</v>
      </c>
      <c r="S411" s="36">
        <f>COUNTIF(Tabla1[[#This Row],[VEHICULOS_ACCIDENTADOS]:[VEHICULOS_ACCIDENTADOS2]],"MOTOCARRO")</f>
        <v>0</v>
      </c>
      <c r="T411" s="36">
        <f>COUNTIF(Tabla1[[#This Row],[VEHICULOS_ACCIDENTADOS]:[VEHICULOS_ACCIDENTADOS2]],"AUTOMOVIL")</f>
        <v>0</v>
      </c>
      <c r="U411" s="36">
        <f>COUNTIF(Tabla1[[#This Row],[VEHICULOS_ACCIDENTADOS]:[VEHICULOS_ACCIDENTADOS2]],"CAMPERO")</f>
        <v>0</v>
      </c>
      <c r="V411" s="36">
        <f>COUNTIF(Tabla1[[#This Row],[VEHICULOS_ACCIDENTADOS]:[VEHICULOS_ACCIDENTADOS2]],"CAMIONETA")</f>
        <v>0</v>
      </c>
      <c r="W411" s="36">
        <f>COUNTIF(Tabla1[[#This Row],[VEHICULOS_ACCIDENTADOS]:[VEHICULOS_ACCIDENTADOS2]],"MICROBUS")</f>
        <v>0</v>
      </c>
      <c r="X411" s="36">
        <f>COUNTIF(Tabla1[[#This Row],[VEHICULOS_ACCIDENTADOS]:[VEHICULOS_ACCIDENTADOS2]],"BUS")</f>
        <v>0</v>
      </c>
      <c r="Y411" s="36">
        <f>COUNTIF(Tabla1[[#This Row],[VEHICULOS_ACCIDENTADOS]:[VEHICULOS_ACCIDENTADOS2]],"BUSETA")</f>
        <v>0</v>
      </c>
      <c r="Z411" s="36">
        <f>COUNTIF(Tabla1[[#This Row],[VEHICULOS_ACCIDENTADOS]:[VEHICULOS_ACCIDENTADOS2]],"CAMION")</f>
        <v>0</v>
      </c>
      <c r="AA411" s="36">
        <f>COUNTIF(Tabla1[[#This Row],[VEHICULOS_ACCIDENTADOS]:[VEHICULOS_ACCIDENTADOS2]],"TRACTOCAMION")</f>
        <v>0</v>
      </c>
      <c r="AB411" s="36">
        <f>COUNTIF(Tabla1[[#This Row],[VEHICULOS_ACCIDENTADOS]:[VEHICULOS_ACCIDENTADOS2]],"VOLQUETA")</f>
        <v>1</v>
      </c>
      <c r="AC411" s="36">
        <f>COUNTIF(Tabla1[[#This Row],[VEHICULOS_ACCIDENTADOS]:[VEHICULOS_ACCIDENTADOS2]],"BICICLETA")</f>
        <v>0</v>
      </c>
      <c r="AD411" s="190" t="s">
        <v>471</v>
      </c>
      <c r="AE411" s="190"/>
      <c r="AF411" s="190">
        <f>COUNTIF(Tabla1[[#This Row],[GENERO_MASCULINO]:[GENERO_FEMENINO]],"MASCULINO")</f>
        <v>1</v>
      </c>
      <c r="AG411" s="36">
        <f>COUNTIF(Tabla1[[#This Row],[GENERO_MASCULINO]:[GENERO_FEMENINO]],"FEMENINO")</f>
        <v>0</v>
      </c>
      <c r="AH411" s="85"/>
      <c r="AI411" s="85"/>
      <c r="AJ411" s="85"/>
      <c r="AK411" s="85"/>
      <c r="AL411" s="85"/>
      <c r="AM411" s="136">
        <v>26</v>
      </c>
      <c r="AN411" s="85">
        <v>139</v>
      </c>
      <c r="AO411" s="36" t="str">
        <f>IFERROR(((VLOOKUP(Tabla1[[#This Row],[HIPOTESIS_1]],listas!$D$1:$E$105,2,FALSE))),"SIN INFORMACIÓN")</f>
        <v>Impericia en el manejo.</v>
      </c>
      <c r="AP411" s="136">
        <v>114</v>
      </c>
      <c r="AQ411" s="36" t="str">
        <f>IFERROR(((VLOOKUP(Tabla1[[#This Row],[HIPOTESIS_2]],listas!$D$1:$E$105,2,FALSE))),"")</f>
        <v>Embriaguez aparente.</v>
      </c>
      <c r="AR411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412" spans="1:44" x14ac:dyDescent="0.25">
      <c r="A412" s="12">
        <v>78</v>
      </c>
      <c r="B412" s="36">
        <v>0</v>
      </c>
      <c r="C412" s="36">
        <v>0</v>
      </c>
      <c r="D412" s="60">
        <v>1</v>
      </c>
      <c r="E412" s="18" t="str">
        <f t="shared" si="24"/>
        <v>FALLECIDO</v>
      </c>
      <c r="F412" s="29" t="s">
        <v>1096</v>
      </c>
      <c r="G412" s="17">
        <v>5.3091055555555551</v>
      </c>
      <c r="H412" s="17">
        <v>-72.403600000000012</v>
      </c>
      <c r="I412" s="93" t="s">
        <v>697</v>
      </c>
      <c r="J412" s="36" t="s">
        <v>717</v>
      </c>
      <c r="K412" s="24" t="str">
        <f t="shared" si="25"/>
        <v>2022</v>
      </c>
      <c r="L412" s="24" t="str">
        <f t="shared" si="26"/>
        <v>MARZO</v>
      </c>
      <c r="M412" s="225">
        <v>44626</v>
      </c>
      <c r="N412" s="24" t="str">
        <f t="shared" si="27"/>
        <v>DOMINGO</v>
      </c>
      <c r="O412" s="103">
        <v>0.95833333333333304</v>
      </c>
      <c r="P412" s="63" t="s">
        <v>469</v>
      </c>
      <c r="Q412" s="63"/>
      <c r="R412" s="36">
        <f>COUNTIF(Tabla1[[#This Row],[VEHICULOS_ACCIDENTADOS]:[VEHICULOS_ACCIDENTADOS2]],"MOTOCICLETA")</f>
        <v>1</v>
      </c>
      <c r="S412" s="36">
        <f>COUNTIF(Tabla1[[#This Row],[VEHICULOS_ACCIDENTADOS]:[VEHICULOS_ACCIDENTADOS2]],"MOTOCARRO")</f>
        <v>0</v>
      </c>
      <c r="T412" s="36">
        <f>COUNTIF(Tabla1[[#This Row],[VEHICULOS_ACCIDENTADOS]:[VEHICULOS_ACCIDENTADOS2]],"AUTOMOVIL")</f>
        <v>0</v>
      </c>
      <c r="U412" s="36">
        <f>COUNTIF(Tabla1[[#This Row],[VEHICULOS_ACCIDENTADOS]:[VEHICULOS_ACCIDENTADOS2]],"CAMPERO")</f>
        <v>0</v>
      </c>
      <c r="V412" s="36">
        <f>COUNTIF(Tabla1[[#This Row],[VEHICULOS_ACCIDENTADOS]:[VEHICULOS_ACCIDENTADOS2]],"CAMIONETA")</f>
        <v>0</v>
      </c>
      <c r="W412" s="36">
        <f>COUNTIF(Tabla1[[#This Row],[VEHICULOS_ACCIDENTADOS]:[VEHICULOS_ACCIDENTADOS2]],"MICROBUS")</f>
        <v>0</v>
      </c>
      <c r="X412" s="36">
        <f>COUNTIF(Tabla1[[#This Row],[VEHICULOS_ACCIDENTADOS]:[VEHICULOS_ACCIDENTADOS2]],"BUS")</f>
        <v>0</v>
      </c>
      <c r="Y412" s="36">
        <f>COUNTIF(Tabla1[[#This Row],[VEHICULOS_ACCIDENTADOS]:[VEHICULOS_ACCIDENTADOS2]],"BUSETA")</f>
        <v>0</v>
      </c>
      <c r="Z412" s="36">
        <f>COUNTIF(Tabla1[[#This Row],[VEHICULOS_ACCIDENTADOS]:[VEHICULOS_ACCIDENTADOS2]],"CAMION")</f>
        <v>0</v>
      </c>
      <c r="AA412" s="36">
        <f>COUNTIF(Tabla1[[#This Row],[VEHICULOS_ACCIDENTADOS]:[VEHICULOS_ACCIDENTADOS2]],"TRACTOCAMION")</f>
        <v>0</v>
      </c>
      <c r="AB412" s="36">
        <f>COUNTIF(Tabla1[[#This Row],[VEHICULOS_ACCIDENTADOS]:[VEHICULOS_ACCIDENTADOS2]],"VOLQUETA")</f>
        <v>0</v>
      </c>
      <c r="AC412" s="36">
        <f>COUNTIF(Tabla1[[#This Row],[VEHICULOS_ACCIDENTADOS]:[VEHICULOS_ACCIDENTADOS2]],"BICICLETA")</f>
        <v>0</v>
      </c>
      <c r="AD412" s="56"/>
      <c r="AE412" s="56" t="s">
        <v>472</v>
      </c>
      <c r="AF412" s="56">
        <f>COUNTIF(Tabla1[[#This Row],[GENERO_MASCULINO]:[GENERO_FEMENINO]],"MASCULINO")</f>
        <v>0</v>
      </c>
      <c r="AG412" s="36">
        <f>COUNTIF(Tabla1[[#This Row],[GENERO_MASCULINO]:[GENERO_FEMENINO]],"FEMENINO")</f>
        <v>1</v>
      </c>
      <c r="AH412" s="61">
        <v>30</v>
      </c>
      <c r="AI412" s="61"/>
      <c r="AJ412" s="61"/>
      <c r="AK412" s="61"/>
      <c r="AL412" s="61"/>
      <c r="AM412" s="36"/>
      <c r="AN412" s="61">
        <v>157</v>
      </c>
      <c r="AO412" s="36" t="str">
        <f>IFERROR(((VLOOKUP(Tabla1[[#This Row],[HIPOTESIS_1]],listas!$D$1:$E$105,2,FALSE))),"SIN INFORMACIÓN")</f>
        <v>Otra</v>
      </c>
      <c r="AP412" s="36">
        <v>114</v>
      </c>
      <c r="AQ412" s="36" t="str">
        <f>IFERROR(((VLOOKUP(Tabla1[[#This Row],[HIPOTESIS_2]],listas!$D$1:$E$105,2,FALSE))),"")</f>
        <v>Embriaguez aparente.</v>
      </c>
      <c r="AR412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413" spans="1:44" x14ac:dyDescent="0.25">
      <c r="A413" s="12">
        <v>216</v>
      </c>
      <c r="B413" s="36">
        <v>0</v>
      </c>
      <c r="C413" s="36">
        <v>1</v>
      </c>
      <c r="D413" s="60">
        <v>0</v>
      </c>
      <c r="E413" s="18" t="str">
        <f t="shared" si="24"/>
        <v>LESIONADO</v>
      </c>
      <c r="F413" s="29" t="s">
        <v>1096</v>
      </c>
      <c r="G413" s="17">
        <v>5.3091055555555551</v>
      </c>
      <c r="H413" s="17">
        <v>-72.403600000000012</v>
      </c>
      <c r="I413" s="93" t="s">
        <v>697</v>
      </c>
      <c r="J413" s="36" t="s">
        <v>717</v>
      </c>
      <c r="K413" s="24" t="str">
        <f t="shared" si="25"/>
        <v>2022</v>
      </c>
      <c r="L413" s="24" t="str">
        <f t="shared" si="26"/>
        <v>JUNIO</v>
      </c>
      <c r="M413" s="225">
        <v>44726</v>
      </c>
      <c r="N413" s="24" t="str">
        <f t="shared" si="27"/>
        <v>MARTES</v>
      </c>
      <c r="O413" s="170">
        <v>0.65277777777777801</v>
      </c>
      <c r="P413" s="53" t="s">
        <v>445</v>
      </c>
      <c r="Q413" s="53" t="s">
        <v>438</v>
      </c>
      <c r="R413" s="36">
        <f>COUNTIF(Tabla1[[#This Row],[VEHICULOS_ACCIDENTADOS]:[VEHICULOS_ACCIDENTADOS2]],"MOTOCICLETA")</f>
        <v>0</v>
      </c>
      <c r="S413" s="36">
        <f>COUNTIF(Tabla1[[#This Row],[VEHICULOS_ACCIDENTADOS]:[VEHICULOS_ACCIDENTADOS2]],"MOTOCARRO")</f>
        <v>0</v>
      </c>
      <c r="T413" s="36">
        <f>COUNTIF(Tabla1[[#This Row],[VEHICULOS_ACCIDENTADOS]:[VEHICULOS_ACCIDENTADOS2]],"AUTOMOVIL")</f>
        <v>0</v>
      </c>
      <c r="U413" s="36">
        <f>COUNTIF(Tabla1[[#This Row],[VEHICULOS_ACCIDENTADOS]:[VEHICULOS_ACCIDENTADOS2]],"CAMPERO")</f>
        <v>0</v>
      </c>
      <c r="V413" s="36">
        <f>COUNTIF(Tabla1[[#This Row],[VEHICULOS_ACCIDENTADOS]:[VEHICULOS_ACCIDENTADOS2]],"CAMIONETA")</f>
        <v>1</v>
      </c>
      <c r="W413" s="36">
        <f>COUNTIF(Tabla1[[#This Row],[VEHICULOS_ACCIDENTADOS]:[VEHICULOS_ACCIDENTADOS2]],"MICROBUS")</f>
        <v>0</v>
      </c>
      <c r="X413" s="36">
        <f>COUNTIF(Tabla1[[#This Row],[VEHICULOS_ACCIDENTADOS]:[VEHICULOS_ACCIDENTADOS2]],"BUS")</f>
        <v>0</v>
      </c>
      <c r="Y413" s="36">
        <f>COUNTIF(Tabla1[[#This Row],[VEHICULOS_ACCIDENTADOS]:[VEHICULOS_ACCIDENTADOS2]],"BUSETA")</f>
        <v>0</v>
      </c>
      <c r="Z413" s="36">
        <f>COUNTIF(Tabla1[[#This Row],[VEHICULOS_ACCIDENTADOS]:[VEHICULOS_ACCIDENTADOS2]],"CAMION")</f>
        <v>0</v>
      </c>
      <c r="AA413" s="36">
        <f>COUNTIF(Tabla1[[#This Row],[VEHICULOS_ACCIDENTADOS]:[VEHICULOS_ACCIDENTADOS2]],"TRACTOCAMION")</f>
        <v>0</v>
      </c>
      <c r="AB413" s="36">
        <f>COUNTIF(Tabla1[[#This Row],[VEHICULOS_ACCIDENTADOS]:[VEHICULOS_ACCIDENTADOS2]],"VOLQUETA")</f>
        <v>0</v>
      </c>
      <c r="AC413" s="36">
        <f>COUNTIF(Tabla1[[#This Row],[VEHICULOS_ACCIDENTADOS]:[VEHICULOS_ACCIDENTADOS2]],"BICICLETA")</f>
        <v>1</v>
      </c>
      <c r="AD413" s="56" t="s">
        <v>471</v>
      </c>
      <c r="AE413" s="56"/>
      <c r="AF413" s="56">
        <f>COUNTIF(Tabla1[[#This Row],[GENERO_MASCULINO]:[GENERO_FEMENINO]],"MASCULINO")</f>
        <v>1</v>
      </c>
      <c r="AG413" s="36">
        <f>COUNTIF(Tabla1[[#This Row],[GENERO_MASCULINO]:[GENERO_FEMENINO]],"FEMENINO")</f>
        <v>0</v>
      </c>
      <c r="AH413" s="61">
        <v>64</v>
      </c>
      <c r="AI413" s="61"/>
      <c r="AJ413" s="61"/>
      <c r="AK413" s="61"/>
      <c r="AL413" s="61"/>
      <c r="AM413" s="69"/>
      <c r="AN413" s="61">
        <v>93</v>
      </c>
      <c r="AO413" s="36" t="str">
        <f>IFERROR(((VLOOKUP(Tabla1[[#This Row],[HIPOTESIS_1]],listas!$D$1:$E$105,2,FALSE))),"SIN INFORMACIÓN")</f>
        <v>Transitar distante de la acera u orilla de la calzada.</v>
      </c>
      <c r="AP413" s="36">
        <v>114</v>
      </c>
      <c r="AQ413" s="36" t="str">
        <f>IFERROR(((VLOOKUP(Tabla1[[#This Row],[HIPOTESIS_2]],listas!$D$1:$E$105,2,FALSE))),"")</f>
        <v>Embriaguez aparente.</v>
      </c>
      <c r="AR413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414" spans="1:44" x14ac:dyDescent="0.25">
      <c r="A414" s="12">
        <v>1053</v>
      </c>
      <c r="B414" s="137">
        <v>0</v>
      </c>
      <c r="C414" s="137">
        <v>1</v>
      </c>
      <c r="D414" s="146">
        <v>0</v>
      </c>
      <c r="E414" s="18" t="str">
        <f t="shared" si="24"/>
        <v>LESIONADO</v>
      </c>
      <c r="F414" s="152" t="s">
        <v>997</v>
      </c>
      <c r="G414" s="37">
        <v>5.3289358</v>
      </c>
      <c r="H414" s="37">
        <v>-72.408605199999997</v>
      </c>
      <c r="I414" s="93" t="s">
        <v>697</v>
      </c>
      <c r="J414" s="36" t="s">
        <v>717</v>
      </c>
      <c r="K414" s="24" t="str">
        <f t="shared" si="25"/>
        <v>2025</v>
      </c>
      <c r="L414" s="24" t="str">
        <f t="shared" si="26"/>
        <v>AGOSTO</v>
      </c>
      <c r="M414" s="225">
        <v>45897</v>
      </c>
      <c r="N414" s="24" t="str">
        <f t="shared" si="27"/>
        <v>JUEVES</v>
      </c>
      <c r="O414" s="103">
        <v>7.8472222222222221E-2</v>
      </c>
      <c r="P414" s="63" t="s">
        <v>469</v>
      </c>
      <c r="Q414" s="63"/>
      <c r="R414" s="36">
        <f>COUNTIF(Tabla1[[#This Row],[VEHICULOS_ACCIDENTADOS]:[VEHICULOS_ACCIDENTADOS2]],"MOTOCICLETA")</f>
        <v>1</v>
      </c>
      <c r="S414" s="36">
        <f>COUNTIF(Tabla1[[#This Row],[VEHICULOS_ACCIDENTADOS]:[VEHICULOS_ACCIDENTADOS2]],"MOTOCARRO")</f>
        <v>0</v>
      </c>
      <c r="T414" s="36">
        <f>COUNTIF(Tabla1[[#This Row],[VEHICULOS_ACCIDENTADOS]:[VEHICULOS_ACCIDENTADOS2]],"AUTOMOVIL")</f>
        <v>0</v>
      </c>
      <c r="U414" s="36">
        <f>COUNTIF(Tabla1[[#This Row],[VEHICULOS_ACCIDENTADOS]:[VEHICULOS_ACCIDENTADOS2]],"CAMPERO")</f>
        <v>0</v>
      </c>
      <c r="V414" s="36">
        <f>COUNTIF(Tabla1[[#This Row],[VEHICULOS_ACCIDENTADOS]:[VEHICULOS_ACCIDENTADOS2]],"CAMIONETA")</f>
        <v>0</v>
      </c>
      <c r="W414" s="36">
        <f>COUNTIF(Tabla1[[#This Row],[VEHICULOS_ACCIDENTADOS]:[VEHICULOS_ACCIDENTADOS2]],"MICROBUS")</f>
        <v>0</v>
      </c>
      <c r="X414" s="36">
        <f>COUNTIF(Tabla1[[#This Row],[VEHICULOS_ACCIDENTADOS]:[VEHICULOS_ACCIDENTADOS2]],"BUS")</f>
        <v>0</v>
      </c>
      <c r="Y414" s="36">
        <f>COUNTIF(Tabla1[[#This Row],[VEHICULOS_ACCIDENTADOS]:[VEHICULOS_ACCIDENTADOS2]],"BUSETA")</f>
        <v>0</v>
      </c>
      <c r="Z414" s="36">
        <f>COUNTIF(Tabla1[[#This Row],[VEHICULOS_ACCIDENTADOS]:[VEHICULOS_ACCIDENTADOS2]],"CAMION")</f>
        <v>0</v>
      </c>
      <c r="AA414" s="36">
        <f>COUNTIF(Tabla1[[#This Row],[VEHICULOS_ACCIDENTADOS]:[VEHICULOS_ACCIDENTADOS2]],"TRACTOCAMION")</f>
        <v>0</v>
      </c>
      <c r="AB414" s="36">
        <f>COUNTIF(Tabla1[[#This Row],[VEHICULOS_ACCIDENTADOS]:[VEHICULOS_ACCIDENTADOS2]],"VOLQUETA")</f>
        <v>0</v>
      </c>
      <c r="AC414" s="36">
        <f>COUNTIF(Tabla1[[#This Row],[VEHICULOS_ACCIDENTADOS]:[VEHICULOS_ACCIDENTADOS2]],"BICICLETA")</f>
        <v>0</v>
      </c>
      <c r="AD414" s="188" t="s">
        <v>471</v>
      </c>
      <c r="AE414" s="188" t="s">
        <v>471</v>
      </c>
      <c r="AF414" s="56">
        <f>COUNTIF(Tabla1[[#This Row],[GENERO_MASCULINO]:[GENERO_FEMENINO]],"MASCULINO")</f>
        <v>2</v>
      </c>
      <c r="AG414" s="36">
        <f>COUNTIF(Tabla1[[#This Row],[GENERO_MASCULINO]:[GENERO_FEMENINO]],"FEMENINO")</f>
        <v>0</v>
      </c>
      <c r="AH414" s="85">
        <v>28</v>
      </c>
      <c r="AI414" s="85">
        <v>42</v>
      </c>
      <c r="AJ414" s="85"/>
      <c r="AK414" s="78"/>
      <c r="AL414" s="78"/>
      <c r="AM414" s="59"/>
      <c r="AN414" s="61">
        <v>139</v>
      </c>
      <c r="AO414" s="59" t="str">
        <f>IFERROR(((VLOOKUP(Tabla1[[#This Row],[HIPOTESIS_1]],listas!$D$1:$E$105,2,FALSE))),"SIN INFORMACIÓN")</f>
        <v>Impericia en el manejo.</v>
      </c>
      <c r="AP414" s="36">
        <v>114</v>
      </c>
      <c r="AQ414" s="36" t="str">
        <f>IFERROR(((VLOOKUP(Tabla1[[#This Row],[HIPOTESIS_2]],listas!$D$1:$E$105,2,FALSE))),"")</f>
        <v>Embriaguez aparente.</v>
      </c>
      <c r="AR414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415" spans="1:44" x14ac:dyDescent="0.25">
      <c r="A415" s="12">
        <v>332</v>
      </c>
      <c r="B415" s="36">
        <v>0</v>
      </c>
      <c r="C415" s="36">
        <v>0</v>
      </c>
      <c r="D415" s="60">
        <v>1</v>
      </c>
      <c r="E415" s="18" t="str">
        <f t="shared" si="24"/>
        <v>FALLECIDO</v>
      </c>
      <c r="F415" s="29" t="s">
        <v>310</v>
      </c>
      <c r="G415" s="17">
        <v>5.3186638888888886</v>
      </c>
      <c r="H415" s="17">
        <v>-72.403172222222224</v>
      </c>
      <c r="I415" s="93" t="s">
        <v>697</v>
      </c>
      <c r="J415" s="36" t="s">
        <v>717</v>
      </c>
      <c r="K415" s="24" t="str">
        <f t="shared" si="25"/>
        <v>2022</v>
      </c>
      <c r="L415" s="24" t="str">
        <f t="shared" si="26"/>
        <v>OCTUBRE</v>
      </c>
      <c r="M415" s="225">
        <v>44848</v>
      </c>
      <c r="N415" s="24" t="str">
        <f t="shared" si="27"/>
        <v>VIERNES</v>
      </c>
      <c r="O415" s="102">
        <v>0.6875</v>
      </c>
      <c r="P415" s="53" t="s">
        <v>469</v>
      </c>
      <c r="Q415" s="53" t="s">
        <v>441</v>
      </c>
      <c r="R415" s="36">
        <f>COUNTIF(Tabla1[[#This Row],[VEHICULOS_ACCIDENTADOS]:[VEHICULOS_ACCIDENTADOS2]],"MOTOCICLETA")</f>
        <v>1</v>
      </c>
      <c r="S415" s="36">
        <f>COUNTIF(Tabla1[[#This Row],[VEHICULOS_ACCIDENTADOS]:[VEHICULOS_ACCIDENTADOS2]],"MOTOCARRO")</f>
        <v>0</v>
      </c>
      <c r="T415" s="36">
        <f>COUNTIF(Tabla1[[#This Row],[VEHICULOS_ACCIDENTADOS]:[VEHICULOS_ACCIDENTADOS2]],"AUTOMOVIL")</f>
        <v>0</v>
      </c>
      <c r="U415" s="36">
        <f>COUNTIF(Tabla1[[#This Row],[VEHICULOS_ACCIDENTADOS]:[VEHICULOS_ACCIDENTADOS2]],"CAMPERO")</f>
        <v>0</v>
      </c>
      <c r="V415" s="36">
        <f>COUNTIF(Tabla1[[#This Row],[VEHICULOS_ACCIDENTADOS]:[VEHICULOS_ACCIDENTADOS2]],"CAMIONETA")</f>
        <v>0</v>
      </c>
      <c r="W415" s="36">
        <f>COUNTIF(Tabla1[[#This Row],[VEHICULOS_ACCIDENTADOS]:[VEHICULOS_ACCIDENTADOS2]],"MICROBUS")</f>
        <v>0</v>
      </c>
      <c r="X415" s="36">
        <f>COUNTIF(Tabla1[[#This Row],[VEHICULOS_ACCIDENTADOS]:[VEHICULOS_ACCIDENTADOS2]],"BUS")</f>
        <v>0</v>
      </c>
      <c r="Y415" s="36">
        <f>COUNTIF(Tabla1[[#This Row],[VEHICULOS_ACCIDENTADOS]:[VEHICULOS_ACCIDENTADOS2]],"BUSETA")</f>
        <v>0</v>
      </c>
      <c r="Z415" s="36">
        <f>COUNTIF(Tabla1[[#This Row],[VEHICULOS_ACCIDENTADOS]:[VEHICULOS_ACCIDENTADOS2]],"CAMION")</f>
        <v>1</v>
      </c>
      <c r="AA415" s="36">
        <f>COUNTIF(Tabla1[[#This Row],[VEHICULOS_ACCIDENTADOS]:[VEHICULOS_ACCIDENTADOS2]],"TRACTOCAMION")</f>
        <v>0</v>
      </c>
      <c r="AB415" s="36">
        <f>COUNTIF(Tabla1[[#This Row],[VEHICULOS_ACCIDENTADOS]:[VEHICULOS_ACCIDENTADOS2]],"VOLQUETA")</f>
        <v>0</v>
      </c>
      <c r="AC415" s="36">
        <f>COUNTIF(Tabla1[[#This Row],[VEHICULOS_ACCIDENTADOS]:[VEHICULOS_ACCIDENTADOS2]],"BICICLETA")</f>
        <v>0</v>
      </c>
      <c r="AD415" s="56"/>
      <c r="AE415" s="56" t="s">
        <v>472</v>
      </c>
      <c r="AF415" s="56">
        <f>COUNTIF(Tabla1[[#This Row],[GENERO_MASCULINO]:[GENERO_FEMENINO]],"MASCULINO")</f>
        <v>0</v>
      </c>
      <c r="AG415" s="36">
        <f>COUNTIF(Tabla1[[#This Row],[GENERO_MASCULINO]:[GENERO_FEMENINO]],"FEMENINO")</f>
        <v>1</v>
      </c>
      <c r="AH415" s="61"/>
      <c r="AI415" s="61"/>
      <c r="AJ415" s="61"/>
      <c r="AK415" s="61"/>
      <c r="AL415" s="61"/>
      <c r="AM415" s="36">
        <v>32</v>
      </c>
      <c r="AN415" s="61">
        <v>141</v>
      </c>
      <c r="AO415" s="36" t="str">
        <f>IFERROR(((VLOOKUP(Tabla1[[#This Row],[HIPOTESIS_1]],listas!$D$1:$E$105,2,FALSE))),"SIN INFORMACIÓN")</f>
        <v>Vehículo mal estacionado.</v>
      </c>
      <c r="AP415" s="36">
        <v>114</v>
      </c>
      <c r="AQ415" s="36" t="str">
        <f>IFERROR(((VLOOKUP(Tabla1[[#This Row],[HIPOTESIS_2]],listas!$D$1:$E$105,2,FALSE))),"")</f>
        <v>Embriaguez aparente.</v>
      </c>
      <c r="AR415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416" spans="1:44" x14ac:dyDescent="0.25">
      <c r="A416" s="12">
        <v>537</v>
      </c>
      <c r="B416" s="36">
        <v>0</v>
      </c>
      <c r="C416" s="36">
        <v>1</v>
      </c>
      <c r="D416" s="60">
        <v>0</v>
      </c>
      <c r="E416" s="18" t="str">
        <f t="shared" si="24"/>
        <v>LESIONADO</v>
      </c>
      <c r="F416" s="29" t="s">
        <v>216</v>
      </c>
      <c r="G416" s="21">
        <v>5.325685</v>
      </c>
      <c r="H416" s="21">
        <v>-72.403162500000008</v>
      </c>
      <c r="I416" s="93" t="s">
        <v>697</v>
      </c>
      <c r="J416" s="36" t="s">
        <v>717</v>
      </c>
      <c r="K416" s="24" t="str">
        <f t="shared" si="25"/>
        <v>2023</v>
      </c>
      <c r="L416" s="24" t="str">
        <f t="shared" si="26"/>
        <v>AGOSTO</v>
      </c>
      <c r="M416" s="225">
        <v>45156</v>
      </c>
      <c r="N416" s="24" t="str">
        <f t="shared" si="27"/>
        <v>VIERNES</v>
      </c>
      <c r="O416" s="103">
        <v>0.88888888888888884</v>
      </c>
      <c r="P416" s="57" t="s">
        <v>469</v>
      </c>
      <c r="Q416" s="57" t="s">
        <v>469</v>
      </c>
      <c r="R416" s="36">
        <f>COUNTIF(Tabla1[[#This Row],[VEHICULOS_ACCIDENTADOS]:[VEHICULOS_ACCIDENTADOS2]],"MOTOCICLETA")</f>
        <v>2</v>
      </c>
      <c r="S416" s="36">
        <f>COUNTIF(Tabla1[[#This Row],[VEHICULOS_ACCIDENTADOS]:[VEHICULOS_ACCIDENTADOS2]],"MOTOCARRO")</f>
        <v>0</v>
      </c>
      <c r="T416" s="36">
        <f>COUNTIF(Tabla1[[#This Row],[VEHICULOS_ACCIDENTADOS]:[VEHICULOS_ACCIDENTADOS2]],"AUTOMOVIL")</f>
        <v>0</v>
      </c>
      <c r="U416" s="36">
        <f>COUNTIF(Tabla1[[#This Row],[VEHICULOS_ACCIDENTADOS]:[VEHICULOS_ACCIDENTADOS2]],"CAMPERO")</f>
        <v>0</v>
      </c>
      <c r="V416" s="36">
        <f>COUNTIF(Tabla1[[#This Row],[VEHICULOS_ACCIDENTADOS]:[VEHICULOS_ACCIDENTADOS2]],"CAMIONETA")</f>
        <v>0</v>
      </c>
      <c r="W416" s="36">
        <f>COUNTIF(Tabla1[[#This Row],[VEHICULOS_ACCIDENTADOS]:[VEHICULOS_ACCIDENTADOS2]],"MICROBUS")</f>
        <v>0</v>
      </c>
      <c r="X416" s="36">
        <f>COUNTIF(Tabla1[[#This Row],[VEHICULOS_ACCIDENTADOS]:[VEHICULOS_ACCIDENTADOS2]],"BUS")</f>
        <v>0</v>
      </c>
      <c r="Y416" s="36">
        <f>COUNTIF(Tabla1[[#This Row],[VEHICULOS_ACCIDENTADOS]:[VEHICULOS_ACCIDENTADOS2]],"BUSETA")</f>
        <v>0</v>
      </c>
      <c r="Z416" s="36">
        <f>COUNTIF(Tabla1[[#This Row],[VEHICULOS_ACCIDENTADOS]:[VEHICULOS_ACCIDENTADOS2]],"CAMION")</f>
        <v>0</v>
      </c>
      <c r="AA416" s="36">
        <f>COUNTIF(Tabla1[[#This Row],[VEHICULOS_ACCIDENTADOS]:[VEHICULOS_ACCIDENTADOS2]],"TRACTOCAMION")</f>
        <v>0</v>
      </c>
      <c r="AB416" s="36">
        <f>COUNTIF(Tabla1[[#This Row],[VEHICULOS_ACCIDENTADOS]:[VEHICULOS_ACCIDENTADOS2]],"VOLQUETA")</f>
        <v>0</v>
      </c>
      <c r="AC416" s="36">
        <f>COUNTIF(Tabla1[[#This Row],[VEHICULOS_ACCIDENTADOS]:[VEHICULOS_ACCIDENTADOS2]],"BICICLETA")</f>
        <v>0</v>
      </c>
      <c r="AD416" s="56" t="s">
        <v>471</v>
      </c>
      <c r="AE416" s="56"/>
      <c r="AF416" s="56">
        <f>COUNTIF(Tabla1[[#This Row],[GENERO_MASCULINO]:[GENERO_FEMENINO]],"MASCULINO")</f>
        <v>1</v>
      </c>
      <c r="AG416" s="36">
        <f>COUNTIF(Tabla1[[#This Row],[GENERO_MASCULINO]:[GENERO_FEMENINO]],"FEMENINO")</f>
        <v>0</v>
      </c>
      <c r="AH416" s="61">
        <v>25</v>
      </c>
      <c r="AI416" s="61"/>
      <c r="AJ416" s="61"/>
      <c r="AK416" s="61"/>
      <c r="AL416" s="61"/>
      <c r="AM416" s="36"/>
      <c r="AN416" s="61">
        <v>139</v>
      </c>
      <c r="AO416" s="36" t="str">
        <f>IFERROR(((VLOOKUP(Tabla1[[#This Row],[HIPOTESIS_1]],listas!$D$1:$E$105,2,FALSE))),"SIN INFORMACIÓN")</f>
        <v>Impericia en el manejo.</v>
      </c>
      <c r="AP416" s="36">
        <v>114</v>
      </c>
      <c r="AQ416" s="36" t="str">
        <f>IFERROR(((VLOOKUP(Tabla1[[#This Row],[HIPOTESIS_2]],listas!$D$1:$E$105,2,FALSE))),"")</f>
        <v>Embriaguez aparente.</v>
      </c>
      <c r="AR416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417" spans="1:44" x14ac:dyDescent="0.25">
      <c r="A417" s="12">
        <v>172</v>
      </c>
      <c r="B417" s="36">
        <v>0</v>
      </c>
      <c r="C417" s="36">
        <v>2</v>
      </c>
      <c r="D417" s="60">
        <v>0</v>
      </c>
      <c r="E417" s="18" t="str">
        <f t="shared" si="24"/>
        <v>LESIONADO</v>
      </c>
      <c r="F417" s="29" t="s">
        <v>372</v>
      </c>
      <c r="G417" s="17">
        <v>5.2987133333333336</v>
      </c>
      <c r="H417" s="17">
        <v>-72.400726666666671</v>
      </c>
      <c r="I417" s="93" t="s">
        <v>697</v>
      </c>
      <c r="J417" s="36" t="s">
        <v>717</v>
      </c>
      <c r="K417" s="24" t="str">
        <f t="shared" si="25"/>
        <v>2022</v>
      </c>
      <c r="L417" s="24" t="str">
        <f t="shared" si="26"/>
        <v>MAYO</v>
      </c>
      <c r="M417" s="225">
        <v>44689</v>
      </c>
      <c r="N417" s="24" t="str">
        <f t="shared" si="27"/>
        <v>DOMINGO</v>
      </c>
      <c r="O417" s="170">
        <v>0.22916666666666699</v>
      </c>
      <c r="P417" s="53" t="s">
        <v>469</v>
      </c>
      <c r="Q417" s="53" t="s">
        <v>469</v>
      </c>
      <c r="R417" s="36">
        <f>COUNTIF(Tabla1[[#This Row],[VEHICULOS_ACCIDENTADOS]:[VEHICULOS_ACCIDENTADOS2]],"MOTOCICLETA")</f>
        <v>2</v>
      </c>
      <c r="S417" s="36">
        <f>COUNTIF(Tabla1[[#This Row],[VEHICULOS_ACCIDENTADOS]:[VEHICULOS_ACCIDENTADOS2]],"MOTOCARRO")</f>
        <v>0</v>
      </c>
      <c r="T417" s="36">
        <f>COUNTIF(Tabla1[[#This Row],[VEHICULOS_ACCIDENTADOS]:[VEHICULOS_ACCIDENTADOS2]],"AUTOMOVIL")</f>
        <v>0</v>
      </c>
      <c r="U417" s="36">
        <f>COUNTIF(Tabla1[[#This Row],[VEHICULOS_ACCIDENTADOS]:[VEHICULOS_ACCIDENTADOS2]],"CAMPERO")</f>
        <v>0</v>
      </c>
      <c r="V417" s="36">
        <f>COUNTIF(Tabla1[[#This Row],[VEHICULOS_ACCIDENTADOS]:[VEHICULOS_ACCIDENTADOS2]],"CAMIONETA")</f>
        <v>0</v>
      </c>
      <c r="W417" s="36">
        <f>COUNTIF(Tabla1[[#This Row],[VEHICULOS_ACCIDENTADOS]:[VEHICULOS_ACCIDENTADOS2]],"MICROBUS")</f>
        <v>0</v>
      </c>
      <c r="X417" s="36">
        <f>COUNTIF(Tabla1[[#This Row],[VEHICULOS_ACCIDENTADOS]:[VEHICULOS_ACCIDENTADOS2]],"BUS")</f>
        <v>0</v>
      </c>
      <c r="Y417" s="36">
        <f>COUNTIF(Tabla1[[#This Row],[VEHICULOS_ACCIDENTADOS]:[VEHICULOS_ACCIDENTADOS2]],"BUSETA")</f>
        <v>0</v>
      </c>
      <c r="Z417" s="36">
        <f>COUNTIF(Tabla1[[#This Row],[VEHICULOS_ACCIDENTADOS]:[VEHICULOS_ACCIDENTADOS2]],"CAMION")</f>
        <v>0</v>
      </c>
      <c r="AA417" s="36">
        <f>COUNTIF(Tabla1[[#This Row],[VEHICULOS_ACCIDENTADOS]:[VEHICULOS_ACCIDENTADOS2]],"TRACTOCAMION")</f>
        <v>0</v>
      </c>
      <c r="AB417" s="36">
        <f>COUNTIF(Tabla1[[#This Row],[VEHICULOS_ACCIDENTADOS]:[VEHICULOS_ACCIDENTADOS2]],"VOLQUETA")</f>
        <v>0</v>
      </c>
      <c r="AC417" s="36">
        <f>COUNTIF(Tabla1[[#This Row],[VEHICULOS_ACCIDENTADOS]:[VEHICULOS_ACCIDENTADOS2]],"BICICLETA")</f>
        <v>0</v>
      </c>
      <c r="AD417" s="56" t="s">
        <v>471</v>
      </c>
      <c r="AE417" s="56" t="s">
        <v>472</v>
      </c>
      <c r="AF417" s="56">
        <f>COUNTIF(Tabla1[[#This Row],[GENERO_MASCULINO]:[GENERO_FEMENINO]],"MASCULINO")</f>
        <v>1</v>
      </c>
      <c r="AG417" s="36">
        <f>COUNTIF(Tabla1[[#This Row],[GENERO_MASCULINO]:[GENERO_FEMENINO]],"FEMENINO")</f>
        <v>1</v>
      </c>
      <c r="AH417" s="61">
        <v>18</v>
      </c>
      <c r="AI417" s="61">
        <v>29</v>
      </c>
      <c r="AJ417" s="61"/>
      <c r="AK417" s="61"/>
      <c r="AL417" s="61"/>
      <c r="AM417" s="36"/>
      <c r="AN417" s="61">
        <v>112</v>
      </c>
      <c r="AO417" s="36" t="str">
        <f>IFERROR(((VLOOKUP(Tabla1[[#This Row],[HIPOTESIS_1]],listas!$D$1:$E$105,2,FALSE))),"SIN INFORMACIÓN")</f>
        <v>Desobedecer señales o normas de tránsito.</v>
      </c>
      <c r="AP417" s="36">
        <v>114</v>
      </c>
      <c r="AQ417" s="36" t="str">
        <f>IFERROR(((VLOOKUP(Tabla1[[#This Row],[HIPOTESIS_2]],listas!$D$1:$E$105,2,FALSE))),"")</f>
        <v>Embriaguez aparente.</v>
      </c>
      <c r="AR417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418" spans="1:44" x14ac:dyDescent="0.25">
      <c r="A418" s="12">
        <v>1071</v>
      </c>
      <c r="B418" s="137">
        <v>0</v>
      </c>
      <c r="C418" s="137">
        <v>1</v>
      </c>
      <c r="D418" s="146">
        <v>0</v>
      </c>
      <c r="E418" s="24" t="str">
        <f t="shared" si="24"/>
        <v>LESIONADO</v>
      </c>
      <c r="F418" s="155" t="s">
        <v>715</v>
      </c>
      <c r="G418" s="30">
        <v>5.3159510000000001</v>
      </c>
      <c r="H418" s="30">
        <v>-72.393032000000005</v>
      </c>
      <c r="I418" s="165" t="s">
        <v>697</v>
      </c>
      <c r="J418" s="36" t="s">
        <v>717</v>
      </c>
      <c r="K418" s="24" t="str">
        <f t="shared" si="25"/>
        <v>2025</v>
      </c>
      <c r="L418" s="24" t="str">
        <f t="shared" si="26"/>
        <v>SEPTIEMBRE</v>
      </c>
      <c r="M418" s="225">
        <v>45914</v>
      </c>
      <c r="N418" s="24" t="str">
        <f t="shared" si="27"/>
        <v>DOMINGO</v>
      </c>
      <c r="O418" s="103">
        <v>0.84097222222222223</v>
      </c>
      <c r="P418" s="63" t="s">
        <v>469</v>
      </c>
      <c r="Q418" s="63"/>
      <c r="R418" s="36">
        <f>COUNTIF(Tabla1[[#This Row],[VEHICULOS_ACCIDENTADOS]:[VEHICULOS_ACCIDENTADOS2]],"MOTOCICLETA")</f>
        <v>1</v>
      </c>
      <c r="S418" s="36">
        <f>COUNTIF(Tabla1[[#This Row],[VEHICULOS_ACCIDENTADOS]:[VEHICULOS_ACCIDENTADOS2]],"MOTOCARRO")</f>
        <v>0</v>
      </c>
      <c r="T418" s="36">
        <f>COUNTIF(Tabla1[[#This Row],[VEHICULOS_ACCIDENTADOS]:[VEHICULOS_ACCIDENTADOS2]],"AUTOMOVIL")</f>
        <v>0</v>
      </c>
      <c r="U418" s="36">
        <f>COUNTIF(Tabla1[[#This Row],[VEHICULOS_ACCIDENTADOS]:[VEHICULOS_ACCIDENTADOS2]],"CAMPERO")</f>
        <v>0</v>
      </c>
      <c r="V418" s="36">
        <f>COUNTIF(Tabla1[[#This Row],[VEHICULOS_ACCIDENTADOS]:[VEHICULOS_ACCIDENTADOS2]],"CAMIONETA")</f>
        <v>0</v>
      </c>
      <c r="W418" s="36">
        <f>COUNTIF(Tabla1[[#This Row],[VEHICULOS_ACCIDENTADOS]:[VEHICULOS_ACCIDENTADOS2]],"MICROBUS")</f>
        <v>0</v>
      </c>
      <c r="X418" s="36">
        <f>COUNTIF(Tabla1[[#This Row],[VEHICULOS_ACCIDENTADOS]:[VEHICULOS_ACCIDENTADOS2]],"BUS")</f>
        <v>0</v>
      </c>
      <c r="Y418" s="36">
        <f>COUNTIF(Tabla1[[#This Row],[VEHICULOS_ACCIDENTADOS]:[VEHICULOS_ACCIDENTADOS2]],"BUSETA")</f>
        <v>0</v>
      </c>
      <c r="Z418" s="36">
        <f>COUNTIF(Tabla1[[#This Row],[VEHICULOS_ACCIDENTADOS]:[VEHICULOS_ACCIDENTADOS2]],"CAMION")</f>
        <v>0</v>
      </c>
      <c r="AA418" s="36">
        <f>COUNTIF(Tabla1[[#This Row],[VEHICULOS_ACCIDENTADOS]:[VEHICULOS_ACCIDENTADOS2]],"TRACTOCAMION")</f>
        <v>0</v>
      </c>
      <c r="AB418" s="36">
        <f>COUNTIF(Tabla1[[#This Row],[VEHICULOS_ACCIDENTADOS]:[VEHICULOS_ACCIDENTADOS2]],"VOLQUETA")</f>
        <v>0</v>
      </c>
      <c r="AC418" s="36">
        <f>COUNTIF(Tabla1[[#This Row],[VEHICULOS_ACCIDENTADOS]:[VEHICULOS_ACCIDENTADOS2]],"BICICLETA")</f>
        <v>0</v>
      </c>
      <c r="AD418" s="188" t="s">
        <v>471</v>
      </c>
      <c r="AE418" s="188"/>
      <c r="AF418" s="56">
        <f>COUNTIF(Tabla1[[#This Row],[GENERO_MASCULINO]:[GENERO_FEMENINO]],"MASCULINO")</f>
        <v>1</v>
      </c>
      <c r="AG418" s="36">
        <f>COUNTIF(Tabla1[[#This Row],[GENERO_MASCULINO]:[GENERO_FEMENINO]],"FEMENINO")</f>
        <v>0</v>
      </c>
      <c r="AH418" s="85">
        <v>32</v>
      </c>
      <c r="AI418" s="85"/>
      <c r="AJ418" s="85"/>
      <c r="AK418" s="78"/>
      <c r="AL418" s="78"/>
      <c r="AM418" s="59"/>
      <c r="AN418" s="61">
        <v>139</v>
      </c>
      <c r="AO418" s="59" t="str">
        <f>IFERROR(((VLOOKUP(Tabla1[[#This Row],[HIPOTESIS_1]],listas!$D$1:$E$105,2,FALSE))),"SIN INFORMACIÓN")</f>
        <v>Impericia en el manejo.</v>
      </c>
      <c r="AP418" s="36">
        <v>114</v>
      </c>
      <c r="AQ418" s="36" t="str">
        <f>IFERROR(((VLOOKUP(Tabla1[[#This Row],[HIPOTESIS_2]],listas!$D$1:$E$105,2,FALSE))),"")</f>
        <v>Embriaguez aparente.</v>
      </c>
      <c r="AR418" s="2" t="str">
        <f>IF(HOUR(Tabla1[[#This Row],[HORA_ACCIDENTE]])&lt;6,"MAÑANA",
 IF(HOUR(Tabla1[[#This Row],[HORA_ACCIDENTE]])&lt;12,"MAÑANA",
 IF(HOUR(Tabla1[[#This Row],[HORA_ACCIDENTE]])&lt;18,"TARDE","NOCHE")))</f>
        <v>NOCHE</v>
      </c>
    </row>
    <row r="419" spans="1:44" x14ac:dyDescent="0.25">
      <c r="A419" s="12">
        <v>866</v>
      </c>
      <c r="B419" s="136">
        <v>0</v>
      </c>
      <c r="C419" s="136">
        <v>0</v>
      </c>
      <c r="D419" s="149">
        <v>1</v>
      </c>
      <c r="E419" s="18" t="str">
        <f t="shared" si="24"/>
        <v>FALLECIDO</v>
      </c>
      <c r="F419" s="26" t="s">
        <v>75</v>
      </c>
      <c r="G419" s="17">
        <v>5.2706689999999998</v>
      </c>
      <c r="H419" s="21">
        <v>-72.399950000000004</v>
      </c>
      <c r="I419" s="94" t="s">
        <v>662</v>
      </c>
      <c r="J419" s="167" t="s">
        <v>1</v>
      </c>
      <c r="K419" s="24" t="str">
        <f t="shared" si="25"/>
        <v>2025</v>
      </c>
      <c r="L419" s="24" t="str">
        <f t="shared" si="26"/>
        <v>FEBRERO</v>
      </c>
      <c r="M419" s="224">
        <v>45690</v>
      </c>
      <c r="N419" s="24" t="str">
        <f t="shared" si="27"/>
        <v>DOMINGO</v>
      </c>
      <c r="O419" s="104">
        <v>0.90277777777777779</v>
      </c>
      <c r="P419" s="178" t="s">
        <v>469</v>
      </c>
      <c r="Q419" s="178"/>
      <c r="R419" s="36">
        <f>COUNTIF(Tabla1[[#This Row],[VEHICULOS_ACCIDENTADOS]:[VEHICULOS_ACCIDENTADOS2]],"MOTOCICLETA")</f>
        <v>1</v>
      </c>
      <c r="S419" s="36">
        <f>COUNTIF(Tabla1[[#This Row],[VEHICULOS_ACCIDENTADOS]:[VEHICULOS_ACCIDENTADOS2]],"MOTOCARRO")</f>
        <v>0</v>
      </c>
      <c r="T419" s="36">
        <f>COUNTIF(Tabla1[[#This Row],[VEHICULOS_ACCIDENTADOS]:[VEHICULOS_ACCIDENTADOS2]],"AUTOMOVIL")</f>
        <v>0</v>
      </c>
      <c r="U419" s="36">
        <f>COUNTIF(Tabla1[[#This Row],[VEHICULOS_ACCIDENTADOS]:[VEHICULOS_ACCIDENTADOS2]],"CAMPERO")</f>
        <v>0</v>
      </c>
      <c r="V419" s="36">
        <f>COUNTIF(Tabla1[[#This Row],[VEHICULOS_ACCIDENTADOS]:[VEHICULOS_ACCIDENTADOS2]],"CAMIONETA")</f>
        <v>0</v>
      </c>
      <c r="W419" s="36">
        <f>COUNTIF(Tabla1[[#This Row],[VEHICULOS_ACCIDENTADOS]:[VEHICULOS_ACCIDENTADOS2]],"MICROBUS")</f>
        <v>0</v>
      </c>
      <c r="X419" s="36">
        <f>COUNTIF(Tabla1[[#This Row],[VEHICULOS_ACCIDENTADOS]:[VEHICULOS_ACCIDENTADOS2]],"BUS")</f>
        <v>0</v>
      </c>
      <c r="Y419" s="36">
        <f>COUNTIF(Tabla1[[#This Row],[VEHICULOS_ACCIDENTADOS]:[VEHICULOS_ACCIDENTADOS2]],"BUSETA")</f>
        <v>0</v>
      </c>
      <c r="Z419" s="36">
        <f>COUNTIF(Tabla1[[#This Row],[VEHICULOS_ACCIDENTADOS]:[VEHICULOS_ACCIDENTADOS2]],"CAMION")</f>
        <v>0</v>
      </c>
      <c r="AA419" s="36">
        <f>COUNTIF(Tabla1[[#This Row],[VEHICULOS_ACCIDENTADOS]:[VEHICULOS_ACCIDENTADOS2]],"TRACTOCAMION")</f>
        <v>0</v>
      </c>
      <c r="AB419" s="36">
        <f>COUNTIF(Tabla1[[#This Row],[VEHICULOS_ACCIDENTADOS]:[VEHICULOS_ACCIDENTADOS2]],"VOLQUETA")</f>
        <v>0</v>
      </c>
      <c r="AC419" s="36">
        <f>COUNTIF(Tabla1[[#This Row],[VEHICULOS_ACCIDENTADOS]:[VEHICULOS_ACCIDENTADOS2]],"BICICLETA")</f>
        <v>0</v>
      </c>
      <c r="AD419" s="190" t="s">
        <v>471</v>
      </c>
      <c r="AE419" s="190"/>
      <c r="AF419" s="190">
        <f>COUNTIF(Tabla1[[#This Row],[GENERO_MASCULINO]:[GENERO_FEMENINO]],"MASCULINO")</f>
        <v>1</v>
      </c>
      <c r="AG419" s="36">
        <f>COUNTIF(Tabla1[[#This Row],[GENERO_MASCULINO]:[GENERO_FEMENINO]],"FEMENINO")</f>
        <v>0</v>
      </c>
      <c r="AH419" s="85">
        <v>41</v>
      </c>
      <c r="AI419" s="85"/>
      <c r="AJ419" s="85"/>
      <c r="AK419" s="85"/>
      <c r="AL419" s="85"/>
      <c r="AM419" s="136">
        <v>41</v>
      </c>
      <c r="AN419" s="85">
        <v>157</v>
      </c>
      <c r="AO419" s="36" t="str">
        <f>IFERROR(((VLOOKUP(Tabla1[[#This Row],[HIPOTESIS_1]],listas!$D$1:$E$105,2,FALSE))),"SIN INFORMACIÓN")</f>
        <v>Otra</v>
      </c>
      <c r="AP419" s="136">
        <v>114</v>
      </c>
      <c r="AQ419" s="36" t="str">
        <f>IFERROR(((VLOOKUP(Tabla1[[#This Row],[HIPOTESIS_2]],listas!$D$1:$E$105,2,FALSE))),"")</f>
        <v>Embriaguez aparente.</v>
      </c>
      <c r="AR419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420" spans="1:44" x14ac:dyDescent="0.25">
      <c r="A420" s="12">
        <v>684</v>
      </c>
      <c r="B420" s="136">
        <v>0</v>
      </c>
      <c r="C420" s="136">
        <v>1</v>
      </c>
      <c r="D420" s="149">
        <v>1</v>
      </c>
      <c r="E420" s="18" t="str">
        <f t="shared" si="24"/>
        <v>FALLECIDO</v>
      </c>
      <c r="F420" s="26" t="s">
        <v>771</v>
      </c>
      <c r="G420" s="21">
        <v>5.2362094444444445</v>
      </c>
      <c r="H420" s="21">
        <v>-72.389050555555556</v>
      </c>
      <c r="I420" s="93" t="s">
        <v>697</v>
      </c>
      <c r="J420" s="136" t="s">
        <v>1</v>
      </c>
      <c r="K420" s="24" t="str">
        <f t="shared" si="25"/>
        <v>2024</v>
      </c>
      <c r="L420" s="24" t="str">
        <f t="shared" si="26"/>
        <v>MARZO</v>
      </c>
      <c r="M420" s="224">
        <v>45378</v>
      </c>
      <c r="N420" s="24" t="str">
        <f t="shared" si="27"/>
        <v>MIÉRCOLES</v>
      </c>
      <c r="O420" s="104">
        <v>0.6875</v>
      </c>
      <c r="P420" s="178" t="s">
        <v>469</v>
      </c>
      <c r="Q420" s="178" t="s">
        <v>469</v>
      </c>
      <c r="R420" s="36">
        <f>COUNTIF(Tabla1[[#This Row],[VEHICULOS_ACCIDENTADOS]:[VEHICULOS_ACCIDENTADOS2]],"MOTOCICLETA")</f>
        <v>2</v>
      </c>
      <c r="S420" s="36">
        <f>COUNTIF(Tabla1[[#This Row],[VEHICULOS_ACCIDENTADOS]:[VEHICULOS_ACCIDENTADOS2]],"MOTOCARRO")</f>
        <v>0</v>
      </c>
      <c r="T420" s="36">
        <f>COUNTIF(Tabla1[[#This Row],[VEHICULOS_ACCIDENTADOS]:[VEHICULOS_ACCIDENTADOS2]],"AUTOMOVIL")</f>
        <v>0</v>
      </c>
      <c r="U420" s="36">
        <f>COUNTIF(Tabla1[[#This Row],[VEHICULOS_ACCIDENTADOS]:[VEHICULOS_ACCIDENTADOS2]],"CAMPERO")</f>
        <v>0</v>
      </c>
      <c r="V420" s="36">
        <f>COUNTIF(Tabla1[[#This Row],[VEHICULOS_ACCIDENTADOS]:[VEHICULOS_ACCIDENTADOS2]],"CAMIONETA")</f>
        <v>0</v>
      </c>
      <c r="W420" s="36">
        <f>COUNTIF(Tabla1[[#This Row],[VEHICULOS_ACCIDENTADOS]:[VEHICULOS_ACCIDENTADOS2]],"MICROBUS")</f>
        <v>0</v>
      </c>
      <c r="X420" s="36">
        <f>COUNTIF(Tabla1[[#This Row],[VEHICULOS_ACCIDENTADOS]:[VEHICULOS_ACCIDENTADOS2]],"BUS")</f>
        <v>0</v>
      </c>
      <c r="Y420" s="36">
        <f>COUNTIF(Tabla1[[#This Row],[VEHICULOS_ACCIDENTADOS]:[VEHICULOS_ACCIDENTADOS2]],"BUSETA")</f>
        <v>0</v>
      </c>
      <c r="Z420" s="36">
        <f>COUNTIF(Tabla1[[#This Row],[VEHICULOS_ACCIDENTADOS]:[VEHICULOS_ACCIDENTADOS2]],"CAMION")</f>
        <v>0</v>
      </c>
      <c r="AA420" s="36">
        <f>COUNTIF(Tabla1[[#This Row],[VEHICULOS_ACCIDENTADOS]:[VEHICULOS_ACCIDENTADOS2]],"TRACTOCAMION")</f>
        <v>0</v>
      </c>
      <c r="AB420" s="36">
        <f>COUNTIF(Tabla1[[#This Row],[VEHICULOS_ACCIDENTADOS]:[VEHICULOS_ACCIDENTADOS2]],"VOLQUETA")</f>
        <v>0</v>
      </c>
      <c r="AC420" s="36">
        <f>COUNTIF(Tabla1[[#This Row],[VEHICULOS_ACCIDENTADOS]:[VEHICULOS_ACCIDENTADOS2]],"BICICLETA")</f>
        <v>0</v>
      </c>
      <c r="AD420" s="190" t="s">
        <v>471</v>
      </c>
      <c r="AE420" s="190" t="s">
        <v>472</v>
      </c>
      <c r="AF420" s="190">
        <f>COUNTIF(Tabla1[[#This Row],[GENERO_MASCULINO]:[GENERO_FEMENINO]],"MASCULINO")</f>
        <v>1</v>
      </c>
      <c r="AG420" s="36">
        <f>COUNTIF(Tabla1[[#This Row],[GENERO_MASCULINO]:[GENERO_FEMENINO]],"FEMENINO")</f>
        <v>1</v>
      </c>
      <c r="AH420" s="85"/>
      <c r="AI420" s="85">
        <v>33</v>
      </c>
      <c r="AJ420" s="85">
        <v>37</v>
      </c>
      <c r="AK420" s="85"/>
      <c r="AL420" s="85"/>
      <c r="AM420" s="136">
        <v>30</v>
      </c>
      <c r="AN420" s="85">
        <v>139</v>
      </c>
      <c r="AO420" s="36" t="str">
        <f>IFERROR(((VLOOKUP(Tabla1[[#This Row],[HIPOTESIS_1]],listas!$D$1:$E$105,2,FALSE))),"SIN INFORMACIÓN")</f>
        <v>Impericia en el manejo.</v>
      </c>
      <c r="AP420" s="136">
        <v>114</v>
      </c>
      <c r="AQ420" s="36" t="str">
        <f>IFERROR(((VLOOKUP(Tabla1[[#This Row],[HIPOTESIS_2]],listas!$D$1:$E$105,2,FALSE))),"")</f>
        <v>Embriaguez aparente.</v>
      </c>
      <c r="AR420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421" spans="1:44" x14ac:dyDescent="0.25">
      <c r="A421" s="12">
        <v>445</v>
      </c>
      <c r="B421" s="36">
        <v>0</v>
      </c>
      <c r="C421" s="36">
        <v>1</v>
      </c>
      <c r="D421" s="60">
        <v>1</v>
      </c>
      <c r="E421" s="18" t="str">
        <f t="shared" si="24"/>
        <v>FALLECIDO</v>
      </c>
      <c r="F421" s="29" t="s">
        <v>760</v>
      </c>
      <c r="G421" s="21">
        <v>5.3067124999999997</v>
      </c>
      <c r="H421" s="21">
        <v>-72.403491388888895</v>
      </c>
      <c r="I421" s="93" t="s">
        <v>697</v>
      </c>
      <c r="J421" s="36" t="s">
        <v>717</v>
      </c>
      <c r="K421" s="24" t="str">
        <f t="shared" si="25"/>
        <v>2023</v>
      </c>
      <c r="L421" s="24" t="str">
        <f t="shared" si="26"/>
        <v>ABRIL</v>
      </c>
      <c r="M421" s="225">
        <v>45018</v>
      </c>
      <c r="N421" s="24" t="str">
        <f t="shared" si="27"/>
        <v>DOMINGO</v>
      </c>
      <c r="O421" s="103">
        <v>9.375E-2</v>
      </c>
      <c r="P421" s="57" t="s">
        <v>469</v>
      </c>
      <c r="Q421" s="57"/>
      <c r="R421" s="36">
        <f>COUNTIF(Tabla1[[#This Row],[VEHICULOS_ACCIDENTADOS]:[VEHICULOS_ACCIDENTADOS2]],"MOTOCICLETA")</f>
        <v>1</v>
      </c>
      <c r="S421" s="36">
        <f>COUNTIF(Tabla1[[#This Row],[VEHICULOS_ACCIDENTADOS]:[VEHICULOS_ACCIDENTADOS2]],"MOTOCARRO")</f>
        <v>0</v>
      </c>
      <c r="T421" s="36">
        <f>COUNTIF(Tabla1[[#This Row],[VEHICULOS_ACCIDENTADOS]:[VEHICULOS_ACCIDENTADOS2]],"AUTOMOVIL")</f>
        <v>0</v>
      </c>
      <c r="U421" s="36">
        <f>COUNTIF(Tabla1[[#This Row],[VEHICULOS_ACCIDENTADOS]:[VEHICULOS_ACCIDENTADOS2]],"CAMPERO")</f>
        <v>0</v>
      </c>
      <c r="V421" s="36">
        <f>COUNTIF(Tabla1[[#This Row],[VEHICULOS_ACCIDENTADOS]:[VEHICULOS_ACCIDENTADOS2]],"CAMIONETA")</f>
        <v>0</v>
      </c>
      <c r="W421" s="36">
        <f>COUNTIF(Tabla1[[#This Row],[VEHICULOS_ACCIDENTADOS]:[VEHICULOS_ACCIDENTADOS2]],"MICROBUS")</f>
        <v>0</v>
      </c>
      <c r="X421" s="36">
        <f>COUNTIF(Tabla1[[#This Row],[VEHICULOS_ACCIDENTADOS]:[VEHICULOS_ACCIDENTADOS2]],"BUS")</f>
        <v>0</v>
      </c>
      <c r="Y421" s="36">
        <f>COUNTIF(Tabla1[[#This Row],[VEHICULOS_ACCIDENTADOS]:[VEHICULOS_ACCIDENTADOS2]],"BUSETA")</f>
        <v>0</v>
      </c>
      <c r="Z421" s="36">
        <f>COUNTIF(Tabla1[[#This Row],[VEHICULOS_ACCIDENTADOS]:[VEHICULOS_ACCIDENTADOS2]],"CAMION")</f>
        <v>0</v>
      </c>
      <c r="AA421" s="36">
        <f>COUNTIF(Tabla1[[#This Row],[VEHICULOS_ACCIDENTADOS]:[VEHICULOS_ACCIDENTADOS2]],"TRACTOCAMION")</f>
        <v>0</v>
      </c>
      <c r="AB421" s="36">
        <f>COUNTIF(Tabla1[[#This Row],[VEHICULOS_ACCIDENTADOS]:[VEHICULOS_ACCIDENTADOS2]],"VOLQUETA")</f>
        <v>0</v>
      </c>
      <c r="AC421" s="36">
        <f>COUNTIF(Tabla1[[#This Row],[VEHICULOS_ACCIDENTADOS]:[VEHICULOS_ACCIDENTADOS2]],"BICICLETA")</f>
        <v>0</v>
      </c>
      <c r="AD421" s="56" t="s">
        <v>471</v>
      </c>
      <c r="AE421" s="56"/>
      <c r="AF421" s="56">
        <f>COUNTIF(Tabla1[[#This Row],[GENERO_MASCULINO]:[GENERO_FEMENINO]],"MASCULINO")</f>
        <v>1</v>
      </c>
      <c r="AG421" s="36">
        <f>COUNTIF(Tabla1[[#This Row],[GENERO_MASCULINO]:[GENERO_FEMENINO]],"FEMENINO")</f>
        <v>0</v>
      </c>
      <c r="AH421" s="61"/>
      <c r="AI421" s="61"/>
      <c r="AJ421" s="61"/>
      <c r="AK421" s="61"/>
      <c r="AL421" s="61">
        <v>30</v>
      </c>
      <c r="AM421" s="36">
        <v>40</v>
      </c>
      <c r="AN421" s="61">
        <v>116</v>
      </c>
      <c r="AO421" s="36" t="str">
        <f>IFERROR(((VLOOKUP(Tabla1[[#This Row],[HIPOTESIS_1]],listas!$D$1:$E$105,2,FALSE))),"SIN INFORMACIÓN")</f>
        <v>Exceso de velocidad</v>
      </c>
      <c r="AP421" s="36">
        <v>114</v>
      </c>
      <c r="AQ421" s="36" t="str">
        <f>IFERROR(((VLOOKUP(Tabla1[[#This Row],[HIPOTESIS_2]],listas!$D$1:$E$105,2,FALSE))),"")</f>
        <v>Embriaguez aparente.</v>
      </c>
      <c r="AR421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422" spans="1:44" x14ac:dyDescent="0.25">
      <c r="A422" s="12">
        <v>554</v>
      </c>
      <c r="B422" s="36">
        <v>0</v>
      </c>
      <c r="C422" s="36">
        <v>0</v>
      </c>
      <c r="D422" s="60">
        <v>1</v>
      </c>
      <c r="E422" s="18" t="str">
        <f t="shared" si="24"/>
        <v>FALLECIDO</v>
      </c>
      <c r="F422" s="29" t="s">
        <v>768</v>
      </c>
      <c r="G422" s="21">
        <v>5.2806411111111107</v>
      </c>
      <c r="H422" s="21">
        <v>-72.320818333333335</v>
      </c>
      <c r="I422" s="93" t="s">
        <v>697</v>
      </c>
      <c r="J422" s="36" t="s">
        <v>1</v>
      </c>
      <c r="K422" s="24" t="str">
        <f t="shared" si="25"/>
        <v>2023</v>
      </c>
      <c r="L422" s="24" t="str">
        <f t="shared" si="26"/>
        <v>SEPTIEMBRE</v>
      </c>
      <c r="M422" s="225">
        <v>45178</v>
      </c>
      <c r="N422" s="24" t="str">
        <f t="shared" si="27"/>
        <v>SÁBADO</v>
      </c>
      <c r="O422" s="103">
        <v>0.4826388888888889</v>
      </c>
      <c r="P422" s="57" t="s">
        <v>469</v>
      </c>
      <c r="Q422" s="57"/>
      <c r="R422" s="36">
        <f>COUNTIF(Tabla1[[#This Row],[VEHICULOS_ACCIDENTADOS]:[VEHICULOS_ACCIDENTADOS2]],"MOTOCICLETA")</f>
        <v>1</v>
      </c>
      <c r="S422" s="36">
        <f>COUNTIF(Tabla1[[#This Row],[VEHICULOS_ACCIDENTADOS]:[VEHICULOS_ACCIDENTADOS2]],"MOTOCARRO")</f>
        <v>0</v>
      </c>
      <c r="T422" s="36">
        <f>COUNTIF(Tabla1[[#This Row],[VEHICULOS_ACCIDENTADOS]:[VEHICULOS_ACCIDENTADOS2]],"AUTOMOVIL")</f>
        <v>0</v>
      </c>
      <c r="U422" s="36">
        <f>COUNTIF(Tabla1[[#This Row],[VEHICULOS_ACCIDENTADOS]:[VEHICULOS_ACCIDENTADOS2]],"CAMPERO")</f>
        <v>0</v>
      </c>
      <c r="V422" s="36">
        <f>COUNTIF(Tabla1[[#This Row],[VEHICULOS_ACCIDENTADOS]:[VEHICULOS_ACCIDENTADOS2]],"CAMIONETA")</f>
        <v>0</v>
      </c>
      <c r="W422" s="36">
        <f>COUNTIF(Tabla1[[#This Row],[VEHICULOS_ACCIDENTADOS]:[VEHICULOS_ACCIDENTADOS2]],"MICROBUS")</f>
        <v>0</v>
      </c>
      <c r="X422" s="36">
        <f>COUNTIF(Tabla1[[#This Row],[VEHICULOS_ACCIDENTADOS]:[VEHICULOS_ACCIDENTADOS2]],"BUS")</f>
        <v>0</v>
      </c>
      <c r="Y422" s="36">
        <f>COUNTIF(Tabla1[[#This Row],[VEHICULOS_ACCIDENTADOS]:[VEHICULOS_ACCIDENTADOS2]],"BUSETA")</f>
        <v>0</v>
      </c>
      <c r="Z422" s="36">
        <f>COUNTIF(Tabla1[[#This Row],[VEHICULOS_ACCIDENTADOS]:[VEHICULOS_ACCIDENTADOS2]],"CAMION")</f>
        <v>0</v>
      </c>
      <c r="AA422" s="36">
        <f>COUNTIF(Tabla1[[#This Row],[VEHICULOS_ACCIDENTADOS]:[VEHICULOS_ACCIDENTADOS2]],"TRACTOCAMION")</f>
        <v>0</v>
      </c>
      <c r="AB422" s="36">
        <f>COUNTIF(Tabla1[[#This Row],[VEHICULOS_ACCIDENTADOS]:[VEHICULOS_ACCIDENTADOS2]],"VOLQUETA")</f>
        <v>0</v>
      </c>
      <c r="AC422" s="36">
        <f>COUNTIF(Tabla1[[#This Row],[VEHICULOS_ACCIDENTADOS]:[VEHICULOS_ACCIDENTADOS2]],"BICICLETA")</f>
        <v>0</v>
      </c>
      <c r="AD422" s="56" t="s">
        <v>471</v>
      </c>
      <c r="AE422" s="56"/>
      <c r="AF422" s="56">
        <f>COUNTIF(Tabla1[[#This Row],[GENERO_MASCULINO]:[GENERO_FEMENINO]],"MASCULINO")</f>
        <v>1</v>
      </c>
      <c r="AG422" s="36">
        <f>COUNTIF(Tabla1[[#This Row],[GENERO_MASCULINO]:[GENERO_FEMENINO]],"FEMENINO")</f>
        <v>0</v>
      </c>
      <c r="AH422" s="61"/>
      <c r="AI422" s="61"/>
      <c r="AJ422" s="61"/>
      <c r="AK422" s="61"/>
      <c r="AL422" s="61"/>
      <c r="AM422" s="36">
        <v>19</v>
      </c>
      <c r="AN422" s="61">
        <v>139</v>
      </c>
      <c r="AO422" s="36" t="str">
        <f>IFERROR(((VLOOKUP(Tabla1[[#This Row],[HIPOTESIS_1]],listas!$D$1:$E$105,2,FALSE))),"SIN INFORMACIÓN")</f>
        <v>Impericia en el manejo.</v>
      </c>
      <c r="AP422" s="36">
        <v>114</v>
      </c>
      <c r="AQ422" s="36" t="str">
        <f>IFERROR(((VLOOKUP(Tabla1[[#This Row],[HIPOTESIS_2]],listas!$D$1:$E$105,2,FALSE))),"")</f>
        <v>Embriaguez aparente.</v>
      </c>
      <c r="AR422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423" spans="1:44" x14ac:dyDescent="0.25">
      <c r="A423" s="12">
        <v>744</v>
      </c>
      <c r="B423" s="135">
        <v>0</v>
      </c>
      <c r="C423" s="136">
        <v>2</v>
      </c>
      <c r="D423" s="148">
        <v>0</v>
      </c>
      <c r="E423" s="18" t="str">
        <f t="shared" si="24"/>
        <v>LESIONADO</v>
      </c>
      <c r="F423" s="26" t="s">
        <v>131</v>
      </c>
      <c r="G423" s="21">
        <v>5.3558452777777772</v>
      </c>
      <c r="H423" s="21">
        <v>-72.406720833333338</v>
      </c>
      <c r="I423" s="93" t="s">
        <v>697</v>
      </c>
      <c r="J423" s="136" t="s">
        <v>717</v>
      </c>
      <c r="K423" s="24" t="str">
        <f t="shared" si="25"/>
        <v>2024</v>
      </c>
      <c r="L423" s="24" t="str">
        <f t="shared" si="26"/>
        <v>JULIO</v>
      </c>
      <c r="M423" s="224">
        <v>45483</v>
      </c>
      <c r="N423" s="24" t="str">
        <f t="shared" si="27"/>
        <v>MIÉRCOLES</v>
      </c>
      <c r="O423" s="104">
        <v>0.9375</v>
      </c>
      <c r="P423" s="178" t="s">
        <v>469</v>
      </c>
      <c r="Q423" s="178" t="s">
        <v>469</v>
      </c>
      <c r="R423" s="36">
        <f>COUNTIF(Tabla1[[#This Row],[VEHICULOS_ACCIDENTADOS]:[VEHICULOS_ACCIDENTADOS2]],"MOTOCICLETA")</f>
        <v>2</v>
      </c>
      <c r="S423" s="36">
        <f>COUNTIF(Tabla1[[#This Row],[VEHICULOS_ACCIDENTADOS]:[VEHICULOS_ACCIDENTADOS2]],"MOTOCARRO")</f>
        <v>0</v>
      </c>
      <c r="T423" s="36">
        <f>COUNTIF(Tabla1[[#This Row],[VEHICULOS_ACCIDENTADOS]:[VEHICULOS_ACCIDENTADOS2]],"AUTOMOVIL")</f>
        <v>0</v>
      </c>
      <c r="U423" s="36">
        <f>COUNTIF(Tabla1[[#This Row],[VEHICULOS_ACCIDENTADOS]:[VEHICULOS_ACCIDENTADOS2]],"CAMPERO")</f>
        <v>0</v>
      </c>
      <c r="V423" s="36">
        <f>COUNTIF(Tabla1[[#This Row],[VEHICULOS_ACCIDENTADOS]:[VEHICULOS_ACCIDENTADOS2]],"CAMIONETA")</f>
        <v>0</v>
      </c>
      <c r="W423" s="36">
        <f>COUNTIF(Tabla1[[#This Row],[VEHICULOS_ACCIDENTADOS]:[VEHICULOS_ACCIDENTADOS2]],"MICROBUS")</f>
        <v>0</v>
      </c>
      <c r="X423" s="36">
        <f>COUNTIF(Tabla1[[#This Row],[VEHICULOS_ACCIDENTADOS]:[VEHICULOS_ACCIDENTADOS2]],"BUS")</f>
        <v>0</v>
      </c>
      <c r="Y423" s="36">
        <f>COUNTIF(Tabla1[[#This Row],[VEHICULOS_ACCIDENTADOS]:[VEHICULOS_ACCIDENTADOS2]],"BUSETA")</f>
        <v>0</v>
      </c>
      <c r="Z423" s="36">
        <f>COUNTIF(Tabla1[[#This Row],[VEHICULOS_ACCIDENTADOS]:[VEHICULOS_ACCIDENTADOS2]],"CAMION")</f>
        <v>0</v>
      </c>
      <c r="AA423" s="36">
        <f>COUNTIF(Tabla1[[#This Row],[VEHICULOS_ACCIDENTADOS]:[VEHICULOS_ACCIDENTADOS2]],"TRACTOCAMION")</f>
        <v>0</v>
      </c>
      <c r="AB423" s="36">
        <f>COUNTIF(Tabla1[[#This Row],[VEHICULOS_ACCIDENTADOS]:[VEHICULOS_ACCIDENTADOS2]],"VOLQUETA")</f>
        <v>0</v>
      </c>
      <c r="AC423" s="36">
        <f>COUNTIF(Tabla1[[#This Row],[VEHICULOS_ACCIDENTADOS]:[VEHICULOS_ACCIDENTADOS2]],"BICICLETA")</f>
        <v>0</v>
      </c>
      <c r="AD423" s="190" t="s">
        <v>471</v>
      </c>
      <c r="AE423" s="190"/>
      <c r="AF423" s="190">
        <f>COUNTIF(Tabla1[[#This Row],[GENERO_MASCULINO]:[GENERO_FEMENINO]],"MASCULINO")</f>
        <v>1</v>
      </c>
      <c r="AG423" s="36">
        <f>COUNTIF(Tabla1[[#This Row],[GENERO_MASCULINO]:[GENERO_FEMENINO]],"FEMENINO")</f>
        <v>0</v>
      </c>
      <c r="AH423" s="85">
        <v>38</v>
      </c>
      <c r="AI423" s="85">
        <v>36</v>
      </c>
      <c r="AJ423" s="85"/>
      <c r="AK423" s="85"/>
      <c r="AL423" s="85"/>
      <c r="AM423" s="136"/>
      <c r="AN423" s="85">
        <v>139</v>
      </c>
      <c r="AO423" s="36" t="str">
        <f>IFERROR(((VLOOKUP(Tabla1[[#This Row],[HIPOTESIS_1]],listas!$D$1:$E$105,2,FALSE))),"SIN INFORMACIÓN")</f>
        <v>Impericia en el manejo.</v>
      </c>
      <c r="AP423" s="136">
        <v>114</v>
      </c>
      <c r="AQ423" s="36" t="str">
        <f>IFERROR(((VLOOKUP(Tabla1[[#This Row],[HIPOTESIS_2]],listas!$D$1:$E$105,2,FALSE))),"")</f>
        <v>Embriaguez aparente.</v>
      </c>
      <c r="AR423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424" spans="1:44" x14ac:dyDescent="0.25">
      <c r="A424" s="12">
        <v>654</v>
      </c>
      <c r="B424" s="136">
        <v>0</v>
      </c>
      <c r="C424" s="136">
        <v>0</v>
      </c>
      <c r="D424" s="149">
        <v>1</v>
      </c>
      <c r="E424" s="18" t="str">
        <f t="shared" si="24"/>
        <v>FALLECIDO</v>
      </c>
      <c r="F424" s="26" t="s">
        <v>167</v>
      </c>
      <c r="G424" s="21">
        <v>5.3195916666666667</v>
      </c>
      <c r="H424" s="21">
        <v>-72.392866666666677</v>
      </c>
      <c r="I424" s="93" t="s">
        <v>697</v>
      </c>
      <c r="J424" s="136" t="s">
        <v>717</v>
      </c>
      <c r="K424" s="24" t="str">
        <f t="shared" si="25"/>
        <v>2024</v>
      </c>
      <c r="L424" s="24" t="str">
        <f t="shared" si="26"/>
        <v>ENERO</v>
      </c>
      <c r="M424" s="224">
        <v>45322</v>
      </c>
      <c r="N424" s="24" t="str">
        <f t="shared" si="27"/>
        <v>MIÉRCOLES</v>
      </c>
      <c r="O424" s="104">
        <v>9.7222222222222224E-2</v>
      </c>
      <c r="P424" s="178" t="s">
        <v>469</v>
      </c>
      <c r="Q424" s="178"/>
      <c r="R424" s="36">
        <f>COUNTIF(Tabla1[[#This Row],[VEHICULOS_ACCIDENTADOS]:[VEHICULOS_ACCIDENTADOS2]],"MOTOCICLETA")</f>
        <v>1</v>
      </c>
      <c r="S424" s="36">
        <f>COUNTIF(Tabla1[[#This Row],[VEHICULOS_ACCIDENTADOS]:[VEHICULOS_ACCIDENTADOS2]],"MOTOCARRO")</f>
        <v>0</v>
      </c>
      <c r="T424" s="36">
        <f>COUNTIF(Tabla1[[#This Row],[VEHICULOS_ACCIDENTADOS]:[VEHICULOS_ACCIDENTADOS2]],"AUTOMOVIL")</f>
        <v>0</v>
      </c>
      <c r="U424" s="36">
        <f>COUNTIF(Tabla1[[#This Row],[VEHICULOS_ACCIDENTADOS]:[VEHICULOS_ACCIDENTADOS2]],"CAMPERO")</f>
        <v>0</v>
      </c>
      <c r="V424" s="36">
        <f>COUNTIF(Tabla1[[#This Row],[VEHICULOS_ACCIDENTADOS]:[VEHICULOS_ACCIDENTADOS2]],"CAMIONETA")</f>
        <v>0</v>
      </c>
      <c r="W424" s="36">
        <f>COUNTIF(Tabla1[[#This Row],[VEHICULOS_ACCIDENTADOS]:[VEHICULOS_ACCIDENTADOS2]],"MICROBUS")</f>
        <v>0</v>
      </c>
      <c r="X424" s="36">
        <f>COUNTIF(Tabla1[[#This Row],[VEHICULOS_ACCIDENTADOS]:[VEHICULOS_ACCIDENTADOS2]],"BUS")</f>
        <v>0</v>
      </c>
      <c r="Y424" s="36">
        <f>COUNTIF(Tabla1[[#This Row],[VEHICULOS_ACCIDENTADOS]:[VEHICULOS_ACCIDENTADOS2]],"BUSETA")</f>
        <v>0</v>
      </c>
      <c r="Z424" s="36">
        <f>COUNTIF(Tabla1[[#This Row],[VEHICULOS_ACCIDENTADOS]:[VEHICULOS_ACCIDENTADOS2]],"CAMION")</f>
        <v>0</v>
      </c>
      <c r="AA424" s="36">
        <f>COUNTIF(Tabla1[[#This Row],[VEHICULOS_ACCIDENTADOS]:[VEHICULOS_ACCIDENTADOS2]],"TRACTOCAMION")</f>
        <v>0</v>
      </c>
      <c r="AB424" s="36">
        <f>COUNTIF(Tabla1[[#This Row],[VEHICULOS_ACCIDENTADOS]:[VEHICULOS_ACCIDENTADOS2]],"VOLQUETA")</f>
        <v>0</v>
      </c>
      <c r="AC424" s="36">
        <f>COUNTIF(Tabla1[[#This Row],[VEHICULOS_ACCIDENTADOS]:[VEHICULOS_ACCIDENTADOS2]],"BICICLETA")</f>
        <v>0</v>
      </c>
      <c r="AD424" s="190" t="s">
        <v>471</v>
      </c>
      <c r="AE424" s="190"/>
      <c r="AF424" s="190">
        <f>COUNTIF(Tabla1[[#This Row],[GENERO_MASCULINO]:[GENERO_FEMENINO]],"MASCULINO")</f>
        <v>1</v>
      </c>
      <c r="AG424" s="36">
        <f>COUNTIF(Tabla1[[#This Row],[GENERO_MASCULINO]:[GENERO_FEMENINO]],"FEMENINO")</f>
        <v>0</v>
      </c>
      <c r="AH424" s="85"/>
      <c r="AI424" s="85"/>
      <c r="AJ424" s="85"/>
      <c r="AK424" s="85"/>
      <c r="AL424" s="85"/>
      <c r="AM424" s="136">
        <v>19</v>
      </c>
      <c r="AN424" s="85">
        <v>139</v>
      </c>
      <c r="AO424" s="36" t="str">
        <f>IFERROR(((VLOOKUP(Tabla1[[#This Row],[HIPOTESIS_1]],listas!$D$1:$E$105,2,FALSE))),"SIN INFORMACIÓN")</f>
        <v>Impericia en el manejo.</v>
      </c>
      <c r="AP424" s="136">
        <v>114</v>
      </c>
      <c r="AQ424" s="36" t="str">
        <f>IFERROR(((VLOOKUP(Tabla1[[#This Row],[HIPOTESIS_2]],listas!$D$1:$E$105,2,FALSE))),"")</f>
        <v>Embriaguez aparente.</v>
      </c>
      <c r="AR424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425" spans="1:44" x14ac:dyDescent="0.25">
      <c r="A425" s="12">
        <v>213</v>
      </c>
      <c r="B425" s="36">
        <v>0</v>
      </c>
      <c r="C425" s="36">
        <v>0</v>
      </c>
      <c r="D425" s="60">
        <v>1</v>
      </c>
      <c r="E425" s="18" t="str">
        <f t="shared" si="24"/>
        <v>FALLECIDO</v>
      </c>
      <c r="F425" s="29" t="s">
        <v>46</v>
      </c>
      <c r="G425" s="21">
        <v>5.3165166666666668</v>
      </c>
      <c r="H425" s="21">
        <v>-72.392266666666671</v>
      </c>
      <c r="I425" s="93" t="s">
        <v>697</v>
      </c>
      <c r="J425" s="36" t="s">
        <v>717</v>
      </c>
      <c r="K425" s="24" t="str">
        <f t="shared" si="25"/>
        <v>2022</v>
      </c>
      <c r="L425" s="24" t="str">
        <f t="shared" si="26"/>
        <v>JUNIO</v>
      </c>
      <c r="M425" s="225">
        <v>44722</v>
      </c>
      <c r="N425" s="24" t="str">
        <f t="shared" si="27"/>
        <v>VIERNES</v>
      </c>
      <c r="O425" s="170">
        <v>0.69791666666666696</v>
      </c>
      <c r="P425" s="53" t="s">
        <v>469</v>
      </c>
      <c r="Q425" s="53" t="s">
        <v>447</v>
      </c>
      <c r="R425" s="36">
        <f>COUNTIF(Tabla1[[#This Row],[VEHICULOS_ACCIDENTADOS]:[VEHICULOS_ACCIDENTADOS2]],"MOTOCICLETA")</f>
        <v>1</v>
      </c>
      <c r="S425" s="36">
        <f>COUNTIF(Tabla1[[#This Row],[VEHICULOS_ACCIDENTADOS]:[VEHICULOS_ACCIDENTADOS2]],"MOTOCARRO")</f>
        <v>0</v>
      </c>
      <c r="T425" s="36">
        <f>COUNTIF(Tabla1[[#This Row],[VEHICULOS_ACCIDENTADOS]:[VEHICULOS_ACCIDENTADOS2]],"AUTOMOVIL")</f>
        <v>1</v>
      </c>
      <c r="U425" s="36">
        <f>COUNTIF(Tabla1[[#This Row],[VEHICULOS_ACCIDENTADOS]:[VEHICULOS_ACCIDENTADOS2]],"CAMPERO")</f>
        <v>0</v>
      </c>
      <c r="V425" s="36">
        <f>COUNTIF(Tabla1[[#This Row],[VEHICULOS_ACCIDENTADOS]:[VEHICULOS_ACCIDENTADOS2]],"CAMIONETA")</f>
        <v>0</v>
      </c>
      <c r="W425" s="36">
        <f>COUNTIF(Tabla1[[#This Row],[VEHICULOS_ACCIDENTADOS]:[VEHICULOS_ACCIDENTADOS2]],"MICROBUS")</f>
        <v>0</v>
      </c>
      <c r="X425" s="36">
        <f>COUNTIF(Tabla1[[#This Row],[VEHICULOS_ACCIDENTADOS]:[VEHICULOS_ACCIDENTADOS2]],"BUS")</f>
        <v>0</v>
      </c>
      <c r="Y425" s="36">
        <f>COUNTIF(Tabla1[[#This Row],[VEHICULOS_ACCIDENTADOS]:[VEHICULOS_ACCIDENTADOS2]],"BUSETA")</f>
        <v>0</v>
      </c>
      <c r="Z425" s="36">
        <f>COUNTIF(Tabla1[[#This Row],[VEHICULOS_ACCIDENTADOS]:[VEHICULOS_ACCIDENTADOS2]],"CAMION")</f>
        <v>0</v>
      </c>
      <c r="AA425" s="36">
        <f>COUNTIF(Tabla1[[#This Row],[VEHICULOS_ACCIDENTADOS]:[VEHICULOS_ACCIDENTADOS2]],"TRACTOCAMION")</f>
        <v>0</v>
      </c>
      <c r="AB425" s="36">
        <f>COUNTIF(Tabla1[[#This Row],[VEHICULOS_ACCIDENTADOS]:[VEHICULOS_ACCIDENTADOS2]],"VOLQUETA")</f>
        <v>0</v>
      </c>
      <c r="AC425" s="36">
        <f>COUNTIF(Tabla1[[#This Row],[VEHICULOS_ACCIDENTADOS]:[VEHICULOS_ACCIDENTADOS2]],"BICICLETA")</f>
        <v>0</v>
      </c>
      <c r="AD425" s="56"/>
      <c r="AE425" s="56" t="s">
        <v>472</v>
      </c>
      <c r="AF425" s="56">
        <f>COUNTIF(Tabla1[[#This Row],[GENERO_MASCULINO]:[GENERO_FEMENINO]],"MASCULINO")</f>
        <v>0</v>
      </c>
      <c r="AG425" s="36">
        <f>COUNTIF(Tabla1[[#This Row],[GENERO_MASCULINO]:[GENERO_FEMENINO]],"FEMENINO")</f>
        <v>1</v>
      </c>
      <c r="AH425" s="61"/>
      <c r="AI425" s="61"/>
      <c r="AJ425" s="61"/>
      <c r="AK425" s="61"/>
      <c r="AL425" s="61"/>
      <c r="AM425" s="36"/>
      <c r="AN425" s="61">
        <v>157</v>
      </c>
      <c r="AO425" s="36" t="str">
        <f>IFERROR(((VLOOKUP(Tabla1[[#This Row],[HIPOTESIS_1]],listas!$D$1:$E$105,2,FALSE))),"SIN INFORMACIÓN")</f>
        <v>Otra</v>
      </c>
      <c r="AP425" s="36">
        <v>114</v>
      </c>
      <c r="AQ425" s="36" t="str">
        <f>IFERROR(((VLOOKUP(Tabla1[[#This Row],[HIPOTESIS_2]],listas!$D$1:$E$105,2,FALSE))),"")</f>
        <v>Embriaguez aparente.</v>
      </c>
      <c r="AR425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426" spans="1:44" x14ac:dyDescent="0.25">
      <c r="A426" s="12">
        <v>68</v>
      </c>
      <c r="B426" s="36">
        <v>0</v>
      </c>
      <c r="C426" s="36">
        <v>2</v>
      </c>
      <c r="D426" s="60">
        <v>0</v>
      </c>
      <c r="E426" s="18" t="str">
        <f t="shared" si="24"/>
        <v>LESIONADO</v>
      </c>
      <c r="F426" s="29" t="s">
        <v>1034</v>
      </c>
      <c r="G426" s="17">
        <v>5.3236416666666662</v>
      </c>
      <c r="H426" s="17">
        <v>-72.402377777777787</v>
      </c>
      <c r="I426" s="93" t="s">
        <v>697</v>
      </c>
      <c r="J426" s="36" t="s">
        <v>717</v>
      </c>
      <c r="K426" s="24" t="str">
        <f t="shared" si="25"/>
        <v>2022</v>
      </c>
      <c r="L426" s="24" t="str">
        <f t="shared" si="26"/>
        <v>FEBRERO</v>
      </c>
      <c r="M426" s="225">
        <v>44618</v>
      </c>
      <c r="N426" s="24" t="str">
        <f t="shared" si="27"/>
        <v>SÁBADO</v>
      </c>
      <c r="O426" s="103">
        <v>0.875</v>
      </c>
      <c r="P426" s="63" t="s">
        <v>469</v>
      </c>
      <c r="Q426" s="63" t="s">
        <v>469</v>
      </c>
      <c r="R426" s="36">
        <f>COUNTIF(Tabla1[[#This Row],[VEHICULOS_ACCIDENTADOS]:[VEHICULOS_ACCIDENTADOS2]],"MOTOCICLETA")</f>
        <v>2</v>
      </c>
      <c r="S426" s="36">
        <f>COUNTIF(Tabla1[[#This Row],[VEHICULOS_ACCIDENTADOS]:[VEHICULOS_ACCIDENTADOS2]],"MOTOCARRO")</f>
        <v>0</v>
      </c>
      <c r="T426" s="36">
        <f>COUNTIF(Tabla1[[#This Row],[VEHICULOS_ACCIDENTADOS]:[VEHICULOS_ACCIDENTADOS2]],"AUTOMOVIL")</f>
        <v>0</v>
      </c>
      <c r="U426" s="36">
        <f>COUNTIF(Tabla1[[#This Row],[VEHICULOS_ACCIDENTADOS]:[VEHICULOS_ACCIDENTADOS2]],"CAMPERO")</f>
        <v>0</v>
      </c>
      <c r="V426" s="36">
        <f>COUNTIF(Tabla1[[#This Row],[VEHICULOS_ACCIDENTADOS]:[VEHICULOS_ACCIDENTADOS2]],"CAMIONETA")</f>
        <v>0</v>
      </c>
      <c r="W426" s="36">
        <f>COUNTIF(Tabla1[[#This Row],[VEHICULOS_ACCIDENTADOS]:[VEHICULOS_ACCIDENTADOS2]],"MICROBUS")</f>
        <v>0</v>
      </c>
      <c r="X426" s="36">
        <f>COUNTIF(Tabla1[[#This Row],[VEHICULOS_ACCIDENTADOS]:[VEHICULOS_ACCIDENTADOS2]],"BUS")</f>
        <v>0</v>
      </c>
      <c r="Y426" s="36">
        <f>COUNTIF(Tabla1[[#This Row],[VEHICULOS_ACCIDENTADOS]:[VEHICULOS_ACCIDENTADOS2]],"BUSETA")</f>
        <v>0</v>
      </c>
      <c r="Z426" s="36">
        <f>COUNTIF(Tabla1[[#This Row],[VEHICULOS_ACCIDENTADOS]:[VEHICULOS_ACCIDENTADOS2]],"CAMION")</f>
        <v>0</v>
      </c>
      <c r="AA426" s="36">
        <f>COUNTIF(Tabla1[[#This Row],[VEHICULOS_ACCIDENTADOS]:[VEHICULOS_ACCIDENTADOS2]],"TRACTOCAMION")</f>
        <v>0</v>
      </c>
      <c r="AB426" s="36">
        <f>COUNTIF(Tabla1[[#This Row],[VEHICULOS_ACCIDENTADOS]:[VEHICULOS_ACCIDENTADOS2]],"VOLQUETA")</f>
        <v>0</v>
      </c>
      <c r="AC426" s="36">
        <f>COUNTIF(Tabla1[[#This Row],[VEHICULOS_ACCIDENTADOS]:[VEHICULOS_ACCIDENTADOS2]],"BICICLETA")</f>
        <v>0</v>
      </c>
      <c r="AD426" s="56" t="s">
        <v>471</v>
      </c>
      <c r="AE426" s="56"/>
      <c r="AF426" s="56">
        <f>COUNTIF(Tabla1[[#This Row],[GENERO_MASCULINO]:[GENERO_FEMENINO]],"MASCULINO")</f>
        <v>1</v>
      </c>
      <c r="AG426" s="36">
        <f>COUNTIF(Tabla1[[#This Row],[GENERO_MASCULINO]:[GENERO_FEMENINO]],"FEMENINO")</f>
        <v>0</v>
      </c>
      <c r="AH426" s="61">
        <v>22</v>
      </c>
      <c r="AI426" s="61"/>
      <c r="AJ426" s="61"/>
      <c r="AK426" s="61"/>
      <c r="AL426" s="61"/>
      <c r="AM426" s="36"/>
      <c r="AN426" s="61">
        <v>104</v>
      </c>
      <c r="AO426" s="36" t="str">
        <f>IFERROR(((VLOOKUP(Tabla1[[#This Row],[HIPOTESIS_1]],listas!$D$1:$E$105,2,FALSE))),"SIN INFORMACIÓN")</f>
        <v>Adelantar invadiendo carril de sentido contrario.</v>
      </c>
      <c r="AP426" s="36">
        <v>114</v>
      </c>
      <c r="AQ426" s="36" t="str">
        <f>IFERROR(((VLOOKUP(Tabla1[[#This Row],[HIPOTESIS_2]],listas!$D$1:$E$105,2,FALSE))),"")</f>
        <v>Embriaguez aparente.</v>
      </c>
      <c r="AR426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427" spans="1:44" x14ac:dyDescent="0.25">
      <c r="A427" s="12">
        <v>938</v>
      </c>
      <c r="B427" s="135">
        <v>1</v>
      </c>
      <c r="C427" s="136">
        <v>0</v>
      </c>
      <c r="D427" s="148">
        <v>0</v>
      </c>
      <c r="E427" s="18" t="str">
        <f t="shared" si="24"/>
        <v>SOLO DAÑO</v>
      </c>
      <c r="F427" s="26" t="s">
        <v>43</v>
      </c>
      <c r="G427" s="20">
        <v>5.3337779999999997</v>
      </c>
      <c r="H427" s="20">
        <v>-72.391773999999998</v>
      </c>
      <c r="I427" s="93" t="s">
        <v>697</v>
      </c>
      <c r="J427" s="136" t="s">
        <v>717</v>
      </c>
      <c r="K427" s="24" t="str">
        <f t="shared" si="25"/>
        <v>2025</v>
      </c>
      <c r="L427" s="24" t="str">
        <f t="shared" si="26"/>
        <v>ABRIL</v>
      </c>
      <c r="M427" s="224">
        <v>45760</v>
      </c>
      <c r="N427" s="24" t="str">
        <f t="shared" si="27"/>
        <v>DOMINGO</v>
      </c>
      <c r="O427" s="104">
        <v>0.61111111111111105</v>
      </c>
      <c r="P427" s="136" t="s">
        <v>469</v>
      </c>
      <c r="Q427" s="136" t="s">
        <v>469</v>
      </c>
      <c r="R427" s="36">
        <f>COUNTIF(Tabla1[[#This Row],[VEHICULOS_ACCIDENTADOS]:[VEHICULOS_ACCIDENTADOS2]],"MOTOCICLETA")</f>
        <v>2</v>
      </c>
      <c r="S427" s="36">
        <f>COUNTIF(Tabla1[[#This Row],[VEHICULOS_ACCIDENTADOS]:[VEHICULOS_ACCIDENTADOS2]],"MOTOCARRO")</f>
        <v>0</v>
      </c>
      <c r="T427" s="36">
        <f>COUNTIF(Tabla1[[#This Row],[VEHICULOS_ACCIDENTADOS]:[VEHICULOS_ACCIDENTADOS2]],"AUTOMOVIL")</f>
        <v>0</v>
      </c>
      <c r="U427" s="36">
        <f>COUNTIF(Tabla1[[#This Row],[VEHICULOS_ACCIDENTADOS]:[VEHICULOS_ACCIDENTADOS2]],"CAMPERO")</f>
        <v>0</v>
      </c>
      <c r="V427" s="36">
        <f>COUNTIF(Tabla1[[#This Row],[VEHICULOS_ACCIDENTADOS]:[VEHICULOS_ACCIDENTADOS2]],"CAMIONETA")</f>
        <v>0</v>
      </c>
      <c r="W427" s="36">
        <f>COUNTIF(Tabla1[[#This Row],[VEHICULOS_ACCIDENTADOS]:[VEHICULOS_ACCIDENTADOS2]],"MICROBUS")</f>
        <v>0</v>
      </c>
      <c r="X427" s="36">
        <f>COUNTIF(Tabla1[[#This Row],[VEHICULOS_ACCIDENTADOS]:[VEHICULOS_ACCIDENTADOS2]],"BUS")</f>
        <v>0</v>
      </c>
      <c r="Y427" s="36">
        <f>COUNTIF(Tabla1[[#This Row],[VEHICULOS_ACCIDENTADOS]:[VEHICULOS_ACCIDENTADOS2]],"BUSETA")</f>
        <v>0</v>
      </c>
      <c r="Z427" s="36">
        <f>COUNTIF(Tabla1[[#This Row],[VEHICULOS_ACCIDENTADOS]:[VEHICULOS_ACCIDENTADOS2]],"CAMION")</f>
        <v>0</v>
      </c>
      <c r="AA427" s="36">
        <f>COUNTIF(Tabla1[[#This Row],[VEHICULOS_ACCIDENTADOS]:[VEHICULOS_ACCIDENTADOS2]],"TRACTOCAMION")</f>
        <v>0</v>
      </c>
      <c r="AB427" s="36">
        <f>COUNTIF(Tabla1[[#This Row],[VEHICULOS_ACCIDENTADOS]:[VEHICULOS_ACCIDENTADOS2]],"VOLQUETA")</f>
        <v>0</v>
      </c>
      <c r="AC427" s="36">
        <f>COUNTIF(Tabla1[[#This Row],[VEHICULOS_ACCIDENTADOS]:[VEHICULOS_ACCIDENTADOS2]],"BICICLETA")</f>
        <v>0</v>
      </c>
      <c r="AD427" s="190" t="s">
        <v>471</v>
      </c>
      <c r="AE427" s="190" t="s">
        <v>471</v>
      </c>
      <c r="AF427" s="190">
        <f>COUNTIF(Tabla1[[#This Row],[GENERO_MASCULINO]:[GENERO_FEMENINO]],"MASCULINO")</f>
        <v>2</v>
      </c>
      <c r="AG427" s="36">
        <f>COUNTIF(Tabla1[[#This Row],[GENERO_MASCULINO]:[GENERO_FEMENINO]],"FEMENINO")</f>
        <v>0</v>
      </c>
      <c r="AH427" s="85">
        <v>64</v>
      </c>
      <c r="AI427" s="85">
        <v>26</v>
      </c>
      <c r="AJ427" s="85">
        <v>37</v>
      </c>
      <c r="AK427" s="78"/>
      <c r="AL427" s="78"/>
      <c r="AM427" s="59"/>
      <c r="AN427" s="85">
        <v>157</v>
      </c>
      <c r="AO427" s="36" t="str">
        <f>IFERROR(((VLOOKUP(Tabla1[[#This Row],[HIPOTESIS_1]],listas!$D$1:$E$105,2,FALSE))),"SIN INFORMACIÓN")</f>
        <v>Otra</v>
      </c>
      <c r="AP427" s="36">
        <v>112</v>
      </c>
      <c r="AQ427" s="36" t="str">
        <f>IFERROR(((VLOOKUP(Tabla1[[#This Row],[HIPOTESIS_2]],listas!$D$1:$E$105,2,FALSE))),"")</f>
        <v>Desobedecer señales o normas de tránsito.</v>
      </c>
      <c r="AR427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428" spans="1:44" x14ac:dyDescent="0.25">
      <c r="A428" s="12">
        <v>626</v>
      </c>
      <c r="B428" s="36">
        <v>0</v>
      </c>
      <c r="C428" s="36">
        <v>1</v>
      </c>
      <c r="D428" s="60">
        <v>0</v>
      </c>
      <c r="E428" s="18" t="str">
        <f t="shared" si="24"/>
        <v>LESIONADO</v>
      </c>
      <c r="F428" s="29" t="s">
        <v>1156</v>
      </c>
      <c r="G428" s="21">
        <v>5.3246861111111112</v>
      </c>
      <c r="H428" s="21">
        <v>-72.384172222222233</v>
      </c>
      <c r="I428" s="93" t="s">
        <v>697</v>
      </c>
      <c r="J428" s="36" t="s">
        <v>717</v>
      </c>
      <c r="K428" s="24" t="str">
        <f t="shared" si="25"/>
        <v>2023</v>
      </c>
      <c r="L428" s="24" t="str">
        <f t="shared" si="26"/>
        <v>DICIEMBRE</v>
      </c>
      <c r="M428" s="225">
        <v>45266</v>
      </c>
      <c r="N428" s="24" t="str">
        <f t="shared" si="27"/>
        <v>MIÉRCOLES</v>
      </c>
      <c r="O428" s="103">
        <v>0.30208333333333331</v>
      </c>
      <c r="P428" s="57" t="s">
        <v>469</v>
      </c>
      <c r="Q428" s="57" t="s">
        <v>447</v>
      </c>
      <c r="R428" s="36">
        <f>COUNTIF(Tabla1[[#This Row],[VEHICULOS_ACCIDENTADOS]:[VEHICULOS_ACCIDENTADOS2]],"MOTOCICLETA")</f>
        <v>1</v>
      </c>
      <c r="S428" s="36">
        <f>COUNTIF(Tabla1[[#This Row],[VEHICULOS_ACCIDENTADOS]:[VEHICULOS_ACCIDENTADOS2]],"MOTOCARRO")</f>
        <v>0</v>
      </c>
      <c r="T428" s="36">
        <f>COUNTIF(Tabla1[[#This Row],[VEHICULOS_ACCIDENTADOS]:[VEHICULOS_ACCIDENTADOS2]],"AUTOMOVIL")</f>
        <v>1</v>
      </c>
      <c r="U428" s="36">
        <f>COUNTIF(Tabla1[[#This Row],[VEHICULOS_ACCIDENTADOS]:[VEHICULOS_ACCIDENTADOS2]],"CAMPERO")</f>
        <v>0</v>
      </c>
      <c r="V428" s="36">
        <f>COUNTIF(Tabla1[[#This Row],[VEHICULOS_ACCIDENTADOS]:[VEHICULOS_ACCIDENTADOS2]],"CAMIONETA")</f>
        <v>0</v>
      </c>
      <c r="W428" s="36">
        <f>COUNTIF(Tabla1[[#This Row],[VEHICULOS_ACCIDENTADOS]:[VEHICULOS_ACCIDENTADOS2]],"MICROBUS")</f>
        <v>0</v>
      </c>
      <c r="X428" s="36">
        <f>COUNTIF(Tabla1[[#This Row],[VEHICULOS_ACCIDENTADOS]:[VEHICULOS_ACCIDENTADOS2]],"BUS")</f>
        <v>0</v>
      </c>
      <c r="Y428" s="36">
        <f>COUNTIF(Tabla1[[#This Row],[VEHICULOS_ACCIDENTADOS]:[VEHICULOS_ACCIDENTADOS2]],"BUSETA")</f>
        <v>0</v>
      </c>
      <c r="Z428" s="36">
        <f>COUNTIF(Tabla1[[#This Row],[VEHICULOS_ACCIDENTADOS]:[VEHICULOS_ACCIDENTADOS2]],"CAMION")</f>
        <v>0</v>
      </c>
      <c r="AA428" s="36">
        <f>COUNTIF(Tabla1[[#This Row],[VEHICULOS_ACCIDENTADOS]:[VEHICULOS_ACCIDENTADOS2]],"TRACTOCAMION")</f>
        <v>0</v>
      </c>
      <c r="AB428" s="36">
        <f>COUNTIF(Tabla1[[#This Row],[VEHICULOS_ACCIDENTADOS]:[VEHICULOS_ACCIDENTADOS2]],"VOLQUETA")</f>
        <v>0</v>
      </c>
      <c r="AC428" s="36">
        <f>COUNTIF(Tabla1[[#This Row],[VEHICULOS_ACCIDENTADOS]:[VEHICULOS_ACCIDENTADOS2]],"BICICLETA")</f>
        <v>0</v>
      </c>
      <c r="AD428" s="56" t="s">
        <v>471</v>
      </c>
      <c r="AE428" s="56"/>
      <c r="AF428" s="56">
        <f>COUNTIF(Tabla1[[#This Row],[GENERO_MASCULINO]:[GENERO_FEMENINO]],"MASCULINO")</f>
        <v>1</v>
      </c>
      <c r="AG428" s="36">
        <f>COUNTIF(Tabla1[[#This Row],[GENERO_MASCULINO]:[GENERO_FEMENINO]],"FEMENINO")</f>
        <v>0</v>
      </c>
      <c r="AH428" s="61">
        <v>26</v>
      </c>
      <c r="AI428" s="61"/>
      <c r="AJ428" s="61"/>
      <c r="AK428" s="61"/>
      <c r="AL428" s="61"/>
      <c r="AM428" s="36"/>
      <c r="AN428" s="61">
        <v>139</v>
      </c>
      <c r="AO428" s="36" t="str">
        <f>IFERROR(((VLOOKUP(Tabla1[[#This Row],[HIPOTESIS_1]],listas!$D$1:$E$105,2,FALSE))),"SIN INFORMACIÓN")</f>
        <v>Impericia en el manejo.</v>
      </c>
      <c r="AP428" s="36">
        <v>112</v>
      </c>
      <c r="AQ428" s="36" t="str">
        <f>IFERROR(((VLOOKUP(Tabla1[[#This Row],[HIPOTESIS_2]],listas!$D$1:$E$105,2,FALSE))),"")</f>
        <v>Desobedecer señales o normas de tránsito.</v>
      </c>
      <c r="AR428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429" spans="1:44" x14ac:dyDescent="0.25">
      <c r="A429" s="12">
        <v>587</v>
      </c>
      <c r="B429" s="36">
        <v>0</v>
      </c>
      <c r="C429" s="36">
        <v>4</v>
      </c>
      <c r="D429" s="60">
        <v>0</v>
      </c>
      <c r="E429" s="18" t="str">
        <f t="shared" si="24"/>
        <v>LESIONADO</v>
      </c>
      <c r="F429" s="29" t="s">
        <v>60</v>
      </c>
      <c r="G429" s="17">
        <v>5.3348411111111105</v>
      </c>
      <c r="H429" s="17">
        <v>-72.372863055555555</v>
      </c>
      <c r="I429" s="93" t="s">
        <v>697</v>
      </c>
      <c r="J429" s="36" t="s">
        <v>717</v>
      </c>
      <c r="K429" s="24" t="str">
        <f t="shared" si="25"/>
        <v>2023</v>
      </c>
      <c r="L429" s="24" t="str">
        <f t="shared" si="26"/>
        <v>OCTUBRE</v>
      </c>
      <c r="M429" s="225">
        <v>45228</v>
      </c>
      <c r="N429" s="24" t="str">
        <f t="shared" si="27"/>
        <v>DOMINGO</v>
      </c>
      <c r="O429" s="103">
        <v>0.60416666666666663</v>
      </c>
      <c r="P429" s="57" t="s">
        <v>469</v>
      </c>
      <c r="Q429" s="57" t="s">
        <v>469</v>
      </c>
      <c r="R429" s="36">
        <f>COUNTIF(Tabla1[[#This Row],[VEHICULOS_ACCIDENTADOS]:[VEHICULOS_ACCIDENTADOS2]],"MOTOCICLETA")</f>
        <v>2</v>
      </c>
      <c r="S429" s="36">
        <f>COUNTIF(Tabla1[[#This Row],[VEHICULOS_ACCIDENTADOS]:[VEHICULOS_ACCIDENTADOS2]],"MOTOCARRO")</f>
        <v>0</v>
      </c>
      <c r="T429" s="36">
        <f>COUNTIF(Tabla1[[#This Row],[VEHICULOS_ACCIDENTADOS]:[VEHICULOS_ACCIDENTADOS2]],"AUTOMOVIL")</f>
        <v>0</v>
      </c>
      <c r="U429" s="36">
        <f>COUNTIF(Tabla1[[#This Row],[VEHICULOS_ACCIDENTADOS]:[VEHICULOS_ACCIDENTADOS2]],"CAMPERO")</f>
        <v>0</v>
      </c>
      <c r="V429" s="36">
        <f>COUNTIF(Tabla1[[#This Row],[VEHICULOS_ACCIDENTADOS]:[VEHICULOS_ACCIDENTADOS2]],"CAMIONETA")</f>
        <v>0</v>
      </c>
      <c r="W429" s="36">
        <f>COUNTIF(Tabla1[[#This Row],[VEHICULOS_ACCIDENTADOS]:[VEHICULOS_ACCIDENTADOS2]],"MICROBUS")</f>
        <v>0</v>
      </c>
      <c r="X429" s="36">
        <f>COUNTIF(Tabla1[[#This Row],[VEHICULOS_ACCIDENTADOS]:[VEHICULOS_ACCIDENTADOS2]],"BUS")</f>
        <v>0</v>
      </c>
      <c r="Y429" s="36">
        <f>COUNTIF(Tabla1[[#This Row],[VEHICULOS_ACCIDENTADOS]:[VEHICULOS_ACCIDENTADOS2]],"BUSETA")</f>
        <v>0</v>
      </c>
      <c r="Z429" s="36">
        <f>COUNTIF(Tabla1[[#This Row],[VEHICULOS_ACCIDENTADOS]:[VEHICULOS_ACCIDENTADOS2]],"CAMION")</f>
        <v>0</v>
      </c>
      <c r="AA429" s="36">
        <f>COUNTIF(Tabla1[[#This Row],[VEHICULOS_ACCIDENTADOS]:[VEHICULOS_ACCIDENTADOS2]],"TRACTOCAMION")</f>
        <v>0</v>
      </c>
      <c r="AB429" s="36">
        <f>COUNTIF(Tabla1[[#This Row],[VEHICULOS_ACCIDENTADOS]:[VEHICULOS_ACCIDENTADOS2]],"VOLQUETA")</f>
        <v>0</v>
      </c>
      <c r="AC429" s="36">
        <f>COUNTIF(Tabla1[[#This Row],[VEHICULOS_ACCIDENTADOS]:[VEHICULOS_ACCIDENTADOS2]],"BICICLETA")</f>
        <v>0</v>
      </c>
      <c r="AD429" s="56" t="s">
        <v>471</v>
      </c>
      <c r="AE429" s="56" t="s">
        <v>472</v>
      </c>
      <c r="AF429" s="56">
        <f>COUNTIF(Tabla1[[#This Row],[GENERO_MASCULINO]:[GENERO_FEMENINO]],"MASCULINO")</f>
        <v>1</v>
      </c>
      <c r="AG429" s="36">
        <f>COUNTIF(Tabla1[[#This Row],[GENERO_MASCULINO]:[GENERO_FEMENINO]],"FEMENINO")</f>
        <v>1</v>
      </c>
      <c r="AH429" s="61">
        <v>16</v>
      </c>
      <c r="AI429" s="61">
        <v>28</v>
      </c>
      <c r="AJ429" s="61"/>
      <c r="AK429" s="61"/>
      <c r="AL429" s="61">
        <v>17</v>
      </c>
      <c r="AM429" s="36"/>
      <c r="AN429" s="61">
        <v>139</v>
      </c>
      <c r="AO429" s="36" t="str">
        <f>IFERROR(((VLOOKUP(Tabla1[[#This Row],[HIPOTESIS_1]],listas!$D$1:$E$105,2,FALSE))),"SIN INFORMACIÓN")</f>
        <v>Impericia en el manejo.</v>
      </c>
      <c r="AP429" s="36">
        <v>112</v>
      </c>
      <c r="AQ429" s="36" t="str">
        <f>IFERROR(((VLOOKUP(Tabla1[[#This Row],[HIPOTESIS_2]],listas!$D$1:$E$105,2,FALSE))),"")</f>
        <v>Desobedecer señales o normas de tránsito.</v>
      </c>
      <c r="AR429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430" spans="1:44" x14ac:dyDescent="0.25">
      <c r="A430" s="12">
        <v>1011</v>
      </c>
      <c r="B430" s="137">
        <v>0</v>
      </c>
      <c r="C430" s="137">
        <v>2</v>
      </c>
      <c r="D430" s="146">
        <v>0</v>
      </c>
      <c r="E430" s="18" t="str">
        <f t="shared" si="24"/>
        <v>LESIONADO</v>
      </c>
      <c r="F430" s="24" t="s">
        <v>841</v>
      </c>
      <c r="G430" s="30">
        <v>5.3377999999999997</v>
      </c>
      <c r="H430" s="30">
        <v>-72.390198999999996</v>
      </c>
      <c r="I430" s="93" t="s">
        <v>697</v>
      </c>
      <c r="J430" s="36" t="s">
        <v>717</v>
      </c>
      <c r="K430" s="24" t="str">
        <f t="shared" si="25"/>
        <v>2025</v>
      </c>
      <c r="L430" s="24" t="str">
        <f t="shared" si="26"/>
        <v>JULIO</v>
      </c>
      <c r="M430" s="225">
        <v>45845</v>
      </c>
      <c r="N430" s="24" t="str">
        <f t="shared" si="27"/>
        <v>LUNES</v>
      </c>
      <c r="O430" s="103">
        <v>0.33680555555555558</v>
      </c>
      <c r="P430" s="63" t="s">
        <v>447</v>
      </c>
      <c r="Q430" s="63" t="s">
        <v>469</v>
      </c>
      <c r="R430" s="36">
        <f>COUNTIF(Tabla1[[#This Row],[VEHICULOS_ACCIDENTADOS]:[VEHICULOS_ACCIDENTADOS2]],"MOTOCICLETA")</f>
        <v>1</v>
      </c>
      <c r="S430" s="36">
        <f>COUNTIF(Tabla1[[#This Row],[VEHICULOS_ACCIDENTADOS]:[VEHICULOS_ACCIDENTADOS2]],"MOTOCARRO")</f>
        <v>0</v>
      </c>
      <c r="T430" s="36">
        <f>COUNTIF(Tabla1[[#This Row],[VEHICULOS_ACCIDENTADOS]:[VEHICULOS_ACCIDENTADOS2]],"AUTOMOVIL")</f>
        <v>1</v>
      </c>
      <c r="U430" s="36">
        <f>COUNTIF(Tabla1[[#This Row],[VEHICULOS_ACCIDENTADOS]:[VEHICULOS_ACCIDENTADOS2]],"CAMPERO")</f>
        <v>0</v>
      </c>
      <c r="V430" s="36">
        <f>COUNTIF(Tabla1[[#This Row],[VEHICULOS_ACCIDENTADOS]:[VEHICULOS_ACCIDENTADOS2]],"CAMIONETA")</f>
        <v>0</v>
      </c>
      <c r="W430" s="36">
        <f>COUNTIF(Tabla1[[#This Row],[VEHICULOS_ACCIDENTADOS]:[VEHICULOS_ACCIDENTADOS2]],"MICROBUS")</f>
        <v>0</v>
      </c>
      <c r="X430" s="36">
        <f>COUNTIF(Tabla1[[#This Row],[VEHICULOS_ACCIDENTADOS]:[VEHICULOS_ACCIDENTADOS2]],"BUS")</f>
        <v>0</v>
      </c>
      <c r="Y430" s="36">
        <f>COUNTIF(Tabla1[[#This Row],[VEHICULOS_ACCIDENTADOS]:[VEHICULOS_ACCIDENTADOS2]],"BUSETA")</f>
        <v>0</v>
      </c>
      <c r="Z430" s="36">
        <f>COUNTIF(Tabla1[[#This Row],[VEHICULOS_ACCIDENTADOS]:[VEHICULOS_ACCIDENTADOS2]],"CAMION")</f>
        <v>0</v>
      </c>
      <c r="AA430" s="36">
        <f>COUNTIF(Tabla1[[#This Row],[VEHICULOS_ACCIDENTADOS]:[VEHICULOS_ACCIDENTADOS2]],"TRACTOCAMION")</f>
        <v>0</v>
      </c>
      <c r="AB430" s="36">
        <f>COUNTIF(Tabla1[[#This Row],[VEHICULOS_ACCIDENTADOS]:[VEHICULOS_ACCIDENTADOS2]],"VOLQUETA")</f>
        <v>0</v>
      </c>
      <c r="AC430" s="36">
        <f>COUNTIF(Tabla1[[#This Row],[VEHICULOS_ACCIDENTADOS]:[VEHICULOS_ACCIDENTADOS2]],"BICICLETA")</f>
        <v>0</v>
      </c>
      <c r="AD430" s="56" t="s">
        <v>471</v>
      </c>
      <c r="AE430" s="56" t="s">
        <v>471</v>
      </c>
      <c r="AF430" s="56">
        <f>COUNTIF(Tabla1[[#This Row],[GENERO_MASCULINO]:[GENERO_FEMENINO]],"MASCULINO")</f>
        <v>2</v>
      </c>
      <c r="AG430" s="36">
        <f>COUNTIF(Tabla1[[#This Row],[GENERO_MASCULINO]:[GENERO_FEMENINO]],"FEMENINO")</f>
        <v>0</v>
      </c>
      <c r="AH430" s="85">
        <v>44</v>
      </c>
      <c r="AI430" s="85">
        <v>18</v>
      </c>
      <c r="AJ430" s="85">
        <v>28</v>
      </c>
      <c r="AK430" s="78"/>
      <c r="AL430" s="78"/>
      <c r="AM430" s="59"/>
      <c r="AN430" s="61">
        <v>112</v>
      </c>
      <c r="AO430" s="36" t="str">
        <f>IFERROR(((VLOOKUP(Tabla1[[#This Row],[HIPOTESIS_1]],listas!$D$1:$E$105,2,FALSE))),"SIN INFORMACIÓN")</f>
        <v>Desobedecer señales o normas de tránsito.</v>
      </c>
      <c r="AP430" s="36">
        <v>112</v>
      </c>
      <c r="AQ430" s="36" t="str">
        <f>IFERROR(((VLOOKUP(Tabla1[[#This Row],[HIPOTESIS_2]],listas!$D$1:$E$105,2,FALSE))),"")</f>
        <v>Desobedecer señales o normas de tránsito.</v>
      </c>
      <c r="AR430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431" spans="1:44" x14ac:dyDescent="0.25">
      <c r="A431" s="12">
        <v>723</v>
      </c>
      <c r="B431" s="135">
        <v>0</v>
      </c>
      <c r="C431" s="136">
        <v>2</v>
      </c>
      <c r="D431" s="148">
        <v>0</v>
      </c>
      <c r="E431" s="18" t="str">
        <f t="shared" si="24"/>
        <v>LESIONADO</v>
      </c>
      <c r="F431" s="26" t="s">
        <v>140</v>
      </c>
      <c r="G431" s="21">
        <v>5.3385749999999996</v>
      </c>
      <c r="H431" s="21">
        <v>-72.384647222222227</v>
      </c>
      <c r="I431" s="93" t="s">
        <v>697</v>
      </c>
      <c r="J431" s="136" t="s">
        <v>717</v>
      </c>
      <c r="K431" s="24" t="str">
        <f t="shared" si="25"/>
        <v>2024</v>
      </c>
      <c r="L431" s="24" t="str">
        <f t="shared" si="26"/>
        <v>JUNIO</v>
      </c>
      <c r="M431" s="224">
        <v>45445</v>
      </c>
      <c r="N431" s="24" t="str">
        <f t="shared" si="27"/>
        <v>DOMINGO</v>
      </c>
      <c r="O431" s="104">
        <v>0.77777777777777779</v>
      </c>
      <c r="P431" s="178" t="s">
        <v>469</v>
      </c>
      <c r="Q431" s="178" t="s">
        <v>443</v>
      </c>
      <c r="R431" s="36">
        <f>COUNTIF(Tabla1[[#This Row],[VEHICULOS_ACCIDENTADOS]:[VEHICULOS_ACCIDENTADOS2]],"MOTOCICLETA")</f>
        <v>1</v>
      </c>
      <c r="S431" s="36">
        <f>COUNTIF(Tabla1[[#This Row],[VEHICULOS_ACCIDENTADOS]:[VEHICULOS_ACCIDENTADOS2]],"MOTOCARRO")</f>
        <v>0</v>
      </c>
      <c r="T431" s="36">
        <f>COUNTIF(Tabla1[[#This Row],[VEHICULOS_ACCIDENTADOS]:[VEHICULOS_ACCIDENTADOS2]],"AUTOMOVIL")</f>
        <v>0</v>
      </c>
      <c r="U431" s="36">
        <f>COUNTIF(Tabla1[[#This Row],[VEHICULOS_ACCIDENTADOS]:[VEHICULOS_ACCIDENTADOS2]],"CAMPERO")</f>
        <v>0</v>
      </c>
      <c r="V431" s="36">
        <f>COUNTIF(Tabla1[[#This Row],[VEHICULOS_ACCIDENTADOS]:[VEHICULOS_ACCIDENTADOS2]],"CAMIONETA")</f>
        <v>0</v>
      </c>
      <c r="W431" s="36">
        <f>COUNTIF(Tabla1[[#This Row],[VEHICULOS_ACCIDENTADOS]:[VEHICULOS_ACCIDENTADOS2]],"MICROBUS")</f>
        <v>0</v>
      </c>
      <c r="X431" s="36">
        <f>COUNTIF(Tabla1[[#This Row],[VEHICULOS_ACCIDENTADOS]:[VEHICULOS_ACCIDENTADOS2]],"BUS")</f>
        <v>1</v>
      </c>
      <c r="Y431" s="36">
        <f>COUNTIF(Tabla1[[#This Row],[VEHICULOS_ACCIDENTADOS]:[VEHICULOS_ACCIDENTADOS2]],"BUSETA")</f>
        <v>0</v>
      </c>
      <c r="Z431" s="36">
        <f>COUNTIF(Tabla1[[#This Row],[VEHICULOS_ACCIDENTADOS]:[VEHICULOS_ACCIDENTADOS2]],"CAMION")</f>
        <v>0</v>
      </c>
      <c r="AA431" s="36">
        <f>COUNTIF(Tabla1[[#This Row],[VEHICULOS_ACCIDENTADOS]:[VEHICULOS_ACCIDENTADOS2]],"TRACTOCAMION")</f>
        <v>0</v>
      </c>
      <c r="AB431" s="36">
        <f>COUNTIF(Tabla1[[#This Row],[VEHICULOS_ACCIDENTADOS]:[VEHICULOS_ACCIDENTADOS2]],"VOLQUETA")</f>
        <v>0</v>
      </c>
      <c r="AC431" s="36">
        <f>COUNTIF(Tabla1[[#This Row],[VEHICULOS_ACCIDENTADOS]:[VEHICULOS_ACCIDENTADOS2]],"BICICLETA")</f>
        <v>0</v>
      </c>
      <c r="AD431" s="190"/>
      <c r="AE431" s="190" t="s">
        <v>472</v>
      </c>
      <c r="AF431" s="190">
        <f>COUNTIF(Tabla1[[#This Row],[GENERO_MASCULINO]:[GENERO_FEMENINO]],"MASCULINO")</f>
        <v>0</v>
      </c>
      <c r="AG431" s="36">
        <f>COUNTIF(Tabla1[[#This Row],[GENERO_MASCULINO]:[GENERO_FEMENINO]],"FEMENINO")</f>
        <v>1</v>
      </c>
      <c r="AH431" s="85">
        <v>28</v>
      </c>
      <c r="AI431" s="85">
        <v>34</v>
      </c>
      <c r="AJ431" s="85">
        <v>30</v>
      </c>
      <c r="AK431" s="85"/>
      <c r="AL431" s="85"/>
      <c r="AM431" s="136"/>
      <c r="AN431" s="85">
        <v>115</v>
      </c>
      <c r="AO431" s="36" t="str">
        <f>IFERROR(((VLOOKUP(Tabla1[[#This Row],[HIPOTESIS_1]],listas!$D$1:$E$105,2,FALSE))),"SIN INFORMACIÓN")</f>
        <v>Embriaguez o Sustancias alucinogenas</v>
      </c>
      <c r="AP431" s="136">
        <v>112</v>
      </c>
      <c r="AQ431" s="36" t="str">
        <f>IFERROR(((VLOOKUP(Tabla1[[#This Row],[HIPOTESIS_2]],listas!$D$1:$E$105,2,FALSE))),"")</f>
        <v>Desobedecer señales o normas de tránsito.</v>
      </c>
      <c r="AR431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432" spans="1:44" x14ac:dyDescent="0.25">
      <c r="A432" s="12">
        <v>743</v>
      </c>
      <c r="B432" s="135">
        <v>0</v>
      </c>
      <c r="C432" s="36">
        <v>1</v>
      </c>
      <c r="D432" s="60">
        <v>0</v>
      </c>
      <c r="E432" s="18" t="str">
        <f t="shared" si="24"/>
        <v>LESIONADO</v>
      </c>
      <c r="F432" s="29" t="s">
        <v>1062</v>
      </c>
      <c r="G432" s="17">
        <v>5.3404944444444444</v>
      </c>
      <c r="H432" s="17">
        <v>-72.39851666666668</v>
      </c>
      <c r="I432" s="93" t="s">
        <v>697</v>
      </c>
      <c r="J432" s="136" t="s">
        <v>717</v>
      </c>
      <c r="K432" s="24" t="str">
        <f t="shared" si="25"/>
        <v>2024</v>
      </c>
      <c r="L432" s="24" t="str">
        <f t="shared" si="26"/>
        <v>JULIO</v>
      </c>
      <c r="M432" s="225">
        <v>45483</v>
      </c>
      <c r="N432" s="24" t="str">
        <f t="shared" si="27"/>
        <v>MIÉRCOLES</v>
      </c>
      <c r="O432" s="103">
        <v>0.34722222222222227</v>
      </c>
      <c r="P432" s="57" t="s">
        <v>469</v>
      </c>
      <c r="Q432" s="57" t="s">
        <v>445</v>
      </c>
      <c r="R432" s="36">
        <f>COUNTIF(Tabla1[[#This Row],[VEHICULOS_ACCIDENTADOS]:[VEHICULOS_ACCIDENTADOS2]],"MOTOCICLETA")</f>
        <v>1</v>
      </c>
      <c r="S432" s="36">
        <f>COUNTIF(Tabla1[[#This Row],[VEHICULOS_ACCIDENTADOS]:[VEHICULOS_ACCIDENTADOS2]],"MOTOCARRO")</f>
        <v>0</v>
      </c>
      <c r="T432" s="36">
        <f>COUNTIF(Tabla1[[#This Row],[VEHICULOS_ACCIDENTADOS]:[VEHICULOS_ACCIDENTADOS2]],"AUTOMOVIL")</f>
        <v>0</v>
      </c>
      <c r="U432" s="36">
        <f>COUNTIF(Tabla1[[#This Row],[VEHICULOS_ACCIDENTADOS]:[VEHICULOS_ACCIDENTADOS2]],"CAMPERO")</f>
        <v>0</v>
      </c>
      <c r="V432" s="36">
        <f>COUNTIF(Tabla1[[#This Row],[VEHICULOS_ACCIDENTADOS]:[VEHICULOS_ACCIDENTADOS2]],"CAMIONETA")</f>
        <v>1</v>
      </c>
      <c r="W432" s="36">
        <f>COUNTIF(Tabla1[[#This Row],[VEHICULOS_ACCIDENTADOS]:[VEHICULOS_ACCIDENTADOS2]],"MICROBUS")</f>
        <v>0</v>
      </c>
      <c r="X432" s="36">
        <f>COUNTIF(Tabla1[[#This Row],[VEHICULOS_ACCIDENTADOS]:[VEHICULOS_ACCIDENTADOS2]],"BUS")</f>
        <v>0</v>
      </c>
      <c r="Y432" s="36">
        <f>COUNTIF(Tabla1[[#This Row],[VEHICULOS_ACCIDENTADOS]:[VEHICULOS_ACCIDENTADOS2]],"BUSETA")</f>
        <v>0</v>
      </c>
      <c r="Z432" s="36">
        <f>COUNTIF(Tabla1[[#This Row],[VEHICULOS_ACCIDENTADOS]:[VEHICULOS_ACCIDENTADOS2]],"CAMION")</f>
        <v>0</v>
      </c>
      <c r="AA432" s="36">
        <f>COUNTIF(Tabla1[[#This Row],[VEHICULOS_ACCIDENTADOS]:[VEHICULOS_ACCIDENTADOS2]],"TRACTOCAMION")</f>
        <v>0</v>
      </c>
      <c r="AB432" s="36">
        <f>COUNTIF(Tabla1[[#This Row],[VEHICULOS_ACCIDENTADOS]:[VEHICULOS_ACCIDENTADOS2]],"VOLQUETA")</f>
        <v>0</v>
      </c>
      <c r="AC432" s="36">
        <f>COUNTIF(Tabla1[[#This Row],[VEHICULOS_ACCIDENTADOS]:[VEHICULOS_ACCIDENTADOS2]],"BICICLETA")</f>
        <v>0</v>
      </c>
      <c r="AD432" s="56" t="s">
        <v>471</v>
      </c>
      <c r="AE432" s="56" t="s">
        <v>472</v>
      </c>
      <c r="AF432" s="56">
        <f>COUNTIF(Tabla1[[#This Row],[GENERO_MASCULINO]:[GENERO_FEMENINO]],"MASCULINO")</f>
        <v>1</v>
      </c>
      <c r="AG432" s="36">
        <f>COUNTIF(Tabla1[[#This Row],[GENERO_MASCULINO]:[GENERO_FEMENINO]],"FEMENINO")</f>
        <v>1</v>
      </c>
      <c r="AH432" s="61">
        <v>21</v>
      </c>
      <c r="AI432" s="61">
        <v>26</v>
      </c>
      <c r="AJ432" s="61"/>
      <c r="AK432" s="61"/>
      <c r="AL432" s="61"/>
      <c r="AM432" s="36"/>
      <c r="AN432" s="61">
        <v>139</v>
      </c>
      <c r="AO432" s="36" t="str">
        <f>IFERROR(((VLOOKUP(Tabla1[[#This Row],[HIPOTESIS_1]],listas!$D$1:$E$105,2,FALSE))),"SIN INFORMACIÓN")</f>
        <v>Impericia en el manejo.</v>
      </c>
      <c r="AP432" s="36">
        <v>112</v>
      </c>
      <c r="AQ432" s="36" t="str">
        <f>IFERROR(((VLOOKUP(Tabla1[[#This Row],[HIPOTESIS_2]],listas!$D$1:$E$105,2,FALSE))),"")</f>
        <v>Desobedecer señales o normas de tránsito.</v>
      </c>
      <c r="AR432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433" spans="1:44" x14ac:dyDescent="0.25">
      <c r="A433" s="12">
        <v>792</v>
      </c>
      <c r="B433" s="135">
        <v>0</v>
      </c>
      <c r="C433" s="136">
        <v>1</v>
      </c>
      <c r="D433" s="149">
        <v>0</v>
      </c>
      <c r="E433" s="18" t="str">
        <f t="shared" si="24"/>
        <v>LESIONADO</v>
      </c>
      <c r="F433" s="26" t="s">
        <v>1159</v>
      </c>
      <c r="G433" s="21">
        <v>5.3434425000000001</v>
      </c>
      <c r="H433" s="21">
        <v>-72.400355000000005</v>
      </c>
      <c r="I433" s="93" t="s">
        <v>697</v>
      </c>
      <c r="J433" s="36" t="s">
        <v>717</v>
      </c>
      <c r="K433" s="24" t="str">
        <f t="shared" si="25"/>
        <v>2024</v>
      </c>
      <c r="L433" s="24" t="str">
        <f t="shared" si="26"/>
        <v>OCTUBRE</v>
      </c>
      <c r="M433" s="224">
        <v>45579</v>
      </c>
      <c r="N433" s="24" t="str">
        <f t="shared" si="27"/>
        <v>LUNES</v>
      </c>
      <c r="O433" s="104">
        <v>0.20138888888888887</v>
      </c>
      <c r="P433" s="178" t="s">
        <v>469</v>
      </c>
      <c r="Q433" s="178" t="s">
        <v>445</v>
      </c>
      <c r="R433" s="36">
        <f>COUNTIF(Tabla1[[#This Row],[VEHICULOS_ACCIDENTADOS]:[VEHICULOS_ACCIDENTADOS2]],"MOTOCICLETA")</f>
        <v>1</v>
      </c>
      <c r="S433" s="36">
        <f>COUNTIF(Tabla1[[#This Row],[VEHICULOS_ACCIDENTADOS]:[VEHICULOS_ACCIDENTADOS2]],"MOTOCARRO")</f>
        <v>0</v>
      </c>
      <c r="T433" s="36">
        <f>COUNTIF(Tabla1[[#This Row],[VEHICULOS_ACCIDENTADOS]:[VEHICULOS_ACCIDENTADOS2]],"AUTOMOVIL")</f>
        <v>0</v>
      </c>
      <c r="U433" s="36">
        <f>COUNTIF(Tabla1[[#This Row],[VEHICULOS_ACCIDENTADOS]:[VEHICULOS_ACCIDENTADOS2]],"CAMPERO")</f>
        <v>0</v>
      </c>
      <c r="V433" s="36">
        <f>COUNTIF(Tabla1[[#This Row],[VEHICULOS_ACCIDENTADOS]:[VEHICULOS_ACCIDENTADOS2]],"CAMIONETA")</f>
        <v>1</v>
      </c>
      <c r="W433" s="36">
        <f>COUNTIF(Tabla1[[#This Row],[VEHICULOS_ACCIDENTADOS]:[VEHICULOS_ACCIDENTADOS2]],"MICROBUS")</f>
        <v>0</v>
      </c>
      <c r="X433" s="36">
        <f>COUNTIF(Tabla1[[#This Row],[VEHICULOS_ACCIDENTADOS]:[VEHICULOS_ACCIDENTADOS2]],"BUS")</f>
        <v>0</v>
      </c>
      <c r="Y433" s="36">
        <f>COUNTIF(Tabla1[[#This Row],[VEHICULOS_ACCIDENTADOS]:[VEHICULOS_ACCIDENTADOS2]],"BUSETA")</f>
        <v>0</v>
      </c>
      <c r="Z433" s="36">
        <f>COUNTIF(Tabla1[[#This Row],[VEHICULOS_ACCIDENTADOS]:[VEHICULOS_ACCIDENTADOS2]],"CAMION")</f>
        <v>0</v>
      </c>
      <c r="AA433" s="36">
        <f>COUNTIF(Tabla1[[#This Row],[VEHICULOS_ACCIDENTADOS]:[VEHICULOS_ACCIDENTADOS2]],"TRACTOCAMION")</f>
        <v>0</v>
      </c>
      <c r="AB433" s="36">
        <f>COUNTIF(Tabla1[[#This Row],[VEHICULOS_ACCIDENTADOS]:[VEHICULOS_ACCIDENTADOS2]],"VOLQUETA")</f>
        <v>0</v>
      </c>
      <c r="AC433" s="36">
        <f>COUNTIF(Tabla1[[#This Row],[VEHICULOS_ACCIDENTADOS]:[VEHICULOS_ACCIDENTADOS2]],"BICICLETA")</f>
        <v>0</v>
      </c>
      <c r="AD433" s="190" t="s">
        <v>471</v>
      </c>
      <c r="AE433" s="190"/>
      <c r="AF433" s="190">
        <f>COUNTIF(Tabla1[[#This Row],[GENERO_MASCULINO]:[GENERO_FEMENINO]],"MASCULINO")</f>
        <v>1</v>
      </c>
      <c r="AG433" s="36">
        <f>COUNTIF(Tabla1[[#This Row],[GENERO_MASCULINO]:[GENERO_FEMENINO]],"FEMENINO")</f>
        <v>0</v>
      </c>
      <c r="AH433" s="85">
        <v>22</v>
      </c>
      <c r="AI433" s="85">
        <v>25</v>
      </c>
      <c r="AJ433" s="85"/>
      <c r="AK433" s="85"/>
      <c r="AL433" s="85"/>
      <c r="AM433" s="136"/>
      <c r="AN433" s="85">
        <v>115</v>
      </c>
      <c r="AO433" s="36" t="str">
        <f>IFERROR(((VLOOKUP(Tabla1[[#This Row],[HIPOTESIS_1]],listas!$D$1:$E$105,2,FALSE))),"SIN INFORMACIÓN")</f>
        <v>Embriaguez o Sustancias alucinogenas</v>
      </c>
      <c r="AP433" s="136">
        <v>112</v>
      </c>
      <c r="AQ433" s="36" t="str">
        <f>IFERROR(((VLOOKUP(Tabla1[[#This Row],[HIPOTESIS_2]],listas!$D$1:$E$105,2,FALSE))),"")</f>
        <v>Desobedecer señales o normas de tránsito.</v>
      </c>
      <c r="AR433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434" spans="1:44" x14ac:dyDescent="0.25">
      <c r="A434" s="12">
        <v>428</v>
      </c>
      <c r="B434" s="36">
        <v>0</v>
      </c>
      <c r="C434" s="36">
        <v>1</v>
      </c>
      <c r="D434" s="60">
        <v>0</v>
      </c>
      <c r="E434" s="18" t="str">
        <f t="shared" si="24"/>
        <v>LESIONADO</v>
      </c>
      <c r="F434" s="29" t="s">
        <v>271</v>
      </c>
      <c r="G434" s="17">
        <v>5.3392036111111105</v>
      </c>
      <c r="H434" s="17">
        <v>-72.396914722222235</v>
      </c>
      <c r="I434" s="93" t="s">
        <v>697</v>
      </c>
      <c r="J434" s="36" t="s">
        <v>717</v>
      </c>
      <c r="K434" s="24" t="str">
        <f t="shared" si="25"/>
        <v>2023</v>
      </c>
      <c r="L434" s="24" t="str">
        <f t="shared" si="26"/>
        <v>MARZO</v>
      </c>
      <c r="M434" s="225">
        <v>44998</v>
      </c>
      <c r="N434" s="24" t="str">
        <f t="shared" si="27"/>
        <v>LUNES</v>
      </c>
      <c r="O434" s="103">
        <v>0.89583333333333337</v>
      </c>
      <c r="P434" s="57" t="s">
        <v>469</v>
      </c>
      <c r="Q434" s="57" t="s">
        <v>469</v>
      </c>
      <c r="R434" s="36">
        <f>COUNTIF(Tabla1[[#This Row],[VEHICULOS_ACCIDENTADOS]:[VEHICULOS_ACCIDENTADOS2]],"MOTOCICLETA")</f>
        <v>2</v>
      </c>
      <c r="S434" s="36">
        <f>COUNTIF(Tabla1[[#This Row],[VEHICULOS_ACCIDENTADOS]:[VEHICULOS_ACCIDENTADOS2]],"MOTOCARRO")</f>
        <v>0</v>
      </c>
      <c r="T434" s="36">
        <f>COUNTIF(Tabla1[[#This Row],[VEHICULOS_ACCIDENTADOS]:[VEHICULOS_ACCIDENTADOS2]],"AUTOMOVIL")</f>
        <v>0</v>
      </c>
      <c r="U434" s="36">
        <f>COUNTIF(Tabla1[[#This Row],[VEHICULOS_ACCIDENTADOS]:[VEHICULOS_ACCIDENTADOS2]],"CAMPERO")</f>
        <v>0</v>
      </c>
      <c r="V434" s="36">
        <f>COUNTIF(Tabla1[[#This Row],[VEHICULOS_ACCIDENTADOS]:[VEHICULOS_ACCIDENTADOS2]],"CAMIONETA")</f>
        <v>0</v>
      </c>
      <c r="W434" s="36">
        <f>COUNTIF(Tabla1[[#This Row],[VEHICULOS_ACCIDENTADOS]:[VEHICULOS_ACCIDENTADOS2]],"MICROBUS")</f>
        <v>0</v>
      </c>
      <c r="X434" s="36">
        <f>COUNTIF(Tabla1[[#This Row],[VEHICULOS_ACCIDENTADOS]:[VEHICULOS_ACCIDENTADOS2]],"BUS")</f>
        <v>0</v>
      </c>
      <c r="Y434" s="36">
        <f>COUNTIF(Tabla1[[#This Row],[VEHICULOS_ACCIDENTADOS]:[VEHICULOS_ACCIDENTADOS2]],"BUSETA")</f>
        <v>0</v>
      </c>
      <c r="Z434" s="36">
        <f>COUNTIF(Tabla1[[#This Row],[VEHICULOS_ACCIDENTADOS]:[VEHICULOS_ACCIDENTADOS2]],"CAMION")</f>
        <v>0</v>
      </c>
      <c r="AA434" s="36">
        <f>COUNTIF(Tabla1[[#This Row],[VEHICULOS_ACCIDENTADOS]:[VEHICULOS_ACCIDENTADOS2]],"TRACTOCAMION")</f>
        <v>0</v>
      </c>
      <c r="AB434" s="36">
        <f>COUNTIF(Tabla1[[#This Row],[VEHICULOS_ACCIDENTADOS]:[VEHICULOS_ACCIDENTADOS2]],"VOLQUETA")</f>
        <v>0</v>
      </c>
      <c r="AC434" s="36">
        <f>COUNTIF(Tabla1[[#This Row],[VEHICULOS_ACCIDENTADOS]:[VEHICULOS_ACCIDENTADOS2]],"BICICLETA")</f>
        <v>0</v>
      </c>
      <c r="AD434" s="56"/>
      <c r="AE434" s="56" t="s">
        <v>472</v>
      </c>
      <c r="AF434" s="56">
        <f>COUNTIF(Tabla1[[#This Row],[GENERO_MASCULINO]:[GENERO_FEMENINO]],"MASCULINO")</f>
        <v>0</v>
      </c>
      <c r="AG434" s="36">
        <f>COUNTIF(Tabla1[[#This Row],[GENERO_MASCULINO]:[GENERO_FEMENINO]],"FEMENINO")</f>
        <v>1</v>
      </c>
      <c r="AH434" s="61"/>
      <c r="AI434" s="61"/>
      <c r="AJ434" s="61"/>
      <c r="AK434" s="61"/>
      <c r="AL434" s="61">
        <v>23</v>
      </c>
      <c r="AM434" s="36"/>
      <c r="AN434" s="61">
        <v>115</v>
      </c>
      <c r="AO434" s="36" t="str">
        <f>IFERROR(((VLOOKUP(Tabla1[[#This Row],[HIPOTESIS_1]],listas!$D$1:$E$105,2,FALSE))),"SIN INFORMACIÓN")</f>
        <v>Embriaguez o Sustancias alucinogenas</v>
      </c>
      <c r="AP434" s="36">
        <v>112</v>
      </c>
      <c r="AQ434" s="36" t="str">
        <f>IFERROR(((VLOOKUP(Tabla1[[#This Row],[HIPOTESIS_2]],listas!$D$1:$E$105,2,FALSE))),"")</f>
        <v>Desobedecer señales o normas de tránsito.</v>
      </c>
      <c r="AR434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435" spans="1:44" x14ac:dyDescent="0.25">
      <c r="A435" s="12">
        <v>505</v>
      </c>
      <c r="B435" s="36">
        <v>0</v>
      </c>
      <c r="C435" s="36">
        <v>0</v>
      </c>
      <c r="D435" s="60">
        <v>1</v>
      </c>
      <c r="E435" s="18" t="str">
        <f t="shared" si="24"/>
        <v>FALLECIDO</v>
      </c>
      <c r="F435" s="29" t="s">
        <v>230</v>
      </c>
      <c r="G435" s="21">
        <v>5.3396822222222218</v>
      </c>
      <c r="H435" s="21">
        <v>-72.39606527777778</v>
      </c>
      <c r="I435" s="93" t="s">
        <v>697</v>
      </c>
      <c r="J435" s="36" t="s">
        <v>717</v>
      </c>
      <c r="K435" s="24" t="str">
        <f t="shared" si="25"/>
        <v>2023</v>
      </c>
      <c r="L435" s="24" t="str">
        <f t="shared" si="26"/>
        <v>JUNIO</v>
      </c>
      <c r="M435" s="225">
        <v>45088</v>
      </c>
      <c r="N435" s="24" t="str">
        <f t="shared" si="27"/>
        <v>DOMINGO</v>
      </c>
      <c r="O435" s="103">
        <v>1.7361111111111112E-2</v>
      </c>
      <c r="P435" s="57" t="s">
        <v>469</v>
      </c>
      <c r="Q435" s="57" t="s">
        <v>469</v>
      </c>
      <c r="R435" s="36">
        <f>COUNTIF(Tabla1[[#This Row],[VEHICULOS_ACCIDENTADOS]:[VEHICULOS_ACCIDENTADOS2]],"MOTOCICLETA")</f>
        <v>2</v>
      </c>
      <c r="S435" s="36">
        <f>COUNTIF(Tabla1[[#This Row],[VEHICULOS_ACCIDENTADOS]:[VEHICULOS_ACCIDENTADOS2]],"MOTOCARRO")</f>
        <v>0</v>
      </c>
      <c r="T435" s="36">
        <f>COUNTIF(Tabla1[[#This Row],[VEHICULOS_ACCIDENTADOS]:[VEHICULOS_ACCIDENTADOS2]],"AUTOMOVIL")</f>
        <v>0</v>
      </c>
      <c r="U435" s="36">
        <f>COUNTIF(Tabla1[[#This Row],[VEHICULOS_ACCIDENTADOS]:[VEHICULOS_ACCIDENTADOS2]],"CAMPERO")</f>
        <v>0</v>
      </c>
      <c r="V435" s="36">
        <f>COUNTIF(Tabla1[[#This Row],[VEHICULOS_ACCIDENTADOS]:[VEHICULOS_ACCIDENTADOS2]],"CAMIONETA")</f>
        <v>0</v>
      </c>
      <c r="W435" s="36">
        <f>COUNTIF(Tabla1[[#This Row],[VEHICULOS_ACCIDENTADOS]:[VEHICULOS_ACCIDENTADOS2]],"MICROBUS")</f>
        <v>0</v>
      </c>
      <c r="X435" s="36">
        <f>COUNTIF(Tabla1[[#This Row],[VEHICULOS_ACCIDENTADOS]:[VEHICULOS_ACCIDENTADOS2]],"BUS")</f>
        <v>0</v>
      </c>
      <c r="Y435" s="36">
        <f>COUNTIF(Tabla1[[#This Row],[VEHICULOS_ACCIDENTADOS]:[VEHICULOS_ACCIDENTADOS2]],"BUSETA")</f>
        <v>0</v>
      </c>
      <c r="Z435" s="36">
        <f>COUNTIF(Tabla1[[#This Row],[VEHICULOS_ACCIDENTADOS]:[VEHICULOS_ACCIDENTADOS2]],"CAMION")</f>
        <v>0</v>
      </c>
      <c r="AA435" s="36">
        <f>COUNTIF(Tabla1[[#This Row],[VEHICULOS_ACCIDENTADOS]:[VEHICULOS_ACCIDENTADOS2]],"TRACTOCAMION")</f>
        <v>0</v>
      </c>
      <c r="AB435" s="36">
        <f>COUNTIF(Tabla1[[#This Row],[VEHICULOS_ACCIDENTADOS]:[VEHICULOS_ACCIDENTADOS2]],"VOLQUETA")</f>
        <v>0</v>
      </c>
      <c r="AC435" s="36">
        <f>COUNTIF(Tabla1[[#This Row],[VEHICULOS_ACCIDENTADOS]:[VEHICULOS_ACCIDENTADOS2]],"BICICLETA")</f>
        <v>0</v>
      </c>
      <c r="AD435" s="56" t="s">
        <v>471</v>
      </c>
      <c r="AE435" s="56"/>
      <c r="AF435" s="56">
        <f>COUNTIF(Tabla1[[#This Row],[GENERO_MASCULINO]:[GENERO_FEMENINO]],"MASCULINO")</f>
        <v>1</v>
      </c>
      <c r="AG435" s="36">
        <f>COUNTIF(Tabla1[[#This Row],[GENERO_MASCULINO]:[GENERO_FEMENINO]],"FEMENINO")</f>
        <v>0</v>
      </c>
      <c r="AH435" s="61"/>
      <c r="AI435" s="61"/>
      <c r="AJ435" s="61"/>
      <c r="AK435" s="61"/>
      <c r="AL435" s="61"/>
      <c r="AM435" s="36">
        <v>22</v>
      </c>
      <c r="AN435" s="61">
        <v>139</v>
      </c>
      <c r="AO435" s="36" t="str">
        <f>IFERROR(((VLOOKUP(Tabla1[[#This Row],[HIPOTESIS_1]],listas!$D$1:$E$105,2,FALSE))),"SIN INFORMACIÓN")</f>
        <v>Impericia en el manejo.</v>
      </c>
      <c r="AP435" s="36">
        <v>112</v>
      </c>
      <c r="AQ435" s="36" t="str">
        <f>IFERROR(((VLOOKUP(Tabla1[[#This Row],[HIPOTESIS_2]],listas!$D$1:$E$105,2,FALSE))),"")</f>
        <v>Desobedecer señales o normas de tránsito.</v>
      </c>
      <c r="AR435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436" spans="1:44" x14ac:dyDescent="0.25">
      <c r="A436" s="12">
        <v>472</v>
      </c>
      <c r="B436" s="36">
        <v>1</v>
      </c>
      <c r="C436" s="36">
        <v>0</v>
      </c>
      <c r="D436" s="60">
        <v>0</v>
      </c>
      <c r="E436" s="18" t="str">
        <f t="shared" si="24"/>
        <v>SOLO DAÑO</v>
      </c>
      <c r="F436" s="29" t="s">
        <v>249</v>
      </c>
      <c r="G436" s="21">
        <v>5.3385166666666661</v>
      </c>
      <c r="H436" s="21">
        <v>-72.39436666666667</v>
      </c>
      <c r="I436" s="93" t="s">
        <v>697</v>
      </c>
      <c r="J436" s="36" t="s">
        <v>717</v>
      </c>
      <c r="K436" s="24" t="str">
        <f t="shared" si="25"/>
        <v>2023</v>
      </c>
      <c r="L436" s="24" t="str">
        <f t="shared" si="26"/>
        <v>MAYO</v>
      </c>
      <c r="M436" s="225">
        <v>45049</v>
      </c>
      <c r="N436" s="24" t="str">
        <f t="shared" si="27"/>
        <v>MIÉRCOLES</v>
      </c>
      <c r="O436" s="103">
        <v>0.78472222222222221</v>
      </c>
      <c r="P436" s="57" t="s">
        <v>469</v>
      </c>
      <c r="Q436" s="57" t="s">
        <v>469</v>
      </c>
      <c r="R436" s="36">
        <f>COUNTIF(Tabla1[[#This Row],[VEHICULOS_ACCIDENTADOS]:[VEHICULOS_ACCIDENTADOS2]],"MOTOCICLETA")</f>
        <v>2</v>
      </c>
      <c r="S436" s="36">
        <f>COUNTIF(Tabla1[[#This Row],[VEHICULOS_ACCIDENTADOS]:[VEHICULOS_ACCIDENTADOS2]],"MOTOCARRO")</f>
        <v>0</v>
      </c>
      <c r="T436" s="36">
        <f>COUNTIF(Tabla1[[#This Row],[VEHICULOS_ACCIDENTADOS]:[VEHICULOS_ACCIDENTADOS2]],"AUTOMOVIL")</f>
        <v>0</v>
      </c>
      <c r="U436" s="36">
        <f>COUNTIF(Tabla1[[#This Row],[VEHICULOS_ACCIDENTADOS]:[VEHICULOS_ACCIDENTADOS2]],"CAMPERO")</f>
        <v>0</v>
      </c>
      <c r="V436" s="36">
        <f>COUNTIF(Tabla1[[#This Row],[VEHICULOS_ACCIDENTADOS]:[VEHICULOS_ACCIDENTADOS2]],"CAMIONETA")</f>
        <v>0</v>
      </c>
      <c r="W436" s="36">
        <f>COUNTIF(Tabla1[[#This Row],[VEHICULOS_ACCIDENTADOS]:[VEHICULOS_ACCIDENTADOS2]],"MICROBUS")</f>
        <v>0</v>
      </c>
      <c r="X436" s="36">
        <f>COUNTIF(Tabla1[[#This Row],[VEHICULOS_ACCIDENTADOS]:[VEHICULOS_ACCIDENTADOS2]],"BUS")</f>
        <v>0</v>
      </c>
      <c r="Y436" s="36">
        <f>COUNTIF(Tabla1[[#This Row],[VEHICULOS_ACCIDENTADOS]:[VEHICULOS_ACCIDENTADOS2]],"BUSETA")</f>
        <v>0</v>
      </c>
      <c r="Z436" s="36">
        <f>COUNTIF(Tabla1[[#This Row],[VEHICULOS_ACCIDENTADOS]:[VEHICULOS_ACCIDENTADOS2]],"CAMION")</f>
        <v>0</v>
      </c>
      <c r="AA436" s="36">
        <f>COUNTIF(Tabla1[[#This Row],[VEHICULOS_ACCIDENTADOS]:[VEHICULOS_ACCIDENTADOS2]],"TRACTOCAMION")</f>
        <v>0</v>
      </c>
      <c r="AB436" s="36">
        <f>COUNTIF(Tabla1[[#This Row],[VEHICULOS_ACCIDENTADOS]:[VEHICULOS_ACCIDENTADOS2]],"VOLQUETA")</f>
        <v>0</v>
      </c>
      <c r="AC436" s="36">
        <f>COUNTIF(Tabla1[[#This Row],[VEHICULOS_ACCIDENTADOS]:[VEHICULOS_ACCIDENTADOS2]],"BICICLETA")</f>
        <v>0</v>
      </c>
      <c r="AD436" s="56" t="s">
        <v>471</v>
      </c>
      <c r="AE436" s="56"/>
      <c r="AF436" s="56">
        <f>COUNTIF(Tabla1[[#This Row],[GENERO_MASCULINO]:[GENERO_FEMENINO]],"MASCULINO")</f>
        <v>1</v>
      </c>
      <c r="AG436" s="36">
        <f>COUNTIF(Tabla1[[#This Row],[GENERO_MASCULINO]:[GENERO_FEMENINO]],"FEMENINO")</f>
        <v>0</v>
      </c>
      <c r="AH436" s="61"/>
      <c r="AI436" s="61"/>
      <c r="AJ436" s="61"/>
      <c r="AK436" s="61"/>
      <c r="AL436" s="61"/>
      <c r="AM436" s="36"/>
      <c r="AN436" s="61">
        <v>116</v>
      </c>
      <c r="AO436" s="36" t="str">
        <f>IFERROR(((VLOOKUP(Tabla1[[#This Row],[HIPOTESIS_1]],listas!$D$1:$E$105,2,FALSE))),"SIN INFORMACIÓN")</f>
        <v>Exceso de velocidad</v>
      </c>
      <c r="AP436" s="36">
        <v>112</v>
      </c>
      <c r="AQ436" s="36" t="str">
        <f>IFERROR(((VLOOKUP(Tabla1[[#This Row],[HIPOTESIS_2]],listas!$D$1:$E$105,2,FALSE))),"")</f>
        <v>Desobedecer señales o normas de tránsito.</v>
      </c>
      <c r="AR436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437" spans="1:44" x14ac:dyDescent="0.25">
      <c r="A437" s="12">
        <v>319</v>
      </c>
      <c r="B437" s="36">
        <v>0</v>
      </c>
      <c r="C437" s="36">
        <v>2</v>
      </c>
      <c r="D437" s="60">
        <v>0</v>
      </c>
      <c r="E437" s="18" t="str">
        <f t="shared" si="24"/>
        <v>LESIONADO</v>
      </c>
      <c r="F437" s="29" t="s">
        <v>1130</v>
      </c>
      <c r="G437" s="17">
        <v>5.3409055555555556</v>
      </c>
      <c r="H437" s="17">
        <v>-72.395700000000005</v>
      </c>
      <c r="I437" s="93" t="s">
        <v>697</v>
      </c>
      <c r="J437" s="36" t="s">
        <v>717</v>
      </c>
      <c r="K437" s="24" t="str">
        <f t="shared" si="25"/>
        <v>2022</v>
      </c>
      <c r="L437" s="24" t="str">
        <f t="shared" si="26"/>
        <v>SEPTIEMBRE</v>
      </c>
      <c r="M437" s="225">
        <v>44834</v>
      </c>
      <c r="N437" s="24" t="str">
        <f t="shared" si="27"/>
        <v>VIERNES</v>
      </c>
      <c r="O437" s="170">
        <v>0.42361111111111099</v>
      </c>
      <c r="P437" s="53" t="s">
        <v>469</v>
      </c>
      <c r="Q437" s="53" t="s">
        <v>441</v>
      </c>
      <c r="R437" s="36">
        <f>COUNTIF(Tabla1[[#This Row],[VEHICULOS_ACCIDENTADOS]:[VEHICULOS_ACCIDENTADOS2]],"MOTOCICLETA")</f>
        <v>1</v>
      </c>
      <c r="S437" s="36">
        <f>COUNTIF(Tabla1[[#This Row],[VEHICULOS_ACCIDENTADOS]:[VEHICULOS_ACCIDENTADOS2]],"MOTOCARRO")</f>
        <v>0</v>
      </c>
      <c r="T437" s="36">
        <f>COUNTIF(Tabla1[[#This Row],[VEHICULOS_ACCIDENTADOS]:[VEHICULOS_ACCIDENTADOS2]],"AUTOMOVIL")</f>
        <v>0</v>
      </c>
      <c r="U437" s="36">
        <f>COUNTIF(Tabla1[[#This Row],[VEHICULOS_ACCIDENTADOS]:[VEHICULOS_ACCIDENTADOS2]],"CAMPERO")</f>
        <v>0</v>
      </c>
      <c r="V437" s="36">
        <f>COUNTIF(Tabla1[[#This Row],[VEHICULOS_ACCIDENTADOS]:[VEHICULOS_ACCIDENTADOS2]],"CAMIONETA")</f>
        <v>0</v>
      </c>
      <c r="W437" s="36">
        <f>COUNTIF(Tabla1[[#This Row],[VEHICULOS_ACCIDENTADOS]:[VEHICULOS_ACCIDENTADOS2]],"MICROBUS")</f>
        <v>0</v>
      </c>
      <c r="X437" s="36">
        <f>COUNTIF(Tabla1[[#This Row],[VEHICULOS_ACCIDENTADOS]:[VEHICULOS_ACCIDENTADOS2]],"BUS")</f>
        <v>0</v>
      </c>
      <c r="Y437" s="36">
        <f>COUNTIF(Tabla1[[#This Row],[VEHICULOS_ACCIDENTADOS]:[VEHICULOS_ACCIDENTADOS2]],"BUSETA")</f>
        <v>0</v>
      </c>
      <c r="Z437" s="36">
        <f>COUNTIF(Tabla1[[#This Row],[VEHICULOS_ACCIDENTADOS]:[VEHICULOS_ACCIDENTADOS2]],"CAMION")</f>
        <v>1</v>
      </c>
      <c r="AA437" s="36">
        <f>COUNTIF(Tabla1[[#This Row],[VEHICULOS_ACCIDENTADOS]:[VEHICULOS_ACCIDENTADOS2]],"TRACTOCAMION")</f>
        <v>0</v>
      </c>
      <c r="AB437" s="36">
        <f>COUNTIF(Tabla1[[#This Row],[VEHICULOS_ACCIDENTADOS]:[VEHICULOS_ACCIDENTADOS2]],"VOLQUETA")</f>
        <v>0</v>
      </c>
      <c r="AC437" s="36">
        <f>COUNTIF(Tabla1[[#This Row],[VEHICULOS_ACCIDENTADOS]:[VEHICULOS_ACCIDENTADOS2]],"BICICLETA")</f>
        <v>0</v>
      </c>
      <c r="AD437" s="56" t="s">
        <v>471</v>
      </c>
      <c r="AE437" s="56" t="s">
        <v>472</v>
      </c>
      <c r="AF437" s="56">
        <f>COUNTIF(Tabla1[[#This Row],[GENERO_MASCULINO]:[GENERO_FEMENINO]],"MASCULINO")</f>
        <v>1</v>
      </c>
      <c r="AG437" s="36">
        <f>COUNTIF(Tabla1[[#This Row],[GENERO_MASCULINO]:[GENERO_FEMENINO]],"FEMENINO")</f>
        <v>1</v>
      </c>
      <c r="AH437" s="61">
        <v>22</v>
      </c>
      <c r="AI437" s="61"/>
      <c r="AJ437" s="78"/>
      <c r="AK437" s="61"/>
      <c r="AL437" s="61">
        <v>58</v>
      </c>
      <c r="AM437" s="36"/>
      <c r="AN437" s="61">
        <v>139</v>
      </c>
      <c r="AO437" s="36" t="str">
        <f>IFERROR(((VLOOKUP(Tabla1[[#This Row],[HIPOTESIS_1]],listas!$D$1:$E$105,2,FALSE))),"SIN INFORMACIÓN")</f>
        <v>Impericia en el manejo.</v>
      </c>
      <c r="AP437" s="36">
        <v>112</v>
      </c>
      <c r="AQ437" s="36" t="str">
        <f>IFERROR(((VLOOKUP(Tabla1[[#This Row],[HIPOTESIS_2]],listas!$D$1:$E$105,2,FALSE))),"")</f>
        <v>Desobedecer señales o normas de tránsito.</v>
      </c>
      <c r="AR437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438" spans="1:44" x14ac:dyDescent="0.25">
      <c r="A438" s="12">
        <v>1047</v>
      </c>
      <c r="B438" s="137">
        <v>0</v>
      </c>
      <c r="C438" s="137">
        <v>1</v>
      </c>
      <c r="D438" s="146">
        <v>0</v>
      </c>
      <c r="E438" s="18" t="str">
        <f t="shared" si="24"/>
        <v>LESIONADO</v>
      </c>
      <c r="F438" s="152" t="s">
        <v>934</v>
      </c>
      <c r="G438" s="30">
        <v>5.3337979999999998</v>
      </c>
      <c r="H438" s="30">
        <v>-72.391788000000005</v>
      </c>
      <c r="I438" s="93" t="s">
        <v>697</v>
      </c>
      <c r="J438" s="36" t="s">
        <v>717</v>
      </c>
      <c r="K438" s="24" t="str">
        <f t="shared" si="25"/>
        <v>2025</v>
      </c>
      <c r="L438" s="24" t="str">
        <f t="shared" si="26"/>
        <v>AGOSTO</v>
      </c>
      <c r="M438" s="225">
        <v>45891</v>
      </c>
      <c r="N438" s="24" t="str">
        <f t="shared" si="27"/>
        <v>VIERNES</v>
      </c>
      <c r="O438" s="103">
        <v>0.86805555555555547</v>
      </c>
      <c r="P438" s="63" t="s">
        <v>469</v>
      </c>
      <c r="Q438" s="63" t="s">
        <v>443</v>
      </c>
      <c r="R438" s="36">
        <f>COUNTIF(Tabla1[[#This Row],[VEHICULOS_ACCIDENTADOS]:[VEHICULOS_ACCIDENTADOS2]],"MOTOCICLETA")</f>
        <v>1</v>
      </c>
      <c r="S438" s="36">
        <f>COUNTIF(Tabla1[[#This Row],[VEHICULOS_ACCIDENTADOS]:[VEHICULOS_ACCIDENTADOS2]],"MOTOCARRO")</f>
        <v>0</v>
      </c>
      <c r="T438" s="36">
        <f>COUNTIF(Tabla1[[#This Row],[VEHICULOS_ACCIDENTADOS]:[VEHICULOS_ACCIDENTADOS2]],"AUTOMOVIL")</f>
        <v>0</v>
      </c>
      <c r="U438" s="36">
        <f>COUNTIF(Tabla1[[#This Row],[VEHICULOS_ACCIDENTADOS]:[VEHICULOS_ACCIDENTADOS2]],"CAMPERO")</f>
        <v>0</v>
      </c>
      <c r="V438" s="36">
        <f>COUNTIF(Tabla1[[#This Row],[VEHICULOS_ACCIDENTADOS]:[VEHICULOS_ACCIDENTADOS2]],"CAMIONETA")</f>
        <v>0</v>
      </c>
      <c r="W438" s="36">
        <f>COUNTIF(Tabla1[[#This Row],[VEHICULOS_ACCIDENTADOS]:[VEHICULOS_ACCIDENTADOS2]],"MICROBUS")</f>
        <v>0</v>
      </c>
      <c r="X438" s="36">
        <f>COUNTIF(Tabla1[[#This Row],[VEHICULOS_ACCIDENTADOS]:[VEHICULOS_ACCIDENTADOS2]],"BUS")</f>
        <v>1</v>
      </c>
      <c r="Y438" s="36">
        <f>COUNTIF(Tabla1[[#This Row],[VEHICULOS_ACCIDENTADOS]:[VEHICULOS_ACCIDENTADOS2]],"BUSETA")</f>
        <v>0</v>
      </c>
      <c r="Z438" s="36">
        <f>COUNTIF(Tabla1[[#This Row],[VEHICULOS_ACCIDENTADOS]:[VEHICULOS_ACCIDENTADOS2]],"CAMION")</f>
        <v>0</v>
      </c>
      <c r="AA438" s="36">
        <f>COUNTIF(Tabla1[[#This Row],[VEHICULOS_ACCIDENTADOS]:[VEHICULOS_ACCIDENTADOS2]],"TRACTOCAMION")</f>
        <v>0</v>
      </c>
      <c r="AB438" s="36">
        <f>COUNTIF(Tabla1[[#This Row],[VEHICULOS_ACCIDENTADOS]:[VEHICULOS_ACCIDENTADOS2]],"VOLQUETA")</f>
        <v>0</v>
      </c>
      <c r="AC438" s="36">
        <f>COUNTIF(Tabla1[[#This Row],[VEHICULOS_ACCIDENTADOS]:[VEHICULOS_ACCIDENTADOS2]],"BICICLETA")</f>
        <v>0</v>
      </c>
      <c r="AD438" s="188" t="s">
        <v>471</v>
      </c>
      <c r="AE438" s="188" t="s">
        <v>471</v>
      </c>
      <c r="AF438" s="56">
        <f>COUNTIF(Tabla1[[#This Row],[GENERO_MASCULINO]:[GENERO_FEMENINO]],"MASCULINO")</f>
        <v>2</v>
      </c>
      <c r="AG438" s="36">
        <f>COUNTIF(Tabla1[[#This Row],[GENERO_MASCULINO]:[GENERO_FEMENINO]],"FEMENINO")</f>
        <v>0</v>
      </c>
      <c r="AH438" s="85">
        <v>18</v>
      </c>
      <c r="AI438" s="85">
        <v>40</v>
      </c>
      <c r="AJ438" s="85"/>
      <c r="AK438" s="78"/>
      <c r="AL438" s="78"/>
      <c r="AM438" s="59"/>
      <c r="AN438" s="61">
        <v>139</v>
      </c>
      <c r="AO438" s="59" t="str">
        <f>IFERROR(((VLOOKUP(Tabla1[[#This Row],[HIPOTESIS_1]],listas!$D$1:$E$105,2,FALSE))),"SIN INFORMACIÓN")</f>
        <v>Impericia en el manejo.</v>
      </c>
      <c r="AP438" s="36">
        <v>112</v>
      </c>
      <c r="AQ438" s="36" t="str">
        <f>IFERROR(((VLOOKUP(Tabla1[[#This Row],[HIPOTESIS_2]],listas!$D$1:$E$105,2,FALSE))),"")</f>
        <v>Desobedecer señales o normas de tránsito.</v>
      </c>
      <c r="AR438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439" spans="1:44" x14ac:dyDescent="0.25">
      <c r="A439" s="12">
        <v>572</v>
      </c>
      <c r="B439" s="36">
        <v>0</v>
      </c>
      <c r="C439" s="36">
        <v>1</v>
      </c>
      <c r="D439" s="60">
        <v>0</v>
      </c>
      <c r="E439" s="18" t="str">
        <f t="shared" si="24"/>
        <v>LESIONADO</v>
      </c>
      <c r="F439" s="29" t="s">
        <v>197</v>
      </c>
      <c r="G439" s="21">
        <v>5.3401252777777772</v>
      </c>
      <c r="H439" s="21">
        <v>-72.395244444444458</v>
      </c>
      <c r="I439" s="93" t="s">
        <v>697</v>
      </c>
      <c r="J439" s="36" t="s">
        <v>717</v>
      </c>
      <c r="K439" s="24" t="str">
        <f t="shared" si="25"/>
        <v>2023</v>
      </c>
      <c r="L439" s="24" t="str">
        <f t="shared" si="26"/>
        <v>OCTUBRE</v>
      </c>
      <c r="M439" s="225">
        <v>45208</v>
      </c>
      <c r="N439" s="24" t="str">
        <f t="shared" si="27"/>
        <v>LUNES</v>
      </c>
      <c r="O439" s="103">
        <v>0.88888888888888884</v>
      </c>
      <c r="P439" s="57" t="s">
        <v>469</v>
      </c>
      <c r="Q439" s="57" t="s">
        <v>447</v>
      </c>
      <c r="R439" s="36">
        <f>COUNTIF(Tabla1[[#This Row],[VEHICULOS_ACCIDENTADOS]:[VEHICULOS_ACCIDENTADOS2]],"MOTOCICLETA")</f>
        <v>1</v>
      </c>
      <c r="S439" s="36">
        <f>COUNTIF(Tabla1[[#This Row],[VEHICULOS_ACCIDENTADOS]:[VEHICULOS_ACCIDENTADOS2]],"MOTOCARRO")</f>
        <v>0</v>
      </c>
      <c r="T439" s="36">
        <f>COUNTIF(Tabla1[[#This Row],[VEHICULOS_ACCIDENTADOS]:[VEHICULOS_ACCIDENTADOS2]],"AUTOMOVIL")</f>
        <v>1</v>
      </c>
      <c r="U439" s="36">
        <f>COUNTIF(Tabla1[[#This Row],[VEHICULOS_ACCIDENTADOS]:[VEHICULOS_ACCIDENTADOS2]],"CAMPERO")</f>
        <v>0</v>
      </c>
      <c r="V439" s="36">
        <f>COUNTIF(Tabla1[[#This Row],[VEHICULOS_ACCIDENTADOS]:[VEHICULOS_ACCIDENTADOS2]],"CAMIONETA")</f>
        <v>0</v>
      </c>
      <c r="W439" s="36">
        <f>COUNTIF(Tabla1[[#This Row],[VEHICULOS_ACCIDENTADOS]:[VEHICULOS_ACCIDENTADOS2]],"MICROBUS")</f>
        <v>0</v>
      </c>
      <c r="X439" s="36">
        <f>COUNTIF(Tabla1[[#This Row],[VEHICULOS_ACCIDENTADOS]:[VEHICULOS_ACCIDENTADOS2]],"BUS")</f>
        <v>0</v>
      </c>
      <c r="Y439" s="36">
        <f>COUNTIF(Tabla1[[#This Row],[VEHICULOS_ACCIDENTADOS]:[VEHICULOS_ACCIDENTADOS2]],"BUSETA")</f>
        <v>0</v>
      </c>
      <c r="Z439" s="36">
        <f>COUNTIF(Tabla1[[#This Row],[VEHICULOS_ACCIDENTADOS]:[VEHICULOS_ACCIDENTADOS2]],"CAMION")</f>
        <v>0</v>
      </c>
      <c r="AA439" s="36">
        <f>COUNTIF(Tabla1[[#This Row],[VEHICULOS_ACCIDENTADOS]:[VEHICULOS_ACCIDENTADOS2]],"TRACTOCAMION")</f>
        <v>0</v>
      </c>
      <c r="AB439" s="36">
        <f>COUNTIF(Tabla1[[#This Row],[VEHICULOS_ACCIDENTADOS]:[VEHICULOS_ACCIDENTADOS2]],"VOLQUETA")</f>
        <v>0</v>
      </c>
      <c r="AC439" s="36">
        <f>COUNTIF(Tabla1[[#This Row],[VEHICULOS_ACCIDENTADOS]:[VEHICULOS_ACCIDENTADOS2]],"BICICLETA")</f>
        <v>0</v>
      </c>
      <c r="AD439" s="56" t="s">
        <v>471</v>
      </c>
      <c r="AE439" s="56"/>
      <c r="AF439" s="56">
        <f>COUNTIF(Tabla1[[#This Row],[GENERO_MASCULINO]:[GENERO_FEMENINO]],"MASCULINO")</f>
        <v>1</v>
      </c>
      <c r="AG439" s="36">
        <f>COUNTIF(Tabla1[[#This Row],[GENERO_MASCULINO]:[GENERO_FEMENINO]],"FEMENINO")</f>
        <v>0</v>
      </c>
      <c r="AH439" s="61">
        <v>15</v>
      </c>
      <c r="AI439" s="61"/>
      <c r="AJ439" s="61"/>
      <c r="AK439" s="61"/>
      <c r="AL439" s="61"/>
      <c r="AM439" s="36"/>
      <c r="AN439" s="61">
        <v>116</v>
      </c>
      <c r="AO439" s="36" t="str">
        <f>IFERROR(((VLOOKUP(Tabla1[[#This Row],[HIPOTESIS_1]],listas!$D$1:$E$105,2,FALSE))),"SIN INFORMACIÓN")</f>
        <v>Exceso de velocidad</v>
      </c>
      <c r="AP439" s="36">
        <v>112</v>
      </c>
      <c r="AQ439" s="36" t="str">
        <f>IFERROR(((VLOOKUP(Tabla1[[#This Row],[HIPOTESIS_2]],listas!$D$1:$E$105,2,FALSE))),"")</f>
        <v>Desobedecer señales o normas de tránsito.</v>
      </c>
      <c r="AR439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440" spans="1:44" x14ac:dyDescent="0.25">
      <c r="A440" s="12">
        <v>378</v>
      </c>
      <c r="B440" s="36">
        <v>0</v>
      </c>
      <c r="C440" s="36">
        <v>1</v>
      </c>
      <c r="D440" s="60">
        <v>0</v>
      </c>
      <c r="E440" s="18" t="str">
        <f t="shared" si="24"/>
        <v>LESIONADO</v>
      </c>
      <c r="F440" s="29" t="s">
        <v>296</v>
      </c>
      <c r="G440" s="17">
        <v>5.3400944444444445</v>
      </c>
      <c r="H440" s="17">
        <v>-72.395258333333345</v>
      </c>
      <c r="I440" s="93" t="s">
        <v>697</v>
      </c>
      <c r="J440" s="36" t="s">
        <v>717</v>
      </c>
      <c r="K440" s="24" t="str">
        <f t="shared" si="25"/>
        <v>2022</v>
      </c>
      <c r="L440" s="24" t="str">
        <f t="shared" si="26"/>
        <v>DICIEMBRE</v>
      </c>
      <c r="M440" s="225">
        <v>44921</v>
      </c>
      <c r="N440" s="24" t="str">
        <f t="shared" si="27"/>
        <v>LUNES</v>
      </c>
      <c r="O440" s="170">
        <v>0.76597222222222205</v>
      </c>
      <c r="P440" s="53" t="s">
        <v>469</v>
      </c>
      <c r="Q440" s="53" t="s">
        <v>447</v>
      </c>
      <c r="R440" s="36">
        <f>COUNTIF(Tabla1[[#This Row],[VEHICULOS_ACCIDENTADOS]:[VEHICULOS_ACCIDENTADOS2]],"MOTOCICLETA")</f>
        <v>1</v>
      </c>
      <c r="S440" s="36">
        <f>COUNTIF(Tabla1[[#This Row],[VEHICULOS_ACCIDENTADOS]:[VEHICULOS_ACCIDENTADOS2]],"MOTOCARRO")</f>
        <v>0</v>
      </c>
      <c r="T440" s="36">
        <f>COUNTIF(Tabla1[[#This Row],[VEHICULOS_ACCIDENTADOS]:[VEHICULOS_ACCIDENTADOS2]],"AUTOMOVIL")</f>
        <v>1</v>
      </c>
      <c r="U440" s="36">
        <f>COUNTIF(Tabla1[[#This Row],[VEHICULOS_ACCIDENTADOS]:[VEHICULOS_ACCIDENTADOS2]],"CAMPERO")</f>
        <v>0</v>
      </c>
      <c r="V440" s="36">
        <f>COUNTIF(Tabla1[[#This Row],[VEHICULOS_ACCIDENTADOS]:[VEHICULOS_ACCIDENTADOS2]],"CAMIONETA")</f>
        <v>0</v>
      </c>
      <c r="W440" s="36">
        <f>COUNTIF(Tabla1[[#This Row],[VEHICULOS_ACCIDENTADOS]:[VEHICULOS_ACCIDENTADOS2]],"MICROBUS")</f>
        <v>0</v>
      </c>
      <c r="X440" s="36">
        <f>COUNTIF(Tabla1[[#This Row],[VEHICULOS_ACCIDENTADOS]:[VEHICULOS_ACCIDENTADOS2]],"BUS")</f>
        <v>0</v>
      </c>
      <c r="Y440" s="36">
        <f>COUNTIF(Tabla1[[#This Row],[VEHICULOS_ACCIDENTADOS]:[VEHICULOS_ACCIDENTADOS2]],"BUSETA")</f>
        <v>0</v>
      </c>
      <c r="Z440" s="36">
        <f>COUNTIF(Tabla1[[#This Row],[VEHICULOS_ACCIDENTADOS]:[VEHICULOS_ACCIDENTADOS2]],"CAMION")</f>
        <v>0</v>
      </c>
      <c r="AA440" s="36">
        <f>COUNTIF(Tabla1[[#This Row],[VEHICULOS_ACCIDENTADOS]:[VEHICULOS_ACCIDENTADOS2]],"TRACTOCAMION")</f>
        <v>0</v>
      </c>
      <c r="AB440" s="36">
        <f>COUNTIF(Tabla1[[#This Row],[VEHICULOS_ACCIDENTADOS]:[VEHICULOS_ACCIDENTADOS2]],"VOLQUETA")</f>
        <v>0</v>
      </c>
      <c r="AC440" s="36">
        <f>COUNTIF(Tabla1[[#This Row],[VEHICULOS_ACCIDENTADOS]:[VEHICULOS_ACCIDENTADOS2]],"BICICLETA")</f>
        <v>0</v>
      </c>
      <c r="AD440" s="56" t="s">
        <v>471</v>
      </c>
      <c r="AE440" s="56" t="s">
        <v>472</v>
      </c>
      <c r="AF440" s="56">
        <f>COUNTIF(Tabla1[[#This Row],[GENERO_MASCULINO]:[GENERO_FEMENINO]],"MASCULINO")</f>
        <v>1</v>
      </c>
      <c r="AG440" s="36">
        <f>COUNTIF(Tabla1[[#This Row],[GENERO_MASCULINO]:[GENERO_FEMENINO]],"FEMENINO")</f>
        <v>1</v>
      </c>
      <c r="AH440" s="61">
        <v>21</v>
      </c>
      <c r="AI440" s="61">
        <v>34</v>
      </c>
      <c r="AJ440" s="61"/>
      <c r="AK440" s="61"/>
      <c r="AL440" s="61"/>
      <c r="AM440" s="36"/>
      <c r="AN440" s="61">
        <v>139</v>
      </c>
      <c r="AO440" s="36" t="str">
        <f>IFERROR(((VLOOKUP(Tabla1[[#This Row],[HIPOTESIS_1]],listas!$D$1:$E$105,2,FALSE))),"SIN INFORMACIÓN")</f>
        <v>Impericia en el manejo.</v>
      </c>
      <c r="AP440" s="36">
        <v>112</v>
      </c>
      <c r="AQ440" s="36" t="str">
        <f>IFERROR(((VLOOKUP(Tabla1[[#This Row],[HIPOTESIS_2]],listas!$D$1:$E$105,2,FALSE))),"")</f>
        <v>Desobedecer señales o normas de tránsito.</v>
      </c>
      <c r="AR440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441" spans="1:44" x14ac:dyDescent="0.25">
      <c r="A441" s="12">
        <v>826</v>
      </c>
      <c r="B441" s="136">
        <v>0</v>
      </c>
      <c r="C441" s="136">
        <v>0</v>
      </c>
      <c r="D441" s="149">
        <v>1</v>
      </c>
      <c r="E441" s="18" t="str">
        <f t="shared" si="24"/>
        <v>FALLECIDO</v>
      </c>
      <c r="F441" s="26" t="s">
        <v>1139</v>
      </c>
      <c r="G441" s="21">
        <v>5.3468272222222222</v>
      </c>
      <c r="H441" s="21">
        <v>-72.396191944444453</v>
      </c>
      <c r="I441" s="93" t="s">
        <v>697</v>
      </c>
      <c r="J441" s="36" t="s">
        <v>717</v>
      </c>
      <c r="K441" s="24" t="str">
        <f t="shared" si="25"/>
        <v>2024</v>
      </c>
      <c r="L441" s="24" t="str">
        <f t="shared" si="26"/>
        <v>DICIEMBRE</v>
      </c>
      <c r="M441" s="224">
        <v>45630</v>
      </c>
      <c r="N441" s="24" t="str">
        <f t="shared" si="27"/>
        <v>MIÉRCOLES</v>
      </c>
      <c r="O441" s="104">
        <v>0.9604166666666667</v>
      </c>
      <c r="P441" s="178" t="s">
        <v>469</v>
      </c>
      <c r="Q441" s="178" t="s">
        <v>445</v>
      </c>
      <c r="R441" s="36">
        <f>COUNTIF(Tabla1[[#This Row],[VEHICULOS_ACCIDENTADOS]:[VEHICULOS_ACCIDENTADOS2]],"MOTOCICLETA")</f>
        <v>1</v>
      </c>
      <c r="S441" s="36">
        <f>COUNTIF(Tabla1[[#This Row],[VEHICULOS_ACCIDENTADOS]:[VEHICULOS_ACCIDENTADOS2]],"MOTOCARRO")</f>
        <v>0</v>
      </c>
      <c r="T441" s="36">
        <f>COUNTIF(Tabla1[[#This Row],[VEHICULOS_ACCIDENTADOS]:[VEHICULOS_ACCIDENTADOS2]],"AUTOMOVIL")</f>
        <v>0</v>
      </c>
      <c r="U441" s="36">
        <f>COUNTIF(Tabla1[[#This Row],[VEHICULOS_ACCIDENTADOS]:[VEHICULOS_ACCIDENTADOS2]],"CAMPERO")</f>
        <v>0</v>
      </c>
      <c r="V441" s="36">
        <f>COUNTIF(Tabla1[[#This Row],[VEHICULOS_ACCIDENTADOS]:[VEHICULOS_ACCIDENTADOS2]],"CAMIONETA")</f>
        <v>1</v>
      </c>
      <c r="W441" s="36">
        <f>COUNTIF(Tabla1[[#This Row],[VEHICULOS_ACCIDENTADOS]:[VEHICULOS_ACCIDENTADOS2]],"MICROBUS")</f>
        <v>0</v>
      </c>
      <c r="X441" s="36">
        <f>COUNTIF(Tabla1[[#This Row],[VEHICULOS_ACCIDENTADOS]:[VEHICULOS_ACCIDENTADOS2]],"BUS")</f>
        <v>0</v>
      </c>
      <c r="Y441" s="36">
        <f>COUNTIF(Tabla1[[#This Row],[VEHICULOS_ACCIDENTADOS]:[VEHICULOS_ACCIDENTADOS2]],"BUSETA")</f>
        <v>0</v>
      </c>
      <c r="Z441" s="36">
        <f>COUNTIF(Tabla1[[#This Row],[VEHICULOS_ACCIDENTADOS]:[VEHICULOS_ACCIDENTADOS2]],"CAMION")</f>
        <v>0</v>
      </c>
      <c r="AA441" s="36">
        <f>COUNTIF(Tabla1[[#This Row],[VEHICULOS_ACCIDENTADOS]:[VEHICULOS_ACCIDENTADOS2]],"TRACTOCAMION")</f>
        <v>0</v>
      </c>
      <c r="AB441" s="36">
        <f>COUNTIF(Tabla1[[#This Row],[VEHICULOS_ACCIDENTADOS]:[VEHICULOS_ACCIDENTADOS2]],"VOLQUETA")</f>
        <v>0</v>
      </c>
      <c r="AC441" s="36">
        <f>COUNTIF(Tabla1[[#This Row],[VEHICULOS_ACCIDENTADOS]:[VEHICULOS_ACCIDENTADOS2]],"BICICLETA")</f>
        <v>0</v>
      </c>
      <c r="AD441" s="190" t="s">
        <v>471</v>
      </c>
      <c r="AE441" s="190" t="s">
        <v>472</v>
      </c>
      <c r="AF441" s="190">
        <f>COUNTIF(Tabla1[[#This Row],[GENERO_MASCULINO]:[GENERO_FEMENINO]],"MASCULINO")</f>
        <v>1</v>
      </c>
      <c r="AG441" s="36">
        <f>COUNTIF(Tabla1[[#This Row],[GENERO_MASCULINO]:[GENERO_FEMENINO]],"FEMENINO")</f>
        <v>1</v>
      </c>
      <c r="AH441" s="85"/>
      <c r="AI441" s="85">
        <v>32</v>
      </c>
      <c r="AJ441" s="85"/>
      <c r="AK441" s="85"/>
      <c r="AL441" s="85"/>
      <c r="AM441" s="136">
        <v>25</v>
      </c>
      <c r="AN441" s="85">
        <v>139</v>
      </c>
      <c r="AO441" s="36" t="str">
        <f>IFERROR(((VLOOKUP(Tabla1[[#This Row],[HIPOTESIS_1]],listas!$D$1:$E$105,2,FALSE))),"SIN INFORMACIÓN")</f>
        <v>Impericia en el manejo.</v>
      </c>
      <c r="AP441" s="136">
        <v>112</v>
      </c>
      <c r="AQ441" s="36" t="str">
        <f>IFERROR(((VLOOKUP(Tabla1[[#This Row],[HIPOTESIS_2]],listas!$D$1:$E$105,2,FALSE))),"")</f>
        <v>Desobedecer señales o normas de tránsito.</v>
      </c>
      <c r="AR441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442" spans="1:44" x14ac:dyDescent="0.25">
      <c r="A442" s="12">
        <v>729</v>
      </c>
      <c r="B442" s="136">
        <v>0</v>
      </c>
      <c r="C442" s="36">
        <v>1</v>
      </c>
      <c r="D442" s="60">
        <v>0</v>
      </c>
      <c r="E442" s="18" t="str">
        <f t="shared" si="24"/>
        <v>LESIONADO</v>
      </c>
      <c r="F442" s="29" t="s">
        <v>1150</v>
      </c>
      <c r="G442" s="17">
        <v>5.3285472222222223</v>
      </c>
      <c r="H442" s="17">
        <v>-72.386288888888899</v>
      </c>
      <c r="I442" s="93" t="s">
        <v>697</v>
      </c>
      <c r="J442" s="136" t="s">
        <v>717</v>
      </c>
      <c r="K442" s="24" t="str">
        <f t="shared" si="25"/>
        <v>2024</v>
      </c>
      <c r="L442" s="24" t="str">
        <f t="shared" si="26"/>
        <v>JUNIO</v>
      </c>
      <c r="M442" s="225">
        <v>45458</v>
      </c>
      <c r="N442" s="24" t="str">
        <f t="shared" si="27"/>
        <v>SÁBADO</v>
      </c>
      <c r="O442" s="101">
        <v>0.41666666666666669</v>
      </c>
      <c r="P442" s="57" t="s">
        <v>469</v>
      </c>
      <c r="Q442" s="57" t="s">
        <v>447</v>
      </c>
      <c r="R442" s="36">
        <f>COUNTIF(Tabla1[[#This Row],[VEHICULOS_ACCIDENTADOS]:[VEHICULOS_ACCIDENTADOS2]],"MOTOCICLETA")</f>
        <v>1</v>
      </c>
      <c r="S442" s="36">
        <f>COUNTIF(Tabla1[[#This Row],[VEHICULOS_ACCIDENTADOS]:[VEHICULOS_ACCIDENTADOS2]],"MOTOCARRO")</f>
        <v>0</v>
      </c>
      <c r="T442" s="36">
        <f>COUNTIF(Tabla1[[#This Row],[VEHICULOS_ACCIDENTADOS]:[VEHICULOS_ACCIDENTADOS2]],"AUTOMOVIL")</f>
        <v>1</v>
      </c>
      <c r="U442" s="36">
        <f>COUNTIF(Tabla1[[#This Row],[VEHICULOS_ACCIDENTADOS]:[VEHICULOS_ACCIDENTADOS2]],"CAMPERO")</f>
        <v>0</v>
      </c>
      <c r="V442" s="36">
        <f>COUNTIF(Tabla1[[#This Row],[VEHICULOS_ACCIDENTADOS]:[VEHICULOS_ACCIDENTADOS2]],"CAMIONETA")</f>
        <v>0</v>
      </c>
      <c r="W442" s="36">
        <f>COUNTIF(Tabla1[[#This Row],[VEHICULOS_ACCIDENTADOS]:[VEHICULOS_ACCIDENTADOS2]],"MICROBUS")</f>
        <v>0</v>
      </c>
      <c r="X442" s="36">
        <f>COUNTIF(Tabla1[[#This Row],[VEHICULOS_ACCIDENTADOS]:[VEHICULOS_ACCIDENTADOS2]],"BUS")</f>
        <v>0</v>
      </c>
      <c r="Y442" s="36">
        <f>COUNTIF(Tabla1[[#This Row],[VEHICULOS_ACCIDENTADOS]:[VEHICULOS_ACCIDENTADOS2]],"BUSETA")</f>
        <v>0</v>
      </c>
      <c r="Z442" s="36">
        <f>COUNTIF(Tabla1[[#This Row],[VEHICULOS_ACCIDENTADOS]:[VEHICULOS_ACCIDENTADOS2]],"CAMION")</f>
        <v>0</v>
      </c>
      <c r="AA442" s="36">
        <f>COUNTIF(Tabla1[[#This Row],[VEHICULOS_ACCIDENTADOS]:[VEHICULOS_ACCIDENTADOS2]],"TRACTOCAMION")</f>
        <v>0</v>
      </c>
      <c r="AB442" s="36">
        <f>COUNTIF(Tabla1[[#This Row],[VEHICULOS_ACCIDENTADOS]:[VEHICULOS_ACCIDENTADOS2]],"VOLQUETA")</f>
        <v>0</v>
      </c>
      <c r="AC442" s="36">
        <f>COUNTIF(Tabla1[[#This Row],[VEHICULOS_ACCIDENTADOS]:[VEHICULOS_ACCIDENTADOS2]],"BICICLETA")</f>
        <v>0</v>
      </c>
      <c r="AD442" s="56" t="s">
        <v>471</v>
      </c>
      <c r="AE442" s="56"/>
      <c r="AF442" s="56">
        <f>COUNTIF(Tabla1[[#This Row],[GENERO_MASCULINO]:[GENERO_FEMENINO]],"MASCULINO")</f>
        <v>1</v>
      </c>
      <c r="AG442" s="36">
        <f>COUNTIF(Tabla1[[#This Row],[GENERO_MASCULINO]:[GENERO_FEMENINO]],"FEMENINO")</f>
        <v>0</v>
      </c>
      <c r="AH442" s="61">
        <v>29</v>
      </c>
      <c r="AI442" s="61">
        <v>61</v>
      </c>
      <c r="AJ442" s="61"/>
      <c r="AK442" s="61"/>
      <c r="AL442" s="61"/>
      <c r="AM442" s="36"/>
      <c r="AN442" s="61">
        <v>139</v>
      </c>
      <c r="AO442" s="36" t="str">
        <f>IFERROR(((VLOOKUP(Tabla1[[#This Row],[HIPOTESIS_1]],listas!$D$1:$E$105,2,FALSE))),"SIN INFORMACIÓN")</f>
        <v>Impericia en el manejo.</v>
      </c>
      <c r="AP442" s="36">
        <v>112</v>
      </c>
      <c r="AQ442" s="36" t="str">
        <f>IFERROR(((VLOOKUP(Tabla1[[#This Row],[HIPOTESIS_2]],listas!$D$1:$E$105,2,FALSE))),"")</f>
        <v>Desobedecer señales o normas de tránsito.</v>
      </c>
      <c r="AR442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443" spans="1:44" x14ac:dyDescent="0.25">
      <c r="A443" s="12">
        <v>605</v>
      </c>
      <c r="B443" s="36">
        <v>0</v>
      </c>
      <c r="C443" s="36">
        <v>3</v>
      </c>
      <c r="D443" s="60">
        <v>0</v>
      </c>
      <c r="E443" s="18" t="str">
        <f t="shared" si="24"/>
        <v>LESIONADO</v>
      </c>
      <c r="F443" s="29" t="s">
        <v>1150</v>
      </c>
      <c r="G443" s="17">
        <v>5.3285472222222223</v>
      </c>
      <c r="H443" s="17">
        <v>-72.386288888888899</v>
      </c>
      <c r="I443" s="93" t="s">
        <v>697</v>
      </c>
      <c r="J443" s="36" t="s">
        <v>717</v>
      </c>
      <c r="K443" s="24" t="str">
        <f t="shared" si="25"/>
        <v>2023</v>
      </c>
      <c r="L443" s="24" t="str">
        <f t="shared" si="26"/>
        <v>NOVIEMBRE</v>
      </c>
      <c r="M443" s="225">
        <v>45241</v>
      </c>
      <c r="N443" s="24" t="str">
        <f t="shared" si="27"/>
        <v>SÁBADO</v>
      </c>
      <c r="O443" s="103">
        <v>0.80208333333333337</v>
      </c>
      <c r="P443" s="57" t="s">
        <v>469</v>
      </c>
      <c r="Q443" s="57" t="s">
        <v>469</v>
      </c>
      <c r="R443" s="36">
        <f>COUNTIF(Tabla1[[#This Row],[VEHICULOS_ACCIDENTADOS]:[VEHICULOS_ACCIDENTADOS2]],"MOTOCICLETA")</f>
        <v>2</v>
      </c>
      <c r="S443" s="36">
        <f>COUNTIF(Tabla1[[#This Row],[VEHICULOS_ACCIDENTADOS]:[VEHICULOS_ACCIDENTADOS2]],"MOTOCARRO")</f>
        <v>0</v>
      </c>
      <c r="T443" s="36">
        <f>COUNTIF(Tabla1[[#This Row],[VEHICULOS_ACCIDENTADOS]:[VEHICULOS_ACCIDENTADOS2]],"AUTOMOVIL")</f>
        <v>0</v>
      </c>
      <c r="U443" s="36">
        <f>COUNTIF(Tabla1[[#This Row],[VEHICULOS_ACCIDENTADOS]:[VEHICULOS_ACCIDENTADOS2]],"CAMPERO")</f>
        <v>0</v>
      </c>
      <c r="V443" s="36">
        <f>COUNTIF(Tabla1[[#This Row],[VEHICULOS_ACCIDENTADOS]:[VEHICULOS_ACCIDENTADOS2]],"CAMIONETA")</f>
        <v>0</v>
      </c>
      <c r="W443" s="36">
        <f>COUNTIF(Tabla1[[#This Row],[VEHICULOS_ACCIDENTADOS]:[VEHICULOS_ACCIDENTADOS2]],"MICROBUS")</f>
        <v>0</v>
      </c>
      <c r="X443" s="36">
        <f>COUNTIF(Tabla1[[#This Row],[VEHICULOS_ACCIDENTADOS]:[VEHICULOS_ACCIDENTADOS2]],"BUS")</f>
        <v>0</v>
      </c>
      <c r="Y443" s="36">
        <f>COUNTIF(Tabla1[[#This Row],[VEHICULOS_ACCIDENTADOS]:[VEHICULOS_ACCIDENTADOS2]],"BUSETA")</f>
        <v>0</v>
      </c>
      <c r="Z443" s="36">
        <f>COUNTIF(Tabla1[[#This Row],[VEHICULOS_ACCIDENTADOS]:[VEHICULOS_ACCIDENTADOS2]],"CAMION")</f>
        <v>0</v>
      </c>
      <c r="AA443" s="36">
        <f>COUNTIF(Tabla1[[#This Row],[VEHICULOS_ACCIDENTADOS]:[VEHICULOS_ACCIDENTADOS2]],"TRACTOCAMION")</f>
        <v>0</v>
      </c>
      <c r="AB443" s="36">
        <f>COUNTIF(Tabla1[[#This Row],[VEHICULOS_ACCIDENTADOS]:[VEHICULOS_ACCIDENTADOS2]],"VOLQUETA")</f>
        <v>0</v>
      </c>
      <c r="AC443" s="36">
        <f>COUNTIF(Tabla1[[#This Row],[VEHICULOS_ACCIDENTADOS]:[VEHICULOS_ACCIDENTADOS2]],"BICICLETA")</f>
        <v>0</v>
      </c>
      <c r="AD443" s="56" t="s">
        <v>471</v>
      </c>
      <c r="AE443" s="56"/>
      <c r="AF443" s="56">
        <f>COUNTIF(Tabla1[[#This Row],[GENERO_MASCULINO]:[GENERO_FEMENINO]],"MASCULINO")</f>
        <v>1</v>
      </c>
      <c r="AG443" s="36">
        <f>COUNTIF(Tabla1[[#This Row],[GENERO_MASCULINO]:[GENERO_FEMENINO]],"FEMENINO")</f>
        <v>0</v>
      </c>
      <c r="AH443" s="61">
        <v>21</v>
      </c>
      <c r="AI443" s="61">
        <v>54</v>
      </c>
      <c r="AJ443" s="61"/>
      <c r="AK443" s="61"/>
      <c r="AL443" s="61">
        <v>13</v>
      </c>
      <c r="AM443" s="36"/>
      <c r="AN443" s="61">
        <v>116</v>
      </c>
      <c r="AO443" s="36" t="str">
        <f>IFERROR(((VLOOKUP(Tabla1[[#This Row],[HIPOTESIS_1]],listas!$D$1:$E$105,2,FALSE))),"SIN INFORMACIÓN")</f>
        <v>Exceso de velocidad</v>
      </c>
      <c r="AP443" s="36">
        <v>112</v>
      </c>
      <c r="AQ443" s="36" t="str">
        <f>IFERROR(((VLOOKUP(Tabla1[[#This Row],[HIPOTESIS_2]],listas!$D$1:$E$105,2,FALSE))),"")</f>
        <v>Desobedecer señales o normas de tránsito.</v>
      </c>
      <c r="AR443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444" spans="1:44" x14ac:dyDescent="0.25">
      <c r="A444" s="12">
        <v>137</v>
      </c>
      <c r="B444" s="36">
        <v>0</v>
      </c>
      <c r="C444" s="36">
        <v>1</v>
      </c>
      <c r="D444" s="60">
        <v>0</v>
      </c>
      <c r="E444" s="18" t="str">
        <f t="shared" si="24"/>
        <v>LESIONADO</v>
      </c>
      <c r="F444" s="29" t="s">
        <v>387</v>
      </c>
      <c r="G444" s="17">
        <v>5.3475944444444439</v>
      </c>
      <c r="H444" s="17">
        <v>-72.396686111111123</v>
      </c>
      <c r="I444" s="93" t="s">
        <v>697</v>
      </c>
      <c r="J444" s="36" t="s">
        <v>717</v>
      </c>
      <c r="K444" s="24" t="str">
        <f t="shared" si="25"/>
        <v>2022</v>
      </c>
      <c r="L444" s="24" t="str">
        <f t="shared" si="26"/>
        <v>ABRIL</v>
      </c>
      <c r="M444" s="225">
        <v>44667</v>
      </c>
      <c r="N444" s="24" t="str">
        <f t="shared" si="27"/>
        <v>SÁBADO</v>
      </c>
      <c r="O444" s="103">
        <v>0.3576388888888889</v>
      </c>
      <c r="P444" s="63" t="s">
        <v>469</v>
      </c>
      <c r="Q444" s="63" t="s">
        <v>445</v>
      </c>
      <c r="R444" s="36">
        <f>COUNTIF(Tabla1[[#This Row],[VEHICULOS_ACCIDENTADOS]:[VEHICULOS_ACCIDENTADOS2]],"MOTOCICLETA")</f>
        <v>1</v>
      </c>
      <c r="S444" s="36">
        <f>COUNTIF(Tabla1[[#This Row],[VEHICULOS_ACCIDENTADOS]:[VEHICULOS_ACCIDENTADOS2]],"MOTOCARRO")</f>
        <v>0</v>
      </c>
      <c r="T444" s="36">
        <f>COUNTIF(Tabla1[[#This Row],[VEHICULOS_ACCIDENTADOS]:[VEHICULOS_ACCIDENTADOS2]],"AUTOMOVIL")</f>
        <v>0</v>
      </c>
      <c r="U444" s="36">
        <f>COUNTIF(Tabla1[[#This Row],[VEHICULOS_ACCIDENTADOS]:[VEHICULOS_ACCIDENTADOS2]],"CAMPERO")</f>
        <v>0</v>
      </c>
      <c r="V444" s="36">
        <f>COUNTIF(Tabla1[[#This Row],[VEHICULOS_ACCIDENTADOS]:[VEHICULOS_ACCIDENTADOS2]],"CAMIONETA")</f>
        <v>1</v>
      </c>
      <c r="W444" s="36">
        <f>COUNTIF(Tabla1[[#This Row],[VEHICULOS_ACCIDENTADOS]:[VEHICULOS_ACCIDENTADOS2]],"MICROBUS")</f>
        <v>0</v>
      </c>
      <c r="X444" s="36">
        <f>COUNTIF(Tabla1[[#This Row],[VEHICULOS_ACCIDENTADOS]:[VEHICULOS_ACCIDENTADOS2]],"BUS")</f>
        <v>0</v>
      </c>
      <c r="Y444" s="36">
        <f>COUNTIF(Tabla1[[#This Row],[VEHICULOS_ACCIDENTADOS]:[VEHICULOS_ACCIDENTADOS2]],"BUSETA")</f>
        <v>0</v>
      </c>
      <c r="Z444" s="36">
        <f>COUNTIF(Tabla1[[#This Row],[VEHICULOS_ACCIDENTADOS]:[VEHICULOS_ACCIDENTADOS2]],"CAMION")</f>
        <v>0</v>
      </c>
      <c r="AA444" s="36">
        <f>COUNTIF(Tabla1[[#This Row],[VEHICULOS_ACCIDENTADOS]:[VEHICULOS_ACCIDENTADOS2]],"TRACTOCAMION")</f>
        <v>0</v>
      </c>
      <c r="AB444" s="36">
        <f>COUNTIF(Tabla1[[#This Row],[VEHICULOS_ACCIDENTADOS]:[VEHICULOS_ACCIDENTADOS2]],"VOLQUETA")</f>
        <v>0</v>
      </c>
      <c r="AC444" s="36">
        <f>COUNTIF(Tabla1[[#This Row],[VEHICULOS_ACCIDENTADOS]:[VEHICULOS_ACCIDENTADOS2]],"BICICLETA")</f>
        <v>0</v>
      </c>
      <c r="AD444" s="56" t="s">
        <v>471</v>
      </c>
      <c r="AE444" s="56"/>
      <c r="AF444" s="56">
        <f>COUNTIF(Tabla1[[#This Row],[GENERO_MASCULINO]:[GENERO_FEMENINO]],"MASCULINO")</f>
        <v>1</v>
      </c>
      <c r="AG444" s="36">
        <f>COUNTIF(Tabla1[[#This Row],[GENERO_MASCULINO]:[GENERO_FEMENINO]],"FEMENINO")</f>
        <v>0</v>
      </c>
      <c r="AH444" s="61">
        <v>21</v>
      </c>
      <c r="AI444" s="61"/>
      <c r="AJ444" s="61"/>
      <c r="AK444" s="61"/>
      <c r="AL444" s="61"/>
      <c r="AM444" s="36"/>
      <c r="AN444" s="61">
        <v>139</v>
      </c>
      <c r="AO444" s="36" t="str">
        <f>IFERROR(((VLOOKUP(Tabla1[[#This Row],[HIPOTESIS_1]],listas!$D$1:$E$105,2,FALSE))),"SIN INFORMACIÓN")</f>
        <v>Impericia en el manejo.</v>
      </c>
      <c r="AP444" s="36">
        <v>112</v>
      </c>
      <c r="AQ444" s="36" t="str">
        <f>IFERROR(((VLOOKUP(Tabla1[[#This Row],[HIPOTESIS_2]],listas!$D$1:$E$105,2,FALSE))),"")</f>
        <v>Desobedecer señales o normas de tránsito.</v>
      </c>
      <c r="AR444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445" spans="1:44" x14ac:dyDescent="0.25">
      <c r="A445" s="12">
        <v>726</v>
      </c>
      <c r="B445" s="36">
        <v>0</v>
      </c>
      <c r="C445" s="36">
        <v>0</v>
      </c>
      <c r="D445" s="150">
        <v>1</v>
      </c>
      <c r="E445" s="18" t="str">
        <f t="shared" si="24"/>
        <v>FALLECIDO</v>
      </c>
      <c r="F445" s="29" t="s">
        <v>138</v>
      </c>
      <c r="G445" s="21">
        <v>5.3409308333333332</v>
      </c>
      <c r="H445" s="21">
        <v>-72.391887777777782</v>
      </c>
      <c r="I445" s="93" t="s">
        <v>697</v>
      </c>
      <c r="J445" s="136" t="s">
        <v>717</v>
      </c>
      <c r="K445" s="24" t="str">
        <f t="shared" si="25"/>
        <v>2024</v>
      </c>
      <c r="L445" s="24" t="str">
        <f t="shared" si="26"/>
        <v>JUNIO</v>
      </c>
      <c r="M445" s="225">
        <v>45451</v>
      </c>
      <c r="N445" s="24" t="str">
        <f t="shared" si="27"/>
        <v>SÁBADO</v>
      </c>
      <c r="O445" s="103">
        <v>0.85</v>
      </c>
      <c r="P445" s="57" t="s">
        <v>469</v>
      </c>
      <c r="Q445" s="57" t="s">
        <v>447</v>
      </c>
      <c r="R445" s="36">
        <f>COUNTIF(Tabla1[[#This Row],[VEHICULOS_ACCIDENTADOS]:[VEHICULOS_ACCIDENTADOS2]],"MOTOCICLETA")</f>
        <v>1</v>
      </c>
      <c r="S445" s="36">
        <f>COUNTIF(Tabla1[[#This Row],[VEHICULOS_ACCIDENTADOS]:[VEHICULOS_ACCIDENTADOS2]],"MOTOCARRO")</f>
        <v>0</v>
      </c>
      <c r="T445" s="36">
        <f>COUNTIF(Tabla1[[#This Row],[VEHICULOS_ACCIDENTADOS]:[VEHICULOS_ACCIDENTADOS2]],"AUTOMOVIL")</f>
        <v>1</v>
      </c>
      <c r="U445" s="36">
        <f>COUNTIF(Tabla1[[#This Row],[VEHICULOS_ACCIDENTADOS]:[VEHICULOS_ACCIDENTADOS2]],"CAMPERO")</f>
        <v>0</v>
      </c>
      <c r="V445" s="36">
        <f>COUNTIF(Tabla1[[#This Row],[VEHICULOS_ACCIDENTADOS]:[VEHICULOS_ACCIDENTADOS2]],"CAMIONETA")</f>
        <v>0</v>
      </c>
      <c r="W445" s="36">
        <f>COUNTIF(Tabla1[[#This Row],[VEHICULOS_ACCIDENTADOS]:[VEHICULOS_ACCIDENTADOS2]],"MICROBUS")</f>
        <v>0</v>
      </c>
      <c r="X445" s="36">
        <f>COUNTIF(Tabla1[[#This Row],[VEHICULOS_ACCIDENTADOS]:[VEHICULOS_ACCIDENTADOS2]],"BUS")</f>
        <v>0</v>
      </c>
      <c r="Y445" s="36">
        <f>COUNTIF(Tabla1[[#This Row],[VEHICULOS_ACCIDENTADOS]:[VEHICULOS_ACCIDENTADOS2]],"BUSETA")</f>
        <v>0</v>
      </c>
      <c r="Z445" s="36">
        <f>COUNTIF(Tabla1[[#This Row],[VEHICULOS_ACCIDENTADOS]:[VEHICULOS_ACCIDENTADOS2]],"CAMION")</f>
        <v>0</v>
      </c>
      <c r="AA445" s="36">
        <f>COUNTIF(Tabla1[[#This Row],[VEHICULOS_ACCIDENTADOS]:[VEHICULOS_ACCIDENTADOS2]],"TRACTOCAMION")</f>
        <v>0</v>
      </c>
      <c r="AB445" s="36">
        <f>COUNTIF(Tabla1[[#This Row],[VEHICULOS_ACCIDENTADOS]:[VEHICULOS_ACCIDENTADOS2]],"VOLQUETA")</f>
        <v>0</v>
      </c>
      <c r="AC445" s="36">
        <f>COUNTIF(Tabla1[[#This Row],[VEHICULOS_ACCIDENTADOS]:[VEHICULOS_ACCIDENTADOS2]],"BICICLETA")</f>
        <v>0</v>
      </c>
      <c r="AD445" s="56" t="s">
        <v>471</v>
      </c>
      <c r="AE445" s="56"/>
      <c r="AF445" s="56">
        <f>COUNTIF(Tabla1[[#This Row],[GENERO_MASCULINO]:[GENERO_FEMENINO]],"MASCULINO")</f>
        <v>1</v>
      </c>
      <c r="AG445" s="36">
        <f>COUNTIF(Tabla1[[#This Row],[GENERO_MASCULINO]:[GENERO_FEMENINO]],"FEMENINO")</f>
        <v>0</v>
      </c>
      <c r="AH445" s="61"/>
      <c r="AI445" s="61">
        <v>60</v>
      </c>
      <c r="AJ445" s="61"/>
      <c r="AK445" s="61"/>
      <c r="AL445" s="61"/>
      <c r="AM445" s="36">
        <v>24</v>
      </c>
      <c r="AN445" s="61">
        <v>157</v>
      </c>
      <c r="AO445" s="36" t="str">
        <f>IFERROR(((VLOOKUP(Tabla1[[#This Row],[HIPOTESIS_1]],listas!$D$1:$E$105,2,FALSE))),"SIN INFORMACIÓN")</f>
        <v>Otra</v>
      </c>
      <c r="AP445" s="36">
        <v>112</v>
      </c>
      <c r="AQ445" s="36" t="str">
        <f>IFERROR(((VLOOKUP(Tabla1[[#This Row],[HIPOTESIS_2]],listas!$D$1:$E$105,2,FALSE))),"")</f>
        <v>Desobedecer señales o normas de tránsito.</v>
      </c>
      <c r="AR445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446" spans="1:44" x14ac:dyDescent="0.25">
      <c r="A446" s="12">
        <v>922</v>
      </c>
      <c r="B446" s="208">
        <v>0</v>
      </c>
      <c r="C446" s="36">
        <v>2</v>
      </c>
      <c r="D446" s="150">
        <v>1</v>
      </c>
      <c r="E446" s="18" t="str">
        <f t="shared" si="24"/>
        <v>FALLECIDO</v>
      </c>
      <c r="F446" s="29" t="s">
        <v>1155</v>
      </c>
      <c r="G446" s="30">
        <v>5.3377679999999996</v>
      </c>
      <c r="H446" s="30">
        <v>-72.390201000000005</v>
      </c>
      <c r="I446" s="93" t="s">
        <v>697</v>
      </c>
      <c r="J446" s="36" t="s">
        <v>717</v>
      </c>
      <c r="K446" s="24" t="str">
        <f t="shared" si="25"/>
        <v>2025</v>
      </c>
      <c r="L446" s="24" t="str">
        <f t="shared" si="26"/>
        <v>ABRIL</v>
      </c>
      <c r="M446" s="225">
        <v>45749</v>
      </c>
      <c r="N446" s="24" t="str">
        <f t="shared" si="27"/>
        <v>MIÉRCOLES</v>
      </c>
      <c r="O446" s="103">
        <v>0.83333333333333337</v>
      </c>
      <c r="P446" s="36" t="s">
        <v>469</v>
      </c>
      <c r="Q446" s="36" t="s">
        <v>469</v>
      </c>
      <c r="R446" s="36">
        <f>COUNTIF(Tabla1[[#This Row],[VEHICULOS_ACCIDENTADOS]:[VEHICULOS_ACCIDENTADOS2]],"MOTOCICLETA")</f>
        <v>2</v>
      </c>
      <c r="S446" s="36">
        <f>COUNTIF(Tabla1[[#This Row],[VEHICULOS_ACCIDENTADOS]:[VEHICULOS_ACCIDENTADOS2]],"MOTOCARRO")</f>
        <v>0</v>
      </c>
      <c r="T446" s="36">
        <f>COUNTIF(Tabla1[[#This Row],[VEHICULOS_ACCIDENTADOS]:[VEHICULOS_ACCIDENTADOS2]],"AUTOMOVIL")</f>
        <v>0</v>
      </c>
      <c r="U446" s="36">
        <f>COUNTIF(Tabla1[[#This Row],[VEHICULOS_ACCIDENTADOS]:[VEHICULOS_ACCIDENTADOS2]],"CAMPERO")</f>
        <v>0</v>
      </c>
      <c r="V446" s="36">
        <f>COUNTIF(Tabla1[[#This Row],[VEHICULOS_ACCIDENTADOS]:[VEHICULOS_ACCIDENTADOS2]],"CAMIONETA")</f>
        <v>0</v>
      </c>
      <c r="W446" s="36">
        <f>COUNTIF(Tabla1[[#This Row],[VEHICULOS_ACCIDENTADOS]:[VEHICULOS_ACCIDENTADOS2]],"MICROBUS")</f>
        <v>0</v>
      </c>
      <c r="X446" s="36">
        <f>COUNTIF(Tabla1[[#This Row],[VEHICULOS_ACCIDENTADOS]:[VEHICULOS_ACCIDENTADOS2]],"BUS")</f>
        <v>0</v>
      </c>
      <c r="Y446" s="36">
        <f>COUNTIF(Tabla1[[#This Row],[VEHICULOS_ACCIDENTADOS]:[VEHICULOS_ACCIDENTADOS2]],"BUSETA")</f>
        <v>0</v>
      </c>
      <c r="Z446" s="36">
        <f>COUNTIF(Tabla1[[#This Row],[VEHICULOS_ACCIDENTADOS]:[VEHICULOS_ACCIDENTADOS2]],"CAMION")</f>
        <v>0</v>
      </c>
      <c r="AA446" s="36">
        <f>COUNTIF(Tabla1[[#This Row],[VEHICULOS_ACCIDENTADOS]:[VEHICULOS_ACCIDENTADOS2]],"TRACTOCAMION")</f>
        <v>0</v>
      </c>
      <c r="AB446" s="36">
        <f>COUNTIF(Tabla1[[#This Row],[VEHICULOS_ACCIDENTADOS]:[VEHICULOS_ACCIDENTADOS2]],"VOLQUETA")</f>
        <v>0</v>
      </c>
      <c r="AC446" s="36">
        <f>COUNTIF(Tabla1[[#This Row],[VEHICULOS_ACCIDENTADOS]:[VEHICULOS_ACCIDENTADOS2]],"BICICLETA")</f>
        <v>0</v>
      </c>
      <c r="AD446" s="56" t="s">
        <v>471</v>
      </c>
      <c r="AE446" s="56" t="s">
        <v>471</v>
      </c>
      <c r="AF446" s="56">
        <f>COUNTIF(Tabla1[[#This Row],[GENERO_MASCULINO]:[GENERO_FEMENINO]],"MASCULINO")</f>
        <v>2</v>
      </c>
      <c r="AG446" s="36">
        <f>COUNTIF(Tabla1[[#This Row],[GENERO_MASCULINO]:[GENERO_FEMENINO]],"FEMENINO")</f>
        <v>0</v>
      </c>
      <c r="AH446" s="85">
        <v>14</v>
      </c>
      <c r="AI446" s="85">
        <v>17</v>
      </c>
      <c r="AJ446" s="85">
        <v>49</v>
      </c>
      <c r="AK446" s="78"/>
      <c r="AL446" s="78"/>
      <c r="AM446" s="59"/>
      <c r="AN446" s="61">
        <v>139</v>
      </c>
      <c r="AO446" s="36" t="str">
        <f>IFERROR(((VLOOKUP(Tabla1[[#This Row],[HIPOTESIS_1]],listas!$D$1:$E$105,2,FALSE))),"SIN INFORMACIÓN")</f>
        <v>Impericia en el manejo.</v>
      </c>
      <c r="AP446" s="36">
        <v>112</v>
      </c>
      <c r="AQ446" s="36" t="str">
        <f>IFERROR(((VLOOKUP(Tabla1[[#This Row],[HIPOTESIS_2]],listas!$D$1:$E$105,2,FALSE))),"")</f>
        <v>Desobedecer señales o normas de tránsito.</v>
      </c>
      <c r="AR446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447" spans="1:44" x14ac:dyDescent="0.25">
      <c r="A447" s="12">
        <v>555</v>
      </c>
      <c r="B447" s="36">
        <v>0</v>
      </c>
      <c r="C447" s="36">
        <v>2</v>
      </c>
      <c r="D447" s="60">
        <v>0</v>
      </c>
      <c r="E447" s="18" t="str">
        <f t="shared" si="24"/>
        <v>LESIONADO</v>
      </c>
      <c r="F447" s="29" t="s">
        <v>1108</v>
      </c>
      <c r="G447" s="17">
        <v>5.3401291666666664</v>
      </c>
      <c r="H447" s="17">
        <v>-72.391458333333347</v>
      </c>
      <c r="I447" s="93" t="s">
        <v>697</v>
      </c>
      <c r="J447" s="36" t="s">
        <v>717</v>
      </c>
      <c r="K447" s="24" t="str">
        <f t="shared" si="25"/>
        <v>2023</v>
      </c>
      <c r="L447" s="24" t="str">
        <f t="shared" si="26"/>
        <v>SEPTIEMBRE</v>
      </c>
      <c r="M447" s="225">
        <v>45182</v>
      </c>
      <c r="N447" s="24" t="str">
        <f t="shared" si="27"/>
        <v>MIÉRCOLES</v>
      </c>
      <c r="O447" s="103">
        <v>0.34027777777777773</v>
      </c>
      <c r="P447" s="57" t="s">
        <v>469</v>
      </c>
      <c r="Q447" s="57"/>
      <c r="R447" s="36">
        <f>COUNTIF(Tabla1[[#This Row],[VEHICULOS_ACCIDENTADOS]:[VEHICULOS_ACCIDENTADOS2]],"MOTOCICLETA")</f>
        <v>1</v>
      </c>
      <c r="S447" s="36">
        <f>COUNTIF(Tabla1[[#This Row],[VEHICULOS_ACCIDENTADOS]:[VEHICULOS_ACCIDENTADOS2]],"MOTOCARRO")</f>
        <v>0</v>
      </c>
      <c r="T447" s="36">
        <f>COUNTIF(Tabla1[[#This Row],[VEHICULOS_ACCIDENTADOS]:[VEHICULOS_ACCIDENTADOS2]],"AUTOMOVIL")</f>
        <v>0</v>
      </c>
      <c r="U447" s="36">
        <f>COUNTIF(Tabla1[[#This Row],[VEHICULOS_ACCIDENTADOS]:[VEHICULOS_ACCIDENTADOS2]],"CAMPERO")</f>
        <v>0</v>
      </c>
      <c r="V447" s="36">
        <f>COUNTIF(Tabla1[[#This Row],[VEHICULOS_ACCIDENTADOS]:[VEHICULOS_ACCIDENTADOS2]],"CAMIONETA")</f>
        <v>0</v>
      </c>
      <c r="W447" s="36">
        <f>COUNTIF(Tabla1[[#This Row],[VEHICULOS_ACCIDENTADOS]:[VEHICULOS_ACCIDENTADOS2]],"MICROBUS")</f>
        <v>0</v>
      </c>
      <c r="X447" s="36">
        <f>COUNTIF(Tabla1[[#This Row],[VEHICULOS_ACCIDENTADOS]:[VEHICULOS_ACCIDENTADOS2]],"BUS")</f>
        <v>0</v>
      </c>
      <c r="Y447" s="36">
        <f>COUNTIF(Tabla1[[#This Row],[VEHICULOS_ACCIDENTADOS]:[VEHICULOS_ACCIDENTADOS2]],"BUSETA")</f>
        <v>0</v>
      </c>
      <c r="Z447" s="36">
        <f>COUNTIF(Tabla1[[#This Row],[VEHICULOS_ACCIDENTADOS]:[VEHICULOS_ACCIDENTADOS2]],"CAMION")</f>
        <v>0</v>
      </c>
      <c r="AA447" s="36">
        <f>COUNTIF(Tabla1[[#This Row],[VEHICULOS_ACCIDENTADOS]:[VEHICULOS_ACCIDENTADOS2]],"TRACTOCAMION")</f>
        <v>0</v>
      </c>
      <c r="AB447" s="36">
        <f>COUNTIF(Tabla1[[#This Row],[VEHICULOS_ACCIDENTADOS]:[VEHICULOS_ACCIDENTADOS2]],"VOLQUETA")</f>
        <v>0</v>
      </c>
      <c r="AC447" s="36">
        <f>COUNTIF(Tabla1[[#This Row],[VEHICULOS_ACCIDENTADOS]:[VEHICULOS_ACCIDENTADOS2]],"BICICLETA")</f>
        <v>0</v>
      </c>
      <c r="AD447" s="56" t="s">
        <v>471</v>
      </c>
      <c r="AE447" s="56" t="s">
        <v>472</v>
      </c>
      <c r="AF447" s="56">
        <f>COUNTIF(Tabla1[[#This Row],[GENERO_MASCULINO]:[GENERO_FEMENINO]],"MASCULINO")</f>
        <v>1</v>
      </c>
      <c r="AG447" s="36">
        <f>COUNTIF(Tabla1[[#This Row],[GENERO_MASCULINO]:[GENERO_FEMENINO]],"FEMENINO")</f>
        <v>1</v>
      </c>
      <c r="AH447" s="61">
        <v>33</v>
      </c>
      <c r="AI447" s="61"/>
      <c r="AJ447" s="61"/>
      <c r="AK447" s="61"/>
      <c r="AL447" s="61">
        <v>33</v>
      </c>
      <c r="AM447" s="36"/>
      <c r="AN447" s="61">
        <v>139</v>
      </c>
      <c r="AO447" s="36" t="str">
        <f>IFERROR(((VLOOKUP(Tabla1[[#This Row],[HIPOTESIS_1]],listas!$D$1:$E$105,2,FALSE))),"SIN INFORMACIÓN")</f>
        <v>Impericia en el manejo.</v>
      </c>
      <c r="AP447" s="36">
        <v>112</v>
      </c>
      <c r="AQ447" s="36" t="str">
        <f>IFERROR(((VLOOKUP(Tabla1[[#This Row],[HIPOTESIS_2]],listas!$D$1:$E$105,2,FALSE))),"")</f>
        <v>Desobedecer señales o normas de tránsito.</v>
      </c>
      <c r="AR447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448" spans="1:44" x14ac:dyDescent="0.25">
      <c r="A448" s="12">
        <v>1077</v>
      </c>
      <c r="B448" s="249">
        <v>0</v>
      </c>
      <c r="C448" s="249">
        <v>2</v>
      </c>
      <c r="D448" s="250">
        <v>0</v>
      </c>
      <c r="E448" s="24" t="str">
        <f t="shared" si="24"/>
        <v>LESIONADO</v>
      </c>
      <c r="F448" s="155" t="s">
        <v>946</v>
      </c>
      <c r="G448" s="30">
        <v>5.3346483329999996</v>
      </c>
      <c r="H448" s="30">
        <v>-72.388471670000001</v>
      </c>
      <c r="I448" s="165" t="s">
        <v>697</v>
      </c>
      <c r="J448" s="36" t="s">
        <v>717</v>
      </c>
      <c r="K448" s="24" t="str">
        <f t="shared" si="25"/>
        <v>2025</v>
      </c>
      <c r="L448" s="24" t="str">
        <f t="shared" si="26"/>
        <v>SEPTIEMBRE</v>
      </c>
      <c r="M448" s="225">
        <v>45917</v>
      </c>
      <c r="N448" s="24" t="str">
        <f t="shared" si="27"/>
        <v>MIÉRCOLES</v>
      </c>
      <c r="O448" s="103">
        <v>0.5625</v>
      </c>
      <c r="P448" s="63" t="s">
        <v>469</v>
      </c>
      <c r="Q448" s="63" t="s">
        <v>447</v>
      </c>
      <c r="R448" s="36">
        <f>COUNTIF(Tabla1[[#This Row],[VEHICULOS_ACCIDENTADOS]:[VEHICULOS_ACCIDENTADOS2]],"MOTOCICLETA")</f>
        <v>1</v>
      </c>
      <c r="S448" s="36">
        <f>COUNTIF(Tabla1[[#This Row],[VEHICULOS_ACCIDENTADOS]:[VEHICULOS_ACCIDENTADOS2]],"MOTOCARRO")</f>
        <v>0</v>
      </c>
      <c r="T448" s="36">
        <f>COUNTIF(Tabla1[[#This Row],[VEHICULOS_ACCIDENTADOS]:[VEHICULOS_ACCIDENTADOS2]],"AUTOMOVIL")</f>
        <v>1</v>
      </c>
      <c r="U448" s="36">
        <f>COUNTIF(Tabla1[[#This Row],[VEHICULOS_ACCIDENTADOS]:[VEHICULOS_ACCIDENTADOS2]],"CAMPERO")</f>
        <v>0</v>
      </c>
      <c r="V448" s="36">
        <f>COUNTIF(Tabla1[[#This Row],[VEHICULOS_ACCIDENTADOS]:[VEHICULOS_ACCIDENTADOS2]],"CAMIONETA")</f>
        <v>0</v>
      </c>
      <c r="W448" s="36">
        <f>COUNTIF(Tabla1[[#This Row],[VEHICULOS_ACCIDENTADOS]:[VEHICULOS_ACCIDENTADOS2]],"MICROBUS")</f>
        <v>0</v>
      </c>
      <c r="X448" s="36">
        <f>COUNTIF(Tabla1[[#This Row],[VEHICULOS_ACCIDENTADOS]:[VEHICULOS_ACCIDENTADOS2]],"BUS")</f>
        <v>0</v>
      </c>
      <c r="Y448" s="36">
        <f>COUNTIF(Tabla1[[#This Row],[VEHICULOS_ACCIDENTADOS]:[VEHICULOS_ACCIDENTADOS2]],"BUSETA")</f>
        <v>0</v>
      </c>
      <c r="Z448" s="36">
        <f>COUNTIF(Tabla1[[#This Row],[VEHICULOS_ACCIDENTADOS]:[VEHICULOS_ACCIDENTADOS2]],"CAMION")</f>
        <v>0</v>
      </c>
      <c r="AA448" s="36">
        <f>COUNTIF(Tabla1[[#This Row],[VEHICULOS_ACCIDENTADOS]:[VEHICULOS_ACCIDENTADOS2]],"TRACTOCAMION")</f>
        <v>0</v>
      </c>
      <c r="AB448" s="36">
        <f>COUNTIF(Tabla1[[#This Row],[VEHICULOS_ACCIDENTADOS]:[VEHICULOS_ACCIDENTADOS2]],"VOLQUETA")</f>
        <v>0</v>
      </c>
      <c r="AC448" s="36">
        <f>COUNTIF(Tabla1[[#This Row],[VEHICULOS_ACCIDENTADOS]:[VEHICULOS_ACCIDENTADOS2]],"BICICLETA")</f>
        <v>0</v>
      </c>
      <c r="AD448" s="188" t="s">
        <v>471</v>
      </c>
      <c r="AE448" s="188" t="s">
        <v>472</v>
      </c>
      <c r="AF448" s="56">
        <f>COUNTIF(Tabla1[[#This Row],[GENERO_MASCULINO]:[GENERO_FEMENINO]],"MASCULINO")</f>
        <v>1</v>
      </c>
      <c r="AG448" s="36">
        <f>COUNTIF(Tabla1[[#This Row],[GENERO_MASCULINO]:[GENERO_FEMENINO]],"FEMENINO")</f>
        <v>1</v>
      </c>
      <c r="AH448" s="85">
        <v>21</v>
      </c>
      <c r="AI448" s="85">
        <v>30</v>
      </c>
      <c r="AJ448" s="85"/>
      <c r="AK448" s="78"/>
      <c r="AL448" s="78"/>
      <c r="AM448" s="59"/>
      <c r="AN448" s="61">
        <v>139</v>
      </c>
      <c r="AO448" s="59" t="str">
        <f>IFERROR(((VLOOKUP(Tabla1[[#This Row],[HIPOTESIS_1]],listas!$D$1:$E$105,2,FALSE))),"SIN INFORMACIÓN")</f>
        <v>Impericia en el manejo.</v>
      </c>
      <c r="AP448" s="36">
        <v>112</v>
      </c>
      <c r="AQ448" s="36" t="str">
        <f>IFERROR(((VLOOKUP(Tabla1[[#This Row],[HIPOTESIS_2]],listas!$D$1:$E$105,2,FALSE))),"")</f>
        <v>Desobedecer señales o normas de tránsito.</v>
      </c>
      <c r="AR448" s="2" t="str">
        <f>IF(HOUR(Tabla1[[#This Row],[HORA_ACCIDENTE]])&lt;6,"MAÑANA",
 IF(HOUR(Tabla1[[#This Row],[HORA_ACCIDENTE]])&lt;12,"MAÑANA",
 IF(HOUR(Tabla1[[#This Row],[HORA_ACCIDENTE]])&lt;18,"TARDE","NOCHE")))</f>
        <v>TARDE</v>
      </c>
    </row>
    <row r="449" spans="1:44" x14ac:dyDescent="0.25">
      <c r="A449" s="12">
        <v>483</v>
      </c>
      <c r="B449" s="36">
        <v>0</v>
      </c>
      <c r="C449" s="36">
        <v>2</v>
      </c>
      <c r="D449" s="60">
        <v>0</v>
      </c>
      <c r="E449" s="18" t="str">
        <f t="shared" si="24"/>
        <v>LESIONADO</v>
      </c>
      <c r="F449" s="29" t="s">
        <v>1071</v>
      </c>
      <c r="G449" s="17">
        <v>5.3470388888888882</v>
      </c>
      <c r="H449" s="17">
        <v>-72.393950000000004</v>
      </c>
      <c r="I449" s="93" t="s">
        <v>697</v>
      </c>
      <c r="J449" s="36" t="s">
        <v>717</v>
      </c>
      <c r="K449" s="24" t="str">
        <f t="shared" si="25"/>
        <v>2023</v>
      </c>
      <c r="L449" s="24" t="str">
        <f t="shared" si="26"/>
        <v>MAYO</v>
      </c>
      <c r="M449" s="225">
        <v>45071</v>
      </c>
      <c r="N449" s="24" t="str">
        <f t="shared" si="27"/>
        <v>JUEVES</v>
      </c>
      <c r="O449" s="103">
        <v>0.68055555555555547</v>
      </c>
      <c r="P449" s="57" t="s">
        <v>469</v>
      </c>
      <c r="Q449" s="57" t="s">
        <v>447</v>
      </c>
      <c r="R449" s="36">
        <f>COUNTIF(Tabla1[[#This Row],[VEHICULOS_ACCIDENTADOS]:[VEHICULOS_ACCIDENTADOS2]],"MOTOCICLETA")</f>
        <v>1</v>
      </c>
      <c r="S449" s="36">
        <f>COUNTIF(Tabla1[[#This Row],[VEHICULOS_ACCIDENTADOS]:[VEHICULOS_ACCIDENTADOS2]],"MOTOCARRO")</f>
        <v>0</v>
      </c>
      <c r="T449" s="36">
        <f>COUNTIF(Tabla1[[#This Row],[VEHICULOS_ACCIDENTADOS]:[VEHICULOS_ACCIDENTADOS2]],"AUTOMOVIL")</f>
        <v>1</v>
      </c>
      <c r="U449" s="36">
        <f>COUNTIF(Tabla1[[#This Row],[VEHICULOS_ACCIDENTADOS]:[VEHICULOS_ACCIDENTADOS2]],"CAMPERO")</f>
        <v>0</v>
      </c>
      <c r="V449" s="36">
        <f>COUNTIF(Tabla1[[#This Row],[VEHICULOS_ACCIDENTADOS]:[VEHICULOS_ACCIDENTADOS2]],"CAMIONETA")</f>
        <v>0</v>
      </c>
      <c r="W449" s="36">
        <f>COUNTIF(Tabla1[[#This Row],[VEHICULOS_ACCIDENTADOS]:[VEHICULOS_ACCIDENTADOS2]],"MICROBUS")</f>
        <v>0</v>
      </c>
      <c r="X449" s="36">
        <f>COUNTIF(Tabla1[[#This Row],[VEHICULOS_ACCIDENTADOS]:[VEHICULOS_ACCIDENTADOS2]],"BUS")</f>
        <v>0</v>
      </c>
      <c r="Y449" s="36">
        <f>COUNTIF(Tabla1[[#This Row],[VEHICULOS_ACCIDENTADOS]:[VEHICULOS_ACCIDENTADOS2]],"BUSETA")</f>
        <v>0</v>
      </c>
      <c r="Z449" s="36">
        <f>COUNTIF(Tabla1[[#This Row],[VEHICULOS_ACCIDENTADOS]:[VEHICULOS_ACCIDENTADOS2]],"CAMION")</f>
        <v>0</v>
      </c>
      <c r="AA449" s="36">
        <f>COUNTIF(Tabla1[[#This Row],[VEHICULOS_ACCIDENTADOS]:[VEHICULOS_ACCIDENTADOS2]],"TRACTOCAMION")</f>
        <v>0</v>
      </c>
      <c r="AB449" s="36">
        <f>COUNTIF(Tabla1[[#This Row],[VEHICULOS_ACCIDENTADOS]:[VEHICULOS_ACCIDENTADOS2]],"VOLQUETA")</f>
        <v>0</v>
      </c>
      <c r="AC449" s="36">
        <f>COUNTIF(Tabla1[[#This Row],[VEHICULOS_ACCIDENTADOS]:[VEHICULOS_ACCIDENTADOS2]],"BICICLETA")</f>
        <v>0</v>
      </c>
      <c r="AD449" s="56"/>
      <c r="AE449" s="56" t="s">
        <v>472</v>
      </c>
      <c r="AF449" s="56">
        <f>COUNTIF(Tabla1[[#This Row],[GENERO_MASCULINO]:[GENERO_FEMENINO]],"MASCULINO")</f>
        <v>0</v>
      </c>
      <c r="AG449" s="36">
        <f>COUNTIF(Tabla1[[#This Row],[GENERO_MASCULINO]:[GENERO_FEMENINO]],"FEMENINO")</f>
        <v>1</v>
      </c>
      <c r="AH449" s="61">
        <v>22</v>
      </c>
      <c r="AI449" s="61"/>
      <c r="AJ449" s="61"/>
      <c r="AK449" s="61"/>
      <c r="AL449" s="61">
        <v>44</v>
      </c>
      <c r="AM449" s="36"/>
      <c r="AN449" s="61">
        <v>139</v>
      </c>
      <c r="AO449" s="36" t="str">
        <f>IFERROR(((VLOOKUP(Tabla1[[#This Row],[HIPOTESIS_1]],listas!$D$1:$E$105,2,FALSE))),"SIN INFORMACIÓN")</f>
        <v>Impericia en el manejo.</v>
      </c>
      <c r="AP449" s="36">
        <v>112</v>
      </c>
      <c r="AQ449" s="36" t="str">
        <f>IFERROR(((VLOOKUP(Tabla1[[#This Row],[HIPOTESIS_2]],listas!$D$1:$E$105,2,FALSE))),"")</f>
        <v>Desobedecer señales o normas de tránsito.</v>
      </c>
      <c r="AR449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450" spans="1:44" x14ac:dyDescent="0.25">
      <c r="A450" s="12">
        <v>784</v>
      </c>
      <c r="B450" s="36">
        <v>0</v>
      </c>
      <c r="C450" s="36">
        <v>0</v>
      </c>
      <c r="D450" s="150">
        <v>1</v>
      </c>
      <c r="E450" s="18" t="str">
        <f t="shared" ref="E450:E513" si="28">IF(D450&gt;=1,"FALLECIDO",IF(C450&gt;=1,"LESIONADO",IF(B450&gt;=1,"SOLO DAÑO","")))</f>
        <v>FALLECIDO</v>
      </c>
      <c r="F450" s="29" t="s">
        <v>110</v>
      </c>
      <c r="G450" s="21">
        <v>5.3467277777777777</v>
      </c>
      <c r="H450" s="21">
        <v>-72.392722222222233</v>
      </c>
      <c r="I450" s="93" t="s">
        <v>697</v>
      </c>
      <c r="J450" s="36" t="s">
        <v>717</v>
      </c>
      <c r="K450" s="24" t="str">
        <f t="shared" ref="K450:K513" si="29">UPPER(TEXT(M450,"YYYY"))</f>
        <v>2024</v>
      </c>
      <c r="L450" s="24" t="str">
        <f t="shared" ref="L450:L513" si="30">UPPER(TEXT(M450,"MMMM"))</f>
        <v>SEPTIEMBRE</v>
      </c>
      <c r="M450" s="225">
        <v>45564</v>
      </c>
      <c r="N450" s="24" t="str">
        <f t="shared" ref="N450:N513" si="31">UPPER(TEXT(M450,"DDDD"))</f>
        <v>DOMINGO</v>
      </c>
      <c r="O450" s="103">
        <v>0.91666666666666663</v>
      </c>
      <c r="P450" s="57" t="s">
        <v>469</v>
      </c>
      <c r="Q450" s="57" t="s">
        <v>469</v>
      </c>
      <c r="R450" s="36">
        <f>COUNTIF(Tabla1[[#This Row],[VEHICULOS_ACCIDENTADOS]:[VEHICULOS_ACCIDENTADOS2]],"MOTOCICLETA")</f>
        <v>2</v>
      </c>
      <c r="S450" s="36">
        <f>COUNTIF(Tabla1[[#This Row],[VEHICULOS_ACCIDENTADOS]:[VEHICULOS_ACCIDENTADOS2]],"MOTOCARRO")</f>
        <v>0</v>
      </c>
      <c r="T450" s="36">
        <f>COUNTIF(Tabla1[[#This Row],[VEHICULOS_ACCIDENTADOS]:[VEHICULOS_ACCIDENTADOS2]],"AUTOMOVIL")</f>
        <v>0</v>
      </c>
      <c r="U450" s="36">
        <f>COUNTIF(Tabla1[[#This Row],[VEHICULOS_ACCIDENTADOS]:[VEHICULOS_ACCIDENTADOS2]],"CAMPERO")</f>
        <v>0</v>
      </c>
      <c r="V450" s="36">
        <f>COUNTIF(Tabla1[[#This Row],[VEHICULOS_ACCIDENTADOS]:[VEHICULOS_ACCIDENTADOS2]],"CAMIONETA")</f>
        <v>0</v>
      </c>
      <c r="W450" s="36">
        <f>COUNTIF(Tabla1[[#This Row],[VEHICULOS_ACCIDENTADOS]:[VEHICULOS_ACCIDENTADOS2]],"MICROBUS")</f>
        <v>0</v>
      </c>
      <c r="X450" s="36">
        <f>COUNTIF(Tabla1[[#This Row],[VEHICULOS_ACCIDENTADOS]:[VEHICULOS_ACCIDENTADOS2]],"BUS")</f>
        <v>0</v>
      </c>
      <c r="Y450" s="36">
        <f>COUNTIF(Tabla1[[#This Row],[VEHICULOS_ACCIDENTADOS]:[VEHICULOS_ACCIDENTADOS2]],"BUSETA")</f>
        <v>0</v>
      </c>
      <c r="Z450" s="36">
        <f>COUNTIF(Tabla1[[#This Row],[VEHICULOS_ACCIDENTADOS]:[VEHICULOS_ACCIDENTADOS2]],"CAMION")</f>
        <v>0</v>
      </c>
      <c r="AA450" s="36">
        <f>COUNTIF(Tabla1[[#This Row],[VEHICULOS_ACCIDENTADOS]:[VEHICULOS_ACCIDENTADOS2]],"TRACTOCAMION")</f>
        <v>0</v>
      </c>
      <c r="AB450" s="36">
        <f>COUNTIF(Tabla1[[#This Row],[VEHICULOS_ACCIDENTADOS]:[VEHICULOS_ACCIDENTADOS2]],"VOLQUETA")</f>
        <v>0</v>
      </c>
      <c r="AC450" s="36">
        <f>COUNTIF(Tabla1[[#This Row],[VEHICULOS_ACCIDENTADOS]:[VEHICULOS_ACCIDENTADOS2]],"BICICLETA")</f>
        <v>0</v>
      </c>
      <c r="AD450" s="56" t="s">
        <v>471</v>
      </c>
      <c r="AE450" s="56" t="s">
        <v>472</v>
      </c>
      <c r="AF450" s="56">
        <f>COUNTIF(Tabla1[[#This Row],[GENERO_MASCULINO]:[GENERO_FEMENINO]],"MASCULINO")</f>
        <v>1</v>
      </c>
      <c r="AG450" s="36">
        <f>COUNTIF(Tabla1[[#This Row],[GENERO_MASCULINO]:[GENERO_FEMENINO]],"FEMENINO")</f>
        <v>1</v>
      </c>
      <c r="AH450" s="61"/>
      <c r="AI450" s="61">
        <v>38</v>
      </c>
      <c r="AJ450" s="61"/>
      <c r="AK450" s="61"/>
      <c r="AL450" s="61"/>
      <c r="AM450" s="36">
        <v>39</v>
      </c>
      <c r="AN450" s="61">
        <v>139</v>
      </c>
      <c r="AO450" s="36" t="str">
        <f>IFERROR(((VLOOKUP(Tabla1[[#This Row],[HIPOTESIS_1]],listas!$D$1:$E$105,2,FALSE))),"SIN INFORMACIÓN")</f>
        <v>Impericia en el manejo.</v>
      </c>
      <c r="AP450" s="36">
        <v>112</v>
      </c>
      <c r="AQ450" s="36" t="str">
        <f>IFERROR(((VLOOKUP(Tabla1[[#This Row],[HIPOTESIS_2]],listas!$D$1:$E$105,2,FALSE))),"")</f>
        <v>Desobedecer señales o normas de tránsito.</v>
      </c>
      <c r="AR450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451" spans="1:44" x14ac:dyDescent="0.25">
      <c r="A451" s="12">
        <v>365</v>
      </c>
      <c r="B451" s="36">
        <v>0</v>
      </c>
      <c r="C451" s="36">
        <v>3</v>
      </c>
      <c r="D451" s="60">
        <v>0</v>
      </c>
      <c r="E451" s="18" t="str">
        <f t="shared" si="28"/>
        <v>LESIONADO</v>
      </c>
      <c r="F451" s="29" t="s">
        <v>299</v>
      </c>
      <c r="G451" s="17">
        <v>5.3426499999999999</v>
      </c>
      <c r="H451" s="17">
        <v>-72.390761111111118</v>
      </c>
      <c r="I451" s="93" t="s">
        <v>697</v>
      </c>
      <c r="J451" s="36" t="s">
        <v>717</v>
      </c>
      <c r="K451" s="24" t="str">
        <f t="shared" si="29"/>
        <v>2022</v>
      </c>
      <c r="L451" s="24" t="str">
        <f t="shared" si="30"/>
        <v>NOVIEMBRE</v>
      </c>
      <c r="M451" s="225">
        <v>44894</v>
      </c>
      <c r="N451" s="24" t="str">
        <f t="shared" si="31"/>
        <v>MARTES</v>
      </c>
      <c r="O451" s="170">
        <v>0.58333333333333304</v>
      </c>
      <c r="P451" s="53" t="s">
        <v>469</v>
      </c>
      <c r="Q451" s="53" t="s">
        <v>447</v>
      </c>
      <c r="R451" s="36">
        <f>COUNTIF(Tabla1[[#This Row],[VEHICULOS_ACCIDENTADOS]:[VEHICULOS_ACCIDENTADOS2]],"MOTOCICLETA")</f>
        <v>1</v>
      </c>
      <c r="S451" s="36">
        <f>COUNTIF(Tabla1[[#This Row],[VEHICULOS_ACCIDENTADOS]:[VEHICULOS_ACCIDENTADOS2]],"MOTOCARRO")</f>
        <v>0</v>
      </c>
      <c r="T451" s="36">
        <f>COUNTIF(Tabla1[[#This Row],[VEHICULOS_ACCIDENTADOS]:[VEHICULOS_ACCIDENTADOS2]],"AUTOMOVIL")</f>
        <v>1</v>
      </c>
      <c r="U451" s="36">
        <f>COUNTIF(Tabla1[[#This Row],[VEHICULOS_ACCIDENTADOS]:[VEHICULOS_ACCIDENTADOS2]],"CAMPERO")</f>
        <v>0</v>
      </c>
      <c r="V451" s="36">
        <f>COUNTIF(Tabla1[[#This Row],[VEHICULOS_ACCIDENTADOS]:[VEHICULOS_ACCIDENTADOS2]],"CAMIONETA")</f>
        <v>0</v>
      </c>
      <c r="W451" s="36">
        <f>COUNTIF(Tabla1[[#This Row],[VEHICULOS_ACCIDENTADOS]:[VEHICULOS_ACCIDENTADOS2]],"MICROBUS")</f>
        <v>0</v>
      </c>
      <c r="X451" s="36">
        <f>COUNTIF(Tabla1[[#This Row],[VEHICULOS_ACCIDENTADOS]:[VEHICULOS_ACCIDENTADOS2]],"BUS")</f>
        <v>0</v>
      </c>
      <c r="Y451" s="36">
        <f>COUNTIF(Tabla1[[#This Row],[VEHICULOS_ACCIDENTADOS]:[VEHICULOS_ACCIDENTADOS2]],"BUSETA")</f>
        <v>0</v>
      </c>
      <c r="Z451" s="36">
        <f>COUNTIF(Tabla1[[#This Row],[VEHICULOS_ACCIDENTADOS]:[VEHICULOS_ACCIDENTADOS2]],"CAMION")</f>
        <v>0</v>
      </c>
      <c r="AA451" s="36">
        <f>COUNTIF(Tabla1[[#This Row],[VEHICULOS_ACCIDENTADOS]:[VEHICULOS_ACCIDENTADOS2]],"TRACTOCAMION")</f>
        <v>0</v>
      </c>
      <c r="AB451" s="36">
        <f>COUNTIF(Tabla1[[#This Row],[VEHICULOS_ACCIDENTADOS]:[VEHICULOS_ACCIDENTADOS2]],"VOLQUETA")</f>
        <v>0</v>
      </c>
      <c r="AC451" s="36">
        <f>COUNTIF(Tabla1[[#This Row],[VEHICULOS_ACCIDENTADOS]:[VEHICULOS_ACCIDENTADOS2]],"BICICLETA")</f>
        <v>0</v>
      </c>
      <c r="AD451" s="56" t="s">
        <v>471</v>
      </c>
      <c r="AE451" s="56" t="s">
        <v>472</v>
      </c>
      <c r="AF451" s="56">
        <f>COUNTIF(Tabla1[[#This Row],[GENERO_MASCULINO]:[GENERO_FEMENINO]],"MASCULINO")</f>
        <v>1</v>
      </c>
      <c r="AG451" s="36">
        <f>COUNTIF(Tabla1[[#This Row],[GENERO_MASCULINO]:[GENERO_FEMENINO]],"FEMENINO")</f>
        <v>1</v>
      </c>
      <c r="AH451" s="61">
        <v>30</v>
      </c>
      <c r="AI451" s="61">
        <v>29</v>
      </c>
      <c r="AJ451" s="61"/>
      <c r="AK451" s="61"/>
      <c r="AL451" s="61">
        <v>19</v>
      </c>
      <c r="AM451" s="36"/>
      <c r="AN451" s="61">
        <v>157</v>
      </c>
      <c r="AO451" s="36" t="str">
        <f>IFERROR(((VLOOKUP(Tabla1[[#This Row],[HIPOTESIS_1]],listas!$D$1:$E$105,2,FALSE))),"SIN INFORMACIÓN")</f>
        <v>Otra</v>
      </c>
      <c r="AP451" s="36">
        <v>112</v>
      </c>
      <c r="AQ451" s="36" t="str">
        <f>IFERROR(((VLOOKUP(Tabla1[[#This Row],[HIPOTESIS_2]],listas!$D$1:$E$105,2,FALSE))),"")</f>
        <v>Desobedecer señales o normas de tránsito.</v>
      </c>
      <c r="AR451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452" spans="1:44" x14ac:dyDescent="0.25">
      <c r="A452" s="12">
        <v>843</v>
      </c>
      <c r="B452" s="135">
        <v>0</v>
      </c>
      <c r="C452" s="136">
        <v>2</v>
      </c>
      <c r="D452" s="149">
        <v>0</v>
      </c>
      <c r="E452" s="18" t="str">
        <f t="shared" si="28"/>
        <v>LESIONADO</v>
      </c>
      <c r="F452" s="26" t="s">
        <v>1069</v>
      </c>
      <c r="G452" s="21">
        <v>5.3367183333333328</v>
      </c>
      <c r="H452" s="21">
        <v>-72.386454722222226</v>
      </c>
      <c r="I452" s="93" t="s">
        <v>697</v>
      </c>
      <c r="J452" s="36" t="s">
        <v>717</v>
      </c>
      <c r="K452" s="24" t="str">
        <f t="shared" si="29"/>
        <v>2024</v>
      </c>
      <c r="L452" s="24" t="str">
        <f t="shared" si="30"/>
        <v>DICIEMBRE</v>
      </c>
      <c r="M452" s="224">
        <v>45649</v>
      </c>
      <c r="N452" s="24" t="str">
        <f t="shared" si="31"/>
        <v>LUNES</v>
      </c>
      <c r="O452" s="104">
        <v>0.4375</v>
      </c>
      <c r="P452" s="178" t="s">
        <v>469</v>
      </c>
      <c r="Q452" s="178" t="s">
        <v>447</v>
      </c>
      <c r="R452" s="36">
        <f>COUNTIF(Tabla1[[#This Row],[VEHICULOS_ACCIDENTADOS]:[VEHICULOS_ACCIDENTADOS2]],"MOTOCICLETA")</f>
        <v>1</v>
      </c>
      <c r="S452" s="36">
        <f>COUNTIF(Tabla1[[#This Row],[VEHICULOS_ACCIDENTADOS]:[VEHICULOS_ACCIDENTADOS2]],"MOTOCARRO")</f>
        <v>0</v>
      </c>
      <c r="T452" s="36">
        <f>COUNTIF(Tabla1[[#This Row],[VEHICULOS_ACCIDENTADOS]:[VEHICULOS_ACCIDENTADOS2]],"AUTOMOVIL")</f>
        <v>1</v>
      </c>
      <c r="U452" s="36">
        <f>COUNTIF(Tabla1[[#This Row],[VEHICULOS_ACCIDENTADOS]:[VEHICULOS_ACCIDENTADOS2]],"CAMPERO")</f>
        <v>0</v>
      </c>
      <c r="V452" s="36">
        <f>COUNTIF(Tabla1[[#This Row],[VEHICULOS_ACCIDENTADOS]:[VEHICULOS_ACCIDENTADOS2]],"CAMIONETA")</f>
        <v>0</v>
      </c>
      <c r="W452" s="36">
        <f>COUNTIF(Tabla1[[#This Row],[VEHICULOS_ACCIDENTADOS]:[VEHICULOS_ACCIDENTADOS2]],"MICROBUS")</f>
        <v>0</v>
      </c>
      <c r="X452" s="36">
        <f>COUNTIF(Tabla1[[#This Row],[VEHICULOS_ACCIDENTADOS]:[VEHICULOS_ACCIDENTADOS2]],"BUS")</f>
        <v>0</v>
      </c>
      <c r="Y452" s="36">
        <f>COUNTIF(Tabla1[[#This Row],[VEHICULOS_ACCIDENTADOS]:[VEHICULOS_ACCIDENTADOS2]],"BUSETA")</f>
        <v>0</v>
      </c>
      <c r="Z452" s="36">
        <f>COUNTIF(Tabla1[[#This Row],[VEHICULOS_ACCIDENTADOS]:[VEHICULOS_ACCIDENTADOS2]],"CAMION")</f>
        <v>0</v>
      </c>
      <c r="AA452" s="36">
        <f>COUNTIF(Tabla1[[#This Row],[VEHICULOS_ACCIDENTADOS]:[VEHICULOS_ACCIDENTADOS2]],"TRACTOCAMION")</f>
        <v>0</v>
      </c>
      <c r="AB452" s="36">
        <f>COUNTIF(Tabla1[[#This Row],[VEHICULOS_ACCIDENTADOS]:[VEHICULOS_ACCIDENTADOS2]],"VOLQUETA")</f>
        <v>0</v>
      </c>
      <c r="AC452" s="36">
        <f>COUNTIF(Tabla1[[#This Row],[VEHICULOS_ACCIDENTADOS]:[VEHICULOS_ACCIDENTADOS2]],"BICICLETA")</f>
        <v>0</v>
      </c>
      <c r="AD452" s="190" t="s">
        <v>471</v>
      </c>
      <c r="AE452" s="190"/>
      <c r="AF452" s="190">
        <f>COUNTIF(Tabla1[[#This Row],[GENERO_MASCULINO]:[GENERO_FEMENINO]],"MASCULINO")</f>
        <v>1</v>
      </c>
      <c r="AG452" s="36">
        <f>COUNTIF(Tabla1[[#This Row],[GENERO_MASCULINO]:[GENERO_FEMENINO]],"FEMENINO")</f>
        <v>0</v>
      </c>
      <c r="AH452" s="85">
        <v>28</v>
      </c>
      <c r="AI452" s="85">
        <v>44</v>
      </c>
      <c r="AJ452" s="85"/>
      <c r="AK452" s="85"/>
      <c r="AL452" s="85"/>
      <c r="AM452" s="136"/>
      <c r="AN452" s="85">
        <v>139</v>
      </c>
      <c r="AO452" s="36" t="str">
        <f>IFERROR(((VLOOKUP(Tabla1[[#This Row],[HIPOTESIS_1]],listas!$D$1:$E$105,2,FALSE))),"SIN INFORMACIÓN")</f>
        <v>Impericia en el manejo.</v>
      </c>
      <c r="AP452" s="136">
        <v>112</v>
      </c>
      <c r="AQ452" s="36" t="str">
        <f>IFERROR(((VLOOKUP(Tabla1[[#This Row],[HIPOTESIS_2]],listas!$D$1:$E$105,2,FALSE))),"")</f>
        <v>Desobedecer señales o normas de tránsito.</v>
      </c>
      <c r="AR452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453" spans="1:44" x14ac:dyDescent="0.25">
      <c r="A453" s="12">
        <v>833</v>
      </c>
      <c r="B453" s="135">
        <v>0</v>
      </c>
      <c r="C453" s="136">
        <v>1</v>
      </c>
      <c r="D453" s="149">
        <v>0</v>
      </c>
      <c r="E453" s="18" t="str">
        <f t="shared" si="28"/>
        <v>LESIONADO</v>
      </c>
      <c r="F453" s="26" t="s">
        <v>1076</v>
      </c>
      <c r="G453" s="21">
        <v>5.3464413888888886</v>
      </c>
      <c r="H453" s="21">
        <v>-72.389745555555564</v>
      </c>
      <c r="I453" s="93" t="s">
        <v>697</v>
      </c>
      <c r="J453" s="36" t="s">
        <v>717</v>
      </c>
      <c r="K453" s="24" t="str">
        <f t="shared" si="29"/>
        <v>2024</v>
      </c>
      <c r="L453" s="24" t="str">
        <f t="shared" si="30"/>
        <v>DICIEMBRE</v>
      </c>
      <c r="M453" s="224">
        <v>45637</v>
      </c>
      <c r="N453" s="24" t="str">
        <f t="shared" si="31"/>
        <v>MIÉRCOLES</v>
      </c>
      <c r="O453" s="104">
        <v>0.51041666666666663</v>
      </c>
      <c r="P453" s="178" t="s">
        <v>469</v>
      </c>
      <c r="Q453" s="178" t="s">
        <v>469</v>
      </c>
      <c r="R453" s="36">
        <f>COUNTIF(Tabla1[[#This Row],[VEHICULOS_ACCIDENTADOS]:[VEHICULOS_ACCIDENTADOS2]],"MOTOCICLETA")</f>
        <v>2</v>
      </c>
      <c r="S453" s="36">
        <f>COUNTIF(Tabla1[[#This Row],[VEHICULOS_ACCIDENTADOS]:[VEHICULOS_ACCIDENTADOS2]],"MOTOCARRO")</f>
        <v>0</v>
      </c>
      <c r="T453" s="36">
        <f>COUNTIF(Tabla1[[#This Row],[VEHICULOS_ACCIDENTADOS]:[VEHICULOS_ACCIDENTADOS2]],"AUTOMOVIL")</f>
        <v>0</v>
      </c>
      <c r="U453" s="36">
        <f>COUNTIF(Tabla1[[#This Row],[VEHICULOS_ACCIDENTADOS]:[VEHICULOS_ACCIDENTADOS2]],"CAMPERO")</f>
        <v>0</v>
      </c>
      <c r="V453" s="36">
        <f>COUNTIF(Tabla1[[#This Row],[VEHICULOS_ACCIDENTADOS]:[VEHICULOS_ACCIDENTADOS2]],"CAMIONETA")</f>
        <v>0</v>
      </c>
      <c r="W453" s="36">
        <f>COUNTIF(Tabla1[[#This Row],[VEHICULOS_ACCIDENTADOS]:[VEHICULOS_ACCIDENTADOS2]],"MICROBUS")</f>
        <v>0</v>
      </c>
      <c r="X453" s="36">
        <f>COUNTIF(Tabla1[[#This Row],[VEHICULOS_ACCIDENTADOS]:[VEHICULOS_ACCIDENTADOS2]],"BUS")</f>
        <v>0</v>
      </c>
      <c r="Y453" s="36">
        <f>COUNTIF(Tabla1[[#This Row],[VEHICULOS_ACCIDENTADOS]:[VEHICULOS_ACCIDENTADOS2]],"BUSETA")</f>
        <v>0</v>
      </c>
      <c r="Z453" s="36">
        <f>COUNTIF(Tabla1[[#This Row],[VEHICULOS_ACCIDENTADOS]:[VEHICULOS_ACCIDENTADOS2]],"CAMION")</f>
        <v>0</v>
      </c>
      <c r="AA453" s="36">
        <f>COUNTIF(Tabla1[[#This Row],[VEHICULOS_ACCIDENTADOS]:[VEHICULOS_ACCIDENTADOS2]],"TRACTOCAMION")</f>
        <v>0</v>
      </c>
      <c r="AB453" s="36">
        <f>COUNTIF(Tabla1[[#This Row],[VEHICULOS_ACCIDENTADOS]:[VEHICULOS_ACCIDENTADOS2]],"VOLQUETA")</f>
        <v>0</v>
      </c>
      <c r="AC453" s="36">
        <f>COUNTIF(Tabla1[[#This Row],[VEHICULOS_ACCIDENTADOS]:[VEHICULOS_ACCIDENTADOS2]],"BICICLETA")</f>
        <v>0</v>
      </c>
      <c r="AD453" s="190" t="s">
        <v>471</v>
      </c>
      <c r="AE453" s="190"/>
      <c r="AF453" s="190">
        <f>COUNTIF(Tabla1[[#This Row],[GENERO_MASCULINO]:[GENERO_FEMENINO]],"MASCULINO")</f>
        <v>1</v>
      </c>
      <c r="AG453" s="36">
        <f>COUNTIF(Tabla1[[#This Row],[GENERO_MASCULINO]:[GENERO_FEMENINO]],"FEMENINO")</f>
        <v>0</v>
      </c>
      <c r="AH453" s="85">
        <v>22</v>
      </c>
      <c r="AI453" s="85"/>
      <c r="AJ453" s="85"/>
      <c r="AK453" s="85"/>
      <c r="AL453" s="85"/>
      <c r="AM453" s="136"/>
      <c r="AN453" s="85">
        <v>157</v>
      </c>
      <c r="AO453" s="36" t="str">
        <f>IFERROR(((VLOOKUP(Tabla1[[#This Row],[HIPOTESIS_1]],listas!$D$1:$E$105,2,FALSE))),"SIN INFORMACIÓN")</f>
        <v>Otra</v>
      </c>
      <c r="AP453" s="136">
        <v>112</v>
      </c>
      <c r="AQ453" s="36" t="str">
        <f>IFERROR(((VLOOKUP(Tabla1[[#This Row],[HIPOTESIS_2]],listas!$D$1:$E$105,2,FALSE))),"")</f>
        <v>Desobedecer señales o normas de tránsito.</v>
      </c>
      <c r="AR453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454" spans="1:44" x14ac:dyDescent="0.25">
      <c r="A454" s="12">
        <v>946</v>
      </c>
      <c r="B454" s="135">
        <v>0</v>
      </c>
      <c r="C454" s="136">
        <v>1</v>
      </c>
      <c r="D454" s="148">
        <v>0</v>
      </c>
      <c r="E454" s="18" t="str">
        <f t="shared" si="28"/>
        <v>LESIONADO</v>
      </c>
      <c r="F454" s="26" t="s">
        <v>1078</v>
      </c>
      <c r="G454" s="21">
        <v>5.3229138888888885</v>
      </c>
      <c r="H454" s="21">
        <v>-72.387750000000011</v>
      </c>
      <c r="I454" s="93" t="s">
        <v>697</v>
      </c>
      <c r="J454" s="136" t="s">
        <v>717</v>
      </c>
      <c r="K454" s="24" t="str">
        <f t="shared" si="29"/>
        <v>2025</v>
      </c>
      <c r="L454" s="24" t="str">
        <f t="shared" si="30"/>
        <v>ABRIL</v>
      </c>
      <c r="M454" s="224">
        <v>45772</v>
      </c>
      <c r="N454" s="24" t="str">
        <f t="shared" si="31"/>
        <v>VIERNES</v>
      </c>
      <c r="O454" s="104">
        <v>0.31944444444444448</v>
      </c>
      <c r="P454" s="136" t="s">
        <v>469</v>
      </c>
      <c r="Q454" s="136" t="s">
        <v>447</v>
      </c>
      <c r="R454" s="36">
        <f>COUNTIF(Tabla1[[#This Row],[VEHICULOS_ACCIDENTADOS]:[VEHICULOS_ACCIDENTADOS2]],"MOTOCICLETA")</f>
        <v>1</v>
      </c>
      <c r="S454" s="36">
        <f>COUNTIF(Tabla1[[#This Row],[VEHICULOS_ACCIDENTADOS]:[VEHICULOS_ACCIDENTADOS2]],"MOTOCARRO")</f>
        <v>0</v>
      </c>
      <c r="T454" s="36">
        <f>COUNTIF(Tabla1[[#This Row],[VEHICULOS_ACCIDENTADOS]:[VEHICULOS_ACCIDENTADOS2]],"AUTOMOVIL")</f>
        <v>1</v>
      </c>
      <c r="U454" s="36">
        <f>COUNTIF(Tabla1[[#This Row],[VEHICULOS_ACCIDENTADOS]:[VEHICULOS_ACCIDENTADOS2]],"CAMPERO")</f>
        <v>0</v>
      </c>
      <c r="V454" s="36">
        <f>COUNTIF(Tabla1[[#This Row],[VEHICULOS_ACCIDENTADOS]:[VEHICULOS_ACCIDENTADOS2]],"CAMIONETA")</f>
        <v>0</v>
      </c>
      <c r="W454" s="36">
        <f>COUNTIF(Tabla1[[#This Row],[VEHICULOS_ACCIDENTADOS]:[VEHICULOS_ACCIDENTADOS2]],"MICROBUS")</f>
        <v>0</v>
      </c>
      <c r="X454" s="36">
        <f>COUNTIF(Tabla1[[#This Row],[VEHICULOS_ACCIDENTADOS]:[VEHICULOS_ACCIDENTADOS2]],"BUS")</f>
        <v>0</v>
      </c>
      <c r="Y454" s="36">
        <f>COUNTIF(Tabla1[[#This Row],[VEHICULOS_ACCIDENTADOS]:[VEHICULOS_ACCIDENTADOS2]],"BUSETA")</f>
        <v>0</v>
      </c>
      <c r="Z454" s="36">
        <f>COUNTIF(Tabla1[[#This Row],[VEHICULOS_ACCIDENTADOS]:[VEHICULOS_ACCIDENTADOS2]],"CAMION")</f>
        <v>0</v>
      </c>
      <c r="AA454" s="36">
        <f>COUNTIF(Tabla1[[#This Row],[VEHICULOS_ACCIDENTADOS]:[VEHICULOS_ACCIDENTADOS2]],"TRACTOCAMION")</f>
        <v>0</v>
      </c>
      <c r="AB454" s="36">
        <f>COUNTIF(Tabla1[[#This Row],[VEHICULOS_ACCIDENTADOS]:[VEHICULOS_ACCIDENTADOS2]],"VOLQUETA")</f>
        <v>0</v>
      </c>
      <c r="AC454" s="36">
        <f>COUNTIF(Tabla1[[#This Row],[VEHICULOS_ACCIDENTADOS]:[VEHICULOS_ACCIDENTADOS2]],"BICICLETA")</f>
        <v>0</v>
      </c>
      <c r="AD454" s="190" t="s">
        <v>472</v>
      </c>
      <c r="AE454" s="190" t="s">
        <v>471</v>
      </c>
      <c r="AF454" s="190">
        <f>COUNTIF(Tabla1[[#This Row],[GENERO_MASCULINO]:[GENERO_FEMENINO]],"MASCULINO")</f>
        <v>1</v>
      </c>
      <c r="AG454" s="36">
        <f>COUNTIF(Tabla1[[#This Row],[GENERO_MASCULINO]:[GENERO_FEMENINO]],"FEMENINO")</f>
        <v>1</v>
      </c>
      <c r="AH454" s="85">
        <v>25</v>
      </c>
      <c r="AI454" s="85">
        <v>47</v>
      </c>
      <c r="AJ454" s="85"/>
      <c r="AK454" s="78"/>
      <c r="AL454" s="78"/>
      <c r="AM454" s="59"/>
      <c r="AN454" s="85">
        <v>139</v>
      </c>
      <c r="AO454" s="36" t="str">
        <f>IFERROR(((VLOOKUP(Tabla1[[#This Row],[HIPOTESIS_1]],listas!$D$1:$E$105,2,FALSE))),"SIN INFORMACIÓN")</f>
        <v>Impericia en el manejo.</v>
      </c>
      <c r="AP454" s="36">
        <v>112</v>
      </c>
      <c r="AQ454" s="36" t="str">
        <f>IFERROR(((VLOOKUP(Tabla1[[#This Row],[HIPOTESIS_2]],listas!$D$1:$E$105,2,FALSE))),"")</f>
        <v>Desobedecer señales o normas de tránsito.</v>
      </c>
      <c r="AR454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455" spans="1:44" x14ac:dyDescent="0.25">
      <c r="A455" s="12">
        <v>573</v>
      </c>
      <c r="B455" s="36">
        <v>0</v>
      </c>
      <c r="C455" s="36">
        <v>1</v>
      </c>
      <c r="D455" s="60">
        <v>0</v>
      </c>
      <c r="E455" s="18" t="str">
        <f t="shared" si="28"/>
        <v>LESIONADO</v>
      </c>
      <c r="F455" s="29" t="s">
        <v>196</v>
      </c>
      <c r="G455" s="17">
        <v>5.3295766666666662</v>
      </c>
      <c r="H455" s="17">
        <v>-72.37913694444444</v>
      </c>
      <c r="I455" s="93" t="s">
        <v>697</v>
      </c>
      <c r="J455" s="36" t="s">
        <v>717</v>
      </c>
      <c r="K455" s="24" t="str">
        <f t="shared" si="29"/>
        <v>2023</v>
      </c>
      <c r="L455" s="24" t="str">
        <f t="shared" si="30"/>
        <v>OCTUBRE</v>
      </c>
      <c r="M455" s="225">
        <v>45208</v>
      </c>
      <c r="N455" s="24" t="str">
        <f t="shared" si="31"/>
        <v>LUNES</v>
      </c>
      <c r="O455" s="103">
        <v>0.9375</v>
      </c>
      <c r="P455" s="57" t="s">
        <v>469</v>
      </c>
      <c r="Q455" s="57" t="s">
        <v>442</v>
      </c>
      <c r="R455" s="36">
        <f>COUNTIF(Tabla1[[#This Row],[VEHICULOS_ACCIDENTADOS]:[VEHICULOS_ACCIDENTADOS2]],"MOTOCICLETA")</f>
        <v>1</v>
      </c>
      <c r="S455" s="36">
        <f>COUNTIF(Tabla1[[#This Row],[VEHICULOS_ACCIDENTADOS]:[VEHICULOS_ACCIDENTADOS2]],"MOTOCARRO")</f>
        <v>0</v>
      </c>
      <c r="T455" s="36">
        <f>COUNTIF(Tabla1[[#This Row],[VEHICULOS_ACCIDENTADOS]:[VEHICULOS_ACCIDENTADOS2]],"AUTOMOVIL")</f>
        <v>0</v>
      </c>
      <c r="U455" s="36">
        <f>COUNTIF(Tabla1[[#This Row],[VEHICULOS_ACCIDENTADOS]:[VEHICULOS_ACCIDENTADOS2]],"CAMPERO")</f>
        <v>0</v>
      </c>
      <c r="V455" s="36">
        <f>COUNTIF(Tabla1[[#This Row],[VEHICULOS_ACCIDENTADOS]:[VEHICULOS_ACCIDENTADOS2]],"CAMIONETA")</f>
        <v>0</v>
      </c>
      <c r="W455" s="36">
        <f>COUNTIF(Tabla1[[#This Row],[VEHICULOS_ACCIDENTADOS]:[VEHICULOS_ACCIDENTADOS2]],"MICROBUS")</f>
        <v>0</v>
      </c>
      <c r="X455" s="36">
        <f>COUNTIF(Tabla1[[#This Row],[VEHICULOS_ACCIDENTADOS]:[VEHICULOS_ACCIDENTADOS2]],"BUS")</f>
        <v>0</v>
      </c>
      <c r="Y455" s="36">
        <f>COUNTIF(Tabla1[[#This Row],[VEHICULOS_ACCIDENTADOS]:[VEHICULOS_ACCIDENTADOS2]],"BUSETA")</f>
        <v>1</v>
      </c>
      <c r="Z455" s="36">
        <f>COUNTIF(Tabla1[[#This Row],[VEHICULOS_ACCIDENTADOS]:[VEHICULOS_ACCIDENTADOS2]],"CAMION")</f>
        <v>0</v>
      </c>
      <c r="AA455" s="36">
        <f>COUNTIF(Tabla1[[#This Row],[VEHICULOS_ACCIDENTADOS]:[VEHICULOS_ACCIDENTADOS2]],"TRACTOCAMION")</f>
        <v>0</v>
      </c>
      <c r="AB455" s="36">
        <f>COUNTIF(Tabla1[[#This Row],[VEHICULOS_ACCIDENTADOS]:[VEHICULOS_ACCIDENTADOS2]],"VOLQUETA")</f>
        <v>0</v>
      </c>
      <c r="AC455" s="36">
        <f>COUNTIF(Tabla1[[#This Row],[VEHICULOS_ACCIDENTADOS]:[VEHICULOS_ACCIDENTADOS2]],"BICICLETA")</f>
        <v>0</v>
      </c>
      <c r="AD455" s="56"/>
      <c r="AE455" s="56" t="s">
        <v>472</v>
      </c>
      <c r="AF455" s="56">
        <f>COUNTIF(Tabla1[[#This Row],[GENERO_MASCULINO]:[GENERO_FEMENINO]],"MASCULINO")</f>
        <v>0</v>
      </c>
      <c r="AG455" s="36">
        <f>COUNTIF(Tabla1[[#This Row],[GENERO_MASCULINO]:[GENERO_FEMENINO]],"FEMENINO")</f>
        <v>1</v>
      </c>
      <c r="AH455" s="61">
        <v>18</v>
      </c>
      <c r="AI455" s="61"/>
      <c r="AJ455" s="61"/>
      <c r="AK455" s="61"/>
      <c r="AL455" s="61"/>
      <c r="AM455" s="36"/>
      <c r="AN455" s="61">
        <v>139</v>
      </c>
      <c r="AO455" s="36" t="str">
        <f>IFERROR(((VLOOKUP(Tabla1[[#This Row],[HIPOTESIS_1]],listas!$D$1:$E$105,2,FALSE))),"SIN INFORMACIÓN")</f>
        <v>Impericia en el manejo.</v>
      </c>
      <c r="AP455" s="36">
        <v>112</v>
      </c>
      <c r="AQ455" s="36" t="str">
        <f>IFERROR(((VLOOKUP(Tabla1[[#This Row],[HIPOTESIS_2]],listas!$D$1:$E$105,2,FALSE))),"")</f>
        <v>Desobedecer señales o normas de tránsito.</v>
      </c>
      <c r="AR455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456" spans="1:44" x14ac:dyDescent="0.25">
      <c r="A456" s="12">
        <v>1108</v>
      </c>
      <c r="B456" s="137">
        <v>1</v>
      </c>
      <c r="C456" s="137">
        <v>0</v>
      </c>
      <c r="D456" s="146">
        <v>0</v>
      </c>
      <c r="E456" s="24" t="str">
        <f t="shared" si="28"/>
        <v>SOLO DAÑO</v>
      </c>
      <c r="F456" s="152" t="s">
        <v>983</v>
      </c>
      <c r="G456" s="30">
        <v>5.32224128304677</v>
      </c>
      <c r="H456" s="30">
        <v>-72.415137467616006</v>
      </c>
      <c r="I456" s="165" t="s">
        <v>697</v>
      </c>
      <c r="J456" s="36" t="s">
        <v>717</v>
      </c>
      <c r="K456" s="24" t="str">
        <f t="shared" si="29"/>
        <v>2025</v>
      </c>
      <c r="L456" s="24" t="str">
        <f t="shared" si="30"/>
        <v>OCTUBRE</v>
      </c>
      <c r="M456" s="225">
        <v>45934</v>
      </c>
      <c r="N456" s="24" t="str">
        <f t="shared" si="31"/>
        <v>SÁBADO</v>
      </c>
      <c r="O456" s="103">
        <v>0.19930555555555557</v>
      </c>
      <c r="P456" s="63" t="s">
        <v>447</v>
      </c>
      <c r="Q456" s="63"/>
      <c r="R456" s="36">
        <f>COUNTIF(Tabla1[[#This Row],[VEHICULOS_ACCIDENTADOS]:[VEHICULOS_ACCIDENTADOS2]],"MOTOCICLETA")</f>
        <v>0</v>
      </c>
      <c r="S456" s="36">
        <f>COUNTIF(Tabla1[[#This Row],[VEHICULOS_ACCIDENTADOS]:[VEHICULOS_ACCIDENTADOS2]],"MOTOCARRO")</f>
        <v>0</v>
      </c>
      <c r="T456" s="36">
        <f>COUNTIF(Tabla1[[#This Row],[VEHICULOS_ACCIDENTADOS]:[VEHICULOS_ACCIDENTADOS2]],"AUTOMOVIL")</f>
        <v>1</v>
      </c>
      <c r="U456" s="36">
        <f>COUNTIF(Tabla1[[#This Row],[VEHICULOS_ACCIDENTADOS]:[VEHICULOS_ACCIDENTADOS2]],"CAMPERO")</f>
        <v>0</v>
      </c>
      <c r="V456" s="36">
        <f>COUNTIF(Tabla1[[#This Row],[VEHICULOS_ACCIDENTADOS]:[VEHICULOS_ACCIDENTADOS2]],"CAMIONETA")</f>
        <v>0</v>
      </c>
      <c r="W456" s="36">
        <f>COUNTIF(Tabla1[[#This Row],[VEHICULOS_ACCIDENTADOS]:[VEHICULOS_ACCIDENTADOS2]],"MICROBUS")</f>
        <v>0</v>
      </c>
      <c r="X456" s="36">
        <f>COUNTIF(Tabla1[[#This Row],[VEHICULOS_ACCIDENTADOS]:[VEHICULOS_ACCIDENTADOS2]],"BUS")</f>
        <v>0</v>
      </c>
      <c r="Y456" s="36">
        <f>COUNTIF(Tabla1[[#This Row],[VEHICULOS_ACCIDENTADOS]:[VEHICULOS_ACCIDENTADOS2]],"BUSETA")</f>
        <v>0</v>
      </c>
      <c r="Z456" s="36">
        <f>COUNTIF(Tabla1[[#This Row],[VEHICULOS_ACCIDENTADOS]:[VEHICULOS_ACCIDENTADOS2]],"CAMION")</f>
        <v>0</v>
      </c>
      <c r="AA456" s="36">
        <f>COUNTIF(Tabla1[[#This Row],[VEHICULOS_ACCIDENTADOS]:[VEHICULOS_ACCIDENTADOS2]],"TRACTOCAMION")</f>
        <v>0</v>
      </c>
      <c r="AB456" s="36">
        <f>COUNTIF(Tabla1[[#This Row],[VEHICULOS_ACCIDENTADOS]:[VEHICULOS_ACCIDENTADOS2]],"VOLQUETA")</f>
        <v>0</v>
      </c>
      <c r="AC456" s="36">
        <f>COUNTIF(Tabla1[[#This Row],[VEHICULOS_ACCIDENTADOS]:[VEHICULOS_ACCIDENTADOS2]],"BICICLETA")</f>
        <v>0</v>
      </c>
      <c r="AD456" s="188" t="s">
        <v>471</v>
      </c>
      <c r="AE456" s="188"/>
      <c r="AF456" s="56">
        <f>COUNTIF(Tabla1[[#This Row],[GENERO_MASCULINO]:[GENERO_FEMENINO]],"MASCULINO")</f>
        <v>1</v>
      </c>
      <c r="AG456" s="36">
        <f>COUNTIF(Tabla1[[#This Row],[GENERO_MASCULINO]:[GENERO_FEMENINO]],"FEMENINO")</f>
        <v>0</v>
      </c>
      <c r="AH456" s="85"/>
      <c r="AI456" s="85"/>
      <c r="AJ456" s="85"/>
      <c r="AK456" s="78"/>
      <c r="AL456" s="78"/>
      <c r="AM456" s="59"/>
      <c r="AN456" s="61">
        <v>116</v>
      </c>
      <c r="AO456" s="59" t="str">
        <f>IFERROR(((VLOOKUP(Tabla1[[#This Row],[HIPOTESIS_1]],listas!$D$1:$E$105,2,FALSE))),"SIN INFORMACIÓN")</f>
        <v>Exceso de velocidad</v>
      </c>
      <c r="AP456" s="36">
        <v>112</v>
      </c>
      <c r="AQ456" s="36" t="str">
        <f>IFERROR(((VLOOKUP(Tabla1[[#This Row],[HIPOTESIS_2]],listas!$D$1:$E$105,2,FALSE))),"")</f>
        <v>Desobedecer señales o normas de tránsito.</v>
      </c>
      <c r="AR456" s="2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457" spans="1:44" x14ac:dyDescent="0.25">
      <c r="A457" s="12">
        <v>798</v>
      </c>
      <c r="B457" s="135">
        <v>0</v>
      </c>
      <c r="C457" s="136">
        <v>1</v>
      </c>
      <c r="D457" s="149">
        <v>0</v>
      </c>
      <c r="E457" s="18" t="str">
        <f t="shared" si="28"/>
        <v>LESIONADO</v>
      </c>
      <c r="F457" s="26" t="s">
        <v>988</v>
      </c>
      <c r="G457" s="21">
        <v>5.330550555555555</v>
      </c>
      <c r="H457" s="21">
        <v>-72.386280000000014</v>
      </c>
      <c r="I457" s="93" t="s">
        <v>697</v>
      </c>
      <c r="J457" s="36" t="s">
        <v>717</v>
      </c>
      <c r="K457" s="24" t="str">
        <f t="shared" si="29"/>
        <v>2024</v>
      </c>
      <c r="L457" s="24" t="str">
        <f t="shared" si="30"/>
        <v>OCTUBRE</v>
      </c>
      <c r="M457" s="224">
        <v>45589</v>
      </c>
      <c r="N457" s="24" t="str">
        <f t="shared" si="31"/>
        <v>JUEVES</v>
      </c>
      <c r="O457" s="104">
        <v>0.77083333333333337</v>
      </c>
      <c r="P457" s="178" t="s">
        <v>469</v>
      </c>
      <c r="Q457" s="178" t="s">
        <v>445</v>
      </c>
      <c r="R457" s="36">
        <f>COUNTIF(Tabla1[[#This Row],[VEHICULOS_ACCIDENTADOS]:[VEHICULOS_ACCIDENTADOS2]],"MOTOCICLETA")</f>
        <v>1</v>
      </c>
      <c r="S457" s="36">
        <f>COUNTIF(Tabla1[[#This Row],[VEHICULOS_ACCIDENTADOS]:[VEHICULOS_ACCIDENTADOS2]],"MOTOCARRO")</f>
        <v>0</v>
      </c>
      <c r="T457" s="36">
        <f>COUNTIF(Tabla1[[#This Row],[VEHICULOS_ACCIDENTADOS]:[VEHICULOS_ACCIDENTADOS2]],"AUTOMOVIL")</f>
        <v>0</v>
      </c>
      <c r="U457" s="36">
        <f>COUNTIF(Tabla1[[#This Row],[VEHICULOS_ACCIDENTADOS]:[VEHICULOS_ACCIDENTADOS2]],"CAMPERO")</f>
        <v>0</v>
      </c>
      <c r="V457" s="36">
        <f>COUNTIF(Tabla1[[#This Row],[VEHICULOS_ACCIDENTADOS]:[VEHICULOS_ACCIDENTADOS2]],"CAMIONETA")</f>
        <v>1</v>
      </c>
      <c r="W457" s="36">
        <f>COUNTIF(Tabla1[[#This Row],[VEHICULOS_ACCIDENTADOS]:[VEHICULOS_ACCIDENTADOS2]],"MICROBUS")</f>
        <v>0</v>
      </c>
      <c r="X457" s="36">
        <f>COUNTIF(Tabla1[[#This Row],[VEHICULOS_ACCIDENTADOS]:[VEHICULOS_ACCIDENTADOS2]],"BUS")</f>
        <v>0</v>
      </c>
      <c r="Y457" s="36">
        <f>COUNTIF(Tabla1[[#This Row],[VEHICULOS_ACCIDENTADOS]:[VEHICULOS_ACCIDENTADOS2]],"BUSETA")</f>
        <v>0</v>
      </c>
      <c r="Z457" s="36">
        <f>COUNTIF(Tabla1[[#This Row],[VEHICULOS_ACCIDENTADOS]:[VEHICULOS_ACCIDENTADOS2]],"CAMION")</f>
        <v>0</v>
      </c>
      <c r="AA457" s="36">
        <f>COUNTIF(Tabla1[[#This Row],[VEHICULOS_ACCIDENTADOS]:[VEHICULOS_ACCIDENTADOS2]],"TRACTOCAMION")</f>
        <v>0</v>
      </c>
      <c r="AB457" s="36">
        <f>COUNTIF(Tabla1[[#This Row],[VEHICULOS_ACCIDENTADOS]:[VEHICULOS_ACCIDENTADOS2]],"VOLQUETA")</f>
        <v>0</v>
      </c>
      <c r="AC457" s="36">
        <f>COUNTIF(Tabla1[[#This Row],[VEHICULOS_ACCIDENTADOS]:[VEHICULOS_ACCIDENTADOS2]],"BICICLETA")</f>
        <v>0</v>
      </c>
      <c r="AD457" s="190" t="s">
        <v>471</v>
      </c>
      <c r="AE457" s="190" t="s">
        <v>472</v>
      </c>
      <c r="AF457" s="190">
        <f>COUNTIF(Tabla1[[#This Row],[GENERO_MASCULINO]:[GENERO_FEMENINO]],"MASCULINO")</f>
        <v>1</v>
      </c>
      <c r="AG457" s="36">
        <f>COUNTIF(Tabla1[[#This Row],[GENERO_MASCULINO]:[GENERO_FEMENINO]],"FEMENINO")</f>
        <v>1</v>
      </c>
      <c r="AH457" s="85">
        <v>17</v>
      </c>
      <c r="AI457" s="85">
        <v>51</v>
      </c>
      <c r="AJ457" s="85"/>
      <c r="AK457" s="85"/>
      <c r="AL457" s="85"/>
      <c r="AM457" s="136"/>
      <c r="AN457" s="85">
        <v>157</v>
      </c>
      <c r="AO457" s="36" t="str">
        <f>IFERROR(((VLOOKUP(Tabla1[[#This Row],[HIPOTESIS_1]],listas!$D$1:$E$105,2,FALSE))),"SIN INFORMACIÓN")</f>
        <v>Otra</v>
      </c>
      <c r="AP457" s="136">
        <v>112</v>
      </c>
      <c r="AQ457" s="36" t="str">
        <f>IFERROR(((VLOOKUP(Tabla1[[#This Row],[HIPOTESIS_2]],listas!$D$1:$E$105,2,FALSE))),"")</f>
        <v>Desobedecer señales o normas de tránsito.</v>
      </c>
      <c r="AR457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458" spans="1:44" x14ac:dyDescent="0.25">
      <c r="A458" s="12">
        <v>535</v>
      </c>
      <c r="B458" s="36">
        <v>0</v>
      </c>
      <c r="C458" s="36">
        <v>2</v>
      </c>
      <c r="D458" s="60">
        <v>0</v>
      </c>
      <c r="E458" s="18" t="str">
        <f t="shared" si="28"/>
        <v>LESIONADO</v>
      </c>
      <c r="F458" s="29" t="s">
        <v>1092</v>
      </c>
      <c r="G458" s="21">
        <v>5.3399916666666662</v>
      </c>
      <c r="H458" s="21">
        <v>-72.375622222222219</v>
      </c>
      <c r="I458" s="93" t="s">
        <v>697</v>
      </c>
      <c r="J458" s="36" t="s">
        <v>717</v>
      </c>
      <c r="K458" s="24" t="str">
        <f t="shared" si="29"/>
        <v>2023</v>
      </c>
      <c r="L458" s="24" t="str">
        <f t="shared" si="30"/>
        <v>AGOSTO</v>
      </c>
      <c r="M458" s="225">
        <v>45155</v>
      </c>
      <c r="N458" s="24" t="str">
        <f t="shared" si="31"/>
        <v>JUEVES</v>
      </c>
      <c r="O458" s="103">
        <v>0.66666666666666663</v>
      </c>
      <c r="P458" s="57" t="s">
        <v>469</v>
      </c>
      <c r="Q458" s="57" t="s">
        <v>447</v>
      </c>
      <c r="R458" s="36">
        <f>COUNTIF(Tabla1[[#This Row],[VEHICULOS_ACCIDENTADOS]:[VEHICULOS_ACCIDENTADOS2]],"MOTOCICLETA")</f>
        <v>1</v>
      </c>
      <c r="S458" s="36">
        <f>COUNTIF(Tabla1[[#This Row],[VEHICULOS_ACCIDENTADOS]:[VEHICULOS_ACCIDENTADOS2]],"MOTOCARRO")</f>
        <v>0</v>
      </c>
      <c r="T458" s="36">
        <f>COUNTIF(Tabla1[[#This Row],[VEHICULOS_ACCIDENTADOS]:[VEHICULOS_ACCIDENTADOS2]],"AUTOMOVIL")</f>
        <v>1</v>
      </c>
      <c r="U458" s="36">
        <f>COUNTIF(Tabla1[[#This Row],[VEHICULOS_ACCIDENTADOS]:[VEHICULOS_ACCIDENTADOS2]],"CAMPERO")</f>
        <v>0</v>
      </c>
      <c r="V458" s="36">
        <f>COUNTIF(Tabla1[[#This Row],[VEHICULOS_ACCIDENTADOS]:[VEHICULOS_ACCIDENTADOS2]],"CAMIONETA")</f>
        <v>0</v>
      </c>
      <c r="W458" s="36">
        <f>COUNTIF(Tabla1[[#This Row],[VEHICULOS_ACCIDENTADOS]:[VEHICULOS_ACCIDENTADOS2]],"MICROBUS")</f>
        <v>0</v>
      </c>
      <c r="X458" s="36">
        <f>COUNTIF(Tabla1[[#This Row],[VEHICULOS_ACCIDENTADOS]:[VEHICULOS_ACCIDENTADOS2]],"BUS")</f>
        <v>0</v>
      </c>
      <c r="Y458" s="36">
        <f>COUNTIF(Tabla1[[#This Row],[VEHICULOS_ACCIDENTADOS]:[VEHICULOS_ACCIDENTADOS2]],"BUSETA")</f>
        <v>0</v>
      </c>
      <c r="Z458" s="36">
        <f>COUNTIF(Tabla1[[#This Row],[VEHICULOS_ACCIDENTADOS]:[VEHICULOS_ACCIDENTADOS2]],"CAMION")</f>
        <v>0</v>
      </c>
      <c r="AA458" s="36">
        <f>COUNTIF(Tabla1[[#This Row],[VEHICULOS_ACCIDENTADOS]:[VEHICULOS_ACCIDENTADOS2]],"TRACTOCAMION")</f>
        <v>0</v>
      </c>
      <c r="AB458" s="36">
        <f>COUNTIF(Tabla1[[#This Row],[VEHICULOS_ACCIDENTADOS]:[VEHICULOS_ACCIDENTADOS2]],"VOLQUETA")</f>
        <v>0</v>
      </c>
      <c r="AC458" s="36">
        <f>COUNTIF(Tabla1[[#This Row],[VEHICULOS_ACCIDENTADOS]:[VEHICULOS_ACCIDENTADOS2]],"BICICLETA")</f>
        <v>0</v>
      </c>
      <c r="AD458" s="56" t="s">
        <v>471</v>
      </c>
      <c r="AE458" s="56"/>
      <c r="AF458" s="56">
        <f>COUNTIF(Tabla1[[#This Row],[GENERO_MASCULINO]:[GENERO_FEMENINO]],"MASCULINO")</f>
        <v>1</v>
      </c>
      <c r="AG458" s="36">
        <f>COUNTIF(Tabla1[[#This Row],[GENERO_MASCULINO]:[GENERO_FEMENINO]],"FEMENINO")</f>
        <v>0</v>
      </c>
      <c r="AH458" s="61">
        <v>16</v>
      </c>
      <c r="AI458" s="61"/>
      <c r="AJ458" s="61"/>
      <c r="AK458" s="61"/>
      <c r="AL458" s="61">
        <v>15</v>
      </c>
      <c r="AM458" s="36"/>
      <c r="AN458" s="61">
        <v>139</v>
      </c>
      <c r="AO458" s="36" t="str">
        <f>IFERROR(((VLOOKUP(Tabla1[[#This Row],[HIPOTESIS_1]],listas!$D$1:$E$105,2,FALSE))),"SIN INFORMACIÓN")</f>
        <v>Impericia en el manejo.</v>
      </c>
      <c r="AP458" s="36">
        <v>112</v>
      </c>
      <c r="AQ458" s="36" t="str">
        <f>IFERROR(((VLOOKUP(Tabla1[[#This Row],[HIPOTESIS_2]],listas!$D$1:$E$105,2,FALSE))),"")</f>
        <v>Desobedecer señales o normas de tránsito.</v>
      </c>
      <c r="AR458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459" spans="1:44" x14ac:dyDescent="0.25">
      <c r="A459" s="12">
        <v>753</v>
      </c>
      <c r="B459" s="135">
        <v>0</v>
      </c>
      <c r="C459" s="136">
        <v>1</v>
      </c>
      <c r="D459" s="148">
        <v>0</v>
      </c>
      <c r="E459" s="18" t="str">
        <f t="shared" si="28"/>
        <v>LESIONADO</v>
      </c>
      <c r="F459" s="26" t="s">
        <v>1000</v>
      </c>
      <c r="G459" s="21">
        <v>5.3300027777777776</v>
      </c>
      <c r="H459" s="21">
        <v>-72.409691666666674</v>
      </c>
      <c r="I459" s="93" t="s">
        <v>697</v>
      </c>
      <c r="J459" s="136" t="s">
        <v>717</v>
      </c>
      <c r="K459" s="24" t="str">
        <f t="shared" si="29"/>
        <v>2024</v>
      </c>
      <c r="L459" s="24" t="str">
        <f t="shared" si="30"/>
        <v>JULIO</v>
      </c>
      <c r="M459" s="224">
        <v>45500</v>
      </c>
      <c r="N459" s="24" t="str">
        <f t="shared" si="31"/>
        <v>SÁBADO</v>
      </c>
      <c r="O459" s="104">
        <v>0.77986111111111101</v>
      </c>
      <c r="P459" s="178" t="s">
        <v>469</v>
      </c>
      <c r="Q459" s="178" t="s">
        <v>447</v>
      </c>
      <c r="R459" s="36">
        <f>COUNTIF(Tabla1[[#This Row],[VEHICULOS_ACCIDENTADOS]:[VEHICULOS_ACCIDENTADOS2]],"MOTOCICLETA")</f>
        <v>1</v>
      </c>
      <c r="S459" s="36">
        <f>COUNTIF(Tabla1[[#This Row],[VEHICULOS_ACCIDENTADOS]:[VEHICULOS_ACCIDENTADOS2]],"MOTOCARRO")</f>
        <v>0</v>
      </c>
      <c r="T459" s="36">
        <f>COUNTIF(Tabla1[[#This Row],[VEHICULOS_ACCIDENTADOS]:[VEHICULOS_ACCIDENTADOS2]],"AUTOMOVIL")</f>
        <v>1</v>
      </c>
      <c r="U459" s="36">
        <f>COUNTIF(Tabla1[[#This Row],[VEHICULOS_ACCIDENTADOS]:[VEHICULOS_ACCIDENTADOS2]],"CAMPERO")</f>
        <v>0</v>
      </c>
      <c r="V459" s="36">
        <f>COUNTIF(Tabla1[[#This Row],[VEHICULOS_ACCIDENTADOS]:[VEHICULOS_ACCIDENTADOS2]],"CAMIONETA")</f>
        <v>0</v>
      </c>
      <c r="W459" s="36">
        <f>COUNTIF(Tabla1[[#This Row],[VEHICULOS_ACCIDENTADOS]:[VEHICULOS_ACCIDENTADOS2]],"MICROBUS")</f>
        <v>0</v>
      </c>
      <c r="X459" s="36">
        <f>COUNTIF(Tabla1[[#This Row],[VEHICULOS_ACCIDENTADOS]:[VEHICULOS_ACCIDENTADOS2]],"BUS")</f>
        <v>0</v>
      </c>
      <c r="Y459" s="36">
        <f>COUNTIF(Tabla1[[#This Row],[VEHICULOS_ACCIDENTADOS]:[VEHICULOS_ACCIDENTADOS2]],"BUSETA")</f>
        <v>0</v>
      </c>
      <c r="Z459" s="36">
        <f>COUNTIF(Tabla1[[#This Row],[VEHICULOS_ACCIDENTADOS]:[VEHICULOS_ACCIDENTADOS2]],"CAMION")</f>
        <v>0</v>
      </c>
      <c r="AA459" s="36">
        <f>COUNTIF(Tabla1[[#This Row],[VEHICULOS_ACCIDENTADOS]:[VEHICULOS_ACCIDENTADOS2]],"TRACTOCAMION")</f>
        <v>0</v>
      </c>
      <c r="AB459" s="36">
        <f>COUNTIF(Tabla1[[#This Row],[VEHICULOS_ACCIDENTADOS]:[VEHICULOS_ACCIDENTADOS2]],"VOLQUETA")</f>
        <v>0</v>
      </c>
      <c r="AC459" s="36">
        <f>COUNTIF(Tabla1[[#This Row],[VEHICULOS_ACCIDENTADOS]:[VEHICULOS_ACCIDENTADOS2]],"BICICLETA")</f>
        <v>0</v>
      </c>
      <c r="AD459" s="190" t="s">
        <v>471</v>
      </c>
      <c r="AE459" s="190" t="s">
        <v>472</v>
      </c>
      <c r="AF459" s="190">
        <f>COUNTIF(Tabla1[[#This Row],[GENERO_MASCULINO]:[GENERO_FEMENINO]],"MASCULINO")</f>
        <v>1</v>
      </c>
      <c r="AG459" s="36">
        <f>COUNTIF(Tabla1[[#This Row],[GENERO_MASCULINO]:[GENERO_FEMENINO]],"FEMENINO")</f>
        <v>1</v>
      </c>
      <c r="AH459" s="85">
        <v>44</v>
      </c>
      <c r="AI459" s="85">
        <v>31</v>
      </c>
      <c r="AJ459" s="85"/>
      <c r="AK459" s="85"/>
      <c r="AL459" s="85"/>
      <c r="AM459" s="136"/>
      <c r="AN459" s="85">
        <v>115</v>
      </c>
      <c r="AO459" s="36" t="str">
        <f>IFERROR(((VLOOKUP(Tabla1[[#This Row],[HIPOTESIS_1]],listas!$D$1:$E$105,2,FALSE))),"SIN INFORMACIÓN")</f>
        <v>Embriaguez o Sustancias alucinogenas</v>
      </c>
      <c r="AP459" s="136">
        <v>112</v>
      </c>
      <c r="AQ459" s="36" t="str">
        <f>IFERROR(((VLOOKUP(Tabla1[[#This Row],[HIPOTESIS_2]],listas!$D$1:$E$105,2,FALSE))),"")</f>
        <v>Desobedecer señales o normas de tránsito.</v>
      </c>
      <c r="AR459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460" spans="1:44" x14ac:dyDescent="0.25">
      <c r="A460" s="12">
        <v>929</v>
      </c>
      <c r="B460" s="135">
        <v>0</v>
      </c>
      <c r="C460" s="36">
        <v>2</v>
      </c>
      <c r="D460" s="148">
        <v>0</v>
      </c>
      <c r="E460" s="18" t="str">
        <f t="shared" si="28"/>
        <v>LESIONADO</v>
      </c>
      <c r="F460" s="29" t="s">
        <v>47</v>
      </c>
      <c r="G460" s="21">
        <v>5.3223700000000003</v>
      </c>
      <c r="H460" s="21">
        <v>-72.393314000000004</v>
      </c>
      <c r="I460" s="93" t="s">
        <v>697</v>
      </c>
      <c r="J460" s="36" t="s">
        <v>717</v>
      </c>
      <c r="K460" s="24" t="str">
        <f t="shared" si="29"/>
        <v>2025</v>
      </c>
      <c r="L460" s="24" t="str">
        <f t="shared" si="30"/>
        <v>ABRIL</v>
      </c>
      <c r="M460" s="225">
        <v>45753</v>
      </c>
      <c r="N460" s="24" t="str">
        <f t="shared" si="31"/>
        <v>DOMINGO</v>
      </c>
      <c r="O460" s="103">
        <v>0.43055555555555558</v>
      </c>
      <c r="P460" s="36" t="s">
        <v>469</v>
      </c>
      <c r="Q460" s="36" t="s">
        <v>469</v>
      </c>
      <c r="R460" s="36">
        <f>COUNTIF(Tabla1[[#This Row],[VEHICULOS_ACCIDENTADOS]:[VEHICULOS_ACCIDENTADOS2]],"MOTOCICLETA")</f>
        <v>2</v>
      </c>
      <c r="S460" s="36">
        <f>COUNTIF(Tabla1[[#This Row],[VEHICULOS_ACCIDENTADOS]:[VEHICULOS_ACCIDENTADOS2]],"MOTOCARRO")</f>
        <v>0</v>
      </c>
      <c r="T460" s="36">
        <f>COUNTIF(Tabla1[[#This Row],[VEHICULOS_ACCIDENTADOS]:[VEHICULOS_ACCIDENTADOS2]],"AUTOMOVIL")</f>
        <v>0</v>
      </c>
      <c r="U460" s="36">
        <f>COUNTIF(Tabla1[[#This Row],[VEHICULOS_ACCIDENTADOS]:[VEHICULOS_ACCIDENTADOS2]],"CAMPERO")</f>
        <v>0</v>
      </c>
      <c r="V460" s="36">
        <f>COUNTIF(Tabla1[[#This Row],[VEHICULOS_ACCIDENTADOS]:[VEHICULOS_ACCIDENTADOS2]],"CAMIONETA")</f>
        <v>0</v>
      </c>
      <c r="W460" s="36">
        <f>COUNTIF(Tabla1[[#This Row],[VEHICULOS_ACCIDENTADOS]:[VEHICULOS_ACCIDENTADOS2]],"MICROBUS")</f>
        <v>0</v>
      </c>
      <c r="X460" s="36">
        <f>COUNTIF(Tabla1[[#This Row],[VEHICULOS_ACCIDENTADOS]:[VEHICULOS_ACCIDENTADOS2]],"BUS")</f>
        <v>0</v>
      </c>
      <c r="Y460" s="36">
        <f>COUNTIF(Tabla1[[#This Row],[VEHICULOS_ACCIDENTADOS]:[VEHICULOS_ACCIDENTADOS2]],"BUSETA")</f>
        <v>0</v>
      </c>
      <c r="Z460" s="36">
        <f>COUNTIF(Tabla1[[#This Row],[VEHICULOS_ACCIDENTADOS]:[VEHICULOS_ACCIDENTADOS2]],"CAMION")</f>
        <v>0</v>
      </c>
      <c r="AA460" s="36">
        <f>COUNTIF(Tabla1[[#This Row],[VEHICULOS_ACCIDENTADOS]:[VEHICULOS_ACCIDENTADOS2]],"TRACTOCAMION")</f>
        <v>0</v>
      </c>
      <c r="AB460" s="36">
        <f>COUNTIF(Tabla1[[#This Row],[VEHICULOS_ACCIDENTADOS]:[VEHICULOS_ACCIDENTADOS2]],"VOLQUETA")</f>
        <v>0</v>
      </c>
      <c r="AC460" s="36">
        <f>COUNTIF(Tabla1[[#This Row],[VEHICULOS_ACCIDENTADOS]:[VEHICULOS_ACCIDENTADOS2]],"BICICLETA")</f>
        <v>0</v>
      </c>
      <c r="AD460" s="56" t="s">
        <v>472</v>
      </c>
      <c r="AE460" s="56" t="s">
        <v>471</v>
      </c>
      <c r="AF460" s="56">
        <f>COUNTIF(Tabla1[[#This Row],[GENERO_MASCULINO]:[GENERO_FEMENINO]],"MASCULINO")</f>
        <v>1</v>
      </c>
      <c r="AG460" s="36">
        <f>COUNTIF(Tabla1[[#This Row],[GENERO_MASCULINO]:[GENERO_FEMENINO]],"FEMENINO")</f>
        <v>1</v>
      </c>
      <c r="AH460" s="85">
        <v>30</v>
      </c>
      <c r="AI460" s="85"/>
      <c r="AJ460" s="85"/>
      <c r="AK460" s="78"/>
      <c r="AL460" s="78"/>
      <c r="AM460" s="59"/>
      <c r="AN460" s="61">
        <v>139</v>
      </c>
      <c r="AO460" s="36" t="str">
        <f>IFERROR(((VLOOKUP(Tabla1[[#This Row],[HIPOTESIS_1]],listas!$D$1:$E$105,2,FALSE))),"SIN INFORMACIÓN")</f>
        <v>Impericia en el manejo.</v>
      </c>
      <c r="AP460" s="36">
        <v>112</v>
      </c>
      <c r="AQ460" s="36" t="str">
        <f>IFERROR(((VLOOKUP(Tabla1[[#This Row],[HIPOTESIS_2]],listas!$D$1:$E$105,2,FALSE))),"")</f>
        <v>Desobedecer señales o normas de tránsito.</v>
      </c>
      <c r="AR460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461" spans="1:44" x14ac:dyDescent="0.25">
      <c r="A461" s="12">
        <v>524</v>
      </c>
      <c r="B461" s="36">
        <v>0</v>
      </c>
      <c r="C461" s="36">
        <v>2</v>
      </c>
      <c r="D461" s="60">
        <v>0</v>
      </c>
      <c r="E461" s="18" t="str">
        <f t="shared" si="28"/>
        <v>LESIONADO</v>
      </c>
      <c r="F461" s="29" t="s">
        <v>119</v>
      </c>
      <c r="G461" s="21">
        <v>5.3211861111111105</v>
      </c>
      <c r="H461" s="21">
        <v>-72.402669444444456</v>
      </c>
      <c r="I461" s="93" t="s">
        <v>697</v>
      </c>
      <c r="J461" s="36" t="s">
        <v>717</v>
      </c>
      <c r="K461" s="24" t="str">
        <f t="shared" si="29"/>
        <v>2023</v>
      </c>
      <c r="L461" s="24" t="str">
        <f t="shared" si="30"/>
        <v>JULIO</v>
      </c>
      <c r="M461" s="225">
        <v>45136</v>
      </c>
      <c r="N461" s="24" t="str">
        <f t="shared" si="31"/>
        <v>SÁBADO</v>
      </c>
      <c r="O461" s="103">
        <v>0.67361111111111116</v>
      </c>
      <c r="P461" s="57" t="s">
        <v>469</v>
      </c>
      <c r="Q461" s="57" t="s">
        <v>469</v>
      </c>
      <c r="R461" s="36">
        <f>COUNTIF(Tabla1[[#This Row],[VEHICULOS_ACCIDENTADOS]:[VEHICULOS_ACCIDENTADOS2]],"MOTOCICLETA")</f>
        <v>2</v>
      </c>
      <c r="S461" s="36">
        <f>COUNTIF(Tabla1[[#This Row],[VEHICULOS_ACCIDENTADOS]:[VEHICULOS_ACCIDENTADOS2]],"MOTOCARRO")</f>
        <v>0</v>
      </c>
      <c r="T461" s="36">
        <f>COUNTIF(Tabla1[[#This Row],[VEHICULOS_ACCIDENTADOS]:[VEHICULOS_ACCIDENTADOS2]],"AUTOMOVIL")</f>
        <v>0</v>
      </c>
      <c r="U461" s="36">
        <f>COUNTIF(Tabla1[[#This Row],[VEHICULOS_ACCIDENTADOS]:[VEHICULOS_ACCIDENTADOS2]],"CAMPERO")</f>
        <v>0</v>
      </c>
      <c r="V461" s="36">
        <f>COUNTIF(Tabla1[[#This Row],[VEHICULOS_ACCIDENTADOS]:[VEHICULOS_ACCIDENTADOS2]],"CAMIONETA")</f>
        <v>0</v>
      </c>
      <c r="W461" s="36">
        <f>COUNTIF(Tabla1[[#This Row],[VEHICULOS_ACCIDENTADOS]:[VEHICULOS_ACCIDENTADOS2]],"MICROBUS")</f>
        <v>0</v>
      </c>
      <c r="X461" s="36">
        <f>COUNTIF(Tabla1[[#This Row],[VEHICULOS_ACCIDENTADOS]:[VEHICULOS_ACCIDENTADOS2]],"BUS")</f>
        <v>0</v>
      </c>
      <c r="Y461" s="36">
        <f>COUNTIF(Tabla1[[#This Row],[VEHICULOS_ACCIDENTADOS]:[VEHICULOS_ACCIDENTADOS2]],"BUSETA")</f>
        <v>0</v>
      </c>
      <c r="Z461" s="36">
        <f>COUNTIF(Tabla1[[#This Row],[VEHICULOS_ACCIDENTADOS]:[VEHICULOS_ACCIDENTADOS2]],"CAMION")</f>
        <v>0</v>
      </c>
      <c r="AA461" s="36">
        <f>COUNTIF(Tabla1[[#This Row],[VEHICULOS_ACCIDENTADOS]:[VEHICULOS_ACCIDENTADOS2]],"TRACTOCAMION")</f>
        <v>0</v>
      </c>
      <c r="AB461" s="36">
        <f>COUNTIF(Tabla1[[#This Row],[VEHICULOS_ACCIDENTADOS]:[VEHICULOS_ACCIDENTADOS2]],"VOLQUETA")</f>
        <v>0</v>
      </c>
      <c r="AC461" s="36">
        <f>COUNTIF(Tabla1[[#This Row],[VEHICULOS_ACCIDENTADOS]:[VEHICULOS_ACCIDENTADOS2]],"BICICLETA")</f>
        <v>0</v>
      </c>
      <c r="AD461" s="56" t="s">
        <v>471</v>
      </c>
      <c r="AE461" s="56" t="s">
        <v>472</v>
      </c>
      <c r="AF461" s="56">
        <f>COUNTIF(Tabla1[[#This Row],[GENERO_MASCULINO]:[GENERO_FEMENINO]],"MASCULINO")</f>
        <v>1</v>
      </c>
      <c r="AG461" s="36">
        <f>COUNTIF(Tabla1[[#This Row],[GENERO_MASCULINO]:[GENERO_FEMENINO]],"FEMENINO")</f>
        <v>1</v>
      </c>
      <c r="AH461" s="61">
        <v>20</v>
      </c>
      <c r="AI461" s="61">
        <v>24</v>
      </c>
      <c r="AJ461" s="61"/>
      <c r="AK461" s="61"/>
      <c r="AL461" s="61"/>
      <c r="AM461" s="36"/>
      <c r="AN461" s="61">
        <v>114</v>
      </c>
      <c r="AO461" s="36" t="str">
        <f>IFERROR(((VLOOKUP(Tabla1[[#This Row],[HIPOTESIS_1]],listas!$D$1:$E$105,2,FALSE))),"SIN INFORMACIÓN")</f>
        <v>Embriaguez aparente.</v>
      </c>
      <c r="AP461" s="36">
        <v>112</v>
      </c>
      <c r="AQ461" s="36" t="str">
        <f>IFERROR(((VLOOKUP(Tabla1[[#This Row],[HIPOTESIS_2]],listas!$D$1:$E$105,2,FALSE))),"")</f>
        <v>Desobedecer señales o normas de tránsito.</v>
      </c>
      <c r="AR461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462" spans="1:44" x14ac:dyDescent="0.25">
      <c r="A462" s="12">
        <v>752</v>
      </c>
      <c r="B462" s="136">
        <v>0</v>
      </c>
      <c r="C462" s="136">
        <v>0</v>
      </c>
      <c r="D462" s="149">
        <v>1</v>
      </c>
      <c r="E462" s="18" t="str">
        <f t="shared" si="28"/>
        <v>FALLECIDO</v>
      </c>
      <c r="F462" s="26" t="s">
        <v>873</v>
      </c>
      <c r="G462" s="21">
        <v>5.3184444444444443</v>
      </c>
      <c r="H462" s="21">
        <v>-72.401908333333338</v>
      </c>
      <c r="I462" s="93" t="s">
        <v>697</v>
      </c>
      <c r="J462" s="136" t="s">
        <v>717</v>
      </c>
      <c r="K462" s="24" t="str">
        <f t="shared" si="29"/>
        <v>2024</v>
      </c>
      <c r="L462" s="24" t="str">
        <f t="shared" si="30"/>
        <v>JULIO</v>
      </c>
      <c r="M462" s="224">
        <v>45500</v>
      </c>
      <c r="N462" s="24" t="str">
        <f t="shared" si="31"/>
        <v>SÁBADO</v>
      </c>
      <c r="O462" s="104">
        <v>0.8125</v>
      </c>
      <c r="P462" s="178" t="s">
        <v>469</v>
      </c>
      <c r="Q462" s="178"/>
      <c r="R462" s="36">
        <f>COUNTIF(Tabla1[[#This Row],[VEHICULOS_ACCIDENTADOS]:[VEHICULOS_ACCIDENTADOS2]],"MOTOCICLETA")</f>
        <v>1</v>
      </c>
      <c r="S462" s="36">
        <f>COUNTIF(Tabla1[[#This Row],[VEHICULOS_ACCIDENTADOS]:[VEHICULOS_ACCIDENTADOS2]],"MOTOCARRO")</f>
        <v>0</v>
      </c>
      <c r="T462" s="36">
        <f>COUNTIF(Tabla1[[#This Row],[VEHICULOS_ACCIDENTADOS]:[VEHICULOS_ACCIDENTADOS2]],"AUTOMOVIL")</f>
        <v>0</v>
      </c>
      <c r="U462" s="36">
        <f>COUNTIF(Tabla1[[#This Row],[VEHICULOS_ACCIDENTADOS]:[VEHICULOS_ACCIDENTADOS2]],"CAMPERO")</f>
        <v>0</v>
      </c>
      <c r="V462" s="36">
        <f>COUNTIF(Tabla1[[#This Row],[VEHICULOS_ACCIDENTADOS]:[VEHICULOS_ACCIDENTADOS2]],"CAMIONETA")</f>
        <v>0</v>
      </c>
      <c r="W462" s="36">
        <f>COUNTIF(Tabla1[[#This Row],[VEHICULOS_ACCIDENTADOS]:[VEHICULOS_ACCIDENTADOS2]],"MICROBUS")</f>
        <v>0</v>
      </c>
      <c r="X462" s="36">
        <f>COUNTIF(Tabla1[[#This Row],[VEHICULOS_ACCIDENTADOS]:[VEHICULOS_ACCIDENTADOS2]],"BUS")</f>
        <v>0</v>
      </c>
      <c r="Y462" s="36">
        <f>COUNTIF(Tabla1[[#This Row],[VEHICULOS_ACCIDENTADOS]:[VEHICULOS_ACCIDENTADOS2]],"BUSETA")</f>
        <v>0</v>
      </c>
      <c r="Z462" s="36">
        <f>COUNTIF(Tabla1[[#This Row],[VEHICULOS_ACCIDENTADOS]:[VEHICULOS_ACCIDENTADOS2]],"CAMION")</f>
        <v>0</v>
      </c>
      <c r="AA462" s="36">
        <f>COUNTIF(Tabla1[[#This Row],[VEHICULOS_ACCIDENTADOS]:[VEHICULOS_ACCIDENTADOS2]],"TRACTOCAMION")</f>
        <v>0</v>
      </c>
      <c r="AB462" s="36">
        <f>COUNTIF(Tabla1[[#This Row],[VEHICULOS_ACCIDENTADOS]:[VEHICULOS_ACCIDENTADOS2]],"VOLQUETA")</f>
        <v>0</v>
      </c>
      <c r="AC462" s="36">
        <f>COUNTIF(Tabla1[[#This Row],[VEHICULOS_ACCIDENTADOS]:[VEHICULOS_ACCIDENTADOS2]],"BICICLETA")</f>
        <v>0</v>
      </c>
      <c r="AD462" s="190" t="s">
        <v>471</v>
      </c>
      <c r="AE462" s="190"/>
      <c r="AF462" s="190">
        <f>COUNTIF(Tabla1[[#This Row],[GENERO_MASCULINO]:[GENERO_FEMENINO]],"MASCULINO")</f>
        <v>1</v>
      </c>
      <c r="AG462" s="36">
        <f>COUNTIF(Tabla1[[#This Row],[GENERO_MASCULINO]:[GENERO_FEMENINO]],"FEMENINO")</f>
        <v>0</v>
      </c>
      <c r="AH462" s="85"/>
      <c r="AI462" s="85">
        <v>34</v>
      </c>
      <c r="AJ462" s="85"/>
      <c r="AK462" s="85"/>
      <c r="AL462" s="85"/>
      <c r="AM462" s="136">
        <v>26</v>
      </c>
      <c r="AN462" s="85">
        <v>139</v>
      </c>
      <c r="AO462" s="36" t="str">
        <f>IFERROR(((VLOOKUP(Tabla1[[#This Row],[HIPOTESIS_1]],listas!$D$1:$E$105,2,FALSE))),"SIN INFORMACIÓN")</f>
        <v>Impericia en el manejo.</v>
      </c>
      <c r="AP462" s="136">
        <v>409</v>
      </c>
      <c r="AQ462" s="36" t="str">
        <f>IFERROR(((VLOOKUP(Tabla1[[#This Row],[HIPOTESIS_2]],listas!$D$1:$E$105,2,FALSE))),"")</f>
        <v>Cruzar sin observar.</v>
      </c>
      <c r="AR462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463" spans="1:44" x14ac:dyDescent="0.25">
      <c r="A463" s="12">
        <v>1027</v>
      </c>
      <c r="B463" s="137">
        <v>0</v>
      </c>
      <c r="C463" s="137">
        <v>1</v>
      </c>
      <c r="D463" s="146">
        <v>0</v>
      </c>
      <c r="E463" s="24" t="str">
        <f t="shared" si="28"/>
        <v>LESIONADO</v>
      </c>
      <c r="F463" s="152" t="s">
        <v>713</v>
      </c>
      <c r="G463" s="30">
        <v>5.3191959999999998</v>
      </c>
      <c r="H463" s="30">
        <v>-72.393668000000005</v>
      </c>
      <c r="I463" s="93" t="s">
        <v>697</v>
      </c>
      <c r="J463" s="36" t="s">
        <v>717</v>
      </c>
      <c r="K463" s="24" t="str">
        <f t="shared" si="29"/>
        <v>2025</v>
      </c>
      <c r="L463" s="24" t="str">
        <f t="shared" si="30"/>
        <v>JULIO</v>
      </c>
      <c r="M463" s="225">
        <v>45869</v>
      </c>
      <c r="N463" s="24" t="str">
        <f t="shared" si="31"/>
        <v>JUEVES</v>
      </c>
      <c r="O463" s="103">
        <v>0.78125</v>
      </c>
      <c r="P463" s="63" t="s">
        <v>469</v>
      </c>
      <c r="Q463" s="63"/>
      <c r="R463" s="36">
        <f>COUNTIF(Tabla1[[#This Row],[VEHICULOS_ACCIDENTADOS]:[VEHICULOS_ACCIDENTADOS2]],"MOTOCICLETA")</f>
        <v>1</v>
      </c>
      <c r="S463" s="36">
        <f>COUNTIF(Tabla1[[#This Row],[VEHICULOS_ACCIDENTADOS]:[VEHICULOS_ACCIDENTADOS2]],"MOTOCARRO")</f>
        <v>0</v>
      </c>
      <c r="T463" s="36">
        <f>COUNTIF(Tabla1[[#This Row],[VEHICULOS_ACCIDENTADOS]:[VEHICULOS_ACCIDENTADOS2]],"AUTOMOVIL")</f>
        <v>0</v>
      </c>
      <c r="U463" s="36">
        <f>COUNTIF(Tabla1[[#This Row],[VEHICULOS_ACCIDENTADOS]:[VEHICULOS_ACCIDENTADOS2]],"CAMPERO")</f>
        <v>0</v>
      </c>
      <c r="V463" s="36">
        <f>COUNTIF(Tabla1[[#This Row],[VEHICULOS_ACCIDENTADOS]:[VEHICULOS_ACCIDENTADOS2]],"CAMIONETA")</f>
        <v>0</v>
      </c>
      <c r="W463" s="36">
        <f>COUNTIF(Tabla1[[#This Row],[VEHICULOS_ACCIDENTADOS]:[VEHICULOS_ACCIDENTADOS2]],"MICROBUS")</f>
        <v>0</v>
      </c>
      <c r="X463" s="36">
        <f>COUNTIF(Tabla1[[#This Row],[VEHICULOS_ACCIDENTADOS]:[VEHICULOS_ACCIDENTADOS2]],"BUS")</f>
        <v>0</v>
      </c>
      <c r="Y463" s="36">
        <f>COUNTIF(Tabla1[[#This Row],[VEHICULOS_ACCIDENTADOS]:[VEHICULOS_ACCIDENTADOS2]],"BUSETA")</f>
        <v>0</v>
      </c>
      <c r="Z463" s="36">
        <f>COUNTIF(Tabla1[[#This Row],[VEHICULOS_ACCIDENTADOS]:[VEHICULOS_ACCIDENTADOS2]],"CAMION")</f>
        <v>0</v>
      </c>
      <c r="AA463" s="36">
        <f>COUNTIF(Tabla1[[#This Row],[VEHICULOS_ACCIDENTADOS]:[VEHICULOS_ACCIDENTADOS2]],"TRACTOCAMION")</f>
        <v>0</v>
      </c>
      <c r="AB463" s="36">
        <f>COUNTIF(Tabla1[[#This Row],[VEHICULOS_ACCIDENTADOS]:[VEHICULOS_ACCIDENTADOS2]],"VOLQUETA")</f>
        <v>0</v>
      </c>
      <c r="AC463" s="36">
        <f>COUNTIF(Tabla1[[#This Row],[VEHICULOS_ACCIDENTADOS]:[VEHICULOS_ACCIDENTADOS2]],"BICICLETA")</f>
        <v>0</v>
      </c>
      <c r="AD463" s="188" t="s">
        <v>471</v>
      </c>
      <c r="AE463" s="188" t="s">
        <v>471</v>
      </c>
      <c r="AF463" s="56">
        <f>COUNTIF(Tabla1[[#This Row],[GENERO_MASCULINO]:[GENERO_FEMENINO]],"MASCULINO")</f>
        <v>2</v>
      </c>
      <c r="AG463" s="36">
        <f>COUNTIF(Tabla1[[#This Row],[GENERO_MASCULINO]:[GENERO_FEMENINO]],"FEMENINO")</f>
        <v>0</v>
      </c>
      <c r="AH463" s="85">
        <v>22</v>
      </c>
      <c r="AI463" s="85">
        <v>65</v>
      </c>
      <c r="AJ463" s="85"/>
      <c r="AK463" s="78"/>
      <c r="AL463" s="78"/>
      <c r="AM463" s="59"/>
      <c r="AN463" s="61">
        <v>139</v>
      </c>
      <c r="AO463" s="59" t="str">
        <f>IFERROR(((VLOOKUP(Tabla1[[#This Row],[HIPOTESIS_1]],listas!$D$1:$E$105,2,FALSE))),"SIN INFORMACIÓN")</f>
        <v>Impericia en el manejo.</v>
      </c>
      <c r="AP463" s="36">
        <v>409</v>
      </c>
      <c r="AQ463" s="36" t="str">
        <f>IFERROR(((VLOOKUP(Tabla1[[#This Row],[HIPOTESIS_2]],listas!$D$1:$E$105,2,FALSE))),"")</f>
        <v>Cruzar sin observar.</v>
      </c>
      <c r="AR463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464" spans="1:44" x14ac:dyDescent="0.25">
      <c r="A464" s="12">
        <v>112</v>
      </c>
      <c r="B464" s="36">
        <v>0</v>
      </c>
      <c r="C464" s="36">
        <v>1</v>
      </c>
      <c r="D464" s="60">
        <v>0</v>
      </c>
      <c r="E464" s="18" t="str">
        <f t="shared" si="28"/>
        <v>LESIONADO</v>
      </c>
      <c r="F464" s="29" t="s">
        <v>397</v>
      </c>
      <c r="G464" s="17">
        <v>5.3183444444444445</v>
      </c>
      <c r="H464" s="17">
        <v>-72.397016666666673</v>
      </c>
      <c r="I464" s="93" t="s">
        <v>697</v>
      </c>
      <c r="J464" s="36" t="s">
        <v>717</v>
      </c>
      <c r="K464" s="24" t="str">
        <f t="shared" si="29"/>
        <v>2022</v>
      </c>
      <c r="L464" s="24" t="str">
        <f t="shared" si="30"/>
        <v>ABRIL</v>
      </c>
      <c r="M464" s="225">
        <v>44653</v>
      </c>
      <c r="N464" s="24" t="str">
        <f t="shared" si="31"/>
        <v>SÁBADO</v>
      </c>
      <c r="O464" s="103">
        <v>0.53472222222222199</v>
      </c>
      <c r="P464" s="63" t="s">
        <v>469</v>
      </c>
      <c r="Q464" s="63" t="s">
        <v>469</v>
      </c>
      <c r="R464" s="36">
        <f>COUNTIF(Tabla1[[#This Row],[VEHICULOS_ACCIDENTADOS]:[VEHICULOS_ACCIDENTADOS2]],"MOTOCICLETA")</f>
        <v>2</v>
      </c>
      <c r="S464" s="36">
        <f>COUNTIF(Tabla1[[#This Row],[VEHICULOS_ACCIDENTADOS]:[VEHICULOS_ACCIDENTADOS2]],"MOTOCARRO")</f>
        <v>0</v>
      </c>
      <c r="T464" s="36">
        <f>COUNTIF(Tabla1[[#This Row],[VEHICULOS_ACCIDENTADOS]:[VEHICULOS_ACCIDENTADOS2]],"AUTOMOVIL")</f>
        <v>0</v>
      </c>
      <c r="U464" s="36">
        <f>COUNTIF(Tabla1[[#This Row],[VEHICULOS_ACCIDENTADOS]:[VEHICULOS_ACCIDENTADOS2]],"CAMPERO")</f>
        <v>0</v>
      </c>
      <c r="V464" s="36">
        <f>COUNTIF(Tabla1[[#This Row],[VEHICULOS_ACCIDENTADOS]:[VEHICULOS_ACCIDENTADOS2]],"CAMIONETA")</f>
        <v>0</v>
      </c>
      <c r="W464" s="36">
        <f>COUNTIF(Tabla1[[#This Row],[VEHICULOS_ACCIDENTADOS]:[VEHICULOS_ACCIDENTADOS2]],"MICROBUS")</f>
        <v>0</v>
      </c>
      <c r="X464" s="36">
        <f>COUNTIF(Tabla1[[#This Row],[VEHICULOS_ACCIDENTADOS]:[VEHICULOS_ACCIDENTADOS2]],"BUS")</f>
        <v>0</v>
      </c>
      <c r="Y464" s="36">
        <f>COUNTIF(Tabla1[[#This Row],[VEHICULOS_ACCIDENTADOS]:[VEHICULOS_ACCIDENTADOS2]],"BUSETA")</f>
        <v>0</v>
      </c>
      <c r="Z464" s="36">
        <f>COUNTIF(Tabla1[[#This Row],[VEHICULOS_ACCIDENTADOS]:[VEHICULOS_ACCIDENTADOS2]],"CAMION")</f>
        <v>0</v>
      </c>
      <c r="AA464" s="36">
        <f>COUNTIF(Tabla1[[#This Row],[VEHICULOS_ACCIDENTADOS]:[VEHICULOS_ACCIDENTADOS2]],"TRACTOCAMION")</f>
        <v>0</v>
      </c>
      <c r="AB464" s="36">
        <f>COUNTIF(Tabla1[[#This Row],[VEHICULOS_ACCIDENTADOS]:[VEHICULOS_ACCIDENTADOS2]],"VOLQUETA")</f>
        <v>0</v>
      </c>
      <c r="AC464" s="36">
        <f>COUNTIF(Tabla1[[#This Row],[VEHICULOS_ACCIDENTADOS]:[VEHICULOS_ACCIDENTADOS2]],"BICICLETA")</f>
        <v>0</v>
      </c>
      <c r="AD464" s="56" t="s">
        <v>471</v>
      </c>
      <c r="AE464" s="56"/>
      <c r="AF464" s="56">
        <f>COUNTIF(Tabla1[[#This Row],[GENERO_MASCULINO]:[GENERO_FEMENINO]],"MASCULINO")</f>
        <v>1</v>
      </c>
      <c r="AG464" s="36">
        <f>COUNTIF(Tabla1[[#This Row],[GENERO_MASCULINO]:[GENERO_FEMENINO]],"FEMENINO")</f>
        <v>0</v>
      </c>
      <c r="AH464" s="79">
        <v>32</v>
      </c>
      <c r="AI464" s="79"/>
      <c r="AJ464" s="80"/>
      <c r="AK464" s="79"/>
      <c r="AL464" s="79"/>
      <c r="AM464" s="55"/>
      <c r="AN464" s="79">
        <v>115</v>
      </c>
      <c r="AO464" s="36" t="str">
        <f>IFERROR(((VLOOKUP(Tabla1[[#This Row],[HIPOTESIS_1]],listas!$D$1:$E$105,2,FALSE))),"SIN INFORMACIÓN")</f>
        <v>Embriaguez o Sustancias alucinogenas</v>
      </c>
      <c r="AP464" s="55">
        <v>409</v>
      </c>
      <c r="AQ464" s="36" t="str">
        <f>IFERROR(((VLOOKUP(Tabla1[[#This Row],[HIPOTESIS_2]],listas!$D$1:$E$105,2,FALSE))),"")</f>
        <v>Cruzar sin observar.</v>
      </c>
      <c r="AR464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465" spans="1:44" x14ac:dyDescent="0.25">
      <c r="A465" s="12">
        <v>664</v>
      </c>
      <c r="B465" s="135">
        <v>0</v>
      </c>
      <c r="C465" s="136">
        <v>1</v>
      </c>
      <c r="D465" s="148">
        <v>0</v>
      </c>
      <c r="E465" s="18" t="str">
        <f t="shared" si="28"/>
        <v>LESIONADO</v>
      </c>
      <c r="F465" s="26" t="s">
        <v>163</v>
      </c>
      <c r="G465" s="21">
        <v>5.340325</v>
      </c>
      <c r="H465" s="21">
        <v>-72.397594444444451</v>
      </c>
      <c r="I465" s="93" t="s">
        <v>697</v>
      </c>
      <c r="J465" s="136" t="s">
        <v>717</v>
      </c>
      <c r="K465" s="24" t="str">
        <f t="shared" si="29"/>
        <v>2024</v>
      </c>
      <c r="L465" s="24" t="str">
        <f t="shared" si="30"/>
        <v>FEBRERO</v>
      </c>
      <c r="M465" s="224">
        <v>45342</v>
      </c>
      <c r="N465" s="24" t="str">
        <f t="shared" si="31"/>
        <v>MARTES</v>
      </c>
      <c r="O465" s="104">
        <v>0.34722222222222227</v>
      </c>
      <c r="P465" s="178" t="s">
        <v>469</v>
      </c>
      <c r="Q465" s="178"/>
      <c r="R465" s="36">
        <f>COUNTIF(Tabla1[[#This Row],[VEHICULOS_ACCIDENTADOS]:[VEHICULOS_ACCIDENTADOS2]],"MOTOCICLETA")</f>
        <v>1</v>
      </c>
      <c r="S465" s="36">
        <f>COUNTIF(Tabla1[[#This Row],[VEHICULOS_ACCIDENTADOS]:[VEHICULOS_ACCIDENTADOS2]],"MOTOCARRO")</f>
        <v>0</v>
      </c>
      <c r="T465" s="36">
        <f>COUNTIF(Tabla1[[#This Row],[VEHICULOS_ACCIDENTADOS]:[VEHICULOS_ACCIDENTADOS2]],"AUTOMOVIL")</f>
        <v>0</v>
      </c>
      <c r="U465" s="36">
        <f>COUNTIF(Tabla1[[#This Row],[VEHICULOS_ACCIDENTADOS]:[VEHICULOS_ACCIDENTADOS2]],"CAMPERO")</f>
        <v>0</v>
      </c>
      <c r="V465" s="36">
        <f>COUNTIF(Tabla1[[#This Row],[VEHICULOS_ACCIDENTADOS]:[VEHICULOS_ACCIDENTADOS2]],"CAMIONETA")</f>
        <v>0</v>
      </c>
      <c r="W465" s="36">
        <f>COUNTIF(Tabla1[[#This Row],[VEHICULOS_ACCIDENTADOS]:[VEHICULOS_ACCIDENTADOS2]],"MICROBUS")</f>
        <v>0</v>
      </c>
      <c r="X465" s="36">
        <f>COUNTIF(Tabla1[[#This Row],[VEHICULOS_ACCIDENTADOS]:[VEHICULOS_ACCIDENTADOS2]],"BUS")</f>
        <v>0</v>
      </c>
      <c r="Y465" s="36">
        <f>COUNTIF(Tabla1[[#This Row],[VEHICULOS_ACCIDENTADOS]:[VEHICULOS_ACCIDENTADOS2]],"BUSETA")</f>
        <v>0</v>
      </c>
      <c r="Z465" s="36">
        <f>COUNTIF(Tabla1[[#This Row],[VEHICULOS_ACCIDENTADOS]:[VEHICULOS_ACCIDENTADOS2]],"CAMION")</f>
        <v>0</v>
      </c>
      <c r="AA465" s="36">
        <f>COUNTIF(Tabla1[[#This Row],[VEHICULOS_ACCIDENTADOS]:[VEHICULOS_ACCIDENTADOS2]],"TRACTOCAMION")</f>
        <v>0</v>
      </c>
      <c r="AB465" s="36">
        <f>COUNTIF(Tabla1[[#This Row],[VEHICULOS_ACCIDENTADOS]:[VEHICULOS_ACCIDENTADOS2]],"VOLQUETA")</f>
        <v>0</v>
      </c>
      <c r="AC465" s="36">
        <f>COUNTIF(Tabla1[[#This Row],[VEHICULOS_ACCIDENTADOS]:[VEHICULOS_ACCIDENTADOS2]],"BICICLETA")</f>
        <v>0</v>
      </c>
      <c r="AD465" s="190" t="s">
        <v>471</v>
      </c>
      <c r="AE465" s="190"/>
      <c r="AF465" s="190">
        <f>COUNTIF(Tabla1[[#This Row],[GENERO_MASCULINO]:[GENERO_FEMENINO]],"MASCULINO")</f>
        <v>1</v>
      </c>
      <c r="AG465" s="36">
        <f>COUNTIF(Tabla1[[#This Row],[GENERO_MASCULINO]:[GENERO_FEMENINO]],"FEMENINO")</f>
        <v>0</v>
      </c>
      <c r="AH465" s="85">
        <v>24</v>
      </c>
      <c r="AI465" s="85">
        <v>78</v>
      </c>
      <c r="AJ465" s="85"/>
      <c r="AK465" s="85"/>
      <c r="AL465" s="85"/>
      <c r="AM465" s="136"/>
      <c r="AN465" s="85">
        <v>139</v>
      </c>
      <c r="AO465" s="36" t="str">
        <f>IFERROR(((VLOOKUP(Tabla1[[#This Row],[HIPOTESIS_1]],listas!$D$1:$E$105,2,FALSE))),"SIN INFORMACIÓN")</f>
        <v>Impericia en el manejo.</v>
      </c>
      <c r="AP465" s="136">
        <v>409</v>
      </c>
      <c r="AQ465" s="36" t="str">
        <f>IFERROR(((VLOOKUP(Tabla1[[#This Row],[HIPOTESIS_2]],listas!$D$1:$E$105,2,FALSE))),"")</f>
        <v>Cruzar sin observar.</v>
      </c>
      <c r="AR465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466" spans="1:44" x14ac:dyDescent="0.25">
      <c r="A466" s="12">
        <v>648</v>
      </c>
      <c r="B466" s="135">
        <v>0</v>
      </c>
      <c r="C466" s="136">
        <v>1</v>
      </c>
      <c r="D466" s="148">
        <v>0</v>
      </c>
      <c r="E466" s="18" t="str">
        <f t="shared" si="28"/>
        <v>LESIONADO</v>
      </c>
      <c r="F466" s="26" t="s">
        <v>1118</v>
      </c>
      <c r="G466" s="17">
        <v>5.3388722222222222</v>
      </c>
      <c r="H466" s="17">
        <v>-72.395641666666677</v>
      </c>
      <c r="I466" s="93" t="s">
        <v>697</v>
      </c>
      <c r="J466" s="136" t="s">
        <v>717</v>
      </c>
      <c r="K466" s="24" t="str">
        <f t="shared" si="29"/>
        <v>2024</v>
      </c>
      <c r="L466" s="24" t="str">
        <f t="shared" si="30"/>
        <v>ENERO</v>
      </c>
      <c r="M466" s="224">
        <v>45316</v>
      </c>
      <c r="N466" s="24" t="str">
        <f t="shared" si="31"/>
        <v>JUEVES</v>
      </c>
      <c r="O466" s="104">
        <v>0.63541666666666663</v>
      </c>
      <c r="P466" s="178" t="s">
        <v>469</v>
      </c>
      <c r="Q466" s="178"/>
      <c r="R466" s="36">
        <f>COUNTIF(Tabla1[[#This Row],[VEHICULOS_ACCIDENTADOS]:[VEHICULOS_ACCIDENTADOS2]],"MOTOCICLETA")</f>
        <v>1</v>
      </c>
      <c r="S466" s="36">
        <f>COUNTIF(Tabla1[[#This Row],[VEHICULOS_ACCIDENTADOS]:[VEHICULOS_ACCIDENTADOS2]],"MOTOCARRO")</f>
        <v>0</v>
      </c>
      <c r="T466" s="36">
        <f>COUNTIF(Tabla1[[#This Row],[VEHICULOS_ACCIDENTADOS]:[VEHICULOS_ACCIDENTADOS2]],"AUTOMOVIL")</f>
        <v>0</v>
      </c>
      <c r="U466" s="36">
        <f>COUNTIF(Tabla1[[#This Row],[VEHICULOS_ACCIDENTADOS]:[VEHICULOS_ACCIDENTADOS2]],"CAMPERO")</f>
        <v>0</v>
      </c>
      <c r="V466" s="36">
        <f>COUNTIF(Tabla1[[#This Row],[VEHICULOS_ACCIDENTADOS]:[VEHICULOS_ACCIDENTADOS2]],"CAMIONETA")</f>
        <v>0</v>
      </c>
      <c r="W466" s="36">
        <f>COUNTIF(Tabla1[[#This Row],[VEHICULOS_ACCIDENTADOS]:[VEHICULOS_ACCIDENTADOS2]],"MICROBUS")</f>
        <v>0</v>
      </c>
      <c r="X466" s="36">
        <f>COUNTIF(Tabla1[[#This Row],[VEHICULOS_ACCIDENTADOS]:[VEHICULOS_ACCIDENTADOS2]],"BUS")</f>
        <v>0</v>
      </c>
      <c r="Y466" s="36">
        <f>COUNTIF(Tabla1[[#This Row],[VEHICULOS_ACCIDENTADOS]:[VEHICULOS_ACCIDENTADOS2]],"BUSETA")</f>
        <v>0</v>
      </c>
      <c r="Z466" s="36">
        <f>COUNTIF(Tabla1[[#This Row],[VEHICULOS_ACCIDENTADOS]:[VEHICULOS_ACCIDENTADOS2]],"CAMION")</f>
        <v>0</v>
      </c>
      <c r="AA466" s="36">
        <f>COUNTIF(Tabla1[[#This Row],[VEHICULOS_ACCIDENTADOS]:[VEHICULOS_ACCIDENTADOS2]],"TRACTOCAMION")</f>
        <v>0</v>
      </c>
      <c r="AB466" s="36">
        <f>COUNTIF(Tabla1[[#This Row],[VEHICULOS_ACCIDENTADOS]:[VEHICULOS_ACCIDENTADOS2]],"VOLQUETA")</f>
        <v>0</v>
      </c>
      <c r="AC466" s="36">
        <f>COUNTIF(Tabla1[[#This Row],[VEHICULOS_ACCIDENTADOS]:[VEHICULOS_ACCIDENTADOS2]],"BICICLETA")</f>
        <v>0</v>
      </c>
      <c r="AD466" s="190" t="s">
        <v>471</v>
      </c>
      <c r="AE466" s="190"/>
      <c r="AF466" s="190">
        <f>COUNTIF(Tabla1[[#This Row],[GENERO_MASCULINO]:[GENERO_FEMENINO]],"MASCULINO")</f>
        <v>1</v>
      </c>
      <c r="AG466" s="36">
        <f>COUNTIF(Tabla1[[#This Row],[GENERO_MASCULINO]:[GENERO_FEMENINO]],"FEMENINO")</f>
        <v>0</v>
      </c>
      <c r="AH466" s="85">
        <v>18</v>
      </c>
      <c r="AI466" s="85">
        <v>72</v>
      </c>
      <c r="AJ466" s="85"/>
      <c r="AK466" s="85"/>
      <c r="AL466" s="85"/>
      <c r="AM466" s="136"/>
      <c r="AN466" s="85">
        <v>157</v>
      </c>
      <c r="AO466" s="36" t="str">
        <f>IFERROR(((VLOOKUP(Tabla1[[#This Row],[HIPOTESIS_1]],listas!$D$1:$E$105,2,FALSE))),"SIN INFORMACIÓN")</f>
        <v>Otra</v>
      </c>
      <c r="AP466" s="136">
        <v>409</v>
      </c>
      <c r="AQ466" s="36" t="str">
        <f>IFERROR(((VLOOKUP(Tabla1[[#This Row],[HIPOTESIS_2]],listas!$D$1:$E$105,2,FALSE))),"")</f>
        <v>Cruzar sin observar.</v>
      </c>
      <c r="AR466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467" spans="1:44" x14ac:dyDescent="0.25">
      <c r="A467" s="12">
        <v>580</v>
      </c>
      <c r="B467" s="36">
        <v>0</v>
      </c>
      <c r="C467" s="36">
        <v>0</v>
      </c>
      <c r="D467" s="60">
        <v>1</v>
      </c>
      <c r="E467" s="18" t="str">
        <f t="shared" si="28"/>
        <v>FALLECIDO</v>
      </c>
      <c r="F467" s="29" t="s">
        <v>930</v>
      </c>
      <c r="G467" s="21">
        <v>5.337502777777777</v>
      </c>
      <c r="H467" s="21">
        <v>-72.393797222222233</v>
      </c>
      <c r="I467" s="93" t="s">
        <v>697</v>
      </c>
      <c r="J467" s="36" t="s">
        <v>717</v>
      </c>
      <c r="K467" s="24" t="str">
        <f t="shared" si="29"/>
        <v>2023</v>
      </c>
      <c r="L467" s="24" t="str">
        <f t="shared" si="30"/>
        <v>OCTUBRE</v>
      </c>
      <c r="M467" s="225">
        <v>45222</v>
      </c>
      <c r="N467" s="24" t="str">
        <f t="shared" si="31"/>
        <v>LUNES</v>
      </c>
      <c r="O467" s="103">
        <v>0.66666666666666663</v>
      </c>
      <c r="P467" s="57" t="s">
        <v>469</v>
      </c>
      <c r="Q467" s="57"/>
      <c r="R467" s="36">
        <f>COUNTIF(Tabla1[[#This Row],[VEHICULOS_ACCIDENTADOS]:[VEHICULOS_ACCIDENTADOS2]],"MOTOCICLETA")</f>
        <v>1</v>
      </c>
      <c r="S467" s="36">
        <f>COUNTIF(Tabla1[[#This Row],[VEHICULOS_ACCIDENTADOS]:[VEHICULOS_ACCIDENTADOS2]],"MOTOCARRO")</f>
        <v>0</v>
      </c>
      <c r="T467" s="36">
        <f>COUNTIF(Tabla1[[#This Row],[VEHICULOS_ACCIDENTADOS]:[VEHICULOS_ACCIDENTADOS2]],"AUTOMOVIL")</f>
        <v>0</v>
      </c>
      <c r="U467" s="36">
        <f>COUNTIF(Tabla1[[#This Row],[VEHICULOS_ACCIDENTADOS]:[VEHICULOS_ACCIDENTADOS2]],"CAMPERO")</f>
        <v>0</v>
      </c>
      <c r="V467" s="36">
        <f>COUNTIF(Tabla1[[#This Row],[VEHICULOS_ACCIDENTADOS]:[VEHICULOS_ACCIDENTADOS2]],"CAMIONETA")</f>
        <v>0</v>
      </c>
      <c r="W467" s="36">
        <f>COUNTIF(Tabla1[[#This Row],[VEHICULOS_ACCIDENTADOS]:[VEHICULOS_ACCIDENTADOS2]],"MICROBUS")</f>
        <v>0</v>
      </c>
      <c r="X467" s="36">
        <f>COUNTIF(Tabla1[[#This Row],[VEHICULOS_ACCIDENTADOS]:[VEHICULOS_ACCIDENTADOS2]],"BUS")</f>
        <v>0</v>
      </c>
      <c r="Y467" s="36">
        <f>COUNTIF(Tabla1[[#This Row],[VEHICULOS_ACCIDENTADOS]:[VEHICULOS_ACCIDENTADOS2]],"BUSETA")</f>
        <v>0</v>
      </c>
      <c r="Z467" s="36">
        <f>COUNTIF(Tabla1[[#This Row],[VEHICULOS_ACCIDENTADOS]:[VEHICULOS_ACCIDENTADOS2]],"CAMION")</f>
        <v>0</v>
      </c>
      <c r="AA467" s="36">
        <f>COUNTIF(Tabla1[[#This Row],[VEHICULOS_ACCIDENTADOS]:[VEHICULOS_ACCIDENTADOS2]],"TRACTOCAMION")</f>
        <v>0</v>
      </c>
      <c r="AB467" s="36">
        <f>COUNTIF(Tabla1[[#This Row],[VEHICULOS_ACCIDENTADOS]:[VEHICULOS_ACCIDENTADOS2]],"VOLQUETA")</f>
        <v>0</v>
      </c>
      <c r="AC467" s="36">
        <f>COUNTIF(Tabla1[[#This Row],[VEHICULOS_ACCIDENTADOS]:[VEHICULOS_ACCIDENTADOS2]],"BICICLETA")</f>
        <v>0</v>
      </c>
      <c r="AD467" s="56" t="s">
        <v>471</v>
      </c>
      <c r="AE467" s="56"/>
      <c r="AF467" s="56">
        <f>COUNTIF(Tabla1[[#This Row],[GENERO_MASCULINO]:[GENERO_FEMENINO]],"MASCULINO")</f>
        <v>1</v>
      </c>
      <c r="AG467" s="36">
        <f>COUNTIF(Tabla1[[#This Row],[GENERO_MASCULINO]:[GENERO_FEMENINO]],"FEMENINO")</f>
        <v>0</v>
      </c>
      <c r="AH467" s="61"/>
      <c r="AI467" s="61"/>
      <c r="AJ467" s="61"/>
      <c r="AK467" s="61"/>
      <c r="AL467" s="61"/>
      <c r="AM467" s="36">
        <v>68</v>
      </c>
      <c r="AN467" s="61">
        <v>139</v>
      </c>
      <c r="AO467" s="36" t="str">
        <f>IFERROR(((VLOOKUP(Tabla1[[#This Row],[HIPOTESIS_1]],listas!$D$1:$E$105,2,FALSE))),"SIN INFORMACIÓN")</f>
        <v>Impericia en el manejo.</v>
      </c>
      <c r="AP467" s="36">
        <v>409</v>
      </c>
      <c r="AQ467" s="36" t="str">
        <f>IFERROR(((VLOOKUP(Tabla1[[#This Row],[HIPOTESIS_2]],listas!$D$1:$E$105,2,FALSE))),"")</f>
        <v>Cruzar sin observar.</v>
      </c>
      <c r="AR467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468" spans="1:44" x14ac:dyDescent="0.25">
      <c r="A468" s="12">
        <v>1029</v>
      </c>
      <c r="B468" s="137">
        <v>0</v>
      </c>
      <c r="C468" s="137">
        <v>1</v>
      </c>
      <c r="D468" s="146">
        <v>0</v>
      </c>
      <c r="E468" s="18" t="str">
        <f t="shared" si="28"/>
        <v>LESIONADO</v>
      </c>
      <c r="F468" s="152" t="s">
        <v>936</v>
      </c>
      <c r="G468" s="30">
        <v>5.3497640000000004</v>
      </c>
      <c r="H468" s="30">
        <v>-72.399203</v>
      </c>
      <c r="I468" s="93" t="s">
        <v>697</v>
      </c>
      <c r="J468" s="36" t="s">
        <v>717</v>
      </c>
      <c r="K468" s="24" t="str">
        <f t="shared" si="29"/>
        <v>2025</v>
      </c>
      <c r="L468" s="24" t="str">
        <f t="shared" si="30"/>
        <v>AGOSTO</v>
      </c>
      <c r="M468" s="225">
        <v>45870</v>
      </c>
      <c r="N468" s="24" t="str">
        <f t="shared" si="31"/>
        <v>VIERNES</v>
      </c>
      <c r="O468" s="103">
        <v>0.30555555555555552</v>
      </c>
      <c r="P468" s="63" t="s">
        <v>444</v>
      </c>
      <c r="Q468" s="63" t="s">
        <v>469</v>
      </c>
      <c r="R468" s="36">
        <f>COUNTIF(Tabla1[[#This Row],[VEHICULOS_ACCIDENTADOS]:[VEHICULOS_ACCIDENTADOS2]],"MOTOCICLETA")</f>
        <v>1</v>
      </c>
      <c r="S468" s="36">
        <f>COUNTIF(Tabla1[[#This Row],[VEHICULOS_ACCIDENTADOS]:[VEHICULOS_ACCIDENTADOS2]],"MOTOCARRO")</f>
        <v>0</v>
      </c>
      <c r="T468" s="36">
        <f>COUNTIF(Tabla1[[#This Row],[VEHICULOS_ACCIDENTADOS]:[VEHICULOS_ACCIDENTADOS2]],"AUTOMOVIL")</f>
        <v>0</v>
      </c>
      <c r="U468" s="36">
        <f>COUNTIF(Tabla1[[#This Row],[VEHICULOS_ACCIDENTADOS]:[VEHICULOS_ACCIDENTADOS2]],"CAMPERO")</f>
        <v>0</v>
      </c>
      <c r="V468" s="36">
        <f>COUNTIF(Tabla1[[#This Row],[VEHICULOS_ACCIDENTADOS]:[VEHICULOS_ACCIDENTADOS2]],"CAMIONETA")</f>
        <v>0</v>
      </c>
      <c r="W468" s="36">
        <f>COUNTIF(Tabla1[[#This Row],[VEHICULOS_ACCIDENTADOS]:[VEHICULOS_ACCIDENTADOS2]],"MICROBUS")</f>
        <v>1</v>
      </c>
      <c r="X468" s="36">
        <f>COUNTIF(Tabla1[[#This Row],[VEHICULOS_ACCIDENTADOS]:[VEHICULOS_ACCIDENTADOS2]],"BUS")</f>
        <v>0</v>
      </c>
      <c r="Y468" s="36">
        <f>COUNTIF(Tabla1[[#This Row],[VEHICULOS_ACCIDENTADOS]:[VEHICULOS_ACCIDENTADOS2]],"BUSETA")</f>
        <v>0</v>
      </c>
      <c r="Z468" s="36">
        <f>COUNTIF(Tabla1[[#This Row],[VEHICULOS_ACCIDENTADOS]:[VEHICULOS_ACCIDENTADOS2]],"CAMION")</f>
        <v>0</v>
      </c>
      <c r="AA468" s="36">
        <f>COUNTIF(Tabla1[[#This Row],[VEHICULOS_ACCIDENTADOS]:[VEHICULOS_ACCIDENTADOS2]],"TRACTOCAMION")</f>
        <v>0</v>
      </c>
      <c r="AB468" s="36">
        <f>COUNTIF(Tabla1[[#This Row],[VEHICULOS_ACCIDENTADOS]:[VEHICULOS_ACCIDENTADOS2]],"VOLQUETA")</f>
        <v>0</v>
      </c>
      <c r="AC468" s="36">
        <f>COUNTIF(Tabla1[[#This Row],[VEHICULOS_ACCIDENTADOS]:[VEHICULOS_ACCIDENTADOS2]],"BICICLETA")</f>
        <v>0</v>
      </c>
      <c r="AD468" s="188" t="s">
        <v>471</v>
      </c>
      <c r="AE468" s="188" t="s">
        <v>472</v>
      </c>
      <c r="AF468" s="56">
        <f>COUNTIF(Tabla1[[#This Row],[GENERO_MASCULINO]:[GENERO_FEMENINO]],"MASCULINO")</f>
        <v>1</v>
      </c>
      <c r="AG468" s="36">
        <f>COUNTIF(Tabla1[[#This Row],[GENERO_MASCULINO]:[GENERO_FEMENINO]],"FEMENINO")</f>
        <v>1</v>
      </c>
      <c r="AH468" s="85">
        <v>70</v>
      </c>
      <c r="AI468" s="85">
        <v>28</v>
      </c>
      <c r="AJ468" s="85"/>
      <c r="AK468" s="78"/>
      <c r="AL468" s="78"/>
      <c r="AM468" s="59"/>
      <c r="AN468" s="61">
        <v>112</v>
      </c>
      <c r="AO468" s="59" t="str">
        <f>IFERROR(((VLOOKUP(Tabla1[[#This Row],[HIPOTESIS_1]],listas!$D$1:$E$105,2,FALSE))),"SIN INFORMACIÓN")</f>
        <v>Desobedecer señales o normas de tránsito.</v>
      </c>
      <c r="AP468" s="36">
        <v>409</v>
      </c>
      <c r="AQ468" s="36" t="str">
        <f>IFERROR(((VLOOKUP(Tabla1[[#This Row],[HIPOTESIS_2]],listas!$D$1:$E$105,2,FALSE))),"")</f>
        <v>Cruzar sin observar.</v>
      </c>
      <c r="AR468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469" spans="1:44" x14ac:dyDescent="0.25">
      <c r="A469" s="12">
        <v>671</v>
      </c>
      <c r="B469" s="136">
        <v>0</v>
      </c>
      <c r="C469" s="136">
        <v>1</v>
      </c>
      <c r="D469" s="148">
        <v>0</v>
      </c>
      <c r="E469" s="18" t="str">
        <f t="shared" si="28"/>
        <v>LESIONADO</v>
      </c>
      <c r="F469" s="26" t="s">
        <v>159</v>
      </c>
      <c r="G469" s="21">
        <v>5.3360722222222217</v>
      </c>
      <c r="H469" s="21">
        <v>-72.390266666666676</v>
      </c>
      <c r="I469" s="93" t="s">
        <v>697</v>
      </c>
      <c r="J469" s="136" t="s">
        <v>717</v>
      </c>
      <c r="K469" s="24" t="str">
        <f t="shared" si="29"/>
        <v>2024</v>
      </c>
      <c r="L469" s="24" t="str">
        <f t="shared" si="30"/>
        <v>MARZO</v>
      </c>
      <c r="M469" s="224">
        <v>45353</v>
      </c>
      <c r="N469" s="24" t="str">
        <f t="shared" si="31"/>
        <v>SÁBADO</v>
      </c>
      <c r="O469" s="104">
        <v>0.8125</v>
      </c>
      <c r="P469" s="178" t="s">
        <v>469</v>
      </c>
      <c r="Q469" s="178"/>
      <c r="R469" s="36">
        <f>COUNTIF(Tabla1[[#This Row],[VEHICULOS_ACCIDENTADOS]:[VEHICULOS_ACCIDENTADOS2]],"MOTOCICLETA")</f>
        <v>1</v>
      </c>
      <c r="S469" s="36">
        <f>COUNTIF(Tabla1[[#This Row],[VEHICULOS_ACCIDENTADOS]:[VEHICULOS_ACCIDENTADOS2]],"MOTOCARRO")</f>
        <v>0</v>
      </c>
      <c r="T469" s="36">
        <f>COUNTIF(Tabla1[[#This Row],[VEHICULOS_ACCIDENTADOS]:[VEHICULOS_ACCIDENTADOS2]],"AUTOMOVIL")</f>
        <v>0</v>
      </c>
      <c r="U469" s="36">
        <f>COUNTIF(Tabla1[[#This Row],[VEHICULOS_ACCIDENTADOS]:[VEHICULOS_ACCIDENTADOS2]],"CAMPERO")</f>
        <v>0</v>
      </c>
      <c r="V469" s="36">
        <f>COUNTIF(Tabla1[[#This Row],[VEHICULOS_ACCIDENTADOS]:[VEHICULOS_ACCIDENTADOS2]],"CAMIONETA")</f>
        <v>0</v>
      </c>
      <c r="W469" s="36">
        <f>COUNTIF(Tabla1[[#This Row],[VEHICULOS_ACCIDENTADOS]:[VEHICULOS_ACCIDENTADOS2]],"MICROBUS")</f>
        <v>0</v>
      </c>
      <c r="X469" s="36">
        <f>COUNTIF(Tabla1[[#This Row],[VEHICULOS_ACCIDENTADOS]:[VEHICULOS_ACCIDENTADOS2]],"BUS")</f>
        <v>0</v>
      </c>
      <c r="Y469" s="36">
        <f>COUNTIF(Tabla1[[#This Row],[VEHICULOS_ACCIDENTADOS]:[VEHICULOS_ACCIDENTADOS2]],"BUSETA")</f>
        <v>0</v>
      </c>
      <c r="Z469" s="36">
        <f>COUNTIF(Tabla1[[#This Row],[VEHICULOS_ACCIDENTADOS]:[VEHICULOS_ACCIDENTADOS2]],"CAMION")</f>
        <v>0</v>
      </c>
      <c r="AA469" s="36">
        <f>COUNTIF(Tabla1[[#This Row],[VEHICULOS_ACCIDENTADOS]:[VEHICULOS_ACCIDENTADOS2]],"TRACTOCAMION")</f>
        <v>0</v>
      </c>
      <c r="AB469" s="36">
        <f>COUNTIF(Tabla1[[#This Row],[VEHICULOS_ACCIDENTADOS]:[VEHICULOS_ACCIDENTADOS2]],"VOLQUETA")</f>
        <v>0</v>
      </c>
      <c r="AC469" s="36">
        <f>COUNTIF(Tabla1[[#This Row],[VEHICULOS_ACCIDENTADOS]:[VEHICULOS_ACCIDENTADOS2]],"BICICLETA")</f>
        <v>0</v>
      </c>
      <c r="AD469" s="190" t="s">
        <v>471</v>
      </c>
      <c r="AE469" s="190"/>
      <c r="AF469" s="190">
        <f>COUNTIF(Tabla1[[#This Row],[GENERO_MASCULINO]:[GENERO_FEMENINO]],"MASCULINO")</f>
        <v>1</v>
      </c>
      <c r="AG469" s="36">
        <f>COUNTIF(Tabla1[[#This Row],[GENERO_MASCULINO]:[GENERO_FEMENINO]],"FEMENINO")</f>
        <v>0</v>
      </c>
      <c r="AH469" s="85">
        <v>18</v>
      </c>
      <c r="AI469" s="85">
        <v>56</v>
      </c>
      <c r="AJ469" s="85"/>
      <c r="AK469" s="85"/>
      <c r="AL469" s="85"/>
      <c r="AM469" s="136"/>
      <c r="AN469" s="85">
        <v>116</v>
      </c>
      <c r="AO469" s="36" t="str">
        <f>IFERROR(((VLOOKUP(Tabla1[[#This Row],[HIPOTESIS_1]],listas!$D$1:$E$105,2,FALSE))),"SIN INFORMACIÓN")</f>
        <v>Exceso de velocidad</v>
      </c>
      <c r="AP469" s="136">
        <v>409</v>
      </c>
      <c r="AQ469" s="36" t="str">
        <f>IFERROR(((VLOOKUP(Tabla1[[#This Row],[HIPOTESIS_2]],listas!$D$1:$E$105,2,FALSE))),"")</f>
        <v>Cruzar sin observar.</v>
      </c>
      <c r="AR469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470" spans="1:44" x14ac:dyDescent="0.25">
      <c r="A470" s="12">
        <v>1079</v>
      </c>
      <c r="B470" s="249">
        <v>0</v>
      </c>
      <c r="C470" s="249">
        <v>1</v>
      </c>
      <c r="D470" s="250">
        <v>0</v>
      </c>
      <c r="E470" s="24" t="str">
        <f t="shared" si="28"/>
        <v>LESIONADO</v>
      </c>
      <c r="F470" s="155" t="s">
        <v>719</v>
      </c>
      <c r="G470" s="30">
        <v>5.3362770429999999</v>
      </c>
      <c r="H470" s="30">
        <v>-72.385162649999998</v>
      </c>
      <c r="I470" s="165" t="s">
        <v>697</v>
      </c>
      <c r="J470" s="36" t="s">
        <v>717</v>
      </c>
      <c r="K470" s="24" t="str">
        <f t="shared" si="29"/>
        <v>2025</v>
      </c>
      <c r="L470" s="24" t="str">
        <f t="shared" si="30"/>
        <v>SEPTIEMBRE</v>
      </c>
      <c r="M470" s="225">
        <v>45925</v>
      </c>
      <c r="N470" s="24" t="str">
        <f t="shared" si="31"/>
        <v>JUEVES</v>
      </c>
      <c r="O470" s="103">
        <v>0.75069444444444444</v>
      </c>
      <c r="P470" s="63" t="s">
        <v>469</v>
      </c>
      <c r="Q470" s="63"/>
      <c r="R470" s="36">
        <f>COUNTIF(Tabla1[[#This Row],[VEHICULOS_ACCIDENTADOS]:[VEHICULOS_ACCIDENTADOS2]],"MOTOCICLETA")</f>
        <v>1</v>
      </c>
      <c r="S470" s="36">
        <f>COUNTIF(Tabla1[[#This Row],[VEHICULOS_ACCIDENTADOS]:[VEHICULOS_ACCIDENTADOS2]],"MOTOCARRO")</f>
        <v>0</v>
      </c>
      <c r="T470" s="36">
        <f>COUNTIF(Tabla1[[#This Row],[VEHICULOS_ACCIDENTADOS]:[VEHICULOS_ACCIDENTADOS2]],"AUTOMOVIL")</f>
        <v>0</v>
      </c>
      <c r="U470" s="36">
        <f>COUNTIF(Tabla1[[#This Row],[VEHICULOS_ACCIDENTADOS]:[VEHICULOS_ACCIDENTADOS2]],"CAMPERO")</f>
        <v>0</v>
      </c>
      <c r="V470" s="36">
        <f>COUNTIF(Tabla1[[#This Row],[VEHICULOS_ACCIDENTADOS]:[VEHICULOS_ACCIDENTADOS2]],"CAMIONETA")</f>
        <v>0</v>
      </c>
      <c r="W470" s="36">
        <f>COUNTIF(Tabla1[[#This Row],[VEHICULOS_ACCIDENTADOS]:[VEHICULOS_ACCIDENTADOS2]],"MICROBUS")</f>
        <v>0</v>
      </c>
      <c r="X470" s="36">
        <f>COUNTIF(Tabla1[[#This Row],[VEHICULOS_ACCIDENTADOS]:[VEHICULOS_ACCIDENTADOS2]],"BUS")</f>
        <v>0</v>
      </c>
      <c r="Y470" s="36">
        <f>COUNTIF(Tabla1[[#This Row],[VEHICULOS_ACCIDENTADOS]:[VEHICULOS_ACCIDENTADOS2]],"BUSETA")</f>
        <v>0</v>
      </c>
      <c r="Z470" s="36">
        <f>COUNTIF(Tabla1[[#This Row],[VEHICULOS_ACCIDENTADOS]:[VEHICULOS_ACCIDENTADOS2]],"CAMION")</f>
        <v>0</v>
      </c>
      <c r="AA470" s="36">
        <f>COUNTIF(Tabla1[[#This Row],[VEHICULOS_ACCIDENTADOS]:[VEHICULOS_ACCIDENTADOS2]],"TRACTOCAMION")</f>
        <v>0</v>
      </c>
      <c r="AB470" s="36">
        <f>COUNTIF(Tabla1[[#This Row],[VEHICULOS_ACCIDENTADOS]:[VEHICULOS_ACCIDENTADOS2]],"VOLQUETA")</f>
        <v>0</v>
      </c>
      <c r="AC470" s="36">
        <f>COUNTIF(Tabla1[[#This Row],[VEHICULOS_ACCIDENTADOS]:[VEHICULOS_ACCIDENTADOS2]],"BICICLETA")</f>
        <v>0</v>
      </c>
      <c r="AD470" s="188" t="s">
        <v>471</v>
      </c>
      <c r="AE470" s="188" t="s">
        <v>471</v>
      </c>
      <c r="AF470" s="56">
        <f>COUNTIF(Tabla1[[#This Row],[GENERO_MASCULINO]:[GENERO_FEMENINO]],"MASCULINO")</f>
        <v>2</v>
      </c>
      <c r="AG470" s="36">
        <f>COUNTIF(Tabla1[[#This Row],[GENERO_MASCULINO]:[GENERO_FEMENINO]],"FEMENINO")</f>
        <v>0</v>
      </c>
      <c r="AH470" s="85">
        <v>18</v>
      </c>
      <c r="AI470" s="85">
        <v>72</v>
      </c>
      <c r="AJ470" s="85"/>
      <c r="AK470" s="78"/>
      <c r="AL470" s="78"/>
      <c r="AM470" s="59"/>
      <c r="AN470" s="61">
        <v>157</v>
      </c>
      <c r="AO470" s="59" t="str">
        <f>IFERROR(((VLOOKUP(Tabla1[[#This Row],[HIPOTESIS_1]],listas!$D$1:$E$105,2,FALSE))),"SIN INFORMACIÓN")</f>
        <v>Otra</v>
      </c>
      <c r="AP470" s="36">
        <v>409</v>
      </c>
      <c r="AQ470" s="36" t="str">
        <f>IFERROR(((VLOOKUP(Tabla1[[#This Row],[HIPOTESIS_2]],listas!$D$1:$E$105,2,FALSE))),"")</f>
        <v>Cruzar sin observar.</v>
      </c>
      <c r="AR470" s="2" t="str">
        <f>IF(HOUR(Tabla1[[#This Row],[HORA_ACCIDENTE]])&lt;6,"MAÑANA",
 IF(HOUR(Tabla1[[#This Row],[HORA_ACCIDENTE]])&lt;12,"MAÑANA",
 IF(HOUR(Tabla1[[#This Row],[HORA_ACCIDENTE]])&lt;18,"TARDE","NOCHE")))</f>
        <v>NOCHE</v>
      </c>
    </row>
    <row r="471" spans="1:44" x14ac:dyDescent="0.25">
      <c r="A471" s="12">
        <v>1025</v>
      </c>
      <c r="B471" s="137">
        <v>0</v>
      </c>
      <c r="C471" s="137">
        <v>1</v>
      </c>
      <c r="D471" s="146">
        <v>0</v>
      </c>
      <c r="E471" s="24" t="str">
        <f t="shared" si="28"/>
        <v>LESIONADO</v>
      </c>
      <c r="F471" s="152" t="s">
        <v>712</v>
      </c>
      <c r="G471" s="30">
        <v>5.3380599999999996</v>
      </c>
      <c r="H471" s="30">
        <f>-72.384395</f>
        <v>-72.384394999999998</v>
      </c>
      <c r="I471" s="93" t="s">
        <v>697</v>
      </c>
      <c r="J471" s="36" t="s">
        <v>717</v>
      </c>
      <c r="K471" s="24" t="str">
        <f t="shared" si="29"/>
        <v>2025</v>
      </c>
      <c r="L471" s="24" t="str">
        <f t="shared" si="30"/>
        <v>JULIO</v>
      </c>
      <c r="M471" s="225">
        <v>45868</v>
      </c>
      <c r="N471" s="24" t="str">
        <f t="shared" si="31"/>
        <v>MIÉRCOLES</v>
      </c>
      <c r="O471" s="103">
        <v>0.89583333333333337</v>
      </c>
      <c r="P471" s="63" t="s">
        <v>469</v>
      </c>
      <c r="Q471" s="63"/>
      <c r="R471" s="36">
        <f>COUNTIF(Tabla1[[#This Row],[VEHICULOS_ACCIDENTADOS]:[VEHICULOS_ACCIDENTADOS2]],"MOTOCICLETA")</f>
        <v>1</v>
      </c>
      <c r="S471" s="36">
        <f>COUNTIF(Tabla1[[#This Row],[VEHICULOS_ACCIDENTADOS]:[VEHICULOS_ACCIDENTADOS2]],"MOTOCARRO")</f>
        <v>0</v>
      </c>
      <c r="T471" s="36">
        <f>COUNTIF(Tabla1[[#This Row],[VEHICULOS_ACCIDENTADOS]:[VEHICULOS_ACCIDENTADOS2]],"AUTOMOVIL")</f>
        <v>0</v>
      </c>
      <c r="U471" s="36">
        <f>COUNTIF(Tabla1[[#This Row],[VEHICULOS_ACCIDENTADOS]:[VEHICULOS_ACCIDENTADOS2]],"CAMPERO")</f>
        <v>0</v>
      </c>
      <c r="V471" s="36">
        <f>COUNTIF(Tabla1[[#This Row],[VEHICULOS_ACCIDENTADOS]:[VEHICULOS_ACCIDENTADOS2]],"CAMIONETA")</f>
        <v>0</v>
      </c>
      <c r="W471" s="36">
        <f>COUNTIF(Tabla1[[#This Row],[VEHICULOS_ACCIDENTADOS]:[VEHICULOS_ACCIDENTADOS2]],"MICROBUS")</f>
        <v>0</v>
      </c>
      <c r="X471" s="36">
        <f>COUNTIF(Tabla1[[#This Row],[VEHICULOS_ACCIDENTADOS]:[VEHICULOS_ACCIDENTADOS2]],"BUS")</f>
        <v>0</v>
      </c>
      <c r="Y471" s="36">
        <f>COUNTIF(Tabla1[[#This Row],[VEHICULOS_ACCIDENTADOS]:[VEHICULOS_ACCIDENTADOS2]],"BUSETA")</f>
        <v>0</v>
      </c>
      <c r="Z471" s="36">
        <f>COUNTIF(Tabla1[[#This Row],[VEHICULOS_ACCIDENTADOS]:[VEHICULOS_ACCIDENTADOS2]],"CAMION")</f>
        <v>0</v>
      </c>
      <c r="AA471" s="36">
        <f>COUNTIF(Tabla1[[#This Row],[VEHICULOS_ACCIDENTADOS]:[VEHICULOS_ACCIDENTADOS2]],"TRACTOCAMION")</f>
        <v>0</v>
      </c>
      <c r="AB471" s="36">
        <f>COUNTIF(Tabla1[[#This Row],[VEHICULOS_ACCIDENTADOS]:[VEHICULOS_ACCIDENTADOS2]],"VOLQUETA")</f>
        <v>0</v>
      </c>
      <c r="AC471" s="36">
        <f>COUNTIF(Tabla1[[#This Row],[VEHICULOS_ACCIDENTADOS]:[VEHICULOS_ACCIDENTADOS2]],"BICICLETA")</f>
        <v>0</v>
      </c>
      <c r="AD471" s="188" t="s">
        <v>472</v>
      </c>
      <c r="AE471" s="188" t="s">
        <v>471</v>
      </c>
      <c r="AF471" s="56">
        <f>COUNTIF(Tabla1[[#This Row],[GENERO_MASCULINO]:[GENERO_FEMENINO]],"MASCULINO")</f>
        <v>1</v>
      </c>
      <c r="AG471" s="36">
        <f>COUNTIF(Tabla1[[#This Row],[GENERO_MASCULINO]:[GENERO_FEMENINO]],"FEMENINO")</f>
        <v>1</v>
      </c>
      <c r="AH471" s="85">
        <v>18</v>
      </c>
      <c r="AI471" s="85">
        <v>71</v>
      </c>
      <c r="AJ471" s="85"/>
      <c r="AK471" s="78"/>
      <c r="AL471" s="78"/>
      <c r="AM471" s="59"/>
      <c r="AN471" s="61">
        <v>411</v>
      </c>
      <c r="AO471" s="59" t="str">
        <f>IFERROR(((VLOOKUP(Tabla1[[#This Row],[HIPOTESIS_1]],listas!$D$1:$E$105,2,FALSE))),"SIN INFORMACIÓN")</f>
        <v>Otra</v>
      </c>
      <c r="AP471" s="36">
        <v>409</v>
      </c>
      <c r="AQ471" s="36" t="str">
        <f>IFERROR(((VLOOKUP(Tabla1[[#This Row],[HIPOTESIS_2]],listas!$D$1:$E$105,2,FALSE))),"")</f>
        <v>Cruzar sin observar.</v>
      </c>
      <c r="AR471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472" spans="1:44" ht="13.8" customHeight="1" x14ac:dyDescent="0.25">
      <c r="A472" s="12">
        <v>382</v>
      </c>
      <c r="B472" s="36">
        <v>0</v>
      </c>
      <c r="C472" s="36">
        <v>1</v>
      </c>
      <c r="D472" s="60">
        <v>0</v>
      </c>
      <c r="E472" s="18" t="str">
        <f t="shared" si="28"/>
        <v>LESIONADO</v>
      </c>
      <c r="F472" s="29" t="s">
        <v>1013</v>
      </c>
      <c r="G472" s="17">
        <v>5.3402694444444441</v>
      </c>
      <c r="H472" s="17">
        <v>-72.397541666666669</v>
      </c>
      <c r="I472" s="93" t="s">
        <v>697</v>
      </c>
      <c r="J472" s="36" t="s">
        <v>717</v>
      </c>
      <c r="K472" s="24" t="str">
        <f t="shared" si="29"/>
        <v>2022</v>
      </c>
      <c r="L472" s="24" t="str">
        <f t="shared" si="30"/>
        <v>DICIEMBRE</v>
      </c>
      <c r="M472" s="225">
        <v>44925</v>
      </c>
      <c r="N472" s="24" t="str">
        <f t="shared" si="31"/>
        <v>VIERNES</v>
      </c>
      <c r="O472" s="170">
        <v>0.38194444444444398</v>
      </c>
      <c r="P472" s="53" t="s">
        <v>444</v>
      </c>
      <c r="Q472" s="53"/>
      <c r="R472" s="36">
        <f>COUNTIF(Tabla1[[#This Row],[VEHICULOS_ACCIDENTADOS]:[VEHICULOS_ACCIDENTADOS2]],"MOTOCICLETA")</f>
        <v>0</v>
      </c>
      <c r="S472" s="36">
        <f>COUNTIF(Tabla1[[#This Row],[VEHICULOS_ACCIDENTADOS]:[VEHICULOS_ACCIDENTADOS2]],"MOTOCARRO")</f>
        <v>0</v>
      </c>
      <c r="T472" s="36">
        <f>COUNTIF(Tabla1[[#This Row],[VEHICULOS_ACCIDENTADOS]:[VEHICULOS_ACCIDENTADOS2]],"AUTOMOVIL")</f>
        <v>0</v>
      </c>
      <c r="U472" s="36">
        <f>COUNTIF(Tabla1[[#This Row],[VEHICULOS_ACCIDENTADOS]:[VEHICULOS_ACCIDENTADOS2]],"CAMPERO")</f>
        <v>0</v>
      </c>
      <c r="V472" s="36">
        <f>COUNTIF(Tabla1[[#This Row],[VEHICULOS_ACCIDENTADOS]:[VEHICULOS_ACCIDENTADOS2]],"CAMIONETA")</f>
        <v>0</v>
      </c>
      <c r="W472" s="36">
        <f>COUNTIF(Tabla1[[#This Row],[VEHICULOS_ACCIDENTADOS]:[VEHICULOS_ACCIDENTADOS2]],"MICROBUS")</f>
        <v>1</v>
      </c>
      <c r="X472" s="36">
        <f>COUNTIF(Tabla1[[#This Row],[VEHICULOS_ACCIDENTADOS]:[VEHICULOS_ACCIDENTADOS2]],"BUS")</f>
        <v>0</v>
      </c>
      <c r="Y472" s="36">
        <f>COUNTIF(Tabla1[[#This Row],[VEHICULOS_ACCIDENTADOS]:[VEHICULOS_ACCIDENTADOS2]],"BUSETA")</f>
        <v>0</v>
      </c>
      <c r="Z472" s="36">
        <f>COUNTIF(Tabla1[[#This Row],[VEHICULOS_ACCIDENTADOS]:[VEHICULOS_ACCIDENTADOS2]],"CAMION")</f>
        <v>0</v>
      </c>
      <c r="AA472" s="36">
        <f>COUNTIF(Tabla1[[#This Row],[VEHICULOS_ACCIDENTADOS]:[VEHICULOS_ACCIDENTADOS2]],"TRACTOCAMION")</f>
        <v>0</v>
      </c>
      <c r="AB472" s="36">
        <f>COUNTIF(Tabla1[[#This Row],[VEHICULOS_ACCIDENTADOS]:[VEHICULOS_ACCIDENTADOS2]],"VOLQUETA")</f>
        <v>0</v>
      </c>
      <c r="AC472" s="36">
        <f>COUNTIF(Tabla1[[#This Row],[VEHICULOS_ACCIDENTADOS]:[VEHICULOS_ACCIDENTADOS2]],"BICICLETA")</f>
        <v>0</v>
      </c>
      <c r="AD472" s="56" t="s">
        <v>471</v>
      </c>
      <c r="AE472" s="56" t="s">
        <v>472</v>
      </c>
      <c r="AF472" s="56">
        <f>COUNTIF(Tabla1[[#This Row],[GENERO_MASCULINO]:[GENERO_FEMENINO]],"MASCULINO")</f>
        <v>1</v>
      </c>
      <c r="AG472" s="36">
        <f>COUNTIF(Tabla1[[#This Row],[GENERO_MASCULINO]:[GENERO_FEMENINO]],"FEMENINO")</f>
        <v>1</v>
      </c>
      <c r="AH472" s="61">
        <v>55</v>
      </c>
      <c r="AI472" s="61"/>
      <c r="AJ472" s="61"/>
      <c r="AK472" s="61">
        <v>54</v>
      </c>
      <c r="AL472" s="61"/>
      <c r="AM472" s="36"/>
      <c r="AN472" s="61">
        <v>404</v>
      </c>
      <c r="AO472" s="36" t="str">
        <f>IFERROR(((VLOOKUP(Tabla1[[#This Row],[HIPOTESIS_1]],listas!$D$1:$E$105,2,FALSE))),"SIN INFORMACIÓN")</f>
        <v>Transitar por la calzada.</v>
      </c>
      <c r="AP472" s="36">
        <v>409</v>
      </c>
      <c r="AQ472" s="36" t="str">
        <f>IFERROR(((VLOOKUP(Tabla1[[#This Row],[HIPOTESIS_2]],listas!$D$1:$E$105,2,FALSE))),"")</f>
        <v>Cruzar sin observar.</v>
      </c>
      <c r="AR472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473" spans="1:44" x14ac:dyDescent="0.25">
      <c r="A473" s="12">
        <v>336</v>
      </c>
      <c r="B473" s="36">
        <v>0</v>
      </c>
      <c r="C473" s="36">
        <v>0</v>
      </c>
      <c r="D473" s="60">
        <v>1</v>
      </c>
      <c r="E473" s="18" t="str">
        <f t="shared" si="28"/>
        <v>FALLECIDO</v>
      </c>
      <c r="F473" s="29" t="s">
        <v>308</v>
      </c>
      <c r="G473" s="17">
        <v>5.325381666666666</v>
      </c>
      <c r="H473" s="17">
        <v>-72.403511388888901</v>
      </c>
      <c r="I473" s="93" t="s">
        <v>697</v>
      </c>
      <c r="J473" s="36" t="s">
        <v>717</v>
      </c>
      <c r="K473" s="24" t="str">
        <f t="shared" si="29"/>
        <v>2022</v>
      </c>
      <c r="L473" s="24" t="str">
        <f t="shared" si="30"/>
        <v>OCTUBRE</v>
      </c>
      <c r="M473" s="225">
        <v>44855</v>
      </c>
      <c r="N473" s="24" t="str">
        <f t="shared" si="31"/>
        <v>VIERNES</v>
      </c>
      <c r="O473" s="170">
        <v>0.82638888888888895</v>
      </c>
      <c r="P473" s="53" t="s">
        <v>469</v>
      </c>
      <c r="Q473" s="53"/>
      <c r="R473" s="36">
        <f>COUNTIF(Tabla1[[#This Row],[VEHICULOS_ACCIDENTADOS]:[VEHICULOS_ACCIDENTADOS2]],"MOTOCICLETA")</f>
        <v>1</v>
      </c>
      <c r="S473" s="36">
        <f>COUNTIF(Tabla1[[#This Row],[VEHICULOS_ACCIDENTADOS]:[VEHICULOS_ACCIDENTADOS2]],"MOTOCARRO")</f>
        <v>0</v>
      </c>
      <c r="T473" s="36">
        <f>COUNTIF(Tabla1[[#This Row],[VEHICULOS_ACCIDENTADOS]:[VEHICULOS_ACCIDENTADOS2]],"AUTOMOVIL")</f>
        <v>0</v>
      </c>
      <c r="U473" s="36">
        <f>COUNTIF(Tabla1[[#This Row],[VEHICULOS_ACCIDENTADOS]:[VEHICULOS_ACCIDENTADOS2]],"CAMPERO")</f>
        <v>0</v>
      </c>
      <c r="V473" s="36">
        <f>COUNTIF(Tabla1[[#This Row],[VEHICULOS_ACCIDENTADOS]:[VEHICULOS_ACCIDENTADOS2]],"CAMIONETA")</f>
        <v>0</v>
      </c>
      <c r="W473" s="36">
        <f>COUNTIF(Tabla1[[#This Row],[VEHICULOS_ACCIDENTADOS]:[VEHICULOS_ACCIDENTADOS2]],"MICROBUS")</f>
        <v>0</v>
      </c>
      <c r="X473" s="36">
        <f>COUNTIF(Tabla1[[#This Row],[VEHICULOS_ACCIDENTADOS]:[VEHICULOS_ACCIDENTADOS2]],"BUS")</f>
        <v>0</v>
      </c>
      <c r="Y473" s="36">
        <f>COUNTIF(Tabla1[[#This Row],[VEHICULOS_ACCIDENTADOS]:[VEHICULOS_ACCIDENTADOS2]],"BUSETA")</f>
        <v>0</v>
      </c>
      <c r="Z473" s="36">
        <f>COUNTIF(Tabla1[[#This Row],[VEHICULOS_ACCIDENTADOS]:[VEHICULOS_ACCIDENTADOS2]],"CAMION")</f>
        <v>0</v>
      </c>
      <c r="AA473" s="36">
        <f>COUNTIF(Tabla1[[#This Row],[VEHICULOS_ACCIDENTADOS]:[VEHICULOS_ACCIDENTADOS2]],"TRACTOCAMION")</f>
        <v>0</v>
      </c>
      <c r="AB473" s="36">
        <f>COUNTIF(Tabla1[[#This Row],[VEHICULOS_ACCIDENTADOS]:[VEHICULOS_ACCIDENTADOS2]],"VOLQUETA")</f>
        <v>0</v>
      </c>
      <c r="AC473" s="36">
        <f>COUNTIF(Tabla1[[#This Row],[VEHICULOS_ACCIDENTADOS]:[VEHICULOS_ACCIDENTADOS2]],"BICICLETA")</f>
        <v>0</v>
      </c>
      <c r="AD473" s="56" t="s">
        <v>471</v>
      </c>
      <c r="AE473" s="56" t="s">
        <v>472</v>
      </c>
      <c r="AF473" s="56">
        <f>COUNTIF(Tabla1[[#This Row],[GENERO_MASCULINO]:[GENERO_FEMENINO]],"MASCULINO")</f>
        <v>1</v>
      </c>
      <c r="AG473" s="36">
        <f>COUNTIF(Tabla1[[#This Row],[GENERO_MASCULINO]:[GENERO_FEMENINO]],"FEMENINO")</f>
        <v>1</v>
      </c>
      <c r="AH473" s="61"/>
      <c r="AI473" s="61"/>
      <c r="AJ473" s="61"/>
      <c r="AK473" s="61"/>
      <c r="AL473" s="61"/>
      <c r="AM473" s="36">
        <v>59</v>
      </c>
      <c r="AN473" s="61">
        <v>139</v>
      </c>
      <c r="AO473" s="36" t="str">
        <f>IFERROR(((VLOOKUP(Tabla1[[#This Row],[HIPOTESIS_1]],listas!$D$1:$E$105,2,FALSE))),"SIN INFORMACIÓN")</f>
        <v>Impericia en el manejo.</v>
      </c>
      <c r="AP473" s="36">
        <v>409</v>
      </c>
      <c r="AQ473" s="36" t="str">
        <f>IFERROR(((VLOOKUP(Tabla1[[#This Row],[HIPOTESIS_2]],listas!$D$1:$E$105,2,FALSE))),"")</f>
        <v>Cruzar sin observar.</v>
      </c>
      <c r="AR473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474" spans="1:44" x14ac:dyDescent="0.25">
      <c r="A474" s="12">
        <v>793</v>
      </c>
      <c r="B474" s="135">
        <v>0</v>
      </c>
      <c r="C474" s="136">
        <v>1</v>
      </c>
      <c r="D474" s="149">
        <v>0</v>
      </c>
      <c r="E474" s="18" t="str">
        <f t="shared" si="28"/>
        <v>LESIONADO</v>
      </c>
      <c r="F474" s="26" t="s">
        <v>106</v>
      </c>
      <c r="G474" s="21">
        <v>5.321791666666666</v>
      </c>
      <c r="H474" s="21">
        <v>-72.415013888888893</v>
      </c>
      <c r="I474" s="93" t="s">
        <v>697</v>
      </c>
      <c r="J474" s="36" t="s">
        <v>717</v>
      </c>
      <c r="K474" s="24" t="str">
        <f t="shared" si="29"/>
        <v>2024</v>
      </c>
      <c r="L474" s="24" t="str">
        <f t="shared" si="30"/>
        <v>OCTUBRE</v>
      </c>
      <c r="M474" s="224">
        <v>45582</v>
      </c>
      <c r="N474" s="24" t="str">
        <f t="shared" si="31"/>
        <v>JUEVES</v>
      </c>
      <c r="O474" s="104">
        <v>0.71527777777777779</v>
      </c>
      <c r="P474" s="178" t="s">
        <v>469</v>
      </c>
      <c r="Q474" s="178"/>
      <c r="R474" s="36">
        <f>COUNTIF(Tabla1[[#This Row],[VEHICULOS_ACCIDENTADOS]:[VEHICULOS_ACCIDENTADOS2]],"MOTOCICLETA")</f>
        <v>1</v>
      </c>
      <c r="S474" s="36">
        <f>COUNTIF(Tabla1[[#This Row],[VEHICULOS_ACCIDENTADOS]:[VEHICULOS_ACCIDENTADOS2]],"MOTOCARRO")</f>
        <v>0</v>
      </c>
      <c r="T474" s="36">
        <f>COUNTIF(Tabla1[[#This Row],[VEHICULOS_ACCIDENTADOS]:[VEHICULOS_ACCIDENTADOS2]],"AUTOMOVIL")</f>
        <v>0</v>
      </c>
      <c r="U474" s="36">
        <f>COUNTIF(Tabla1[[#This Row],[VEHICULOS_ACCIDENTADOS]:[VEHICULOS_ACCIDENTADOS2]],"CAMPERO")</f>
        <v>0</v>
      </c>
      <c r="V474" s="36">
        <f>COUNTIF(Tabla1[[#This Row],[VEHICULOS_ACCIDENTADOS]:[VEHICULOS_ACCIDENTADOS2]],"CAMIONETA")</f>
        <v>0</v>
      </c>
      <c r="W474" s="36">
        <f>COUNTIF(Tabla1[[#This Row],[VEHICULOS_ACCIDENTADOS]:[VEHICULOS_ACCIDENTADOS2]],"MICROBUS")</f>
        <v>0</v>
      </c>
      <c r="X474" s="36">
        <f>COUNTIF(Tabla1[[#This Row],[VEHICULOS_ACCIDENTADOS]:[VEHICULOS_ACCIDENTADOS2]],"BUS")</f>
        <v>0</v>
      </c>
      <c r="Y474" s="36">
        <f>COUNTIF(Tabla1[[#This Row],[VEHICULOS_ACCIDENTADOS]:[VEHICULOS_ACCIDENTADOS2]],"BUSETA")</f>
        <v>0</v>
      </c>
      <c r="Z474" s="36">
        <f>COUNTIF(Tabla1[[#This Row],[VEHICULOS_ACCIDENTADOS]:[VEHICULOS_ACCIDENTADOS2]],"CAMION")</f>
        <v>0</v>
      </c>
      <c r="AA474" s="36">
        <f>COUNTIF(Tabla1[[#This Row],[VEHICULOS_ACCIDENTADOS]:[VEHICULOS_ACCIDENTADOS2]],"TRACTOCAMION")</f>
        <v>0</v>
      </c>
      <c r="AB474" s="36">
        <f>COUNTIF(Tabla1[[#This Row],[VEHICULOS_ACCIDENTADOS]:[VEHICULOS_ACCIDENTADOS2]],"VOLQUETA")</f>
        <v>0</v>
      </c>
      <c r="AC474" s="36">
        <f>COUNTIF(Tabla1[[#This Row],[VEHICULOS_ACCIDENTADOS]:[VEHICULOS_ACCIDENTADOS2]],"BICICLETA")</f>
        <v>0</v>
      </c>
      <c r="AD474" s="190" t="s">
        <v>471</v>
      </c>
      <c r="AE474" s="190" t="s">
        <v>472</v>
      </c>
      <c r="AF474" s="190">
        <f>COUNTIF(Tabla1[[#This Row],[GENERO_MASCULINO]:[GENERO_FEMENINO]],"MASCULINO")</f>
        <v>1</v>
      </c>
      <c r="AG474" s="36">
        <f>COUNTIF(Tabla1[[#This Row],[GENERO_MASCULINO]:[GENERO_FEMENINO]],"FEMENINO")</f>
        <v>1</v>
      </c>
      <c r="AH474" s="85">
        <v>46</v>
      </c>
      <c r="AI474" s="85"/>
      <c r="AJ474" s="85"/>
      <c r="AK474" s="85"/>
      <c r="AL474" s="85"/>
      <c r="AM474" s="136"/>
      <c r="AN474" s="85">
        <v>139</v>
      </c>
      <c r="AO474" s="36" t="str">
        <f>IFERROR(((VLOOKUP(Tabla1[[#This Row],[HIPOTESIS_1]],listas!$D$1:$E$105,2,FALSE))),"SIN INFORMACIÓN")</f>
        <v>Impericia en el manejo.</v>
      </c>
      <c r="AP474" s="136">
        <v>409</v>
      </c>
      <c r="AQ474" s="36" t="str">
        <f>IFERROR(((VLOOKUP(Tabla1[[#This Row],[HIPOTESIS_2]],listas!$D$1:$E$105,2,FALSE))),"")</f>
        <v>Cruzar sin observar.</v>
      </c>
      <c r="AR474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475" spans="1:44" x14ac:dyDescent="0.25">
      <c r="A475" s="12">
        <v>31</v>
      </c>
      <c r="B475" s="36">
        <v>0</v>
      </c>
      <c r="C475" s="36">
        <v>3</v>
      </c>
      <c r="D475" s="60">
        <v>0</v>
      </c>
      <c r="E475" s="18" t="str">
        <f t="shared" si="28"/>
        <v>LESIONADO</v>
      </c>
      <c r="F475" s="29" t="s">
        <v>897</v>
      </c>
      <c r="G475" s="17">
        <v>5.3132861111111112</v>
      </c>
      <c r="H475" s="17">
        <v>-72.396322222222224</v>
      </c>
      <c r="I475" s="93" t="s">
        <v>697</v>
      </c>
      <c r="J475" s="36" t="s">
        <v>717</v>
      </c>
      <c r="K475" s="24" t="str">
        <f t="shared" si="29"/>
        <v>2022</v>
      </c>
      <c r="L475" s="24" t="str">
        <f t="shared" si="30"/>
        <v>ENERO</v>
      </c>
      <c r="M475" s="225">
        <v>44589</v>
      </c>
      <c r="N475" s="24" t="str">
        <f t="shared" si="31"/>
        <v>VIERNES</v>
      </c>
      <c r="O475" s="103">
        <v>0.74305555555555503</v>
      </c>
      <c r="P475" s="63" t="s">
        <v>469</v>
      </c>
      <c r="Q475" s="63"/>
      <c r="R475" s="36">
        <f>COUNTIF(Tabla1[[#This Row],[VEHICULOS_ACCIDENTADOS]:[VEHICULOS_ACCIDENTADOS2]],"MOTOCICLETA")</f>
        <v>1</v>
      </c>
      <c r="S475" s="36">
        <f>COUNTIF(Tabla1[[#This Row],[VEHICULOS_ACCIDENTADOS]:[VEHICULOS_ACCIDENTADOS2]],"MOTOCARRO")</f>
        <v>0</v>
      </c>
      <c r="T475" s="36">
        <f>COUNTIF(Tabla1[[#This Row],[VEHICULOS_ACCIDENTADOS]:[VEHICULOS_ACCIDENTADOS2]],"AUTOMOVIL")</f>
        <v>0</v>
      </c>
      <c r="U475" s="36">
        <f>COUNTIF(Tabla1[[#This Row],[VEHICULOS_ACCIDENTADOS]:[VEHICULOS_ACCIDENTADOS2]],"CAMPERO")</f>
        <v>0</v>
      </c>
      <c r="V475" s="36">
        <f>COUNTIF(Tabla1[[#This Row],[VEHICULOS_ACCIDENTADOS]:[VEHICULOS_ACCIDENTADOS2]],"CAMIONETA")</f>
        <v>0</v>
      </c>
      <c r="W475" s="36">
        <f>COUNTIF(Tabla1[[#This Row],[VEHICULOS_ACCIDENTADOS]:[VEHICULOS_ACCIDENTADOS2]],"MICROBUS")</f>
        <v>0</v>
      </c>
      <c r="X475" s="36">
        <f>COUNTIF(Tabla1[[#This Row],[VEHICULOS_ACCIDENTADOS]:[VEHICULOS_ACCIDENTADOS2]],"BUS")</f>
        <v>0</v>
      </c>
      <c r="Y475" s="36">
        <f>COUNTIF(Tabla1[[#This Row],[VEHICULOS_ACCIDENTADOS]:[VEHICULOS_ACCIDENTADOS2]],"BUSETA")</f>
        <v>0</v>
      </c>
      <c r="Z475" s="36">
        <f>COUNTIF(Tabla1[[#This Row],[VEHICULOS_ACCIDENTADOS]:[VEHICULOS_ACCIDENTADOS2]],"CAMION")</f>
        <v>0</v>
      </c>
      <c r="AA475" s="36">
        <f>COUNTIF(Tabla1[[#This Row],[VEHICULOS_ACCIDENTADOS]:[VEHICULOS_ACCIDENTADOS2]],"TRACTOCAMION")</f>
        <v>0</v>
      </c>
      <c r="AB475" s="36">
        <f>COUNTIF(Tabla1[[#This Row],[VEHICULOS_ACCIDENTADOS]:[VEHICULOS_ACCIDENTADOS2]],"VOLQUETA")</f>
        <v>0</v>
      </c>
      <c r="AC475" s="36">
        <f>COUNTIF(Tabla1[[#This Row],[VEHICULOS_ACCIDENTADOS]:[VEHICULOS_ACCIDENTADOS2]],"BICICLETA")</f>
        <v>0</v>
      </c>
      <c r="AD475" s="56" t="s">
        <v>471</v>
      </c>
      <c r="AE475" s="56" t="s">
        <v>472</v>
      </c>
      <c r="AF475" s="56">
        <f>COUNTIF(Tabla1[[#This Row],[GENERO_MASCULINO]:[GENERO_FEMENINO]],"MASCULINO")</f>
        <v>1</v>
      </c>
      <c r="AG475" s="36">
        <f>COUNTIF(Tabla1[[#This Row],[GENERO_MASCULINO]:[GENERO_FEMENINO]],"FEMENINO")</f>
        <v>1</v>
      </c>
      <c r="AH475" s="61">
        <v>41</v>
      </c>
      <c r="AI475" s="61"/>
      <c r="AJ475" s="61"/>
      <c r="AK475" s="61">
        <v>41</v>
      </c>
      <c r="AL475" s="61">
        <v>27</v>
      </c>
      <c r="AM475" s="36"/>
      <c r="AN475" s="61">
        <v>409</v>
      </c>
      <c r="AO475" s="36" t="str">
        <f>IFERROR(((VLOOKUP(Tabla1[[#This Row],[HIPOTESIS_1]],listas!$D$1:$E$105,2,FALSE))),"SIN INFORMACIÓN")</f>
        <v>Cruzar sin observar.</v>
      </c>
      <c r="AP475" s="36">
        <v>410</v>
      </c>
      <c r="AQ475" s="36" t="str">
        <f>IFERROR(((VLOOKUP(Tabla1[[#This Row],[HIPOTESIS_2]],listas!$D$1:$E$105,2,FALSE))),"")</f>
        <v>Cruzar en estado de embriaguez.</v>
      </c>
      <c r="AR475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476" spans="1:44" x14ac:dyDescent="0.25">
      <c r="A476" s="12">
        <v>58</v>
      </c>
      <c r="B476" s="36">
        <v>1</v>
      </c>
      <c r="C476" s="36">
        <v>0</v>
      </c>
      <c r="D476" s="60">
        <v>0</v>
      </c>
      <c r="E476" s="18" t="str">
        <f t="shared" si="28"/>
        <v>SOLO DAÑO</v>
      </c>
      <c r="F476" s="29" t="s">
        <v>884</v>
      </c>
      <c r="G476" s="17">
        <v>5.3089409999999999</v>
      </c>
      <c r="H476" s="21">
        <v>-72.395988000000003</v>
      </c>
      <c r="I476" s="93" t="s">
        <v>697</v>
      </c>
      <c r="J476" s="36" t="s">
        <v>717</v>
      </c>
      <c r="K476" s="24" t="str">
        <f t="shared" si="29"/>
        <v>2022</v>
      </c>
      <c r="L476" s="24" t="str">
        <f t="shared" si="30"/>
        <v>FEBRERO</v>
      </c>
      <c r="M476" s="225">
        <v>44608</v>
      </c>
      <c r="N476" s="24" t="str">
        <f t="shared" si="31"/>
        <v>MIÉRCOLES</v>
      </c>
      <c r="O476" s="103">
        <v>0.57638888888888895</v>
      </c>
      <c r="P476" s="63" t="s">
        <v>469</v>
      </c>
      <c r="Q476" s="63" t="s">
        <v>469</v>
      </c>
      <c r="R476" s="36">
        <f>COUNTIF(Tabla1[[#This Row],[VEHICULOS_ACCIDENTADOS]:[VEHICULOS_ACCIDENTADOS2]],"MOTOCICLETA")</f>
        <v>2</v>
      </c>
      <c r="S476" s="36">
        <f>COUNTIF(Tabla1[[#This Row],[VEHICULOS_ACCIDENTADOS]:[VEHICULOS_ACCIDENTADOS2]],"MOTOCARRO")</f>
        <v>0</v>
      </c>
      <c r="T476" s="36">
        <f>COUNTIF(Tabla1[[#This Row],[VEHICULOS_ACCIDENTADOS]:[VEHICULOS_ACCIDENTADOS2]],"AUTOMOVIL")</f>
        <v>0</v>
      </c>
      <c r="U476" s="36">
        <f>COUNTIF(Tabla1[[#This Row],[VEHICULOS_ACCIDENTADOS]:[VEHICULOS_ACCIDENTADOS2]],"CAMPERO")</f>
        <v>0</v>
      </c>
      <c r="V476" s="36">
        <f>COUNTIF(Tabla1[[#This Row],[VEHICULOS_ACCIDENTADOS]:[VEHICULOS_ACCIDENTADOS2]],"CAMIONETA")</f>
        <v>0</v>
      </c>
      <c r="W476" s="36">
        <f>COUNTIF(Tabla1[[#This Row],[VEHICULOS_ACCIDENTADOS]:[VEHICULOS_ACCIDENTADOS2]],"MICROBUS")</f>
        <v>0</v>
      </c>
      <c r="X476" s="36">
        <f>COUNTIF(Tabla1[[#This Row],[VEHICULOS_ACCIDENTADOS]:[VEHICULOS_ACCIDENTADOS2]],"BUS")</f>
        <v>0</v>
      </c>
      <c r="Y476" s="36">
        <f>COUNTIF(Tabla1[[#This Row],[VEHICULOS_ACCIDENTADOS]:[VEHICULOS_ACCIDENTADOS2]],"BUSETA")</f>
        <v>0</v>
      </c>
      <c r="Z476" s="36">
        <f>COUNTIF(Tabla1[[#This Row],[VEHICULOS_ACCIDENTADOS]:[VEHICULOS_ACCIDENTADOS2]],"CAMION")</f>
        <v>0</v>
      </c>
      <c r="AA476" s="36">
        <f>COUNTIF(Tabla1[[#This Row],[VEHICULOS_ACCIDENTADOS]:[VEHICULOS_ACCIDENTADOS2]],"TRACTOCAMION")</f>
        <v>0</v>
      </c>
      <c r="AB476" s="36">
        <f>COUNTIF(Tabla1[[#This Row],[VEHICULOS_ACCIDENTADOS]:[VEHICULOS_ACCIDENTADOS2]],"VOLQUETA")</f>
        <v>0</v>
      </c>
      <c r="AC476" s="36">
        <f>COUNTIF(Tabla1[[#This Row],[VEHICULOS_ACCIDENTADOS]:[VEHICULOS_ACCIDENTADOS2]],"BICICLETA")</f>
        <v>0</v>
      </c>
      <c r="AD476" s="56" t="s">
        <v>471</v>
      </c>
      <c r="AE476" s="56"/>
      <c r="AF476" s="56">
        <f>COUNTIF(Tabla1[[#This Row],[GENERO_MASCULINO]:[GENERO_FEMENINO]],"MASCULINO")</f>
        <v>1</v>
      </c>
      <c r="AG476" s="36">
        <f>COUNTIF(Tabla1[[#This Row],[GENERO_MASCULINO]:[GENERO_FEMENINO]],"FEMENINO")</f>
        <v>0</v>
      </c>
      <c r="AH476" s="61"/>
      <c r="AI476" s="61"/>
      <c r="AJ476" s="61"/>
      <c r="AK476" s="61"/>
      <c r="AL476" s="61"/>
      <c r="AM476" s="36"/>
      <c r="AN476" s="61">
        <v>139</v>
      </c>
      <c r="AO476" s="36" t="str">
        <f>IFERROR(((VLOOKUP(Tabla1[[#This Row],[HIPOTESIS_1]],listas!$D$1:$E$105,2,FALSE))),"SIN INFORMACIÓN")</f>
        <v>Impericia en el manejo.</v>
      </c>
      <c r="AP476" s="36">
        <v>145</v>
      </c>
      <c r="AQ476" s="36" t="str">
        <f>IFERROR(((VLOOKUP(Tabla1[[#This Row],[HIPOTESIS_2]],listas!$D$1:$E$105,2,FALSE))),"")</f>
        <v>Arrancar sin precaución.</v>
      </c>
      <c r="AR476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477" spans="1:44" x14ac:dyDescent="0.25">
      <c r="A477" s="12">
        <v>293</v>
      </c>
      <c r="B477" s="36">
        <v>0</v>
      </c>
      <c r="C477" s="36">
        <v>2</v>
      </c>
      <c r="D477" s="60">
        <v>0</v>
      </c>
      <c r="E477" s="18" t="str">
        <f t="shared" si="28"/>
        <v>LESIONADO</v>
      </c>
      <c r="F477" s="29" t="s">
        <v>1049</v>
      </c>
      <c r="G477" s="17">
        <v>5.3332990000000002</v>
      </c>
      <c r="H477" s="17">
        <v>-72.401500999999996</v>
      </c>
      <c r="I477" s="93" t="s">
        <v>697</v>
      </c>
      <c r="J477" s="36" t="s">
        <v>717</v>
      </c>
      <c r="K477" s="24" t="str">
        <f t="shared" si="29"/>
        <v>2022</v>
      </c>
      <c r="L477" s="24" t="str">
        <f t="shared" si="30"/>
        <v>AGOSTO</v>
      </c>
      <c r="M477" s="225">
        <v>44804</v>
      </c>
      <c r="N477" s="24" t="str">
        <f t="shared" si="31"/>
        <v>MIÉRCOLES</v>
      </c>
      <c r="O477" s="170">
        <v>0.49583333333333302</v>
      </c>
      <c r="P477" s="53" t="s">
        <v>469</v>
      </c>
      <c r="Q477" s="53" t="s">
        <v>447</v>
      </c>
      <c r="R477" s="36">
        <f>COUNTIF(Tabla1[[#This Row],[VEHICULOS_ACCIDENTADOS]:[VEHICULOS_ACCIDENTADOS2]],"MOTOCICLETA")</f>
        <v>1</v>
      </c>
      <c r="S477" s="36">
        <f>COUNTIF(Tabla1[[#This Row],[VEHICULOS_ACCIDENTADOS]:[VEHICULOS_ACCIDENTADOS2]],"MOTOCARRO")</f>
        <v>0</v>
      </c>
      <c r="T477" s="36">
        <f>COUNTIF(Tabla1[[#This Row],[VEHICULOS_ACCIDENTADOS]:[VEHICULOS_ACCIDENTADOS2]],"AUTOMOVIL")</f>
        <v>1</v>
      </c>
      <c r="U477" s="36">
        <f>COUNTIF(Tabla1[[#This Row],[VEHICULOS_ACCIDENTADOS]:[VEHICULOS_ACCIDENTADOS2]],"CAMPERO")</f>
        <v>0</v>
      </c>
      <c r="V477" s="36">
        <f>COUNTIF(Tabla1[[#This Row],[VEHICULOS_ACCIDENTADOS]:[VEHICULOS_ACCIDENTADOS2]],"CAMIONETA")</f>
        <v>0</v>
      </c>
      <c r="W477" s="36">
        <f>COUNTIF(Tabla1[[#This Row],[VEHICULOS_ACCIDENTADOS]:[VEHICULOS_ACCIDENTADOS2]],"MICROBUS")</f>
        <v>0</v>
      </c>
      <c r="X477" s="36">
        <f>COUNTIF(Tabla1[[#This Row],[VEHICULOS_ACCIDENTADOS]:[VEHICULOS_ACCIDENTADOS2]],"BUS")</f>
        <v>0</v>
      </c>
      <c r="Y477" s="36">
        <f>COUNTIF(Tabla1[[#This Row],[VEHICULOS_ACCIDENTADOS]:[VEHICULOS_ACCIDENTADOS2]],"BUSETA")</f>
        <v>0</v>
      </c>
      <c r="Z477" s="36">
        <f>COUNTIF(Tabla1[[#This Row],[VEHICULOS_ACCIDENTADOS]:[VEHICULOS_ACCIDENTADOS2]],"CAMION")</f>
        <v>0</v>
      </c>
      <c r="AA477" s="36">
        <f>COUNTIF(Tabla1[[#This Row],[VEHICULOS_ACCIDENTADOS]:[VEHICULOS_ACCIDENTADOS2]],"TRACTOCAMION")</f>
        <v>0</v>
      </c>
      <c r="AB477" s="36">
        <f>COUNTIF(Tabla1[[#This Row],[VEHICULOS_ACCIDENTADOS]:[VEHICULOS_ACCIDENTADOS2]],"VOLQUETA")</f>
        <v>0</v>
      </c>
      <c r="AC477" s="36">
        <f>COUNTIF(Tabla1[[#This Row],[VEHICULOS_ACCIDENTADOS]:[VEHICULOS_ACCIDENTADOS2]],"BICICLETA")</f>
        <v>0</v>
      </c>
      <c r="AD477" s="56" t="s">
        <v>471</v>
      </c>
      <c r="AE477" s="56" t="s">
        <v>472</v>
      </c>
      <c r="AF477" s="56">
        <f>COUNTIF(Tabla1[[#This Row],[GENERO_MASCULINO]:[GENERO_FEMENINO]],"MASCULINO")</f>
        <v>1</v>
      </c>
      <c r="AG477" s="36">
        <f>COUNTIF(Tabla1[[#This Row],[GENERO_MASCULINO]:[GENERO_FEMENINO]],"FEMENINO")</f>
        <v>1</v>
      </c>
      <c r="AH477" s="61">
        <v>45</v>
      </c>
      <c r="AI477" s="61"/>
      <c r="AJ477" s="78"/>
      <c r="AK477" s="61"/>
      <c r="AL477" s="61">
        <v>33</v>
      </c>
      <c r="AM477" s="59"/>
      <c r="AN477" s="61">
        <v>139</v>
      </c>
      <c r="AO477" s="36" t="str">
        <f>IFERROR(((VLOOKUP(Tabla1[[#This Row],[HIPOTESIS_1]],listas!$D$1:$E$105,2,FALSE))),"SIN INFORMACIÓN")</f>
        <v>Impericia en el manejo.</v>
      </c>
      <c r="AP477" s="36">
        <v>145</v>
      </c>
      <c r="AQ477" s="36" t="str">
        <f>IFERROR(((VLOOKUP(Tabla1[[#This Row],[HIPOTESIS_2]],listas!$D$1:$E$105,2,FALSE))),"")</f>
        <v>Arrancar sin precaución.</v>
      </c>
      <c r="AR477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478" spans="1:44" x14ac:dyDescent="0.25">
      <c r="A478" s="12">
        <v>456</v>
      </c>
      <c r="B478" s="36">
        <v>0</v>
      </c>
      <c r="C478" s="36">
        <v>1</v>
      </c>
      <c r="D478" s="60">
        <v>0</v>
      </c>
      <c r="E478" s="18" t="str">
        <f t="shared" si="28"/>
        <v>LESIONADO</v>
      </c>
      <c r="F478" s="29" t="s">
        <v>257</v>
      </c>
      <c r="G478" s="21">
        <v>5.3210455555555551</v>
      </c>
      <c r="H478" s="21">
        <v>-72.39309194444445</v>
      </c>
      <c r="I478" s="93" t="s">
        <v>697</v>
      </c>
      <c r="J478" s="36" t="s">
        <v>717</v>
      </c>
      <c r="K478" s="24" t="str">
        <f t="shared" si="29"/>
        <v>2023</v>
      </c>
      <c r="L478" s="24" t="str">
        <f t="shared" si="30"/>
        <v>ABRIL</v>
      </c>
      <c r="M478" s="225">
        <v>45038</v>
      </c>
      <c r="N478" s="24" t="str">
        <f t="shared" si="31"/>
        <v>SÁBADO</v>
      </c>
      <c r="O478" s="103">
        <v>0.26041666666666669</v>
      </c>
      <c r="P478" s="57" t="s">
        <v>469</v>
      </c>
      <c r="Q478" s="57" t="s">
        <v>447</v>
      </c>
      <c r="R478" s="36">
        <f>COUNTIF(Tabla1[[#This Row],[VEHICULOS_ACCIDENTADOS]:[VEHICULOS_ACCIDENTADOS2]],"MOTOCICLETA")</f>
        <v>1</v>
      </c>
      <c r="S478" s="36">
        <f>COUNTIF(Tabla1[[#This Row],[VEHICULOS_ACCIDENTADOS]:[VEHICULOS_ACCIDENTADOS2]],"MOTOCARRO")</f>
        <v>0</v>
      </c>
      <c r="T478" s="36">
        <f>COUNTIF(Tabla1[[#This Row],[VEHICULOS_ACCIDENTADOS]:[VEHICULOS_ACCIDENTADOS2]],"AUTOMOVIL")</f>
        <v>1</v>
      </c>
      <c r="U478" s="36">
        <f>COUNTIF(Tabla1[[#This Row],[VEHICULOS_ACCIDENTADOS]:[VEHICULOS_ACCIDENTADOS2]],"CAMPERO")</f>
        <v>0</v>
      </c>
      <c r="V478" s="36">
        <f>COUNTIF(Tabla1[[#This Row],[VEHICULOS_ACCIDENTADOS]:[VEHICULOS_ACCIDENTADOS2]],"CAMIONETA")</f>
        <v>0</v>
      </c>
      <c r="W478" s="36">
        <f>COUNTIF(Tabla1[[#This Row],[VEHICULOS_ACCIDENTADOS]:[VEHICULOS_ACCIDENTADOS2]],"MICROBUS")</f>
        <v>0</v>
      </c>
      <c r="X478" s="36">
        <f>COUNTIF(Tabla1[[#This Row],[VEHICULOS_ACCIDENTADOS]:[VEHICULOS_ACCIDENTADOS2]],"BUS")</f>
        <v>0</v>
      </c>
      <c r="Y478" s="36">
        <f>COUNTIF(Tabla1[[#This Row],[VEHICULOS_ACCIDENTADOS]:[VEHICULOS_ACCIDENTADOS2]],"BUSETA")</f>
        <v>0</v>
      </c>
      <c r="Z478" s="36">
        <f>COUNTIF(Tabla1[[#This Row],[VEHICULOS_ACCIDENTADOS]:[VEHICULOS_ACCIDENTADOS2]],"CAMION")</f>
        <v>0</v>
      </c>
      <c r="AA478" s="36">
        <f>COUNTIF(Tabla1[[#This Row],[VEHICULOS_ACCIDENTADOS]:[VEHICULOS_ACCIDENTADOS2]],"TRACTOCAMION")</f>
        <v>0</v>
      </c>
      <c r="AB478" s="36">
        <f>COUNTIF(Tabla1[[#This Row],[VEHICULOS_ACCIDENTADOS]:[VEHICULOS_ACCIDENTADOS2]],"VOLQUETA")</f>
        <v>0</v>
      </c>
      <c r="AC478" s="36">
        <f>COUNTIF(Tabla1[[#This Row],[VEHICULOS_ACCIDENTADOS]:[VEHICULOS_ACCIDENTADOS2]],"BICICLETA")</f>
        <v>0</v>
      </c>
      <c r="AD478" s="56" t="s">
        <v>471</v>
      </c>
      <c r="AE478" s="56"/>
      <c r="AF478" s="56">
        <f>COUNTIF(Tabla1[[#This Row],[GENERO_MASCULINO]:[GENERO_FEMENINO]],"MASCULINO")</f>
        <v>1</v>
      </c>
      <c r="AG478" s="36">
        <f>COUNTIF(Tabla1[[#This Row],[GENERO_MASCULINO]:[GENERO_FEMENINO]],"FEMENINO")</f>
        <v>0</v>
      </c>
      <c r="AH478" s="61">
        <v>31</v>
      </c>
      <c r="AI478" s="61"/>
      <c r="AJ478" s="61"/>
      <c r="AK478" s="61"/>
      <c r="AL478" s="61"/>
      <c r="AM478" s="36"/>
      <c r="AN478" s="61">
        <v>116</v>
      </c>
      <c r="AO478" s="36" t="str">
        <f>IFERROR(((VLOOKUP(Tabla1[[#This Row],[HIPOTESIS_1]],listas!$D$1:$E$105,2,FALSE))),"SIN INFORMACIÓN")</f>
        <v>Exceso de velocidad</v>
      </c>
      <c r="AP478" s="36">
        <v>145</v>
      </c>
      <c r="AQ478" s="36" t="str">
        <f>IFERROR(((VLOOKUP(Tabla1[[#This Row],[HIPOTESIS_2]],listas!$D$1:$E$105,2,FALSE))),"")</f>
        <v>Arrancar sin precaución.</v>
      </c>
      <c r="AR478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479" spans="1:44" x14ac:dyDescent="0.25">
      <c r="A479" s="12">
        <v>629</v>
      </c>
      <c r="B479" s="36">
        <v>0</v>
      </c>
      <c r="C479" s="36">
        <v>1</v>
      </c>
      <c r="D479" s="60">
        <v>0</v>
      </c>
      <c r="E479" s="18" t="str">
        <f t="shared" si="28"/>
        <v>LESIONADO</v>
      </c>
      <c r="F479" s="29" t="s">
        <v>1156</v>
      </c>
      <c r="G479" s="21">
        <v>5.3246861111111112</v>
      </c>
      <c r="H479" s="21">
        <v>-72.384172222222233</v>
      </c>
      <c r="I479" s="93" t="s">
        <v>697</v>
      </c>
      <c r="J479" s="36" t="s">
        <v>717</v>
      </c>
      <c r="K479" s="24" t="str">
        <f t="shared" si="29"/>
        <v>2023</v>
      </c>
      <c r="L479" s="24" t="str">
        <f t="shared" si="30"/>
        <v>DICIEMBRE</v>
      </c>
      <c r="M479" s="225">
        <v>45271</v>
      </c>
      <c r="N479" s="24" t="str">
        <f t="shared" si="31"/>
        <v>LUNES</v>
      </c>
      <c r="O479" s="103">
        <v>0.26041666666666669</v>
      </c>
      <c r="P479" s="57" t="s">
        <v>469</v>
      </c>
      <c r="Q479" s="57" t="s">
        <v>447</v>
      </c>
      <c r="R479" s="36">
        <f>COUNTIF(Tabla1[[#This Row],[VEHICULOS_ACCIDENTADOS]:[VEHICULOS_ACCIDENTADOS2]],"MOTOCICLETA")</f>
        <v>1</v>
      </c>
      <c r="S479" s="36">
        <f>COUNTIF(Tabla1[[#This Row],[VEHICULOS_ACCIDENTADOS]:[VEHICULOS_ACCIDENTADOS2]],"MOTOCARRO")</f>
        <v>0</v>
      </c>
      <c r="T479" s="36">
        <f>COUNTIF(Tabla1[[#This Row],[VEHICULOS_ACCIDENTADOS]:[VEHICULOS_ACCIDENTADOS2]],"AUTOMOVIL")</f>
        <v>1</v>
      </c>
      <c r="U479" s="36">
        <f>COUNTIF(Tabla1[[#This Row],[VEHICULOS_ACCIDENTADOS]:[VEHICULOS_ACCIDENTADOS2]],"CAMPERO")</f>
        <v>0</v>
      </c>
      <c r="V479" s="36">
        <f>COUNTIF(Tabla1[[#This Row],[VEHICULOS_ACCIDENTADOS]:[VEHICULOS_ACCIDENTADOS2]],"CAMIONETA")</f>
        <v>0</v>
      </c>
      <c r="W479" s="36">
        <f>COUNTIF(Tabla1[[#This Row],[VEHICULOS_ACCIDENTADOS]:[VEHICULOS_ACCIDENTADOS2]],"MICROBUS")</f>
        <v>0</v>
      </c>
      <c r="X479" s="36">
        <f>COUNTIF(Tabla1[[#This Row],[VEHICULOS_ACCIDENTADOS]:[VEHICULOS_ACCIDENTADOS2]],"BUS")</f>
        <v>0</v>
      </c>
      <c r="Y479" s="36">
        <f>COUNTIF(Tabla1[[#This Row],[VEHICULOS_ACCIDENTADOS]:[VEHICULOS_ACCIDENTADOS2]],"BUSETA")</f>
        <v>0</v>
      </c>
      <c r="Z479" s="36">
        <f>COUNTIF(Tabla1[[#This Row],[VEHICULOS_ACCIDENTADOS]:[VEHICULOS_ACCIDENTADOS2]],"CAMION")</f>
        <v>0</v>
      </c>
      <c r="AA479" s="36">
        <f>COUNTIF(Tabla1[[#This Row],[VEHICULOS_ACCIDENTADOS]:[VEHICULOS_ACCIDENTADOS2]],"TRACTOCAMION")</f>
        <v>0</v>
      </c>
      <c r="AB479" s="36">
        <f>COUNTIF(Tabla1[[#This Row],[VEHICULOS_ACCIDENTADOS]:[VEHICULOS_ACCIDENTADOS2]],"VOLQUETA")</f>
        <v>0</v>
      </c>
      <c r="AC479" s="36">
        <f>COUNTIF(Tabla1[[#This Row],[VEHICULOS_ACCIDENTADOS]:[VEHICULOS_ACCIDENTADOS2]],"BICICLETA")</f>
        <v>0</v>
      </c>
      <c r="AD479" s="56" t="s">
        <v>471</v>
      </c>
      <c r="AE479" s="56"/>
      <c r="AF479" s="56">
        <f>COUNTIF(Tabla1[[#This Row],[GENERO_MASCULINO]:[GENERO_FEMENINO]],"MASCULINO")</f>
        <v>1</v>
      </c>
      <c r="AG479" s="36">
        <f>COUNTIF(Tabla1[[#This Row],[GENERO_MASCULINO]:[GENERO_FEMENINO]],"FEMENINO")</f>
        <v>0</v>
      </c>
      <c r="AH479" s="61">
        <v>24</v>
      </c>
      <c r="AI479" s="61"/>
      <c r="AJ479" s="61"/>
      <c r="AK479" s="61"/>
      <c r="AL479" s="61"/>
      <c r="AM479" s="36"/>
      <c r="AN479" s="61">
        <v>122</v>
      </c>
      <c r="AO479" s="36" t="str">
        <f>IFERROR(((VLOOKUP(Tabla1[[#This Row],[HIPOTESIS_1]],listas!$D$1:$E$105,2,FALSE))),"SIN INFORMACIÓN")</f>
        <v>Girar bruscamente.</v>
      </c>
      <c r="AP479" s="36">
        <v>102</v>
      </c>
      <c r="AQ479" s="36" t="str">
        <f>IFERROR(((VLOOKUP(Tabla1[[#This Row],[HIPOTESIS_2]],listas!$D$1:$E$105,2,FALSE))),"")</f>
        <v>Adelantar por la derecha.</v>
      </c>
      <c r="AR479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480" spans="1:44" x14ac:dyDescent="0.25">
      <c r="A480" s="12">
        <v>63</v>
      </c>
      <c r="B480" s="36">
        <v>0</v>
      </c>
      <c r="C480" s="36">
        <v>2</v>
      </c>
      <c r="D480" s="60">
        <v>0</v>
      </c>
      <c r="E480" s="18" t="str">
        <f t="shared" si="28"/>
        <v>LESIONADO</v>
      </c>
      <c r="F480" s="29" t="s">
        <v>828</v>
      </c>
      <c r="G480" s="17">
        <v>5.333444444444444</v>
      </c>
      <c r="H480" s="17">
        <v>-72.40088333333334</v>
      </c>
      <c r="I480" s="93" t="s">
        <v>697</v>
      </c>
      <c r="J480" s="36" t="s">
        <v>717</v>
      </c>
      <c r="K480" s="24" t="str">
        <f t="shared" si="29"/>
        <v>2022</v>
      </c>
      <c r="L480" s="24" t="str">
        <f t="shared" si="30"/>
        <v>FEBRERO</v>
      </c>
      <c r="M480" s="225">
        <v>44613</v>
      </c>
      <c r="N480" s="24" t="str">
        <f t="shared" si="31"/>
        <v>LUNES</v>
      </c>
      <c r="O480" s="103">
        <v>0.72916666666666696</v>
      </c>
      <c r="P480" s="63" t="s">
        <v>469</v>
      </c>
      <c r="Q480" s="63"/>
      <c r="R480" s="36">
        <f>COUNTIF(Tabla1[[#This Row],[VEHICULOS_ACCIDENTADOS]:[VEHICULOS_ACCIDENTADOS2]],"MOTOCICLETA")</f>
        <v>1</v>
      </c>
      <c r="S480" s="36">
        <f>COUNTIF(Tabla1[[#This Row],[VEHICULOS_ACCIDENTADOS]:[VEHICULOS_ACCIDENTADOS2]],"MOTOCARRO")</f>
        <v>0</v>
      </c>
      <c r="T480" s="36">
        <f>COUNTIF(Tabla1[[#This Row],[VEHICULOS_ACCIDENTADOS]:[VEHICULOS_ACCIDENTADOS2]],"AUTOMOVIL")</f>
        <v>0</v>
      </c>
      <c r="U480" s="36">
        <f>COUNTIF(Tabla1[[#This Row],[VEHICULOS_ACCIDENTADOS]:[VEHICULOS_ACCIDENTADOS2]],"CAMPERO")</f>
        <v>0</v>
      </c>
      <c r="V480" s="36">
        <f>COUNTIF(Tabla1[[#This Row],[VEHICULOS_ACCIDENTADOS]:[VEHICULOS_ACCIDENTADOS2]],"CAMIONETA")</f>
        <v>0</v>
      </c>
      <c r="W480" s="36">
        <f>COUNTIF(Tabla1[[#This Row],[VEHICULOS_ACCIDENTADOS]:[VEHICULOS_ACCIDENTADOS2]],"MICROBUS")</f>
        <v>0</v>
      </c>
      <c r="X480" s="36">
        <f>COUNTIF(Tabla1[[#This Row],[VEHICULOS_ACCIDENTADOS]:[VEHICULOS_ACCIDENTADOS2]],"BUS")</f>
        <v>0</v>
      </c>
      <c r="Y480" s="36">
        <f>COUNTIF(Tabla1[[#This Row],[VEHICULOS_ACCIDENTADOS]:[VEHICULOS_ACCIDENTADOS2]],"BUSETA")</f>
        <v>0</v>
      </c>
      <c r="Z480" s="36">
        <f>COUNTIF(Tabla1[[#This Row],[VEHICULOS_ACCIDENTADOS]:[VEHICULOS_ACCIDENTADOS2]],"CAMION")</f>
        <v>0</v>
      </c>
      <c r="AA480" s="36">
        <f>COUNTIF(Tabla1[[#This Row],[VEHICULOS_ACCIDENTADOS]:[VEHICULOS_ACCIDENTADOS2]],"TRACTOCAMION")</f>
        <v>0</v>
      </c>
      <c r="AB480" s="36">
        <f>COUNTIF(Tabla1[[#This Row],[VEHICULOS_ACCIDENTADOS]:[VEHICULOS_ACCIDENTADOS2]],"VOLQUETA")</f>
        <v>0</v>
      </c>
      <c r="AC480" s="36">
        <f>COUNTIF(Tabla1[[#This Row],[VEHICULOS_ACCIDENTADOS]:[VEHICULOS_ACCIDENTADOS2]],"BICICLETA")</f>
        <v>0</v>
      </c>
      <c r="AD480" s="56" t="s">
        <v>471</v>
      </c>
      <c r="AE480" s="56" t="s">
        <v>472</v>
      </c>
      <c r="AF480" s="56">
        <f>COUNTIF(Tabla1[[#This Row],[GENERO_MASCULINO]:[GENERO_FEMENINO]],"MASCULINO")</f>
        <v>1</v>
      </c>
      <c r="AG480" s="36">
        <f>COUNTIF(Tabla1[[#This Row],[GENERO_MASCULINO]:[GENERO_FEMENINO]],"FEMENINO")</f>
        <v>1</v>
      </c>
      <c r="AH480" s="61">
        <v>46</v>
      </c>
      <c r="AI480" s="61">
        <v>37</v>
      </c>
      <c r="AJ480" s="61"/>
      <c r="AK480" s="61"/>
      <c r="AL480" s="61"/>
      <c r="AM480" s="36"/>
      <c r="AN480" s="61">
        <v>139</v>
      </c>
      <c r="AO480" s="36" t="str">
        <f>IFERROR(((VLOOKUP(Tabla1[[#This Row],[HIPOTESIS_1]],listas!$D$1:$E$105,2,FALSE))),"SIN INFORMACIÓN")</f>
        <v>Impericia en el manejo.</v>
      </c>
      <c r="AP480" s="36">
        <v>102</v>
      </c>
      <c r="AQ480" s="36" t="str">
        <f>IFERROR(((VLOOKUP(Tabla1[[#This Row],[HIPOTESIS_2]],listas!$D$1:$E$105,2,FALSE))),"")</f>
        <v>Adelantar por la derecha.</v>
      </c>
      <c r="AR480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481" spans="1:44" x14ac:dyDescent="0.25">
      <c r="A481" s="12">
        <v>663</v>
      </c>
      <c r="B481" s="135">
        <v>0</v>
      </c>
      <c r="C481" s="136">
        <v>1</v>
      </c>
      <c r="D481" s="148">
        <v>0</v>
      </c>
      <c r="E481" s="18" t="str">
        <f t="shared" si="28"/>
        <v>LESIONADO</v>
      </c>
      <c r="F481" s="26" t="s">
        <v>1144</v>
      </c>
      <c r="G481" s="21">
        <v>5.3404444444444445</v>
      </c>
      <c r="H481" s="21">
        <v>-72.392725000000013</v>
      </c>
      <c r="I481" s="93" t="s">
        <v>697</v>
      </c>
      <c r="J481" s="136" t="s">
        <v>717</v>
      </c>
      <c r="K481" s="24" t="str">
        <f t="shared" si="29"/>
        <v>2024</v>
      </c>
      <c r="L481" s="24" t="str">
        <f t="shared" si="30"/>
        <v>FEBRERO</v>
      </c>
      <c r="M481" s="224">
        <v>45333</v>
      </c>
      <c r="N481" s="24" t="str">
        <f t="shared" si="31"/>
        <v>DOMINGO</v>
      </c>
      <c r="O481" s="104">
        <v>1.0416666666666666E-2</v>
      </c>
      <c r="P481" s="178" t="s">
        <v>469</v>
      </c>
      <c r="Q481" s="178" t="s">
        <v>445</v>
      </c>
      <c r="R481" s="36">
        <f>COUNTIF(Tabla1[[#This Row],[VEHICULOS_ACCIDENTADOS]:[VEHICULOS_ACCIDENTADOS2]],"MOTOCICLETA")</f>
        <v>1</v>
      </c>
      <c r="S481" s="36">
        <f>COUNTIF(Tabla1[[#This Row],[VEHICULOS_ACCIDENTADOS]:[VEHICULOS_ACCIDENTADOS2]],"MOTOCARRO")</f>
        <v>0</v>
      </c>
      <c r="T481" s="36">
        <f>COUNTIF(Tabla1[[#This Row],[VEHICULOS_ACCIDENTADOS]:[VEHICULOS_ACCIDENTADOS2]],"AUTOMOVIL")</f>
        <v>0</v>
      </c>
      <c r="U481" s="36">
        <f>COUNTIF(Tabla1[[#This Row],[VEHICULOS_ACCIDENTADOS]:[VEHICULOS_ACCIDENTADOS2]],"CAMPERO")</f>
        <v>0</v>
      </c>
      <c r="V481" s="36">
        <f>COUNTIF(Tabla1[[#This Row],[VEHICULOS_ACCIDENTADOS]:[VEHICULOS_ACCIDENTADOS2]],"CAMIONETA")</f>
        <v>1</v>
      </c>
      <c r="W481" s="36">
        <f>COUNTIF(Tabla1[[#This Row],[VEHICULOS_ACCIDENTADOS]:[VEHICULOS_ACCIDENTADOS2]],"MICROBUS")</f>
        <v>0</v>
      </c>
      <c r="X481" s="36">
        <f>COUNTIF(Tabla1[[#This Row],[VEHICULOS_ACCIDENTADOS]:[VEHICULOS_ACCIDENTADOS2]],"BUS")</f>
        <v>0</v>
      </c>
      <c r="Y481" s="36">
        <f>COUNTIF(Tabla1[[#This Row],[VEHICULOS_ACCIDENTADOS]:[VEHICULOS_ACCIDENTADOS2]],"BUSETA")</f>
        <v>0</v>
      </c>
      <c r="Z481" s="36">
        <f>COUNTIF(Tabla1[[#This Row],[VEHICULOS_ACCIDENTADOS]:[VEHICULOS_ACCIDENTADOS2]],"CAMION")</f>
        <v>0</v>
      </c>
      <c r="AA481" s="36">
        <f>COUNTIF(Tabla1[[#This Row],[VEHICULOS_ACCIDENTADOS]:[VEHICULOS_ACCIDENTADOS2]],"TRACTOCAMION")</f>
        <v>0</v>
      </c>
      <c r="AB481" s="36">
        <f>COUNTIF(Tabla1[[#This Row],[VEHICULOS_ACCIDENTADOS]:[VEHICULOS_ACCIDENTADOS2]],"VOLQUETA")</f>
        <v>0</v>
      </c>
      <c r="AC481" s="36">
        <f>COUNTIF(Tabla1[[#This Row],[VEHICULOS_ACCIDENTADOS]:[VEHICULOS_ACCIDENTADOS2]],"BICICLETA")</f>
        <v>0</v>
      </c>
      <c r="AD481" s="190" t="s">
        <v>471</v>
      </c>
      <c r="AE481" s="190"/>
      <c r="AF481" s="190">
        <f>COUNTIF(Tabla1[[#This Row],[GENERO_MASCULINO]:[GENERO_FEMENINO]],"MASCULINO")</f>
        <v>1</v>
      </c>
      <c r="AG481" s="36">
        <f>COUNTIF(Tabla1[[#This Row],[GENERO_MASCULINO]:[GENERO_FEMENINO]],"FEMENINO")</f>
        <v>0</v>
      </c>
      <c r="AH481" s="85">
        <v>33</v>
      </c>
      <c r="AI481" s="85">
        <v>20</v>
      </c>
      <c r="AJ481" s="85"/>
      <c r="AK481" s="85"/>
      <c r="AL481" s="85"/>
      <c r="AM481" s="136"/>
      <c r="AN481" s="85">
        <v>157</v>
      </c>
      <c r="AO481" s="36" t="str">
        <f>IFERROR(((VLOOKUP(Tabla1[[#This Row],[HIPOTESIS_1]],listas!$D$1:$E$105,2,FALSE))),"SIN INFORMACIÓN")</f>
        <v>Otra</v>
      </c>
      <c r="AP481" s="136">
        <v>102</v>
      </c>
      <c r="AQ481" s="36" t="str">
        <f>IFERROR(((VLOOKUP(Tabla1[[#This Row],[HIPOTESIS_2]],listas!$D$1:$E$105,2,FALSE))),"")</f>
        <v>Adelantar por la derecha.</v>
      </c>
      <c r="AR481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482" spans="1:44" x14ac:dyDescent="0.25">
      <c r="A482" s="12">
        <v>1059</v>
      </c>
      <c r="B482" s="137">
        <v>0</v>
      </c>
      <c r="C482" s="137">
        <v>1</v>
      </c>
      <c r="D482" s="146">
        <v>0</v>
      </c>
      <c r="E482" s="18" t="str">
        <f t="shared" si="28"/>
        <v>LESIONADO</v>
      </c>
      <c r="F482" s="155" t="s">
        <v>695</v>
      </c>
      <c r="G482" s="30">
        <v>5.34129202</v>
      </c>
      <c r="H482" s="30">
        <v>-72.404819000000003</v>
      </c>
      <c r="I482" s="93" t="s">
        <v>697</v>
      </c>
      <c r="J482" s="36" t="s">
        <v>717</v>
      </c>
      <c r="K482" s="24" t="str">
        <f t="shared" si="29"/>
        <v>2025</v>
      </c>
      <c r="L482" s="24" t="str">
        <f t="shared" si="30"/>
        <v>SEPTIEMBRE</v>
      </c>
      <c r="M482" s="225">
        <v>45906</v>
      </c>
      <c r="N482" s="24" t="str">
        <f t="shared" si="31"/>
        <v>SÁBADO</v>
      </c>
      <c r="O482" s="103">
        <v>0.78472222222222221</v>
      </c>
      <c r="P482" s="63" t="s">
        <v>445</v>
      </c>
      <c r="Q482" s="63" t="s">
        <v>469</v>
      </c>
      <c r="R482" s="36">
        <f>COUNTIF(Tabla1[[#This Row],[VEHICULOS_ACCIDENTADOS]:[VEHICULOS_ACCIDENTADOS2]],"MOTOCICLETA")</f>
        <v>1</v>
      </c>
      <c r="S482" s="36">
        <f>COUNTIF(Tabla1[[#This Row],[VEHICULOS_ACCIDENTADOS]:[VEHICULOS_ACCIDENTADOS2]],"MOTOCARRO")</f>
        <v>0</v>
      </c>
      <c r="T482" s="36">
        <f>COUNTIF(Tabla1[[#This Row],[VEHICULOS_ACCIDENTADOS]:[VEHICULOS_ACCIDENTADOS2]],"AUTOMOVIL")</f>
        <v>0</v>
      </c>
      <c r="U482" s="36">
        <f>COUNTIF(Tabla1[[#This Row],[VEHICULOS_ACCIDENTADOS]:[VEHICULOS_ACCIDENTADOS2]],"CAMPERO")</f>
        <v>0</v>
      </c>
      <c r="V482" s="36">
        <f>COUNTIF(Tabla1[[#This Row],[VEHICULOS_ACCIDENTADOS]:[VEHICULOS_ACCIDENTADOS2]],"CAMIONETA")</f>
        <v>1</v>
      </c>
      <c r="W482" s="36">
        <f>COUNTIF(Tabla1[[#This Row],[VEHICULOS_ACCIDENTADOS]:[VEHICULOS_ACCIDENTADOS2]],"MICROBUS")</f>
        <v>0</v>
      </c>
      <c r="X482" s="36">
        <f>COUNTIF(Tabla1[[#This Row],[VEHICULOS_ACCIDENTADOS]:[VEHICULOS_ACCIDENTADOS2]],"BUS")</f>
        <v>0</v>
      </c>
      <c r="Y482" s="36">
        <f>COUNTIF(Tabla1[[#This Row],[VEHICULOS_ACCIDENTADOS]:[VEHICULOS_ACCIDENTADOS2]],"BUSETA")</f>
        <v>0</v>
      </c>
      <c r="Z482" s="36">
        <f>COUNTIF(Tabla1[[#This Row],[VEHICULOS_ACCIDENTADOS]:[VEHICULOS_ACCIDENTADOS2]],"CAMION")</f>
        <v>0</v>
      </c>
      <c r="AA482" s="36">
        <f>COUNTIF(Tabla1[[#This Row],[VEHICULOS_ACCIDENTADOS]:[VEHICULOS_ACCIDENTADOS2]],"TRACTOCAMION")</f>
        <v>0</v>
      </c>
      <c r="AB482" s="36">
        <f>COUNTIF(Tabla1[[#This Row],[VEHICULOS_ACCIDENTADOS]:[VEHICULOS_ACCIDENTADOS2]],"VOLQUETA")</f>
        <v>0</v>
      </c>
      <c r="AC482" s="36">
        <f>COUNTIF(Tabla1[[#This Row],[VEHICULOS_ACCIDENTADOS]:[VEHICULOS_ACCIDENTADOS2]],"BICICLETA")</f>
        <v>0</v>
      </c>
      <c r="AD482" s="188" t="s">
        <v>471</v>
      </c>
      <c r="AE482" s="188" t="s">
        <v>472</v>
      </c>
      <c r="AF482" s="56">
        <f>COUNTIF(Tabla1[[#This Row],[GENERO_MASCULINO]:[GENERO_FEMENINO]],"MASCULINO")</f>
        <v>1</v>
      </c>
      <c r="AG482" s="36">
        <f>COUNTIF(Tabla1[[#This Row],[GENERO_MASCULINO]:[GENERO_FEMENINO]],"FEMENINO")</f>
        <v>1</v>
      </c>
      <c r="AH482" s="85">
        <v>59</v>
      </c>
      <c r="AI482" s="85">
        <v>40</v>
      </c>
      <c r="AJ482" s="85">
        <v>36</v>
      </c>
      <c r="AK482" s="78">
        <v>6</v>
      </c>
      <c r="AL482" s="78"/>
      <c r="AM482" s="59"/>
      <c r="AN482" s="61">
        <v>121</v>
      </c>
      <c r="AO482" s="59" t="str">
        <f>IFERROR(((VLOOKUP(Tabla1[[#This Row],[HIPOTESIS_1]],listas!$D$1:$E$105,2,FALSE))),"SIN INFORMACIÓN")</f>
        <v>No mantener distancia de seguridad.</v>
      </c>
      <c r="AP482" s="36">
        <v>102</v>
      </c>
      <c r="AQ482" s="36" t="str">
        <f>IFERROR(((VLOOKUP(Tabla1[[#This Row],[HIPOTESIS_2]],listas!$D$1:$E$105,2,FALSE))),"")</f>
        <v>Adelantar por la derecha.</v>
      </c>
      <c r="AR482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483" spans="1:44" x14ac:dyDescent="0.25">
      <c r="A483" s="12">
        <v>736</v>
      </c>
      <c r="B483" s="36">
        <v>1</v>
      </c>
      <c r="C483" s="136">
        <v>0</v>
      </c>
      <c r="D483" s="60">
        <v>0</v>
      </c>
      <c r="E483" s="18" t="str">
        <f t="shared" si="28"/>
        <v>SOLO DAÑO</v>
      </c>
      <c r="F483" s="29" t="s">
        <v>134</v>
      </c>
      <c r="G483" s="21">
        <v>5.3247283333333328</v>
      </c>
      <c r="H483" s="21">
        <v>-72.41268500000001</v>
      </c>
      <c r="I483" s="93" t="s">
        <v>697</v>
      </c>
      <c r="J483" s="136" t="s">
        <v>717</v>
      </c>
      <c r="K483" s="24" t="str">
        <f t="shared" si="29"/>
        <v>2024</v>
      </c>
      <c r="L483" s="24" t="str">
        <f t="shared" si="30"/>
        <v>JUNIO</v>
      </c>
      <c r="M483" s="225">
        <v>45471</v>
      </c>
      <c r="N483" s="24" t="str">
        <f t="shared" si="31"/>
        <v>VIERNES</v>
      </c>
      <c r="O483" s="103">
        <v>0.40972222222222227</v>
      </c>
      <c r="P483" s="57" t="s">
        <v>469</v>
      </c>
      <c r="Q483" s="57" t="s">
        <v>441</v>
      </c>
      <c r="R483" s="36">
        <f>COUNTIF(Tabla1[[#This Row],[VEHICULOS_ACCIDENTADOS]:[VEHICULOS_ACCIDENTADOS2]],"MOTOCICLETA")</f>
        <v>1</v>
      </c>
      <c r="S483" s="36">
        <f>COUNTIF(Tabla1[[#This Row],[VEHICULOS_ACCIDENTADOS]:[VEHICULOS_ACCIDENTADOS2]],"MOTOCARRO")</f>
        <v>0</v>
      </c>
      <c r="T483" s="36">
        <f>COUNTIF(Tabla1[[#This Row],[VEHICULOS_ACCIDENTADOS]:[VEHICULOS_ACCIDENTADOS2]],"AUTOMOVIL")</f>
        <v>0</v>
      </c>
      <c r="U483" s="36">
        <f>COUNTIF(Tabla1[[#This Row],[VEHICULOS_ACCIDENTADOS]:[VEHICULOS_ACCIDENTADOS2]],"CAMPERO")</f>
        <v>0</v>
      </c>
      <c r="V483" s="36">
        <f>COUNTIF(Tabla1[[#This Row],[VEHICULOS_ACCIDENTADOS]:[VEHICULOS_ACCIDENTADOS2]],"CAMIONETA")</f>
        <v>0</v>
      </c>
      <c r="W483" s="36">
        <f>COUNTIF(Tabla1[[#This Row],[VEHICULOS_ACCIDENTADOS]:[VEHICULOS_ACCIDENTADOS2]],"MICROBUS")</f>
        <v>0</v>
      </c>
      <c r="X483" s="36">
        <f>COUNTIF(Tabla1[[#This Row],[VEHICULOS_ACCIDENTADOS]:[VEHICULOS_ACCIDENTADOS2]],"BUS")</f>
        <v>0</v>
      </c>
      <c r="Y483" s="36">
        <f>COUNTIF(Tabla1[[#This Row],[VEHICULOS_ACCIDENTADOS]:[VEHICULOS_ACCIDENTADOS2]],"BUSETA")</f>
        <v>0</v>
      </c>
      <c r="Z483" s="36">
        <f>COUNTIF(Tabla1[[#This Row],[VEHICULOS_ACCIDENTADOS]:[VEHICULOS_ACCIDENTADOS2]],"CAMION")</f>
        <v>1</v>
      </c>
      <c r="AA483" s="36">
        <f>COUNTIF(Tabla1[[#This Row],[VEHICULOS_ACCIDENTADOS]:[VEHICULOS_ACCIDENTADOS2]],"TRACTOCAMION")</f>
        <v>0</v>
      </c>
      <c r="AB483" s="36">
        <f>COUNTIF(Tabla1[[#This Row],[VEHICULOS_ACCIDENTADOS]:[VEHICULOS_ACCIDENTADOS2]],"VOLQUETA")</f>
        <v>0</v>
      </c>
      <c r="AC483" s="36">
        <f>COUNTIF(Tabla1[[#This Row],[VEHICULOS_ACCIDENTADOS]:[VEHICULOS_ACCIDENTADOS2]],"BICICLETA")</f>
        <v>0</v>
      </c>
      <c r="AD483" s="56" t="s">
        <v>471</v>
      </c>
      <c r="AE483" s="56"/>
      <c r="AF483" s="56">
        <f>COUNTIF(Tabla1[[#This Row],[GENERO_MASCULINO]:[GENERO_FEMENINO]],"MASCULINO")</f>
        <v>1</v>
      </c>
      <c r="AG483" s="36">
        <f>COUNTIF(Tabla1[[#This Row],[GENERO_MASCULINO]:[GENERO_FEMENINO]],"FEMENINO")</f>
        <v>0</v>
      </c>
      <c r="AH483" s="61">
        <v>27</v>
      </c>
      <c r="AI483" s="61">
        <v>23</v>
      </c>
      <c r="AJ483" s="61"/>
      <c r="AK483" s="61"/>
      <c r="AL483" s="61"/>
      <c r="AM483" s="36"/>
      <c r="AN483" s="61">
        <v>125</v>
      </c>
      <c r="AO483" s="36" t="str">
        <f>IFERROR(((VLOOKUP(Tabla1[[#This Row],[HIPOTESIS_1]],listas!$D$1:$E$105,2,FALSE))),"SIN INFORMACIÓN")</f>
        <v>Estacionar sin seguridad.</v>
      </c>
      <c r="AP483" s="36">
        <v>102</v>
      </c>
      <c r="AQ483" s="36" t="str">
        <f>IFERROR(((VLOOKUP(Tabla1[[#This Row],[HIPOTESIS_2]],listas!$D$1:$E$105,2,FALSE))),"")</f>
        <v>Adelantar por la derecha.</v>
      </c>
      <c r="AR483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484" spans="1:44" x14ac:dyDescent="0.25">
      <c r="A484" s="12">
        <v>240</v>
      </c>
      <c r="B484" s="36">
        <v>0</v>
      </c>
      <c r="C484" s="36">
        <v>1</v>
      </c>
      <c r="D484" s="60">
        <v>0</v>
      </c>
      <c r="E484" s="18" t="str">
        <f t="shared" si="28"/>
        <v>LESIONADO</v>
      </c>
      <c r="F484" s="29" t="s">
        <v>1094</v>
      </c>
      <c r="G484" s="17">
        <v>5.3187444444444445</v>
      </c>
      <c r="H484" s="17">
        <v>-72.404452777777777</v>
      </c>
      <c r="I484" s="93" t="s">
        <v>697</v>
      </c>
      <c r="J484" s="36" t="s">
        <v>717</v>
      </c>
      <c r="K484" s="24" t="str">
        <f t="shared" si="29"/>
        <v>2022</v>
      </c>
      <c r="L484" s="24" t="str">
        <f t="shared" si="30"/>
        <v>JULIO</v>
      </c>
      <c r="M484" s="225">
        <v>44743</v>
      </c>
      <c r="N484" s="24" t="str">
        <f t="shared" si="31"/>
        <v>VIERNES</v>
      </c>
      <c r="O484" s="170">
        <v>0.35416666666666702</v>
      </c>
      <c r="P484" s="53" t="s">
        <v>442</v>
      </c>
      <c r="Q484" s="53" t="s">
        <v>438</v>
      </c>
      <c r="R484" s="36">
        <f>COUNTIF(Tabla1[[#This Row],[VEHICULOS_ACCIDENTADOS]:[VEHICULOS_ACCIDENTADOS2]],"MOTOCICLETA")</f>
        <v>0</v>
      </c>
      <c r="S484" s="36">
        <f>COUNTIF(Tabla1[[#This Row],[VEHICULOS_ACCIDENTADOS]:[VEHICULOS_ACCIDENTADOS2]],"MOTOCARRO")</f>
        <v>0</v>
      </c>
      <c r="T484" s="36">
        <f>COUNTIF(Tabla1[[#This Row],[VEHICULOS_ACCIDENTADOS]:[VEHICULOS_ACCIDENTADOS2]],"AUTOMOVIL")</f>
        <v>0</v>
      </c>
      <c r="U484" s="36">
        <f>COUNTIF(Tabla1[[#This Row],[VEHICULOS_ACCIDENTADOS]:[VEHICULOS_ACCIDENTADOS2]],"CAMPERO")</f>
        <v>0</v>
      </c>
      <c r="V484" s="36">
        <f>COUNTIF(Tabla1[[#This Row],[VEHICULOS_ACCIDENTADOS]:[VEHICULOS_ACCIDENTADOS2]],"CAMIONETA")</f>
        <v>0</v>
      </c>
      <c r="W484" s="36">
        <f>COUNTIF(Tabla1[[#This Row],[VEHICULOS_ACCIDENTADOS]:[VEHICULOS_ACCIDENTADOS2]],"MICROBUS")</f>
        <v>0</v>
      </c>
      <c r="X484" s="36">
        <f>COUNTIF(Tabla1[[#This Row],[VEHICULOS_ACCIDENTADOS]:[VEHICULOS_ACCIDENTADOS2]],"BUS")</f>
        <v>0</v>
      </c>
      <c r="Y484" s="36">
        <f>COUNTIF(Tabla1[[#This Row],[VEHICULOS_ACCIDENTADOS]:[VEHICULOS_ACCIDENTADOS2]],"BUSETA")</f>
        <v>1</v>
      </c>
      <c r="Z484" s="36">
        <f>COUNTIF(Tabla1[[#This Row],[VEHICULOS_ACCIDENTADOS]:[VEHICULOS_ACCIDENTADOS2]],"CAMION")</f>
        <v>0</v>
      </c>
      <c r="AA484" s="36">
        <f>COUNTIF(Tabla1[[#This Row],[VEHICULOS_ACCIDENTADOS]:[VEHICULOS_ACCIDENTADOS2]],"TRACTOCAMION")</f>
        <v>0</v>
      </c>
      <c r="AB484" s="36">
        <f>COUNTIF(Tabla1[[#This Row],[VEHICULOS_ACCIDENTADOS]:[VEHICULOS_ACCIDENTADOS2]],"VOLQUETA")</f>
        <v>0</v>
      </c>
      <c r="AC484" s="36">
        <f>COUNTIF(Tabla1[[#This Row],[VEHICULOS_ACCIDENTADOS]:[VEHICULOS_ACCIDENTADOS2]],"BICICLETA")</f>
        <v>1</v>
      </c>
      <c r="AD484" s="56" t="s">
        <v>471</v>
      </c>
      <c r="AE484" s="56"/>
      <c r="AF484" s="56">
        <f>COUNTIF(Tabla1[[#This Row],[GENERO_MASCULINO]:[GENERO_FEMENINO]],"MASCULINO")</f>
        <v>1</v>
      </c>
      <c r="AG484" s="36">
        <f>COUNTIF(Tabla1[[#This Row],[GENERO_MASCULINO]:[GENERO_FEMENINO]],"FEMENINO")</f>
        <v>0</v>
      </c>
      <c r="AH484" s="61">
        <v>79</v>
      </c>
      <c r="AI484" s="61"/>
      <c r="AJ484" s="78"/>
      <c r="AK484" s="61"/>
      <c r="AL484" s="61"/>
      <c r="AM484" s="36"/>
      <c r="AN484" s="61">
        <v>121</v>
      </c>
      <c r="AO484" s="36" t="str">
        <f>IFERROR(((VLOOKUP(Tabla1[[#This Row],[HIPOTESIS_1]],listas!$D$1:$E$105,2,FALSE))),"SIN INFORMACIÓN")</f>
        <v>No mantener distancia de seguridad.</v>
      </c>
      <c r="AP484" s="36">
        <v>106</v>
      </c>
      <c r="AQ484" s="36" t="str">
        <f>IFERROR(((VLOOKUP(Tabla1[[#This Row],[HIPOTESIS_2]],listas!$D$1:$E$105,2,FALSE))),"")</f>
        <v>Adelantar invadiendo carril del mismo sentido en ZigZag</v>
      </c>
      <c r="AR484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485" spans="1:44" x14ac:dyDescent="0.25">
      <c r="A485" s="12">
        <v>363</v>
      </c>
      <c r="B485" s="36">
        <v>0</v>
      </c>
      <c r="C485" s="36">
        <v>1</v>
      </c>
      <c r="D485" s="60">
        <v>0</v>
      </c>
      <c r="E485" s="18" t="str">
        <f t="shared" si="28"/>
        <v>LESIONADO</v>
      </c>
      <c r="F485" s="29" t="s">
        <v>1127</v>
      </c>
      <c r="G485" s="17">
        <v>5.3357260000000002</v>
      </c>
      <c r="H485" s="17">
        <v>-72.393918999999997</v>
      </c>
      <c r="I485" s="93" t="s">
        <v>697</v>
      </c>
      <c r="J485" s="36" t="s">
        <v>717</v>
      </c>
      <c r="K485" s="24" t="str">
        <f t="shared" si="29"/>
        <v>2022</v>
      </c>
      <c r="L485" s="24" t="str">
        <f t="shared" si="30"/>
        <v>NOVIEMBRE</v>
      </c>
      <c r="M485" s="225">
        <v>44888</v>
      </c>
      <c r="N485" s="24" t="str">
        <f t="shared" si="31"/>
        <v>MIÉRCOLES</v>
      </c>
      <c r="O485" s="170">
        <v>0.85416666666666696</v>
      </c>
      <c r="P485" s="53" t="s">
        <v>469</v>
      </c>
      <c r="Q485" s="53" t="s">
        <v>447</v>
      </c>
      <c r="R485" s="36">
        <f>COUNTIF(Tabla1[[#This Row],[VEHICULOS_ACCIDENTADOS]:[VEHICULOS_ACCIDENTADOS2]],"MOTOCICLETA")</f>
        <v>1</v>
      </c>
      <c r="S485" s="36">
        <f>COUNTIF(Tabla1[[#This Row],[VEHICULOS_ACCIDENTADOS]:[VEHICULOS_ACCIDENTADOS2]],"MOTOCARRO")</f>
        <v>0</v>
      </c>
      <c r="T485" s="36">
        <f>COUNTIF(Tabla1[[#This Row],[VEHICULOS_ACCIDENTADOS]:[VEHICULOS_ACCIDENTADOS2]],"AUTOMOVIL")</f>
        <v>1</v>
      </c>
      <c r="U485" s="36">
        <f>COUNTIF(Tabla1[[#This Row],[VEHICULOS_ACCIDENTADOS]:[VEHICULOS_ACCIDENTADOS2]],"CAMPERO")</f>
        <v>0</v>
      </c>
      <c r="V485" s="36">
        <f>COUNTIF(Tabla1[[#This Row],[VEHICULOS_ACCIDENTADOS]:[VEHICULOS_ACCIDENTADOS2]],"CAMIONETA")</f>
        <v>0</v>
      </c>
      <c r="W485" s="36">
        <f>COUNTIF(Tabla1[[#This Row],[VEHICULOS_ACCIDENTADOS]:[VEHICULOS_ACCIDENTADOS2]],"MICROBUS")</f>
        <v>0</v>
      </c>
      <c r="X485" s="36">
        <f>COUNTIF(Tabla1[[#This Row],[VEHICULOS_ACCIDENTADOS]:[VEHICULOS_ACCIDENTADOS2]],"BUS")</f>
        <v>0</v>
      </c>
      <c r="Y485" s="36">
        <f>COUNTIF(Tabla1[[#This Row],[VEHICULOS_ACCIDENTADOS]:[VEHICULOS_ACCIDENTADOS2]],"BUSETA")</f>
        <v>0</v>
      </c>
      <c r="Z485" s="36">
        <f>COUNTIF(Tabla1[[#This Row],[VEHICULOS_ACCIDENTADOS]:[VEHICULOS_ACCIDENTADOS2]],"CAMION")</f>
        <v>0</v>
      </c>
      <c r="AA485" s="36">
        <f>COUNTIF(Tabla1[[#This Row],[VEHICULOS_ACCIDENTADOS]:[VEHICULOS_ACCIDENTADOS2]],"TRACTOCAMION")</f>
        <v>0</v>
      </c>
      <c r="AB485" s="36">
        <f>COUNTIF(Tabla1[[#This Row],[VEHICULOS_ACCIDENTADOS]:[VEHICULOS_ACCIDENTADOS2]],"VOLQUETA")</f>
        <v>0</v>
      </c>
      <c r="AC485" s="36">
        <f>COUNTIF(Tabla1[[#This Row],[VEHICULOS_ACCIDENTADOS]:[VEHICULOS_ACCIDENTADOS2]],"BICICLETA")</f>
        <v>0</v>
      </c>
      <c r="AD485" s="56"/>
      <c r="AE485" s="56" t="s">
        <v>472</v>
      </c>
      <c r="AF485" s="56">
        <f>COUNTIF(Tabla1[[#This Row],[GENERO_MASCULINO]:[GENERO_FEMENINO]],"MASCULINO")</f>
        <v>0</v>
      </c>
      <c r="AG485" s="36">
        <f>COUNTIF(Tabla1[[#This Row],[GENERO_MASCULINO]:[GENERO_FEMENINO]],"FEMENINO")</f>
        <v>1</v>
      </c>
      <c r="AH485" s="61">
        <v>20</v>
      </c>
      <c r="AI485" s="61"/>
      <c r="AJ485" s="61"/>
      <c r="AK485" s="61"/>
      <c r="AL485" s="61"/>
      <c r="AM485" s="36"/>
      <c r="AN485" s="61">
        <v>115</v>
      </c>
      <c r="AO485" s="36" t="str">
        <f>IFERROR(((VLOOKUP(Tabla1[[#This Row],[HIPOTESIS_1]],listas!$D$1:$E$105,2,FALSE))),"SIN INFORMACIÓN")</f>
        <v>Embriaguez o Sustancias alucinogenas</v>
      </c>
      <c r="AP485" s="36">
        <v>104</v>
      </c>
      <c r="AQ485" s="36" t="str">
        <f>IFERROR(((VLOOKUP(Tabla1[[#This Row],[HIPOTESIS_2]],listas!$D$1:$E$105,2,FALSE))),"")</f>
        <v>Adelantar invadiendo carril de sentido contrario.</v>
      </c>
      <c r="AR485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486" spans="1:44" x14ac:dyDescent="0.25">
      <c r="A486" s="12">
        <v>943</v>
      </c>
      <c r="B486" s="135">
        <v>1</v>
      </c>
      <c r="C486" s="136">
        <v>0</v>
      </c>
      <c r="D486" s="148">
        <v>0</v>
      </c>
      <c r="E486" s="18" t="str">
        <f t="shared" si="28"/>
        <v>SOLO DAÑO</v>
      </c>
      <c r="F486" s="26" t="s">
        <v>1101</v>
      </c>
      <c r="G486" s="20">
        <v>5.3185111111111105</v>
      </c>
      <c r="H486" s="20">
        <v>-72.402433333333335</v>
      </c>
      <c r="I486" s="93" t="s">
        <v>697</v>
      </c>
      <c r="J486" s="136" t="s">
        <v>717</v>
      </c>
      <c r="K486" s="24" t="str">
        <f t="shared" si="29"/>
        <v>2025</v>
      </c>
      <c r="L486" s="24" t="str">
        <f t="shared" si="30"/>
        <v>ABRIL</v>
      </c>
      <c r="M486" s="224">
        <v>45766</v>
      </c>
      <c r="N486" s="24" t="str">
        <f t="shared" si="31"/>
        <v>SÁBADO</v>
      </c>
      <c r="O486" s="104">
        <v>0.76388888888888884</v>
      </c>
      <c r="P486" s="136" t="s">
        <v>447</v>
      </c>
      <c r="Q486" s="136" t="s">
        <v>446</v>
      </c>
      <c r="R486" s="36">
        <f>COUNTIF(Tabla1[[#This Row],[VEHICULOS_ACCIDENTADOS]:[VEHICULOS_ACCIDENTADOS2]],"MOTOCICLETA")</f>
        <v>0</v>
      </c>
      <c r="S486" s="36">
        <f>COUNTIF(Tabla1[[#This Row],[VEHICULOS_ACCIDENTADOS]:[VEHICULOS_ACCIDENTADOS2]],"MOTOCARRO")</f>
        <v>0</v>
      </c>
      <c r="T486" s="36">
        <f>COUNTIF(Tabla1[[#This Row],[VEHICULOS_ACCIDENTADOS]:[VEHICULOS_ACCIDENTADOS2]],"AUTOMOVIL")</f>
        <v>1</v>
      </c>
      <c r="U486" s="36">
        <f>COUNTIF(Tabla1[[#This Row],[VEHICULOS_ACCIDENTADOS]:[VEHICULOS_ACCIDENTADOS2]],"CAMPERO")</f>
        <v>1</v>
      </c>
      <c r="V486" s="36">
        <f>COUNTIF(Tabla1[[#This Row],[VEHICULOS_ACCIDENTADOS]:[VEHICULOS_ACCIDENTADOS2]],"CAMIONETA")</f>
        <v>0</v>
      </c>
      <c r="W486" s="36">
        <f>COUNTIF(Tabla1[[#This Row],[VEHICULOS_ACCIDENTADOS]:[VEHICULOS_ACCIDENTADOS2]],"MICROBUS")</f>
        <v>0</v>
      </c>
      <c r="X486" s="36">
        <f>COUNTIF(Tabla1[[#This Row],[VEHICULOS_ACCIDENTADOS]:[VEHICULOS_ACCIDENTADOS2]],"BUS")</f>
        <v>0</v>
      </c>
      <c r="Y486" s="36">
        <f>COUNTIF(Tabla1[[#This Row],[VEHICULOS_ACCIDENTADOS]:[VEHICULOS_ACCIDENTADOS2]],"BUSETA")</f>
        <v>0</v>
      </c>
      <c r="Z486" s="36">
        <f>COUNTIF(Tabla1[[#This Row],[VEHICULOS_ACCIDENTADOS]:[VEHICULOS_ACCIDENTADOS2]],"CAMION")</f>
        <v>0</v>
      </c>
      <c r="AA486" s="36">
        <f>COUNTIF(Tabla1[[#This Row],[VEHICULOS_ACCIDENTADOS]:[VEHICULOS_ACCIDENTADOS2]],"TRACTOCAMION")</f>
        <v>0</v>
      </c>
      <c r="AB486" s="36">
        <f>COUNTIF(Tabla1[[#This Row],[VEHICULOS_ACCIDENTADOS]:[VEHICULOS_ACCIDENTADOS2]],"VOLQUETA")</f>
        <v>0</v>
      </c>
      <c r="AC486" s="36">
        <f>COUNTIF(Tabla1[[#This Row],[VEHICULOS_ACCIDENTADOS]:[VEHICULOS_ACCIDENTADOS2]],"BICICLETA")</f>
        <v>0</v>
      </c>
      <c r="AD486" s="190" t="s">
        <v>471</v>
      </c>
      <c r="AE486" s="190" t="s">
        <v>471</v>
      </c>
      <c r="AF486" s="190">
        <f>COUNTIF(Tabla1[[#This Row],[GENERO_MASCULINO]:[GENERO_FEMENINO]],"MASCULINO")</f>
        <v>2</v>
      </c>
      <c r="AG486" s="36">
        <f>COUNTIF(Tabla1[[#This Row],[GENERO_MASCULINO]:[GENERO_FEMENINO]],"FEMENINO")</f>
        <v>0</v>
      </c>
      <c r="AH486" s="85">
        <v>47</v>
      </c>
      <c r="AI486" s="85">
        <v>36</v>
      </c>
      <c r="AJ486" s="85"/>
      <c r="AK486" s="78"/>
      <c r="AL486" s="78"/>
      <c r="AM486" s="59"/>
      <c r="AN486" s="85">
        <v>114</v>
      </c>
      <c r="AO486" s="36" t="str">
        <f>IFERROR(((VLOOKUP(Tabla1[[#This Row],[HIPOTESIS_1]],listas!$D$1:$E$105,2,FALSE))),"SIN INFORMACIÓN")</f>
        <v>Embriaguez aparente.</v>
      </c>
      <c r="AP486" s="36">
        <v>104</v>
      </c>
      <c r="AQ486" s="36" t="str">
        <f>IFERROR(((VLOOKUP(Tabla1[[#This Row],[HIPOTESIS_2]],listas!$D$1:$E$105,2,FALSE))),"")</f>
        <v>Adelantar invadiendo carril de sentido contrario.</v>
      </c>
      <c r="AR486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487" spans="1:44" x14ac:dyDescent="0.25">
      <c r="A487" s="12">
        <v>1046</v>
      </c>
      <c r="B487" s="137">
        <v>0</v>
      </c>
      <c r="C487" s="137">
        <v>1</v>
      </c>
      <c r="D487" s="146">
        <v>1</v>
      </c>
      <c r="E487" s="18" t="str">
        <f t="shared" si="28"/>
        <v>FALLECIDO</v>
      </c>
      <c r="F487" s="152" t="s">
        <v>677</v>
      </c>
      <c r="G487" s="30">
        <v>5.4938909999999996</v>
      </c>
      <c r="H487" s="30">
        <v>-72.229062999999996</v>
      </c>
      <c r="I487" s="93" t="s">
        <v>697</v>
      </c>
      <c r="J487" s="36" t="s">
        <v>1</v>
      </c>
      <c r="K487" s="24" t="str">
        <f t="shared" si="29"/>
        <v>2025</v>
      </c>
      <c r="L487" s="24" t="str">
        <f t="shared" si="30"/>
        <v>AGOSTO</v>
      </c>
      <c r="M487" s="225">
        <v>45890</v>
      </c>
      <c r="N487" s="24" t="str">
        <f t="shared" si="31"/>
        <v>JUEVES</v>
      </c>
      <c r="O487" s="103">
        <v>0.44791666666666669</v>
      </c>
      <c r="P487" s="181" t="s">
        <v>469</v>
      </c>
      <c r="Q487" s="181" t="s">
        <v>439</v>
      </c>
      <c r="R487" s="36">
        <f>COUNTIF(Tabla1[[#This Row],[VEHICULOS_ACCIDENTADOS]:[VEHICULOS_ACCIDENTADOS2]],"MOTOCICLETA")</f>
        <v>1</v>
      </c>
      <c r="S487" s="36">
        <f>COUNTIF(Tabla1[[#This Row],[VEHICULOS_ACCIDENTADOS]:[VEHICULOS_ACCIDENTADOS2]],"MOTOCARRO")</f>
        <v>0</v>
      </c>
      <c r="T487" s="36">
        <f>COUNTIF(Tabla1[[#This Row],[VEHICULOS_ACCIDENTADOS]:[VEHICULOS_ACCIDENTADOS2]],"AUTOMOVIL")</f>
        <v>0</v>
      </c>
      <c r="U487" s="36">
        <f>COUNTIF(Tabla1[[#This Row],[VEHICULOS_ACCIDENTADOS]:[VEHICULOS_ACCIDENTADOS2]],"CAMPERO")</f>
        <v>0</v>
      </c>
      <c r="V487" s="36">
        <f>COUNTIF(Tabla1[[#This Row],[VEHICULOS_ACCIDENTADOS]:[VEHICULOS_ACCIDENTADOS2]],"CAMIONETA")</f>
        <v>0</v>
      </c>
      <c r="W487" s="36">
        <f>COUNTIF(Tabla1[[#This Row],[VEHICULOS_ACCIDENTADOS]:[VEHICULOS_ACCIDENTADOS2]],"MICROBUS")</f>
        <v>0</v>
      </c>
      <c r="X487" s="36">
        <f>COUNTIF(Tabla1[[#This Row],[VEHICULOS_ACCIDENTADOS]:[VEHICULOS_ACCIDENTADOS2]],"BUS")</f>
        <v>0</v>
      </c>
      <c r="Y487" s="36">
        <f>COUNTIF(Tabla1[[#This Row],[VEHICULOS_ACCIDENTADOS]:[VEHICULOS_ACCIDENTADOS2]],"BUSETA")</f>
        <v>0</v>
      </c>
      <c r="Z487" s="36">
        <f>COUNTIF(Tabla1[[#This Row],[VEHICULOS_ACCIDENTADOS]:[VEHICULOS_ACCIDENTADOS2]],"CAMION")</f>
        <v>0</v>
      </c>
      <c r="AA487" s="36">
        <f>COUNTIF(Tabla1[[#This Row],[VEHICULOS_ACCIDENTADOS]:[VEHICULOS_ACCIDENTADOS2]],"TRACTOCAMION")</f>
        <v>0</v>
      </c>
      <c r="AB487" s="36">
        <f>COUNTIF(Tabla1[[#This Row],[VEHICULOS_ACCIDENTADOS]:[VEHICULOS_ACCIDENTADOS2]],"VOLQUETA")</f>
        <v>1</v>
      </c>
      <c r="AC487" s="36">
        <f>COUNTIF(Tabla1[[#This Row],[VEHICULOS_ACCIDENTADOS]:[VEHICULOS_ACCIDENTADOS2]],"BICICLETA")</f>
        <v>0</v>
      </c>
      <c r="AD487" s="188" t="s">
        <v>472</v>
      </c>
      <c r="AE487" s="188" t="s">
        <v>471</v>
      </c>
      <c r="AF487" s="56">
        <f>COUNTIF(Tabla1[[#This Row],[GENERO_MASCULINO]:[GENERO_FEMENINO]],"MASCULINO")</f>
        <v>1</v>
      </c>
      <c r="AG487" s="36">
        <f>COUNTIF(Tabla1[[#This Row],[GENERO_MASCULINO]:[GENERO_FEMENINO]],"FEMENINO")</f>
        <v>1</v>
      </c>
      <c r="AH487" s="85">
        <v>34</v>
      </c>
      <c r="AI487" s="85"/>
      <c r="AJ487" s="85"/>
      <c r="AK487" s="78"/>
      <c r="AL487" s="78"/>
      <c r="AM487" s="59"/>
      <c r="AN487" s="204">
        <v>122</v>
      </c>
      <c r="AO487" s="59" t="str">
        <f>IFERROR(((VLOOKUP(Tabla1[[#This Row],[HIPOTESIS_1]],listas!$D$1:$E$105,2,FALSE))),"SIN INFORMACIÓN")</f>
        <v>Girar bruscamente.</v>
      </c>
      <c r="AP487" s="36">
        <v>104</v>
      </c>
      <c r="AQ487" s="36" t="str">
        <f>IFERROR(((VLOOKUP(Tabla1[[#This Row],[HIPOTESIS_2]],listas!$D$1:$E$105,2,FALSE))),"")</f>
        <v>Adelantar invadiendo carril de sentido contrario.</v>
      </c>
      <c r="AR487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488" spans="1:44" x14ac:dyDescent="0.25">
      <c r="A488" s="12">
        <v>274</v>
      </c>
      <c r="B488" s="36">
        <v>0</v>
      </c>
      <c r="C488" s="36">
        <v>1</v>
      </c>
      <c r="D488" s="60">
        <v>0</v>
      </c>
      <c r="E488" s="18" t="str">
        <f t="shared" si="28"/>
        <v>LESIONADO</v>
      </c>
      <c r="F488" s="29" t="s">
        <v>332</v>
      </c>
      <c r="G488" s="17">
        <v>5.3195638888888883</v>
      </c>
      <c r="H488" s="17">
        <v>-72.400413888888892</v>
      </c>
      <c r="I488" s="93" t="s">
        <v>697</v>
      </c>
      <c r="J488" s="36" t="s">
        <v>717</v>
      </c>
      <c r="K488" s="24" t="str">
        <f t="shared" si="29"/>
        <v>2022</v>
      </c>
      <c r="L488" s="24" t="str">
        <f t="shared" si="30"/>
        <v>AGOSTO</v>
      </c>
      <c r="M488" s="225">
        <v>44780</v>
      </c>
      <c r="N488" s="24" t="str">
        <f t="shared" si="31"/>
        <v>DOMINGO</v>
      </c>
      <c r="O488" s="170">
        <v>0.86805555555555503</v>
      </c>
      <c r="P488" s="53" t="s">
        <v>469</v>
      </c>
      <c r="Q488" s="53" t="s">
        <v>469</v>
      </c>
      <c r="R488" s="36">
        <f>COUNTIF(Tabla1[[#This Row],[VEHICULOS_ACCIDENTADOS]:[VEHICULOS_ACCIDENTADOS2]],"MOTOCICLETA")</f>
        <v>2</v>
      </c>
      <c r="S488" s="36">
        <f>COUNTIF(Tabla1[[#This Row],[VEHICULOS_ACCIDENTADOS]:[VEHICULOS_ACCIDENTADOS2]],"MOTOCARRO")</f>
        <v>0</v>
      </c>
      <c r="T488" s="36">
        <f>COUNTIF(Tabla1[[#This Row],[VEHICULOS_ACCIDENTADOS]:[VEHICULOS_ACCIDENTADOS2]],"AUTOMOVIL")</f>
        <v>0</v>
      </c>
      <c r="U488" s="36">
        <f>COUNTIF(Tabla1[[#This Row],[VEHICULOS_ACCIDENTADOS]:[VEHICULOS_ACCIDENTADOS2]],"CAMPERO")</f>
        <v>0</v>
      </c>
      <c r="V488" s="36">
        <f>COUNTIF(Tabla1[[#This Row],[VEHICULOS_ACCIDENTADOS]:[VEHICULOS_ACCIDENTADOS2]],"CAMIONETA")</f>
        <v>0</v>
      </c>
      <c r="W488" s="36">
        <f>COUNTIF(Tabla1[[#This Row],[VEHICULOS_ACCIDENTADOS]:[VEHICULOS_ACCIDENTADOS2]],"MICROBUS")</f>
        <v>0</v>
      </c>
      <c r="X488" s="36">
        <f>COUNTIF(Tabla1[[#This Row],[VEHICULOS_ACCIDENTADOS]:[VEHICULOS_ACCIDENTADOS2]],"BUS")</f>
        <v>0</v>
      </c>
      <c r="Y488" s="36">
        <f>COUNTIF(Tabla1[[#This Row],[VEHICULOS_ACCIDENTADOS]:[VEHICULOS_ACCIDENTADOS2]],"BUSETA")</f>
        <v>0</v>
      </c>
      <c r="Z488" s="36">
        <f>COUNTIF(Tabla1[[#This Row],[VEHICULOS_ACCIDENTADOS]:[VEHICULOS_ACCIDENTADOS2]],"CAMION")</f>
        <v>0</v>
      </c>
      <c r="AA488" s="36">
        <f>COUNTIF(Tabla1[[#This Row],[VEHICULOS_ACCIDENTADOS]:[VEHICULOS_ACCIDENTADOS2]],"TRACTOCAMION")</f>
        <v>0</v>
      </c>
      <c r="AB488" s="36">
        <f>COUNTIF(Tabla1[[#This Row],[VEHICULOS_ACCIDENTADOS]:[VEHICULOS_ACCIDENTADOS2]],"VOLQUETA")</f>
        <v>0</v>
      </c>
      <c r="AC488" s="36">
        <f>COUNTIF(Tabla1[[#This Row],[VEHICULOS_ACCIDENTADOS]:[VEHICULOS_ACCIDENTADOS2]],"BICICLETA")</f>
        <v>0</v>
      </c>
      <c r="AD488" s="56"/>
      <c r="AE488" s="56" t="s">
        <v>472</v>
      </c>
      <c r="AF488" s="56">
        <f>COUNTIF(Tabla1[[#This Row],[GENERO_MASCULINO]:[GENERO_FEMENINO]],"MASCULINO")</f>
        <v>0</v>
      </c>
      <c r="AG488" s="36">
        <f>COUNTIF(Tabla1[[#This Row],[GENERO_MASCULINO]:[GENERO_FEMENINO]],"FEMENINO")</f>
        <v>1</v>
      </c>
      <c r="AH488" s="61"/>
      <c r="AI488" s="61"/>
      <c r="AJ488" s="61"/>
      <c r="AK488" s="61"/>
      <c r="AL488" s="61">
        <v>23</v>
      </c>
      <c r="AM488" s="36"/>
      <c r="AN488" s="61">
        <v>115</v>
      </c>
      <c r="AO488" s="36" t="str">
        <f>IFERROR(((VLOOKUP(Tabla1[[#This Row],[HIPOTESIS_1]],listas!$D$1:$E$105,2,FALSE))),"SIN INFORMACIÓN")</f>
        <v>Embriaguez o Sustancias alucinogenas</v>
      </c>
      <c r="AP488" s="36">
        <v>104</v>
      </c>
      <c r="AQ488" s="36" t="str">
        <f>IFERROR(((VLOOKUP(Tabla1[[#This Row],[HIPOTESIS_2]],listas!$D$1:$E$105,2,FALSE))),"")</f>
        <v>Adelantar invadiendo carril de sentido contrario.</v>
      </c>
      <c r="AR488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489" spans="1:44" x14ac:dyDescent="0.25">
      <c r="A489" s="12">
        <v>644</v>
      </c>
      <c r="B489" s="55">
        <v>0</v>
      </c>
      <c r="C489" s="36">
        <v>3</v>
      </c>
      <c r="D489" s="58">
        <v>0</v>
      </c>
      <c r="E489" s="18" t="str">
        <f t="shared" si="28"/>
        <v>LESIONADO</v>
      </c>
      <c r="F489" s="29" t="s">
        <v>169</v>
      </c>
      <c r="G489" s="21">
        <v>5.2304883333333336</v>
      </c>
      <c r="H489" s="21">
        <v>-72.116615277777768</v>
      </c>
      <c r="I489" s="93" t="s">
        <v>697</v>
      </c>
      <c r="J489" s="36" t="s">
        <v>1</v>
      </c>
      <c r="K489" s="24" t="str">
        <f t="shared" si="29"/>
        <v>2023</v>
      </c>
      <c r="L489" s="24" t="str">
        <f t="shared" si="30"/>
        <v>DICIEMBRE</v>
      </c>
      <c r="M489" s="225">
        <v>45291</v>
      </c>
      <c r="N489" s="24" t="str">
        <f t="shared" si="31"/>
        <v>DOMINGO</v>
      </c>
      <c r="O489" s="103">
        <v>0.63888888888888884</v>
      </c>
      <c r="P489" s="57" t="s">
        <v>469</v>
      </c>
      <c r="Q489" s="57" t="s">
        <v>447</v>
      </c>
      <c r="R489" s="36">
        <f>COUNTIF(Tabla1[[#This Row],[VEHICULOS_ACCIDENTADOS]:[VEHICULOS_ACCIDENTADOS2]],"MOTOCICLETA")</f>
        <v>1</v>
      </c>
      <c r="S489" s="36">
        <f>COUNTIF(Tabla1[[#This Row],[VEHICULOS_ACCIDENTADOS]:[VEHICULOS_ACCIDENTADOS2]],"MOTOCARRO")</f>
        <v>0</v>
      </c>
      <c r="T489" s="36">
        <f>COUNTIF(Tabla1[[#This Row],[VEHICULOS_ACCIDENTADOS]:[VEHICULOS_ACCIDENTADOS2]],"AUTOMOVIL")</f>
        <v>1</v>
      </c>
      <c r="U489" s="36">
        <f>COUNTIF(Tabla1[[#This Row],[VEHICULOS_ACCIDENTADOS]:[VEHICULOS_ACCIDENTADOS2]],"CAMPERO")</f>
        <v>0</v>
      </c>
      <c r="V489" s="36">
        <f>COUNTIF(Tabla1[[#This Row],[VEHICULOS_ACCIDENTADOS]:[VEHICULOS_ACCIDENTADOS2]],"CAMIONETA")</f>
        <v>0</v>
      </c>
      <c r="W489" s="36">
        <f>COUNTIF(Tabla1[[#This Row],[VEHICULOS_ACCIDENTADOS]:[VEHICULOS_ACCIDENTADOS2]],"MICROBUS")</f>
        <v>0</v>
      </c>
      <c r="X489" s="36">
        <f>COUNTIF(Tabla1[[#This Row],[VEHICULOS_ACCIDENTADOS]:[VEHICULOS_ACCIDENTADOS2]],"BUS")</f>
        <v>0</v>
      </c>
      <c r="Y489" s="36">
        <f>COUNTIF(Tabla1[[#This Row],[VEHICULOS_ACCIDENTADOS]:[VEHICULOS_ACCIDENTADOS2]],"BUSETA")</f>
        <v>0</v>
      </c>
      <c r="Z489" s="36">
        <f>COUNTIF(Tabla1[[#This Row],[VEHICULOS_ACCIDENTADOS]:[VEHICULOS_ACCIDENTADOS2]],"CAMION")</f>
        <v>0</v>
      </c>
      <c r="AA489" s="36">
        <f>COUNTIF(Tabla1[[#This Row],[VEHICULOS_ACCIDENTADOS]:[VEHICULOS_ACCIDENTADOS2]],"TRACTOCAMION")</f>
        <v>0</v>
      </c>
      <c r="AB489" s="36">
        <f>COUNTIF(Tabla1[[#This Row],[VEHICULOS_ACCIDENTADOS]:[VEHICULOS_ACCIDENTADOS2]],"VOLQUETA")</f>
        <v>0</v>
      </c>
      <c r="AC489" s="36">
        <f>COUNTIF(Tabla1[[#This Row],[VEHICULOS_ACCIDENTADOS]:[VEHICULOS_ACCIDENTADOS2]],"BICICLETA")</f>
        <v>0</v>
      </c>
      <c r="AD489" s="56" t="s">
        <v>471</v>
      </c>
      <c r="AE489" s="56"/>
      <c r="AF489" s="56">
        <f>COUNTIF(Tabla1[[#This Row],[GENERO_MASCULINO]:[GENERO_FEMENINO]],"MASCULINO")</f>
        <v>1</v>
      </c>
      <c r="AG489" s="36">
        <f>COUNTIF(Tabla1[[#This Row],[GENERO_MASCULINO]:[GENERO_FEMENINO]],"FEMENINO")</f>
        <v>0</v>
      </c>
      <c r="AH489" s="85">
        <v>44</v>
      </c>
      <c r="AI489" s="85">
        <v>74</v>
      </c>
      <c r="AJ489" s="80"/>
      <c r="AK489" s="80"/>
      <c r="AL489" s="61">
        <v>41</v>
      </c>
      <c r="AM489" s="54"/>
      <c r="AN489" s="61">
        <v>139</v>
      </c>
      <c r="AO489" s="36" t="str">
        <f>IFERROR(((VLOOKUP(Tabla1[[#This Row],[HIPOTESIS_1]],listas!$D$1:$E$105,2,FALSE))),"SIN INFORMACIÓN")</f>
        <v>Impericia en el manejo.</v>
      </c>
      <c r="AP489" s="55">
        <v>104</v>
      </c>
      <c r="AQ489" s="36" t="str">
        <f>IFERROR(((VLOOKUP(Tabla1[[#This Row],[HIPOTESIS_2]],listas!$D$1:$E$105,2,FALSE))),"")</f>
        <v>Adelantar invadiendo carril de sentido contrario.</v>
      </c>
      <c r="AR489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490" spans="1:44" x14ac:dyDescent="0.25">
      <c r="A490" s="12">
        <v>780</v>
      </c>
      <c r="B490" s="36">
        <v>0</v>
      </c>
      <c r="C490" s="36">
        <v>0</v>
      </c>
      <c r="D490" s="150">
        <v>1</v>
      </c>
      <c r="E490" s="18" t="str">
        <f t="shared" si="28"/>
        <v>FALLECIDO</v>
      </c>
      <c r="F490" s="29" t="s">
        <v>114</v>
      </c>
      <c r="G490" s="21">
        <v>5.3502027777777776</v>
      </c>
      <c r="H490" s="21">
        <v>-72.383763888888893</v>
      </c>
      <c r="I490" s="93" t="s">
        <v>697</v>
      </c>
      <c r="J490" s="36" t="s">
        <v>717</v>
      </c>
      <c r="K490" s="24" t="str">
        <f t="shared" si="29"/>
        <v>2024</v>
      </c>
      <c r="L490" s="24" t="str">
        <f t="shared" si="30"/>
        <v>SEPTIEMBRE</v>
      </c>
      <c r="M490" s="225">
        <v>45549</v>
      </c>
      <c r="N490" s="24" t="str">
        <f t="shared" si="31"/>
        <v>SÁBADO</v>
      </c>
      <c r="O490" s="103">
        <v>0.95833333333333337</v>
      </c>
      <c r="P490" s="57" t="s">
        <v>469</v>
      </c>
      <c r="Q490" s="57" t="s">
        <v>445</v>
      </c>
      <c r="R490" s="36">
        <f>COUNTIF(Tabla1[[#This Row],[VEHICULOS_ACCIDENTADOS]:[VEHICULOS_ACCIDENTADOS2]],"MOTOCICLETA")</f>
        <v>1</v>
      </c>
      <c r="S490" s="36">
        <f>COUNTIF(Tabla1[[#This Row],[VEHICULOS_ACCIDENTADOS]:[VEHICULOS_ACCIDENTADOS2]],"MOTOCARRO")</f>
        <v>0</v>
      </c>
      <c r="T490" s="36">
        <f>COUNTIF(Tabla1[[#This Row],[VEHICULOS_ACCIDENTADOS]:[VEHICULOS_ACCIDENTADOS2]],"AUTOMOVIL")</f>
        <v>0</v>
      </c>
      <c r="U490" s="36">
        <f>COUNTIF(Tabla1[[#This Row],[VEHICULOS_ACCIDENTADOS]:[VEHICULOS_ACCIDENTADOS2]],"CAMPERO")</f>
        <v>0</v>
      </c>
      <c r="V490" s="36">
        <f>COUNTIF(Tabla1[[#This Row],[VEHICULOS_ACCIDENTADOS]:[VEHICULOS_ACCIDENTADOS2]],"CAMIONETA")</f>
        <v>1</v>
      </c>
      <c r="W490" s="36">
        <f>COUNTIF(Tabla1[[#This Row],[VEHICULOS_ACCIDENTADOS]:[VEHICULOS_ACCIDENTADOS2]],"MICROBUS")</f>
        <v>0</v>
      </c>
      <c r="X490" s="36">
        <f>COUNTIF(Tabla1[[#This Row],[VEHICULOS_ACCIDENTADOS]:[VEHICULOS_ACCIDENTADOS2]],"BUS")</f>
        <v>0</v>
      </c>
      <c r="Y490" s="36">
        <f>COUNTIF(Tabla1[[#This Row],[VEHICULOS_ACCIDENTADOS]:[VEHICULOS_ACCIDENTADOS2]],"BUSETA")</f>
        <v>0</v>
      </c>
      <c r="Z490" s="36">
        <f>COUNTIF(Tabla1[[#This Row],[VEHICULOS_ACCIDENTADOS]:[VEHICULOS_ACCIDENTADOS2]],"CAMION")</f>
        <v>0</v>
      </c>
      <c r="AA490" s="36">
        <f>COUNTIF(Tabla1[[#This Row],[VEHICULOS_ACCIDENTADOS]:[VEHICULOS_ACCIDENTADOS2]],"TRACTOCAMION")</f>
        <v>0</v>
      </c>
      <c r="AB490" s="36">
        <f>COUNTIF(Tabla1[[#This Row],[VEHICULOS_ACCIDENTADOS]:[VEHICULOS_ACCIDENTADOS2]],"VOLQUETA")</f>
        <v>0</v>
      </c>
      <c r="AC490" s="36">
        <f>COUNTIF(Tabla1[[#This Row],[VEHICULOS_ACCIDENTADOS]:[VEHICULOS_ACCIDENTADOS2]],"BICICLETA")</f>
        <v>0</v>
      </c>
      <c r="AD490" s="56" t="s">
        <v>471</v>
      </c>
      <c r="AE490" s="56"/>
      <c r="AF490" s="56">
        <f>COUNTIF(Tabla1[[#This Row],[GENERO_MASCULINO]:[GENERO_FEMENINO]],"MASCULINO")</f>
        <v>1</v>
      </c>
      <c r="AG490" s="36">
        <f>COUNTIF(Tabla1[[#This Row],[GENERO_MASCULINO]:[GENERO_FEMENINO]],"FEMENINO")</f>
        <v>0</v>
      </c>
      <c r="AH490" s="61"/>
      <c r="AI490" s="61">
        <v>58</v>
      </c>
      <c r="AJ490" s="61"/>
      <c r="AK490" s="61"/>
      <c r="AL490" s="61"/>
      <c r="AM490" s="36">
        <v>59</v>
      </c>
      <c r="AN490" s="61">
        <v>115</v>
      </c>
      <c r="AO490" s="36" t="str">
        <f>IFERROR(((VLOOKUP(Tabla1[[#This Row],[HIPOTESIS_1]],listas!$D$1:$E$105,2,FALSE))),"SIN INFORMACIÓN")</f>
        <v>Embriaguez o Sustancias alucinogenas</v>
      </c>
      <c r="AP490" s="36">
        <v>104</v>
      </c>
      <c r="AQ490" s="36" t="str">
        <f>IFERROR(((VLOOKUP(Tabla1[[#This Row],[HIPOTESIS_2]],listas!$D$1:$E$105,2,FALSE))),"")</f>
        <v>Adelantar invadiendo carril de sentido contrario.</v>
      </c>
      <c r="AR490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491" spans="1:44" x14ac:dyDescent="0.25">
      <c r="A491" s="12">
        <v>71</v>
      </c>
      <c r="B491" s="36">
        <v>1</v>
      </c>
      <c r="C491" s="36">
        <v>0</v>
      </c>
      <c r="D491" s="60">
        <v>0</v>
      </c>
      <c r="E491" s="18" t="str">
        <f t="shared" si="28"/>
        <v>SOLO DAÑO</v>
      </c>
      <c r="F491" s="29" t="s">
        <v>1049</v>
      </c>
      <c r="G491" s="17">
        <v>5.3332990000000002</v>
      </c>
      <c r="H491" s="17">
        <v>-72.401500999999996</v>
      </c>
      <c r="I491" s="93" t="s">
        <v>697</v>
      </c>
      <c r="J491" s="13" t="s">
        <v>717</v>
      </c>
      <c r="K491" s="24" t="str">
        <f t="shared" si="29"/>
        <v>2022</v>
      </c>
      <c r="L491" s="24" t="str">
        <f t="shared" si="30"/>
        <v>MARZO</v>
      </c>
      <c r="M491" s="231">
        <v>44622</v>
      </c>
      <c r="N491" s="24" t="str">
        <f t="shared" si="31"/>
        <v>MIÉRCOLES</v>
      </c>
      <c r="O491" s="105">
        <v>0.39583333333333298</v>
      </c>
      <c r="P491" s="217" t="s">
        <v>469</v>
      </c>
      <c r="Q491" s="217" t="s">
        <v>445</v>
      </c>
      <c r="R491" s="36">
        <f>COUNTIF(Tabla1[[#This Row],[VEHICULOS_ACCIDENTADOS]:[VEHICULOS_ACCIDENTADOS2]],"MOTOCICLETA")</f>
        <v>1</v>
      </c>
      <c r="S491" s="36">
        <f>COUNTIF(Tabla1[[#This Row],[VEHICULOS_ACCIDENTADOS]:[VEHICULOS_ACCIDENTADOS2]],"MOTOCARRO")</f>
        <v>0</v>
      </c>
      <c r="T491" s="36">
        <f>COUNTIF(Tabla1[[#This Row],[VEHICULOS_ACCIDENTADOS]:[VEHICULOS_ACCIDENTADOS2]],"AUTOMOVIL")</f>
        <v>0</v>
      </c>
      <c r="U491" s="36">
        <f>COUNTIF(Tabla1[[#This Row],[VEHICULOS_ACCIDENTADOS]:[VEHICULOS_ACCIDENTADOS2]],"CAMPERO")</f>
        <v>0</v>
      </c>
      <c r="V491" s="36">
        <f>COUNTIF(Tabla1[[#This Row],[VEHICULOS_ACCIDENTADOS]:[VEHICULOS_ACCIDENTADOS2]],"CAMIONETA")</f>
        <v>1</v>
      </c>
      <c r="W491" s="36">
        <f>COUNTIF(Tabla1[[#This Row],[VEHICULOS_ACCIDENTADOS]:[VEHICULOS_ACCIDENTADOS2]],"MICROBUS")</f>
        <v>0</v>
      </c>
      <c r="X491" s="36">
        <f>COUNTIF(Tabla1[[#This Row],[VEHICULOS_ACCIDENTADOS]:[VEHICULOS_ACCIDENTADOS2]],"BUS")</f>
        <v>0</v>
      </c>
      <c r="Y491" s="36">
        <f>COUNTIF(Tabla1[[#This Row],[VEHICULOS_ACCIDENTADOS]:[VEHICULOS_ACCIDENTADOS2]],"BUSETA")</f>
        <v>0</v>
      </c>
      <c r="Z491" s="36">
        <f>COUNTIF(Tabla1[[#This Row],[VEHICULOS_ACCIDENTADOS]:[VEHICULOS_ACCIDENTADOS2]],"CAMION")</f>
        <v>0</v>
      </c>
      <c r="AA491" s="36">
        <f>COUNTIF(Tabla1[[#This Row],[VEHICULOS_ACCIDENTADOS]:[VEHICULOS_ACCIDENTADOS2]],"TRACTOCAMION")</f>
        <v>0</v>
      </c>
      <c r="AB491" s="36">
        <f>COUNTIF(Tabla1[[#This Row],[VEHICULOS_ACCIDENTADOS]:[VEHICULOS_ACCIDENTADOS2]],"VOLQUETA")</f>
        <v>0</v>
      </c>
      <c r="AC491" s="36">
        <f>COUNTIF(Tabla1[[#This Row],[VEHICULOS_ACCIDENTADOS]:[VEHICULOS_ACCIDENTADOS2]],"BICICLETA")</f>
        <v>0</v>
      </c>
      <c r="AD491" s="56" t="s">
        <v>471</v>
      </c>
      <c r="AE491" s="56"/>
      <c r="AF491" s="56">
        <f>COUNTIF(Tabla1[[#This Row],[GENERO_MASCULINO]:[GENERO_FEMENINO]],"MASCULINO")</f>
        <v>1</v>
      </c>
      <c r="AG491" s="36">
        <f>COUNTIF(Tabla1[[#This Row],[GENERO_MASCULINO]:[GENERO_FEMENINO]],"FEMENINO")</f>
        <v>0</v>
      </c>
      <c r="AH491" s="61"/>
      <c r="AI491" s="61"/>
      <c r="AJ491" s="61"/>
      <c r="AK491" s="61"/>
      <c r="AL491" s="61"/>
      <c r="AM491" s="36"/>
      <c r="AN491" s="61">
        <v>122</v>
      </c>
      <c r="AO491" s="36" t="str">
        <f>IFERROR(((VLOOKUP(Tabla1[[#This Row],[HIPOTESIS_1]],listas!$D$1:$E$105,2,FALSE))),"SIN INFORMACIÓN")</f>
        <v>Girar bruscamente.</v>
      </c>
      <c r="AP491" s="36">
        <v>105</v>
      </c>
      <c r="AQ491" s="36" t="str">
        <f>IFERROR(((VLOOKUP(Tabla1[[#This Row],[HIPOTESIS_2]],listas!$D$1:$E$105,2,FALSE))),"")</f>
        <v>Adelantar en zona prohibida.</v>
      </c>
      <c r="AR491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492" spans="1:44" x14ac:dyDescent="0.25">
      <c r="A492" s="12">
        <v>489</v>
      </c>
      <c r="B492" s="36">
        <v>0</v>
      </c>
      <c r="C492" s="13">
        <v>1</v>
      </c>
      <c r="D492" s="60">
        <v>0</v>
      </c>
      <c r="E492" s="18" t="str">
        <f t="shared" si="28"/>
        <v>LESIONADO</v>
      </c>
      <c r="F492" s="29" t="s">
        <v>239</v>
      </c>
      <c r="G492" s="21">
        <v>5.3240547222222219</v>
      </c>
      <c r="H492" s="21">
        <v>-72.392741388888894</v>
      </c>
      <c r="I492" s="93" t="s">
        <v>697</v>
      </c>
      <c r="J492" s="7" t="s">
        <v>717</v>
      </c>
      <c r="K492" s="24" t="str">
        <f t="shared" si="29"/>
        <v>2023</v>
      </c>
      <c r="L492" s="24" t="str">
        <f t="shared" si="30"/>
        <v>MAYO</v>
      </c>
      <c r="M492" s="232">
        <v>45071</v>
      </c>
      <c r="N492" s="24" t="str">
        <f t="shared" si="31"/>
        <v>JUEVES</v>
      </c>
      <c r="O492" s="106">
        <v>0.72916666666666663</v>
      </c>
      <c r="P492" s="39" t="s">
        <v>469</v>
      </c>
      <c r="Q492" s="218" t="s">
        <v>438</v>
      </c>
      <c r="R492" s="36">
        <f>COUNTIF(Tabla1[[#This Row],[VEHICULOS_ACCIDENTADOS]:[VEHICULOS_ACCIDENTADOS2]],"MOTOCICLETA")</f>
        <v>1</v>
      </c>
      <c r="S492" s="36">
        <f>COUNTIF(Tabla1[[#This Row],[VEHICULOS_ACCIDENTADOS]:[VEHICULOS_ACCIDENTADOS2]],"MOTOCARRO")</f>
        <v>0</v>
      </c>
      <c r="T492" s="36">
        <f>COUNTIF(Tabla1[[#This Row],[VEHICULOS_ACCIDENTADOS]:[VEHICULOS_ACCIDENTADOS2]],"AUTOMOVIL")</f>
        <v>0</v>
      </c>
      <c r="U492" s="36">
        <f>COUNTIF(Tabla1[[#This Row],[VEHICULOS_ACCIDENTADOS]:[VEHICULOS_ACCIDENTADOS2]],"CAMPERO")</f>
        <v>0</v>
      </c>
      <c r="V492" s="36">
        <f>COUNTIF(Tabla1[[#This Row],[VEHICULOS_ACCIDENTADOS]:[VEHICULOS_ACCIDENTADOS2]],"CAMIONETA")</f>
        <v>0</v>
      </c>
      <c r="W492" s="36">
        <f>COUNTIF(Tabla1[[#This Row],[VEHICULOS_ACCIDENTADOS]:[VEHICULOS_ACCIDENTADOS2]],"MICROBUS")</f>
        <v>0</v>
      </c>
      <c r="X492" s="36">
        <f>COUNTIF(Tabla1[[#This Row],[VEHICULOS_ACCIDENTADOS]:[VEHICULOS_ACCIDENTADOS2]],"BUS")</f>
        <v>0</v>
      </c>
      <c r="Y492" s="36">
        <f>COUNTIF(Tabla1[[#This Row],[VEHICULOS_ACCIDENTADOS]:[VEHICULOS_ACCIDENTADOS2]],"BUSETA")</f>
        <v>0</v>
      </c>
      <c r="Z492" s="36">
        <f>COUNTIF(Tabla1[[#This Row],[VEHICULOS_ACCIDENTADOS]:[VEHICULOS_ACCIDENTADOS2]],"CAMION")</f>
        <v>0</v>
      </c>
      <c r="AA492" s="36">
        <f>COUNTIF(Tabla1[[#This Row],[VEHICULOS_ACCIDENTADOS]:[VEHICULOS_ACCIDENTADOS2]],"TRACTOCAMION")</f>
        <v>0</v>
      </c>
      <c r="AB492" s="36">
        <f>COUNTIF(Tabla1[[#This Row],[VEHICULOS_ACCIDENTADOS]:[VEHICULOS_ACCIDENTADOS2]],"VOLQUETA")</f>
        <v>0</v>
      </c>
      <c r="AC492" s="36">
        <f>COUNTIF(Tabla1[[#This Row],[VEHICULOS_ACCIDENTADOS]:[VEHICULOS_ACCIDENTADOS2]],"BICICLETA")</f>
        <v>1</v>
      </c>
      <c r="AD492" s="56" t="s">
        <v>471</v>
      </c>
      <c r="AE492" s="56"/>
      <c r="AF492" s="56">
        <f>COUNTIF(Tabla1[[#This Row],[GENERO_MASCULINO]:[GENERO_FEMENINO]],"MASCULINO")</f>
        <v>1</v>
      </c>
      <c r="AG492" s="36">
        <f>COUNTIF(Tabla1[[#This Row],[GENERO_MASCULINO]:[GENERO_FEMENINO]],"FEMENINO")</f>
        <v>0</v>
      </c>
      <c r="AH492" s="61">
        <v>27</v>
      </c>
      <c r="AI492" s="61"/>
      <c r="AJ492" s="78"/>
      <c r="AK492" s="61"/>
      <c r="AL492" s="61"/>
      <c r="AM492" s="36"/>
      <c r="AN492" s="61">
        <v>139</v>
      </c>
      <c r="AO492" s="36" t="str">
        <f>IFERROR(((VLOOKUP(Tabla1[[#This Row],[HIPOTESIS_1]],listas!$D$1:$E$105,2,FALSE))),"SIN INFORMACIÓN")</f>
        <v>Impericia en el manejo.</v>
      </c>
      <c r="AP492" s="36"/>
      <c r="AQ492" s="36" t="str">
        <f>IFERROR(((VLOOKUP(Tabla1[[#This Row],[HIPOTESIS_2]],listas!$D$1:$E$105,2,FALSE))),"")</f>
        <v/>
      </c>
      <c r="AR492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493" spans="1:44" x14ac:dyDescent="0.25">
      <c r="A493" s="12">
        <v>697</v>
      </c>
      <c r="B493" s="222">
        <v>0</v>
      </c>
      <c r="C493" s="15">
        <v>0</v>
      </c>
      <c r="D493" s="100">
        <v>1</v>
      </c>
      <c r="E493" s="18" t="str">
        <f t="shared" si="28"/>
        <v>FALLECIDO</v>
      </c>
      <c r="F493" s="26" t="s">
        <v>814</v>
      </c>
      <c r="G493" s="21">
        <v>5.331630555555555</v>
      </c>
      <c r="H493" s="21">
        <v>-72.381688888888888</v>
      </c>
      <c r="I493" s="93" t="s">
        <v>697</v>
      </c>
      <c r="J493" s="15" t="s">
        <v>717</v>
      </c>
      <c r="K493" s="24" t="str">
        <f t="shared" si="29"/>
        <v>2024</v>
      </c>
      <c r="L493" s="24" t="str">
        <f t="shared" si="30"/>
        <v>ABRIL</v>
      </c>
      <c r="M493" s="234">
        <v>45403</v>
      </c>
      <c r="N493" s="24" t="str">
        <f t="shared" si="31"/>
        <v>DOMINGO</v>
      </c>
      <c r="O493" s="108">
        <v>0.1388888888888889</v>
      </c>
      <c r="P493" s="44" t="s">
        <v>469</v>
      </c>
      <c r="Q493" s="248"/>
      <c r="R493" s="36">
        <f>COUNTIF(Tabla1[[#This Row],[VEHICULOS_ACCIDENTADOS]:[VEHICULOS_ACCIDENTADOS2]],"MOTOCICLETA")</f>
        <v>1</v>
      </c>
      <c r="S493" s="36">
        <f>COUNTIF(Tabla1[[#This Row],[VEHICULOS_ACCIDENTADOS]:[VEHICULOS_ACCIDENTADOS2]],"MOTOCARRO")</f>
        <v>0</v>
      </c>
      <c r="T493" s="36">
        <f>COUNTIF(Tabla1[[#This Row],[VEHICULOS_ACCIDENTADOS]:[VEHICULOS_ACCIDENTADOS2]],"AUTOMOVIL")</f>
        <v>0</v>
      </c>
      <c r="U493" s="36">
        <f>COUNTIF(Tabla1[[#This Row],[VEHICULOS_ACCIDENTADOS]:[VEHICULOS_ACCIDENTADOS2]],"CAMPERO")</f>
        <v>0</v>
      </c>
      <c r="V493" s="36">
        <f>COUNTIF(Tabla1[[#This Row],[VEHICULOS_ACCIDENTADOS]:[VEHICULOS_ACCIDENTADOS2]],"CAMIONETA")</f>
        <v>0</v>
      </c>
      <c r="W493" s="36">
        <f>COUNTIF(Tabla1[[#This Row],[VEHICULOS_ACCIDENTADOS]:[VEHICULOS_ACCIDENTADOS2]],"MICROBUS")</f>
        <v>0</v>
      </c>
      <c r="X493" s="36">
        <f>COUNTIF(Tabla1[[#This Row],[VEHICULOS_ACCIDENTADOS]:[VEHICULOS_ACCIDENTADOS2]],"BUS")</f>
        <v>0</v>
      </c>
      <c r="Y493" s="36">
        <f>COUNTIF(Tabla1[[#This Row],[VEHICULOS_ACCIDENTADOS]:[VEHICULOS_ACCIDENTADOS2]],"BUSETA")</f>
        <v>0</v>
      </c>
      <c r="Z493" s="36">
        <f>COUNTIF(Tabla1[[#This Row],[VEHICULOS_ACCIDENTADOS]:[VEHICULOS_ACCIDENTADOS2]],"CAMION")</f>
        <v>0</v>
      </c>
      <c r="AA493" s="36">
        <f>COUNTIF(Tabla1[[#This Row],[VEHICULOS_ACCIDENTADOS]:[VEHICULOS_ACCIDENTADOS2]],"TRACTOCAMION")</f>
        <v>0</v>
      </c>
      <c r="AB493" s="36">
        <f>COUNTIF(Tabla1[[#This Row],[VEHICULOS_ACCIDENTADOS]:[VEHICULOS_ACCIDENTADOS2]],"VOLQUETA")</f>
        <v>0</v>
      </c>
      <c r="AC493" s="36">
        <f>COUNTIF(Tabla1[[#This Row],[VEHICULOS_ACCIDENTADOS]:[VEHICULOS_ACCIDENTADOS2]],"BICICLETA")</f>
        <v>0</v>
      </c>
      <c r="AD493" s="222" t="s">
        <v>471</v>
      </c>
      <c r="AE493" s="222"/>
      <c r="AF493" s="222">
        <f>COUNTIF(Tabla1[[#This Row],[GENERO_MASCULINO]:[GENERO_FEMENINO]],"MASCULINO")</f>
        <v>1</v>
      </c>
      <c r="AG493" s="36">
        <f>COUNTIF(Tabla1[[#This Row],[GENERO_MASCULINO]:[GENERO_FEMENINO]],"FEMENINO")</f>
        <v>0</v>
      </c>
      <c r="AK493" s="92"/>
      <c r="AL493" s="92"/>
      <c r="AM493" s="222"/>
      <c r="AN493" s="92">
        <v>1</v>
      </c>
      <c r="AO493" s="36" t="str">
        <f>IFERROR(((VLOOKUP(Tabla1[[#This Row],[HIPOTESIS_1]],listas!$D$1:$E$105,2,FALSE))),"SIN INFORMACIÓN")</f>
        <v>SIN INFORMACIÓN</v>
      </c>
      <c r="AP493" s="222"/>
      <c r="AQ493" s="36" t="str">
        <f>IFERROR(((VLOOKUP(Tabla1[[#This Row],[HIPOTESIS_2]],listas!$D$1:$E$105,2,FALSE))),"")</f>
        <v/>
      </c>
      <c r="AR493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494" spans="1:44" x14ac:dyDescent="0.25">
      <c r="A494" s="12">
        <v>905</v>
      </c>
      <c r="B494" s="135">
        <v>0</v>
      </c>
      <c r="C494" s="243">
        <v>2</v>
      </c>
      <c r="D494" s="148">
        <v>0</v>
      </c>
      <c r="E494" s="18" t="str">
        <f t="shared" si="28"/>
        <v>LESIONADO</v>
      </c>
      <c r="F494" s="26" t="s">
        <v>707</v>
      </c>
      <c r="G494" s="17">
        <v>5.3348411111111105</v>
      </c>
      <c r="H494" s="17">
        <v>-72.372863055555555</v>
      </c>
      <c r="I494" s="93" t="s">
        <v>697</v>
      </c>
      <c r="J494" s="21" t="s">
        <v>717</v>
      </c>
      <c r="K494" s="24" t="str">
        <f t="shared" si="29"/>
        <v>2025</v>
      </c>
      <c r="L494" s="24" t="str">
        <f t="shared" si="30"/>
        <v>MARZO</v>
      </c>
      <c r="M494" s="234">
        <v>45732</v>
      </c>
      <c r="N494" s="24" t="str">
        <f t="shared" si="31"/>
        <v>DOMINGO</v>
      </c>
      <c r="O494" s="108">
        <v>0.66666666666666663</v>
      </c>
      <c r="P494" s="44" t="s">
        <v>469</v>
      </c>
      <c r="Q494" s="248" t="s">
        <v>469</v>
      </c>
      <c r="R494" s="36">
        <f>COUNTIF(Tabla1[[#This Row],[VEHICULOS_ACCIDENTADOS]:[VEHICULOS_ACCIDENTADOS2]],"MOTOCICLETA")</f>
        <v>2</v>
      </c>
      <c r="S494" s="36">
        <f>COUNTIF(Tabla1[[#This Row],[VEHICULOS_ACCIDENTADOS]:[VEHICULOS_ACCIDENTADOS2]],"MOTOCARRO")</f>
        <v>0</v>
      </c>
      <c r="T494" s="36">
        <f>COUNTIF(Tabla1[[#This Row],[VEHICULOS_ACCIDENTADOS]:[VEHICULOS_ACCIDENTADOS2]],"AUTOMOVIL")</f>
        <v>0</v>
      </c>
      <c r="U494" s="36">
        <f>COUNTIF(Tabla1[[#This Row],[VEHICULOS_ACCIDENTADOS]:[VEHICULOS_ACCIDENTADOS2]],"CAMPERO")</f>
        <v>0</v>
      </c>
      <c r="V494" s="36">
        <f>COUNTIF(Tabla1[[#This Row],[VEHICULOS_ACCIDENTADOS]:[VEHICULOS_ACCIDENTADOS2]],"CAMIONETA")</f>
        <v>0</v>
      </c>
      <c r="W494" s="36">
        <f>COUNTIF(Tabla1[[#This Row],[VEHICULOS_ACCIDENTADOS]:[VEHICULOS_ACCIDENTADOS2]],"MICROBUS")</f>
        <v>0</v>
      </c>
      <c r="X494" s="36">
        <f>COUNTIF(Tabla1[[#This Row],[VEHICULOS_ACCIDENTADOS]:[VEHICULOS_ACCIDENTADOS2]],"BUS")</f>
        <v>0</v>
      </c>
      <c r="Y494" s="36">
        <f>COUNTIF(Tabla1[[#This Row],[VEHICULOS_ACCIDENTADOS]:[VEHICULOS_ACCIDENTADOS2]],"BUSETA")</f>
        <v>0</v>
      </c>
      <c r="Z494" s="36">
        <f>COUNTIF(Tabla1[[#This Row],[VEHICULOS_ACCIDENTADOS]:[VEHICULOS_ACCIDENTADOS2]],"CAMION")</f>
        <v>0</v>
      </c>
      <c r="AA494" s="36">
        <f>COUNTIF(Tabla1[[#This Row],[VEHICULOS_ACCIDENTADOS]:[VEHICULOS_ACCIDENTADOS2]],"TRACTOCAMION")</f>
        <v>0</v>
      </c>
      <c r="AB494" s="36">
        <f>COUNTIF(Tabla1[[#This Row],[VEHICULOS_ACCIDENTADOS]:[VEHICULOS_ACCIDENTADOS2]],"VOLQUETA")</f>
        <v>0</v>
      </c>
      <c r="AC494" s="36">
        <f>COUNTIF(Tabla1[[#This Row],[VEHICULOS_ACCIDENTADOS]:[VEHICULOS_ACCIDENTADOS2]],"BICICLETA")</f>
        <v>0</v>
      </c>
      <c r="AD494" s="190" t="s">
        <v>471</v>
      </c>
      <c r="AE494" s="190" t="s">
        <v>471</v>
      </c>
      <c r="AF494" s="190">
        <f>COUNTIF(Tabla1[[#This Row],[GENERO_MASCULINO]:[GENERO_FEMENINO]],"MASCULINO")</f>
        <v>2</v>
      </c>
      <c r="AG494" s="36">
        <f>COUNTIF(Tabla1[[#This Row],[GENERO_MASCULINO]:[GENERO_FEMENINO]],"FEMENINO")</f>
        <v>0</v>
      </c>
      <c r="AH494" s="85">
        <v>41</v>
      </c>
      <c r="AI494" s="85">
        <v>43</v>
      </c>
      <c r="AJ494" s="85"/>
      <c r="AK494" s="85"/>
      <c r="AL494" s="85"/>
      <c r="AM494" s="136"/>
      <c r="AN494" s="85">
        <v>157</v>
      </c>
      <c r="AO494" s="36" t="str">
        <f>IFERROR(((VLOOKUP(Tabla1[[#This Row],[HIPOTESIS_1]],listas!$D$1:$E$105,2,FALSE))),"SIN INFORMACIÓN")</f>
        <v>Otra</v>
      </c>
      <c r="AP494" s="136"/>
      <c r="AQ494" s="36" t="str">
        <f>IFERROR(((VLOOKUP(Tabla1[[#This Row],[HIPOTESIS_2]],listas!$D$1:$E$105,2,FALSE))),"")</f>
        <v/>
      </c>
      <c r="AR494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495" spans="1:44" x14ac:dyDescent="0.25">
      <c r="A495" s="12">
        <v>514</v>
      </c>
      <c r="B495" s="36">
        <v>0</v>
      </c>
      <c r="C495" s="36">
        <v>1</v>
      </c>
      <c r="D495" s="60">
        <v>0</v>
      </c>
      <c r="E495" s="18" t="str">
        <f t="shared" si="28"/>
        <v>LESIONADO</v>
      </c>
      <c r="F495" s="29" t="s">
        <v>224</v>
      </c>
      <c r="G495" s="21">
        <v>5.3037174999999994</v>
      </c>
      <c r="H495" s="21">
        <v>-72.419971944444455</v>
      </c>
      <c r="I495" s="93" t="s">
        <v>697</v>
      </c>
      <c r="J495" s="65" t="s">
        <v>717</v>
      </c>
      <c r="K495" s="24" t="str">
        <f t="shared" si="29"/>
        <v>2023</v>
      </c>
      <c r="L495" s="24" t="str">
        <f t="shared" si="30"/>
        <v>JUNIO</v>
      </c>
      <c r="M495" s="233">
        <v>45100</v>
      </c>
      <c r="N495" s="24" t="str">
        <f t="shared" si="31"/>
        <v>VIERNES</v>
      </c>
      <c r="O495" s="107">
        <v>0.875</v>
      </c>
      <c r="P495" s="64" t="s">
        <v>447</v>
      </c>
      <c r="Q495" s="64"/>
      <c r="R495" s="36">
        <f>COUNTIF(Tabla1[[#This Row],[VEHICULOS_ACCIDENTADOS]:[VEHICULOS_ACCIDENTADOS2]],"MOTOCICLETA")</f>
        <v>0</v>
      </c>
      <c r="S495" s="36">
        <f>COUNTIF(Tabla1[[#This Row],[VEHICULOS_ACCIDENTADOS]:[VEHICULOS_ACCIDENTADOS2]],"MOTOCARRO")</f>
        <v>0</v>
      </c>
      <c r="T495" s="36">
        <f>COUNTIF(Tabla1[[#This Row],[VEHICULOS_ACCIDENTADOS]:[VEHICULOS_ACCIDENTADOS2]],"AUTOMOVIL")</f>
        <v>1</v>
      </c>
      <c r="U495" s="36">
        <f>COUNTIF(Tabla1[[#This Row],[VEHICULOS_ACCIDENTADOS]:[VEHICULOS_ACCIDENTADOS2]],"CAMPERO")</f>
        <v>0</v>
      </c>
      <c r="V495" s="36">
        <f>COUNTIF(Tabla1[[#This Row],[VEHICULOS_ACCIDENTADOS]:[VEHICULOS_ACCIDENTADOS2]],"CAMIONETA")</f>
        <v>0</v>
      </c>
      <c r="W495" s="36">
        <f>COUNTIF(Tabla1[[#This Row],[VEHICULOS_ACCIDENTADOS]:[VEHICULOS_ACCIDENTADOS2]],"MICROBUS")</f>
        <v>0</v>
      </c>
      <c r="X495" s="36">
        <f>COUNTIF(Tabla1[[#This Row],[VEHICULOS_ACCIDENTADOS]:[VEHICULOS_ACCIDENTADOS2]],"BUS")</f>
        <v>0</v>
      </c>
      <c r="Y495" s="36">
        <f>COUNTIF(Tabla1[[#This Row],[VEHICULOS_ACCIDENTADOS]:[VEHICULOS_ACCIDENTADOS2]],"BUSETA")</f>
        <v>0</v>
      </c>
      <c r="Z495" s="36">
        <f>COUNTIF(Tabla1[[#This Row],[VEHICULOS_ACCIDENTADOS]:[VEHICULOS_ACCIDENTADOS2]],"CAMION")</f>
        <v>0</v>
      </c>
      <c r="AA495" s="36">
        <f>COUNTIF(Tabla1[[#This Row],[VEHICULOS_ACCIDENTADOS]:[VEHICULOS_ACCIDENTADOS2]],"TRACTOCAMION")</f>
        <v>0</v>
      </c>
      <c r="AB495" s="36">
        <f>COUNTIF(Tabla1[[#This Row],[VEHICULOS_ACCIDENTADOS]:[VEHICULOS_ACCIDENTADOS2]],"VOLQUETA")</f>
        <v>0</v>
      </c>
      <c r="AC495" s="36">
        <f>COUNTIF(Tabla1[[#This Row],[VEHICULOS_ACCIDENTADOS]:[VEHICULOS_ACCIDENTADOS2]],"BICICLETA")</f>
        <v>0</v>
      </c>
      <c r="AD495" s="56" t="s">
        <v>471</v>
      </c>
      <c r="AE495" s="56"/>
      <c r="AF495" s="56">
        <f>COUNTIF(Tabla1[[#This Row],[GENERO_MASCULINO]:[GENERO_FEMENINO]],"MASCULINO")</f>
        <v>1</v>
      </c>
      <c r="AG495" s="36">
        <f>COUNTIF(Tabla1[[#This Row],[GENERO_MASCULINO]:[GENERO_FEMENINO]],"FEMENINO")</f>
        <v>0</v>
      </c>
      <c r="AH495" s="61"/>
      <c r="AI495" s="61"/>
      <c r="AJ495" s="78"/>
      <c r="AK495" s="61">
        <v>20</v>
      </c>
      <c r="AL495" s="61"/>
      <c r="AM495" s="36"/>
      <c r="AN495" s="61">
        <v>114</v>
      </c>
      <c r="AO495" s="36" t="str">
        <f>IFERROR(((VLOOKUP(Tabla1[[#This Row],[HIPOTESIS_1]],listas!$D$1:$E$105,2,FALSE))),"SIN INFORMACIÓN")</f>
        <v>Embriaguez aparente.</v>
      </c>
      <c r="AP495" s="36"/>
      <c r="AQ495" s="36" t="str">
        <f>IFERROR(((VLOOKUP(Tabla1[[#This Row],[HIPOTESIS_2]],listas!$D$1:$E$105,2,FALSE))),"")</f>
        <v/>
      </c>
      <c r="AR495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496" spans="1:44" x14ac:dyDescent="0.25">
      <c r="A496" s="12">
        <v>894</v>
      </c>
      <c r="B496" s="144">
        <v>0</v>
      </c>
      <c r="C496" s="245">
        <v>0</v>
      </c>
      <c r="D496" s="149">
        <v>1</v>
      </c>
      <c r="E496" s="18" t="str">
        <f t="shared" si="28"/>
        <v>FALLECIDO</v>
      </c>
      <c r="F496" s="23" t="s">
        <v>706</v>
      </c>
      <c r="G496" s="45">
        <v>5.3036380000000003</v>
      </c>
      <c r="H496" s="45">
        <v>-72.445944999999995</v>
      </c>
      <c r="I496" s="94" t="s">
        <v>662</v>
      </c>
      <c r="J496" s="247" t="s">
        <v>1</v>
      </c>
      <c r="K496" s="24" t="str">
        <f t="shared" si="29"/>
        <v>2025</v>
      </c>
      <c r="L496" s="24" t="str">
        <f t="shared" si="30"/>
        <v>MARZO</v>
      </c>
      <c r="M496" s="229">
        <v>45725</v>
      </c>
      <c r="N496" s="24" t="str">
        <f t="shared" si="31"/>
        <v>DOMINGO</v>
      </c>
      <c r="O496" s="104">
        <v>3.8194444444444441E-2</v>
      </c>
      <c r="P496" s="181" t="s">
        <v>469</v>
      </c>
      <c r="Q496" s="181"/>
      <c r="R496" s="36">
        <f>COUNTIF(Tabla1[[#This Row],[VEHICULOS_ACCIDENTADOS]:[VEHICULOS_ACCIDENTADOS2]],"MOTOCICLETA")</f>
        <v>1</v>
      </c>
      <c r="S496" s="36">
        <f>COUNTIF(Tabla1[[#This Row],[VEHICULOS_ACCIDENTADOS]:[VEHICULOS_ACCIDENTADOS2]],"MOTOCARRO")</f>
        <v>0</v>
      </c>
      <c r="T496" s="36">
        <f>COUNTIF(Tabla1[[#This Row],[VEHICULOS_ACCIDENTADOS]:[VEHICULOS_ACCIDENTADOS2]],"AUTOMOVIL")</f>
        <v>0</v>
      </c>
      <c r="U496" s="36">
        <f>COUNTIF(Tabla1[[#This Row],[VEHICULOS_ACCIDENTADOS]:[VEHICULOS_ACCIDENTADOS2]],"CAMPERO")</f>
        <v>0</v>
      </c>
      <c r="V496" s="36">
        <f>COUNTIF(Tabla1[[#This Row],[VEHICULOS_ACCIDENTADOS]:[VEHICULOS_ACCIDENTADOS2]],"CAMIONETA")</f>
        <v>0</v>
      </c>
      <c r="W496" s="36">
        <f>COUNTIF(Tabla1[[#This Row],[VEHICULOS_ACCIDENTADOS]:[VEHICULOS_ACCIDENTADOS2]],"MICROBUS")</f>
        <v>0</v>
      </c>
      <c r="X496" s="36">
        <f>COUNTIF(Tabla1[[#This Row],[VEHICULOS_ACCIDENTADOS]:[VEHICULOS_ACCIDENTADOS2]],"BUS")</f>
        <v>0</v>
      </c>
      <c r="Y496" s="36">
        <f>COUNTIF(Tabla1[[#This Row],[VEHICULOS_ACCIDENTADOS]:[VEHICULOS_ACCIDENTADOS2]],"BUSETA")</f>
        <v>0</v>
      </c>
      <c r="Z496" s="36">
        <f>COUNTIF(Tabla1[[#This Row],[VEHICULOS_ACCIDENTADOS]:[VEHICULOS_ACCIDENTADOS2]],"CAMION")</f>
        <v>0</v>
      </c>
      <c r="AA496" s="36">
        <f>COUNTIF(Tabla1[[#This Row],[VEHICULOS_ACCIDENTADOS]:[VEHICULOS_ACCIDENTADOS2]],"TRACTOCAMION")</f>
        <v>0</v>
      </c>
      <c r="AB496" s="36">
        <f>COUNTIF(Tabla1[[#This Row],[VEHICULOS_ACCIDENTADOS]:[VEHICULOS_ACCIDENTADOS2]],"VOLQUETA")</f>
        <v>0</v>
      </c>
      <c r="AC496" s="36">
        <f>COUNTIF(Tabla1[[#This Row],[VEHICULOS_ACCIDENTADOS]:[VEHICULOS_ACCIDENTADOS2]],"BICICLETA")</f>
        <v>0</v>
      </c>
      <c r="AD496" s="56" t="s">
        <v>471</v>
      </c>
      <c r="AE496" s="56"/>
      <c r="AF496" s="56">
        <f>COUNTIF(Tabla1[[#This Row],[GENERO_MASCULINO]:[GENERO_FEMENINO]],"MASCULINO")</f>
        <v>1</v>
      </c>
      <c r="AG496" s="36">
        <f>COUNTIF(Tabla1[[#This Row],[GENERO_MASCULINO]:[GENERO_FEMENINO]],"FEMENINO")</f>
        <v>0</v>
      </c>
      <c r="AH496" s="85">
        <v>41</v>
      </c>
      <c r="AI496" s="85"/>
      <c r="AJ496" s="85"/>
      <c r="AK496" s="85"/>
      <c r="AL496" s="85"/>
      <c r="AM496" s="136"/>
      <c r="AN496" s="85">
        <v>139</v>
      </c>
      <c r="AO496" s="36" t="str">
        <f>IFERROR(((VLOOKUP(Tabla1[[#This Row],[HIPOTESIS_1]],listas!$D$1:$E$105,2,FALSE))),"SIN INFORMACIÓN")</f>
        <v>Impericia en el manejo.</v>
      </c>
      <c r="AP496" s="136"/>
      <c r="AQ496" s="36" t="str">
        <f>IFERROR(((VLOOKUP(Tabla1[[#This Row],[HIPOTESIS_2]],listas!$D$1:$E$105,2,FALSE))),"")</f>
        <v/>
      </c>
      <c r="AR496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497" spans="1:44" x14ac:dyDescent="0.25">
      <c r="A497" s="12">
        <v>708</v>
      </c>
      <c r="B497" s="135">
        <v>0</v>
      </c>
      <c r="C497" s="36">
        <v>2</v>
      </c>
      <c r="D497" s="60">
        <v>0</v>
      </c>
      <c r="E497" s="18" t="str">
        <f t="shared" si="28"/>
        <v>LESIONADO</v>
      </c>
      <c r="F497" s="29" t="s">
        <v>752</v>
      </c>
      <c r="G497" s="21">
        <v>5.4157994444444446</v>
      </c>
      <c r="H497" s="21">
        <v>-72.44314833333334</v>
      </c>
      <c r="I497" s="93" t="s">
        <v>697</v>
      </c>
      <c r="J497" s="136" t="s">
        <v>1</v>
      </c>
      <c r="K497" s="24" t="str">
        <f t="shared" si="29"/>
        <v>2024</v>
      </c>
      <c r="L497" s="24" t="str">
        <f t="shared" si="30"/>
        <v>MAYO</v>
      </c>
      <c r="M497" s="225">
        <v>45424</v>
      </c>
      <c r="N497" s="24" t="str">
        <f t="shared" si="31"/>
        <v>DOMINGO</v>
      </c>
      <c r="O497" s="103">
        <v>0.75</v>
      </c>
      <c r="P497" s="57" t="s">
        <v>469</v>
      </c>
      <c r="Q497" s="57" t="s">
        <v>438</v>
      </c>
      <c r="R497" s="36">
        <f>COUNTIF(Tabla1[[#This Row],[VEHICULOS_ACCIDENTADOS]:[VEHICULOS_ACCIDENTADOS2]],"MOTOCICLETA")</f>
        <v>1</v>
      </c>
      <c r="S497" s="36">
        <f>COUNTIF(Tabla1[[#This Row],[VEHICULOS_ACCIDENTADOS]:[VEHICULOS_ACCIDENTADOS2]],"MOTOCARRO")</f>
        <v>0</v>
      </c>
      <c r="T497" s="36">
        <f>COUNTIF(Tabla1[[#This Row],[VEHICULOS_ACCIDENTADOS]:[VEHICULOS_ACCIDENTADOS2]],"AUTOMOVIL")</f>
        <v>0</v>
      </c>
      <c r="U497" s="36">
        <f>COUNTIF(Tabla1[[#This Row],[VEHICULOS_ACCIDENTADOS]:[VEHICULOS_ACCIDENTADOS2]],"CAMPERO")</f>
        <v>0</v>
      </c>
      <c r="V497" s="36">
        <f>COUNTIF(Tabla1[[#This Row],[VEHICULOS_ACCIDENTADOS]:[VEHICULOS_ACCIDENTADOS2]],"CAMIONETA")</f>
        <v>0</v>
      </c>
      <c r="W497" s="36">
        <f>COUNTIF(Tabla1[[#This Row],[VEHICULOS_ACCIDENTADOS]:[VEHICULOS_ACCIDENTADOS2]],"MICROBUS")</f>
        <v>0</v>
      </c>
      <c r="X497" s="36">
        <f>COUNTIF(Tabla1[[#This Row],[VEHICULOS_ACCIDENTADOS]:[VEHICULOS_ACCIDENTADOS2]],"BUS")</f>
        <v>0</v>
      </c>
      <c r="Y497" s="36">
        <f>COUNTIF(Tabla1[[#This Row],[VEHICULOS_ACCIDENTADOS]:[VEHICULOS_ACCIDENTADOS2]],"BUSETA")</f>
        <v>0</v>
      </c>
      <c r="Z497" s="36">
        <f>COUNTIF(Tabla1[[#This Row],[VEHICULOS_ACCIDENTADOS]:[VEHICULOS_ACCIDENTADOS2]],"CAMION")</f>
        <v>0</v>
      </c>
      <c r="AA497" s="36">
        <f>COUNTIF(Tabla1[[#This Row],[VEHICULOS_ACCIDENTADOS]:[VEHICULOS_ACCIDENTADOS2]],"TRACTOCAMION")</f>
        <v>0</v>
      </c>
      <c r="AB497" s="36">
        <f>COUNTIF(Tabla1[[#This Row],[VEHICULOS_ACCIDENTADOS]:[VEHICULOS_ACCIDENTADOS2]],"VOLQUETA")</f>
        <v>0</v>
      </c>
      <c r="AC497" s="36">
        <f>COUNTIF(Tabla1[[#This Row],[VEHICULOS_ACCIDENTADOS]:[VEHICULOS_ACCIDENTADOS2]],"BICICLETA")</f>
        <v>1</v>
      </c>
      <c r="AD497" s="56" t="s">
        <v>471</v>
      </c>
      <c r="AE497" s="56"/>
      <c r="AF497" s="56">
        <f>COUNTIF(Tabla1[[#This Row],[GENERO_MASCULINO]:[GENERO_FEMENINO]],"MASCULINO")</f>
        <v>1</v>
      </c>
      <c r="AG497" s="36">
        <f>COUNTIF(Tabla1[[#This Row],[GENERO_MASCULINO]:[GENERO_FEMENINO]],"FEMENINO")</f>
        <v>0</v>
      </c>
      <c r="AH497" s="61">
        <v>23</v>
      </c>
      <c r="AI497" s="61">
        <v>62</v>
      </c>
      <c r="AJ497" s="61"/>
      <c r="AK497" s="61"/>
      <c r="AL497" s="61"/>
      <c r="AM497" s="36"/>
      <c r="AN497" s="61">
        <v>114</v>
      </c>
      <c r="AO497" s="36" t="str">
        <f>IFERROR(((VLOOKUP(Tabla1[[#This Row],[HIPOTESIS_1]],listas!$D$1:$E$105,2,FALSE))),"SIN INFORMACIÓN")</f>
        <v>Embriaguez aparente.</v>
      </c>
      <c r="AP497" s="36"/>
      <c r="AQ497" s="36" t="str">
        <f>IFERROR(((VLOOKUP(Tabla1[[#This Row],[HIPOTESIS_2]],listas!$D$1:$E$105,2,FALSE))),"")</f>
        <v/>
      </c>
      <c r="AR497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498" spans="1:44" x14ac:dyDescent="0.25">
      <c r="A498" s="12">
        <v>413</v>
      </c>
      <c r="B498" s="36">
        <v>0</v>
      </c>
      <c r="C498" s="36">
        <v>0</v>
      </c>
      <c r="D498" s="60">
        <v>1</v>
      </c>
      <c r="E498" s="18" t="str">
        <f t="shared" si="28"/>
        <v>FALLECIDO</v>
      </c>
      <c r="F498" s="29" t="s">
        <v>282</v>
      </c>
      <c r="G498" s="21">
        <v>5.2044239000000001</v>
      </c>
      <c r="H498" s="21">
        <v>-72.520014799999998</v>
      </c>
      <c r="I498" s="94" t="s">
        <v>662</v>
      </c>
      <c r="J498" s="36" t="s">
        <v>1</v>
      </c>
      <c r="K498" s="24" t="str">
        <f t="shared" si="29"/>
        <v>2023</v>
      </c>
      <c r="L498" s="24" t="str">
        <f t="shared" si="30"/>
        <v>FEBRERO</v>
      </c>
      <c r="M498" s="225">
        <v>44962</v>
      </c>
      <c r="N498" s="24" t="str">
        <f t="shared" si="31"/>
        <v>DOMINGO</v>
      </c>
      <c r="O498" s="103">
        <v>0.92152777777777772</v>
      </c>
      <c r="P498" s="57" t="s">
        <v>469</v>
      </c>
      <c r="Q498" s="57"/>
      <c r="R498" s="36">
        <f>COUNTIF(Tabla1[[#This Row],[VEHICULOS_ACCIDENTADOS]:[VEHICULOS_ACCIDENTADOS2]],"MOTOCICLETA")</f>
        <v>1</v>
      </c>
      <c r="S498" s="36">
        <f>COUNTIF(Tabla1[[#This Row],[VEHICULOS_ACCIDENTADOS]:[VEHICULOS_ACCIDENTADOS2]],"MOTOCARRO")</f>
        <v>0</v>
      </c>
      <c r="T498" s="36">
        <f>COUNTIF(Tabla1[[#This Row],[VEHICULOS_ACCIDENTADOS]:[VEHICULOS_ACCIDENTADOS2]],"AUTOMOVIL")</f>
        <v>0</v>
      </c>
      <c r="U498" s="36">
        <f>COUNTIF(Tabla1[[#This Row],[VEHICULOS_ACCIDENTADOS]:[VEHICULOS_ACCIDENTADOS2]],"CAMPERO")</f>
        <v>0</v>
      </c>
      <c r="V498" s="36">
        <f>COUNTIF(Tabla1[[#This Row],[VEHICULOS_ACCIDENTADOS]:[VEHICULOS_ACCIDENTADOS2]],"CAMIONETA")</f>
        <v>0</v>
      </c>
      <c r="W498" s="36">
        <f>COUNTIF(Tabla1[[#This Row],[VEHICULOS_ACCIDENTADOS]:[VEHICULOS_ACCIDENTADOS2]],"MICROBUS")</f>
        <v>0</v>
      </c>
      <c r="X498" s="36">
        <f>COUNTIF(Tabla1[[#This Row],[VEHICULOS_ACCIDENTADOS]:[VEHICULOS_ACCIDENTADOS2]],"BUS")</f>
        <v>0</v>
      </c>
      <c r="Y498" s="36">
        <f>COUNTIF(Tabla1[[#This Row],[VEHICULOS_ACCIDENTADOS]:[VEHICULOS_ACCIDENTADOS2]],"BUSETA")</f>
        <v>0</v>
      </c>
      <c r="Z498" s="36">
        <f>COUNTIF(Tabla1[[#This Row],[VEHICULOS_ACCIDENTADOS]:[VEHICULOS_ACCIDENTADOS2]],"CAMION")</f>
        <v>0</v>
      </c>
      <c r="AA498" s="36">
        <f>COUNTIF(Tabla1[[#This Row],[VEHICULOS_ACCIDENTADOS]:[VEHICULOS_ACCIDENTADOS2]],"TRACTOCAMION")</f>
        <v>0</v>
      </c>
      <c r="AB498" s="36">
        <f>COUNTIF(Tabla1[[#This Row],[VEHICULOS_ACCIDENTADOS]:[VEHICULOS_ACCIDENTADOS2]],"VOLQUETA")</f>
        <v>0</v>
      </c>
      <c r="AC498" s="36">
        <f>COUNTIF(Tabla1[[#This Row],[VEHICULOS_ACCIDENTADOS]:[VEHICULOS_ACCIDENTADOS2]],"BICICLETA")</f>
        <v>0</v>
      </c>
      <c r="AD498" s="56" t="s">
        <v>471</v>
      </c>
      <c r="AE498" s="56"/>
      <c r="AF498" s="56">
        <f>COUNTIF(Tabla1[[#This Row],[GENERO_MASCULINO]:[GENERO_FEMENINO]],"MASCULINO")</f>
        <v>1</v>
      </c>
      <c r="AG498" s="36">
        <f>COUNTIF(Tabla1[[#This Row],[GENERO_MASCULINO]:[GENERO_FEMENINO]],"FEMENINO")</f>
        <v>0</v>
      </c>
      <c r="AH498" s="61"/>
      <c r="AI498" s="61"/>
      <c r="AJ498" s="61"/>
      <c r="AK498" s="61"/>
      <c r="AL498" s="61"/>
      <c r="AM498" s="36"/>
      <c r="AN498" s="61">
        <v>201</v>
      </c>
      <c r="AO498" s="36" t="str">
        <f>IFERROR(((VLOOKUP(Tabla1[[#This Row],[HIPOTESIS_1]],listas!$D$1:$E$105,2,FALSE))),"SIN INFORMACIÓN")</f>
        <v>Fallas en las llantas.</v>
      </c>
      <c r="AP498" s="36"/>
      <c r="AQ498" s="36" t="str">
        <f>IFERROR(((VLOOKUP(Tabla1[[#This Row],[HIPOTESIS_2]],listas!$D$1:$E$105,2,FALSE))),"")</f>
        <v/>
      </c>
      <c r="AR498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499" spans="1:44" x14ac:dyDescent="0.25">
      <c r="A499" s="12">
        <v>414</v>
      </c>
      <c r="B499" s="36">
        <v>0</v>
      </c>
      <c r="C499" s="36">
        <v>0</v>
      </c>
      <c r="D499" s="60">
        <v>1</v>
      </c>
      <c r="E499" s="18" t="str">
        <f t="shared" si="28"/>
        <v>FALLECIDO</v>
      </c>
      <c r="F499" s="29" t="s">
        <v>281</v>
      </c>
      <c r="G499" s="21">
        <v>5.2463189000000003</v>
      </c>
      <c r="H499" s="21">
        <v>-72.488079999999997</v>
      </c>
      <c r="I499" s="94" t="s">
        <v>662</v>
      </c>
      <c r="J499" s="36" t="s">
        <v>1</v>
      </c>
      <c r="K499" s="24" t="str">
        <f t="shared" si="29"/>
        <v>2023</v>
      </c>
      <c r="L499" s="24" t="str">
        <f t="shared" si="30"/>
        <v>FEBRERO</v>
      </c>
      <c r="M499" s="225">
        <v>44975</v>
      </c>
      <c r="N499" s="24" t="str">
        <f t="shared" si="31"/>
        <v>SÁBADO</v>
      </c>
      <c r="O499" s="170">
        <v>0.51736111111111116</v>
      </c>
      <c r="P499" s="57" t="s">
        <v>469</v>
      </c>
      <c r="Q499" s="57"/>
      <c r="R499" s="36">
        <f>COUNTIF(Tabla1[[#This Row],[VEHICULOS_ACCIDENTADOS]:[VEHICULOS_ACCIDENTADOS2]],"MOTOCICLETA")</f>
        <v>1</v>
      </c>
      <c r="S499" s="36">
        <f>COUNTIF(Tabla1[[#This Row],[VEHICULOS_ACCIDENTADOS]:[VEHICULOS_ACCIDENTADOS2]],"MOTOCARRO")</f>
        <v>0</v>
      </c>
      <c r="T499" s="36">
        <f>COUNTIF(Tabla1[[#This Row],[VEHICULOS_ACCIDENTADOS]:[VEHICULOS_ACCIDENTADOS2]],"AUTOMOVIL")</f>
        <v>0</v>
      </c>
      <c r="U499" s="36">
        <f>COUNTIF(Tabla1[[#This Row],[VEHICULOS_ACCIDENTADOS]:[VEHICULOS_ACCIDENTADOS2]],"CAMPERO")</f>
        <v>0</v>
      </c>
      <c r="V499" s="36">
        <f>COUNTIF(Tabla1[[#This Row],[VEHICULOS_ACCIDENTADOS]:[VEHICULOS_ACCIDENTADOS2]],"CAMIONETA")</f>
        <v>0</v>
      </c>
      <c r="W499" s="36">
        <f>COUNTIF(Tabla1[[#This Row],[VEHICULOS_ACCIDENTADOS]:[VEHICULOS_ACCIDENTADOS2]],"MICROBUS")</f>
        <v>0</v>
      </c>
      <c r="X499" s="36">
        <f>COUNTIF(Tabla1[[#This Row],[VEHICULOS_ACCIDENTADOS]:[VEHICULOS_ACCIDENTADOS2]],"BUS")</f>
        <v>0</v>
      </c>
      <c r="Y499" s="36">
        <f>COUNTIF(Tabla1[[#This Row],[VEHICULOS_ACCIDENTADOS]:[VEHICULOS_ACCIDENTADOS2]],"BUSETA")</f>
        <v>0</v>
      </c>
      <c r="Z499" s="36">
        <f>COUNTIF(Tabla1[[#This Row],[VEHICULOS_ACCIDENTADOS]:[VEHICULOS_ACCIDENTADOS2]],"CAMION")</f>
        <v>0</v>
      </c>
      <c r="AA499" s="36">
        <f>COUNTIF(Tabla1[[#This Row],[VEHICULOS_ACCIDENTADOS]:[VEHICULOS_ACCIDENTADOS2]],"TRACTOCAMION")</f>
        <v>0</v>
      </c>
      <c r="AB499" s="36">
        <f>COUNTIF(Tabla1[[#This Row],[VEHICULOS_ACCIDENTADOS]:[VEHICULOS_ACCIDENTADOS2]],"VOLQUETA")</f>
        <v>0</v>
      </c>
      <c r="AC499" s="36">
        <f>COUNTIF(Tabla1[[#This Row],[VEHICULOS_ACCIDENTADOS]:[VEHICULOS_ACCIDENTADOS2]],"BICICLETA")</f>
        <v>0</v>
      </c>
      <c r="AD499" s="56" t="s">
        <v>471</v>
      </c>
      <c r="AE499" s="56"/>
      <c r="AF499" s="56">
        <f>COUNTIF(Tabla1[[#This Row],[GENERO_MASCULINO]:[GENERO_FEMENINO]],"MASCULINO")</f>
        <v>1</v>
      </c>
      <c r="AG499" s="36">
        <f>COUNTIF(Tabla1[[#This Row],[GENERO_MASCULINO]:[GENERO_FEMENINO]],"FEMENINO")</f>
        <v>0</v>
      </c>
      <c r="AH499" s="61"/>
      <c r="AI499" s="61"/>
      <c r="AJ499" s="61"/>
      <c r="AK499" s="61"/>
      <c r="AL499" s="61"/>
      <c r="AM499" s="36"/>
      <c r="AN499" s="61">
        <v>157</v>
      </c>
      <c r="AO499" s="36" t="str">
        <f>IFERROR(((VLOOKUP(Tabla1[[#This Row],[HIPOTESIS_1]],listas!$D$1:$E$105,2,FALSE))),"SIN INFORMACIÓN")</f>
        <v>Otra</v>
      </c>
      <c r="AP499" s="36"/>
      <c r="AQ499" s="36" t="str">
        <f>IFERROR(((VLOOKUP(Tabla1[[#This Row],[HIPOTESIS_2]],listas!$D$1:$E$105,2,FALSE))),"")</f>
        <v/>
      </c>
      <c r="AR499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500" spans="1:44" x14ac:dyDescent="0.25">
      <c r="A500" s="12">
        <v>941</v>
      </c>
      <c r="B500" s="135">
        <v>0</v>
      </c>
      <c r="C500" s="136">
        <v>0</v>
      </c>
      <c r="D500" s="148">
        <v>1</v>
      </c>
      <c r="E500" s="18" t="str">
        <f t="shared" si="28"/>
        <v>FALLECIDO</v>
      </c>
      <c r="F500" s="26" t="s">
        <v>40</v>
      </c>
      <c r="G500" s="17">
        <v>5.3096829999999997</v>
      </c>
      <c r="H500" s="17">
        <v>-72.389156999999997</v>
      </c>
      <c r="I500" s="93" t="s">
        <v>697</v>
      </c>
      <c r="J500" s="136" t="s">
        <v>1</v>
      </c>
      <c r="K500" s="24" t="str">
        <f t="shared" si="29"/>
        <v>2025</v>
      </c>
      <c r="L500" s="24" t="str">
        <f t="shared" si="30"/>
        <v>ABRIL</v>
      </c>
      <c r="M500" s="224">
        <v>45767</v>
      </c>
      <c r="N500" s="24" t="str">
        <f t="shared" si="31"/>
        <v>DOMINGO</v>
      </c>
      <c r="O500" s="104">
        <v>0.625</v>
      </c>
      <c r="P500" s="136" t="s">
        <v>469</v>
      </c>
      <c r="Q500" s="136"/>
      <c r="R500" s="36">
        <f>COUNTIF(Tabla1[[#This Row],[VEHICULOS_ACCIDENTADOS]:[VEHICULOS_ACCIDENTADOS2]],"MOTOCICLETA")</f>
        <v>1</v>
      </c>
      <c r="S500" s="36">
        <f>COUNTIF(Tabla1[[#This Row],[VEHICULOS_ACCIDENTADOS]:[VEHICULOS_ACCIDENTADOS2]],"MOTOCARRO")</f>
        <v>0</v>
      </c>
      <c r="T500" s="36">
        <f>COUNTIF(Tabla1[[#This Row],[VEHICULOS_ACCIDENTADOS]:[VEHICULOS_ACCIDENTADOS2]],"AUTOMOVIL")</f>
        <v>0</v>
      </c>
      <c r="U500" s="36">
        <f>COUNTIF(Tabla1[[#This Row],[VEHICULOS_ACCIDENTADOS]:[VEHICULOS_ACCIDENTADOS2]],"CAMPERO")</f>
        <v>0</v>
      </c>
      <c r="V500" s="36">
        <f>COUNTIF(Tabla1[[#This Row],[VEHICULOS_ACCIDENTADOS]:[VEHICULOS_ACCIDENTADOS2]],"CAMIONETA")</f>
        <v>0</v>
      </c>
      <c r="W500" s="36">
        <f>COUNTIF(Tabla1[[#This Row],[VEHICULOS_ACCIDENTADOS]:[VEHICULOS_ACCIDENTADOS2]],"MICROBUS")</f>
        <v>0</v>
      </c>
      <c r="X500" s="36">
        <f>COUNTIF(Tabla1[[#This Row],[VEHICULOS_ACCIDENTADOS]:[VEHICULOS_ACCIDENTADOS2]],"BUS")</f>
        <v>0</v>
      </c>
      <c r="Y500" s="36">
        <f>COUNTIF(Tabla1[[#This Row],[VEHICULOS_ACCIDENTADOS]:[VEHICULOS_ACCIDENTADOS2]],"BUSETA")</f>
        <v>0</v>
      </c>
      <c r="Z500" s="36">
        <f>COUNTIF(Tabla1[[#This Row],[VEHICULOS_ACCIDENTADOS]:[VEHICULOS_ACCIDENTADOS2]],"CAMION")</f>
        <v>0</v>
      </c>
      <c r="AA500" s="36">
        <f>COUNTIF(Tabla1[[#This Row],[VEHICULOS_ACCIDENTADOS]:[VEHICULOS_ACCIDENTADOS2]],"TRACTOCAMION")</f>
        <v>0</v>
      </c>
      <c r="AB500" s="36">
        <f>COUNTIF(Tabla1[[#This Row],[VEHICULOS_ACCIDENTADOS]:[VEHICULOS_ACCIDENTADOS2]],"VOLQUETA")</f>
        <v>0</v>
      </c>
      <c r="AC500" s="36">
        <f>COUNTIF(Tabla1[[#This Row],[VEHICULOS_ACCIDENTADOS]:[VEHICULOS_ACCIDENTADOS2]],"BICICLETA")</f>
        <v>0</v>
      </c>
      <c r="AD500" s="190"/>
      <c r="AE500" s="190"/>
      <c r="AF500" s="190">
        <f>COUNTIF(Tabla1[[#This Row],[GENERO_MASCULINO]:[GENERO_FEMENINO]],"MASCULINO")</f>
        <v>0</v>
      </c>
      <c r="AG500" s="36">
        <f>COUNTIF(Tabla1[[#This Row],[GENERO_MASCULINO]:[GENERO_FEMENINO]],"FEMENINO")</f>
        <v>0</v>
      </c>
      <c r="AH500" s="85"/>
      <c r="AI500" s="85"/>
      <c r="AJ500" s="85"/>
      <c r="AK500" s="78"/>
      <c r="AL500" s="78"/>
      <c r="AM500" s="59"/>
      <c r="AN500" s="85">
        <v>139</v>
      </c>
      <c r="AO500" s="36" t="str">
        <f>IFERROR(((VLOOKUP(Tabla1[[#This Row],[HIPOTESIS_1]],listas!$D$1:$E$105,2,FALSE))),"SIN INFORMACIÓN")</f>
        <v>Impericia en el manejo.</v>
      </c>
      <c r="AP500" s="36"/>
      <c r="AQ500" s="36" t="str">
        <f>IFERROR(((VLOOKUP(Tabla1[[#This Row],[HIPOTESIS_2]],listas!$D$1:$E$105,2,FALSE))),"")</f>
        <v/>
      </c>
      <c r="AR500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501" spans="1:44" x14ac:dyDescent="0.25">
      <c r="A501" s="12">
        <v>54</v>
      </c>
      <c r="B501" s="36">
        <v>0</v>
      </c>
      <c r="C501" s="36">
        <v>2</v>
      </c>
      <c r="D501" s="60">
        <v>0</v>
      </c>
      <c r="E501" s="18" t="str">
        <f t="shared" si="28"/>
        <v>LESIONADO</v>
      </c>
      <c r="F501" s="29" t="s">
        <v>816</v>
      </c>
      <c r="G501" s="17">
        <v>5.3479749999999999</v>
      </c>
      <c r="H501" s="17">
        <v>-72.397802777777784</v>
      </c>
      <c r="I501" s="93" t="s">
        <v>697</v>
      </c>
      <c r="J501" s="36" t="s">
        <v>717</v>
      </c>
      <c r="K501" s="24" t="str">
        <f t="shared" si="29"/>
        <v>2022</v>
      </c>
      <c r="L501" s="24" t="str">
        <f t="shared" si="30"/>
        <v>FEBRERO</v>
      </c>
      <c r="M501" s="225">
        <v>44606</v>
      </c>
      <c r="N501" s="24" t="str">
        <f t="shared" si="31"/>
        <v>LUNES</v>
      </c>
      <c r="O501" s="103">
        <v>0.625</v>
      </c>
      <c r="P501" s="63" t="s">
        <v>469</v>
      </c>
      <c r="Q501" s="63" t="s">
        <v>447</v>
      </c>
      <c r="R501" s="36">
        <f>COUNTIF(Tabla1[[#This Row],[VEHICULOS_ACCIDENTADOS]:[VEHICULOS_ACCIDENTADOS2]],"MOTOCICLETA")</f>
        <v>1</v>
      </c>
      <c r="S501" s="36">
        <f>COUNTIF(Tabla1[[#This Row],[VEHICULOS_ACCIDENTADOS]:[VEHICULOS_ACCIDENTADOS2]],"MOTOCARRO")</f>
        <v>0</v>
      </c>
      <c r="T501" s="36">
        <f>COUNTIF(Tabla1[[#This Row],[VEHICULOS_ACCIDENTADOS]:[VEHICULOS_ACCIDENTADOS2]],"AUTOMOVIL")</f>
        <v>1</v>
      </c>
      <c r="U501" s="36">
        <f>COUNTIF(Tabla1[[#This Row],[VEHICULOS_ACCIDENTADOS]:[VEHICULOS_ACCIDENTADOS2]],"CAMPERO")</f>
        <v>0</v>
      </c>
      <c r="V501" s="36">
        <f>COUNTIF(Tabla1[[#This Row],[VEHICULOS_ACCIDENTADOS]:[VEHICULOS_ACCIDENTADOS2]],"CAMIONETA")</f>
        <v>0</v>
      </c>
      <c r="W501" s="36">
        <f>COUNTIF(Tabla1[[#This Row],[VEHICULOS_ACCIDENTADOS]:[VEHICULOS_ACCIDENTADOS2]],"MICROBUS")</f>
        <v>0</v>
      </c>
      <c r="X501" s="36">
        <f>COUNTIF(Tabla1[[#This Row],[VEHICULOS_ACCIDENTADOS]:[VEHICULOS_ACCIDENTADOS2]],"BUS")</f>
        <v>0</v>
      </c>
      <c r="Y501" s="36">
        <f>COUNTIF(Tabla1[[#This Row],[VEHICULOS_ACCIDENTADOS]:[VEHICULOS_ACCIDENTADOS2]],"BUSETA")</f>
        <v>0</v>
      </c>
      <c r="Z501" s="36">
        <f>COUNTIF(Tabla1[[#This Row],[VEHICULOS_ACCIDENTADOS]:[VEHICULOS_ACCIDENTADOS2]],"CAMION")</f>
        <v>0</v>
      </c>
      <c r="AA501" s="36">
        <f>COUNTIF(Tabla1[[#This Row],[VEHICULOS_ACCIDENTADOS]:[VEHICULOS_ACCIDENTADOS2]],"TRACTOCAMION")</f>
        <v>0</v>
      </c>
      <c r="AB501" s="36">
        <f>COUNTIF(Tabla1[[#This Row],[VEHICULOS_ACCIDENTADOS]:[VEHICULOS_ACCIDENTADOS2]],"VOLQUETA")</f>
        <v>0</v>
      </c>
      <c r="AC501" s="36">
        <f>COUNTIF(Tabla1[[#This Row],[VEHICULOS_ACCIDENTADOS]:[VEHICULOS_ACCIDENTADOS2]],"BICICLETA")</f>
        <v>0</v>
      </c>
      <c r="AD501" s="56" t="s">
        <v>471</v>
      </c>
      <c r="AE501" s="56" t="s">
        <v>472</v>
      </c>
      <c r="AF501" s="56">
        <f>COUNTIF(Tabla1[[#This Row],[GENERO_MASCULINO]:[GENERO_FEMENINO]],"MASCULINO")</f>
        <v>1</v>
      </c>
      <c r="AG501" s="36">
        <f>COUNTIF(Tabla1[[#This Row],[GENERO_MASCULINO]:[GENERO_FEMENINO]],"FEMENINO")</f>
        <v>1</v>
      </c>
      <c r="AH501" s="61">
        <v>29</v>
      </c>
      <c r="AI501" s="61">
        <v>19</v>
      </c>
      <c r="AJ501" s="61"/>
      <c r="AK501" s="61"/>
      <c r="AL501" s="61"/>
      <c r="AM501" s="36"/>
      <c r="AN501" s="61">
        <v>157</v>
      </c>
      <c r="AO501" s="36" t="str">
        <f>IFERROR(((VLOOKUP(Tabla1[[#This Row],[HIPOTESIS_1]],listas!$D$1:$E$105,2,FALSE))),"SIN INFORMACIÓN")</f>
        <v>Otra</v>
      </c>
      <c r="AP501" s="36"/>
      <c r="AQ501" s="36" t="str">
        <f>IFERROR(((VLOOKUP(Tabla1[[#This Row],[HIPOTESIS_2]],listas!$D$1:$E$105,2,FALSE))),"")</f>
        <v/>
      </c>
      <c r="AR501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502" spans="1:44" x14ac:dyDescent="0.25">
      <c r="A502" s="12">
        <v>314</v>
      </c>
      <c r="B502" s="36">
        <v>0</v>
      </c>
      <c r="C502" s="36">
        <v>1</v>
      </c>
      <c r="D502" s="60">
        <v>0</v>
      </c>
      <c r="E502" s="18" t="str">
        <f t="shared" si="28"/>
        <v>LESIONADO</v>
      </c>
      <c r="F502" s="29" t="s">
        <v>819</v>
      </c>
      <c r="G502" s="17">
        <v>5.350616944444444</v>
      </c>
      <c r="H502" s="17">
        <v>-72.390874166666677</v>
      </c>
      <c r="I502" s="93" t="s">
        <v>697</v>
      </c>
      <c r="J502" s="36" t="s">
        <v>717</v>
      </c>
      <c r="K502" s="24" t="str">
        <f t="shared" si="29"/>
        <v>2022</v>
      </c>
      <c r="L502" s="24" t="str">
        <f t="shared" si="30"/>
        <v>SEPTIEMBRE</v>
      </c>
      <c r="M502" s="225">
        <v>44829</v>
      </c>
      <c r="N502" s="24" t="str">
        <f t="shared" si="31"/>
        <v>DOMINGO</v>
      </c>
      <c r="O502" s="170">
        <v>0.68055555555555503</v>
      </c>
      <c r="P502" s="53" t="s">
        <v>469</v>
      </c>
      <c r="Q502" s="53"/>
      <c r="R502" s="36">
        <f>COUNTIF(Tabla1[[#This Row],[VEHICULOS_ACCIDENTADOS]:[VEHICULOS_ACCIDENTADOS2]],"MOTOCICLETA")</f>
        <v>1</v>
      </c>
      <c r="S502" s="36">
        <f>COUNTIF(Tabla1[[#This Row],[VEHICULOS_ACCIDENTADOS]:[VEHICULOS_ACCIDENTADOS2]],"MOTOCARRO")</f>
        <v>0</v>
      </c>
      <c r="T502" s="36">
        <f>COUNTIF(Tabla1[[#This Row],[VEHICULOS_ACCIDENTADOS]:[VEHICULOS_ACCIDENTADOS2]],"AUTOMOVIL")</f>
        <v>0</v>
      </c>
      <c r="U502" s="36">
        <f>COUNTIF(Tabla1[[#This Row],[VEHICULOS_ACCIDENTADOS]:[VEHICULOS_ACCIDENTADOS2]],"CAMPERO")</f>
        <v>0</v>
      </c>
      <c r="V502" s="36">
        <f>COUNTIF(Tabla1[[#This Row],[VEHICULOS_ACCIDENTADOS]:[VEHICULOS_ACCIDENTADOS2]],"CAMIONETA")</f>
        <v>0</v>
      </c>
      <c r="W502" s="36">
        <f>COUNTIF(Tabla1[[#This Row],[VEHICULOS_ACCIDENTADOS]:[VEHICULOS_ACCIDENTADOS2]],"MICROBUS")</f>
        <v>0</v>
      </c>
      <c r="X502" s="36">
        <f>COUNTIF(Tabla1[[#This Row],[VEHICULOS_ACCIDENTADOS]:[VEHICULOS_ACCIDENTADOS2]],"BUS")</f>
        <v>0</v>
      </c>
      <c r="Y502" s="36">
        <f>COUNTIF(Tabla1[[#This Row],[VEHICULOS_ACCIDENTADOS]:[VEHICULOS_ACCIDENTADOS2]],"BUSETA")</f>
        <v>0</v>
      </c>
      <c r="Z502" s="36">
        <f>COUNTIF(Tabla1[[#This Row],[VEHICULOS_ACCIDENTADOS]:[VEHICULOS_ACCIDENTADOS2]],"CAMION")</f>
        <v>0</v>
      </c>
      <c r="AA502" s="36">
        <f>COUNTIF(Tabla1[[#This Row],[VEHICULOS_ACCIDENTADOS]:[VEHICULOS_ACCIDENTADOS2]],"TRACTOCAMION")</f>
        <v>0</v>
      </c>
      <c r="AB502" s="36">
        <f>COUNTIF(Tabla1[[#This Row],[VEHICULOS_ACCIDENTADOS]:[VEHICULOS_ACCIDENTADOS2]],"VOLQUETA")</f>
        <v>0</v>
      </c>
      <c r="AC502" s="36">
        <f>COUNTIF(Tabla1[[#This Row],[VEHICULOS_ACCIDENTADOS]:[VEHICULOS_ACCIDENTADOS2]],"BICICLETA")</f>
        <v>0</v>
      </c>
      <c r="AD502" s="56"/>
      <c r="AE502" s="56" t="s">
        <v>472</v>
      </c>
      <c r="AF502" s="56">
        <f>COUNTIF(Tabla1[[#This Row],[GENERO_MASCULINO]:[GENERO_FEMENINO]],"MASCULINO")</f>
        <v>0</v>
      </c>
      <c r="AG502" s="36">
        <f>COUNTIF(Tabla1[[#This Row],[GENERO_MASCULINO]:[GENERO_FEMENINO]],"FEMENINO")</f>
        <v>1</v>
      </c>
      <c r="AH502" s="61">
        <v>26</v>
      </c>
      <c r="AI502" s="61"/>
      <c r="AJ502" s="78"/>
      <c r="AK502" s="61"/>
      <c r="AL502" s="61"/>
      <c r="AM502" s="36"/>
      <c r="AN502" s="61">
        <v>139</v>
      </c>
      <c r="AO502" s="36" t="str">
        <f>IFERROR(((VLOOKUP(Tabla1[[#This Row],[HIPOTESIS_1]],listas!$D$1:$E$105,2,FALSE))),"SIN INFORMACIÓN")</f>
        <v>Impericia en el manejo.</v>
      </c>
      <c r="AP502" s="36"/>
      <c r="AQ502" s="36" t="str">
        <f>IFERROR(((VLOOKUP(Tabla1[[#This Row],[HIPOTESIS_2]],listas!$D$1:$E$105,2,FALSE))),"")</f>
        <v/>
      </c>
      <c r="AR502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503" spans="1:44" x14ac:dyDescent="0.25">
      <c r="A503" s="12">
        <v>267</v>
      </c>
      <c r="B503" s="36">
        <v>1</v>
      </c>
      <c r="C503" s="36">
        <v>0</v>
      </c>
      <c r="D503" s="60">
        <v>0</v>
      </c>
      <c r="E503" s="18" t="str">
        <f t="shared" si="28"/>
        <v>SOLO DAÑO</v>
      </c>
      <c r="F503" s="154" t="s">
        <v>792</v>
      </c>
      <c r="G503" s="17">
        <v>5.3504816666666661</v>
      </c>
      <c r="H503" s="17">
        <v>-72.381289166666662</v>
      </c>
      <c r="I503" s="93" t="s">
        <v>697</v>
      </c>
      <c r="J503" s="36" t="s">
        <v>1</v>
      </c>
      <c r="K503" s="24" t="str">
        <f t="shared" si="29"/>
        <v>2022</v>
      </c>
      <c r="L503" s="24" t="str">
        <f t="shared" si="30"/>
        <v>JULIO</v>
      </c>
      <c r="M503" s="225">
        <v>44770</v>
      </c>
      <c r="N503" s="24" t="str">
        <f t="shared" si="31"/>
        <v>JUEVES</v>
      </c>
      <c r="O503" s="170">
        <v>0.52083333333333304</v>
      </c>
      <c r="P503" s="53" t="s">
        <v>469</v>
      </c>
      <c r="Q503" s="53" t="s">
        <v>469</v>
      </c>
      <c r="R503" s="36">
        <f>COUNTIF(Tabla1[[#This Row],[VEHICULOS_ACCIDENTADOS]:[VEHICULOS_ACCIDENTADOS2]],"MOTOCICLETA")</f>
        <v>2</v>
      </c>
      <c r="S503" s="36">
        <f>COUNTIF(Tabla1[[#This Row],[VEHICULOS_ACCIDENTADOS]:[VEHICULOS_ACCIDENTADOS2]],"MOTOCARRO")</f>
        <v>0</v>
      </c>
      <c r="T503" s="36">
        <f>COUNTIF(Tabla1[[#This Row],[VEHICULOS_ACCIDENTADOS]:[VEHICULOS_ACCIDENTADOS2]],"AUTOMOVIL")</f>
        <v>0</v>
      </c>
      <c r="U503" s="36">
        <f>COUNTIF(Tabla1[[#This Row],[VEHICULOS_ACCIDENTADOS]:[VEHICULOS_ACCIDENTADOS2]],"CAMPERO")</f>
        <v>0</v>
      </c>
      <c r="V503" s="36">
        <f>COUNTIF(Tabla1[[#This Row],[VEHICULOS_ACCIDENTADOS]:[VEHICULOS_ACCIDENTADOS2]],"CAMIONETA")</f>
        <v>0</v>
      </c>
      <c r="W503" s="36">
        <f>COUNTIF(Tabla1[[#This Row],[VEHICULOS_ACCIDENTADOS]:[VEHICULOS_ACCIDENTADOS2]],"MICROBUS")</f>
        <v>0</v>
      </c>
      <c r="X503" s="36">
        <f>COUNTIF(Tabla1[[#This Row],[VEHICULOS_ACCIDENTADOS]:[VEHICULOS_ACCIDENTADOS2]],"BUS")</f>
        <v>0</v>
      </c>
      <c r="Y503" s="36">
        <f>COUNTIF(Tabla1[[#This Row],[VEHICULOS_ACCIDENTADOS]:[VEHICULOS_ACCIDENTADOS2]],"BUSETA")</f>
        <v>0</v>
      </c>
      <c r="Z503" s="36">
        <f>COUNTIF(Tabla1[[#This Row],[VEHICULOS_ACCIDENTADOS]:[VEHICULOS_ACCIDENTADOS2]],"CAMION")</f>
        <v>0</v>
      </c>
      <c r="AA503" s="36">
        <f>COUNTIF(Tabla1[[#This Row],[VEHICULOS_ACCIDENTADOS]:[VEHICULOS_ACCIDENTADOS2]],"TRACTOCAMION")</f>
        <v>0</v>
      </c>
      <c r="AB503" s="36">
        <f>COUNTIF(Tabla1[[#This Row],[VEHICULOS_ACCIDENTADOS]:[VEHICULOS_ACCIDENTADOS2]],"VOLQUETA")</f>
        <v>0</v>
      </c>
      <c r="AC503" s="36">
        <f>COUNTIF(Tabla1[[#This Row],[VEHICULOS_ACCIDENTADOS]:[VEHICULOS_ACCIDENTADOS2]],"BICICLETA")</f>
        <v>0</v>
      </c>
      <c r="AD503" s="56" t="s">
        <v>471</v>
      </c>
      <c r="AE503" s="56"/>
      <c r="AF503" s="56">
        <f>COUNTIF(Tabla1[[#This Row],[GENERO_MASCULINO]:[GENERO_FEMENINO]],"MASCULINO")</f>
        <v>1</v>
      </c>
      <c r="AG503" s="36">
        <f>COUNTIF(Tabla1[[#This Row],[GENERO_MASCULINO]:[GENERO_FEMENINO]],"FEMENINO")</f>
        <v>0</v>
      </c>
      <c r="AH503" s="61"/>
      <c r="AI503" s="61"/>
      <c r="AJ503" s="61"/>
      <c r="AK503" s="61"/>
      <c r="AL503" s="61"/>
      <c r="AM503" s="36"/>
      <c r="AN503" s="61">
        <v>122</v>
      </c>
      <c r="AO503" s="36" t="str">
        <f>IFERROR(((VLOOKUP(Tabla1[[#This Row],[HIPOTESIS_1]],listas!$D$1:$E$105,2,FALSE))),"SIN INFORMACIÓN")</f>
        <v>Girar bruscamente.</v>
      </c>
      <c r="AP503" s="36"/>
      <c r="AQ503" s="36" t="str">
        <f>IFERROR(((VLOOKUP(Tabla1[[#This Row],[HIPOTESIS_2]],listas!$D$1:$E$105,2,FALSE))),"")</f>
        <v/>
      </c>
      <c r="AR503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504" spans="1:44" x14ac:dyDescent="0.25">
      <c r="A504" s="12">
        <v>42</v>
      </c>
      <c r="B504" s="36">
        <v>0</v>
      </c>
      <c r="C504" s="36">
        <v>1</v>
      </c>
      <c r="D504" s="60">
        <v>0</v>
      </c>
      <c r="E504" s="18" t="str">
        <f t="shared" si="28"/>
        <v>LESIONADO</v>
      </c>
      <c r="F504" s="29" t="s">
        <v>822</v>
      </c>
      <c r="G504" s="17">
        <v>5.3440805555555553</v>
      </c>
      <c r="H504" s="17">
        <v>-72.395466666666678</v>
      </c>
      <c r="I504" s="93" t="s">
        <v>697</v>
      </c>
      <c r="J504" s="36" t="s">
        <v>717</v>
      </c>
      <c r="K504" s="24" t="str">
        <f t="shared" si="29"/>
        <v>2022</v>
      </c>
      <c r="L504" s="24" t="str">
        <f t="shared" si="30"/>
        <v>FEBRERO</v>
      </c>
      <c r="M504" s="225">
        <v>44596</v>
      </c>
      <c r="N504" s="24" t="str">
        <f t="shared" si="31"/>
        <v>VIERNES</v>
      </c>
      <c r="O504" s="103">
        <v>0.52083333333333304</v>
      </c>
      <c r="P504" s="63" t="s">
        <v>469</v>
      </c>
      <c r="Q504" s="63" t="s">
        <v>445</v>
      </c>
      <c r="R504" s="36">
        <f>COUNTIF(Tabla1[[#This Row],[VEHICULOS_ACCIDENTADOS]:[VEHICULOS_ACCIDENTADOS2]],"MOTOCICLETA")</f>
        <v>1</v>
      </c>
      <c r="S504" s="36">
        <f>COUNTIF(Tabla1[[#This Row],[VEHICULOS_ACCIDENTADOS]:[VEHICULOS_ACCIDENTADOS2]],"MOTOCARRO")</f>
        <v>0</v>
      </c>
      <c r="T504" s="36">
        <f>COUNTIF(Tabla1[[#This Row],[VEHICULOS_ACCIDENTADOS]:[VEHICULOS_ACCIDENTADOS2]],"AUTOMOVIL")</f>
        <v>0</v>
      </c>
      <c r="U504" s="36">
        <f>COUNTIF(Tabla1[[#This Row],[VEHICULOS_ACCIDENTADOS]:[VEHICULOS_ACCIDENTADOS2]],"CAMPERO")</f>
        <v>0</v>
      </c>
      <c r="V504" s="36">
        <f>COUNTIF(Tabla1[[#This Row],[VEHICULOS_ACCIDENTADOS]:[VEHICULOS_ACCIDENTADOS2]],"CAMIONETA")</f>
        <v>1</v>
      </c>
      <c r="W504" s="36">
        <f>COUNTIF(Tabla1[[#This Row],[VEHICULOS_ACCIDENTADOS]:[VEHICULOS_ACCIDENTADOS2]],"MICROBUS")</f>
        <v>0</v>
      </c>
      <c r="X504" s="36">
        <f>COUNTIF(Tabla1[[#This Row],[VEHICULOS_ACCIDENTADOS]:[VEHICULOS_ACCIDENTADOS2]],"BUS")</f>
        <v>0</v>
      </c>
      <c r="Y504" s="36">
        <f>COUNTIF(Tabla1[[#This Row],[VEHICULOS_ACCIDENTADOS]:[VEHICULOS_ACCIDENTADOS2]],"BUSETA")</f>
        <v>0</v>
      </c>
      <c r="Z504" s="36">
        <f>COUNTIF(Tabla1[[#This Row],[VEHICULOS_ACCIDENTADOS]:[VEHICULOS_ACCIDENTADOS2]],"CAMION")</f>
        <v>0</v>
      </c>
      <c r="AA504" s="36">
        <f>COUNTIF(Tabla1[[#This Row],[VEHICULOS_ACCIDENTADOS]:[VEHICULOS_ACCIDENTADOS2]],"TRACTOCAMION")</f>
        <v>0</v>
      </c>
      <c r="AB504" s="36">
        <f>COUNTIF(Tabla1[[#This Row],[VEHICULOS_ACCIDENTADOS]:[VEHICULOS_ACCIDENTADOS2]],"VOLQUETA")</f>
        <v>0</v>
      </c>
      <c r="AC504" s="36">
        <f>COUNTIF(Tabla1[[#This Row],[VEHICULOS_ACCIDENTADOS]:[VEHICULOS_ACCIDENTADOS2]],"BICICLETA")</f>
        <v>0</v>
      </c>
      <c r="AD504" s="56"/>
      <c r="AE504" s="56" t="s">
        <v>472</v>
      </c>
      <c r="AF504" s="56">
        <f>COUNTIF(Tabla1[[#This Row],[GENERO_MASCULINO]:[GENERO_FEMENINO]],"MASCULINO")</f>
        <v>0</v>
      </c>
      <c r="AG504" s="36">
        <f>COUNTIF(Tabla1[[#This Row],[GENERO_MASCULINO]:[GENERO_FEMENINO]],"FEMENINO")</f>
        <v>1</v>
      </c>
      <c r="AH504" s="61">
        <v>32</v>
      </c>
      <c r="AI504" s="61"/>
      <c r="AJ504" s="78"/>
      <c r="AK504" s="61"/>
      <c r="AL504" s="61"/>
      <c r="AM504" s="36"/>
      <c r="AN504" s="61">
        <v>157</v>
      </c>
      <c r="AO504" s="36" t="str">
        <f>IFERROR(((VLOOKUP(Tabla1[[#This Row],[HIPOTESIS_1]],listas!$D$1:$E$105,2,FALSE))),"SIN INFORMACIÓN")</f>
        <v>Otra</v>
      </c>
      <c r="AP504" s="36"/>
      <c r="AQ504" s="36" t="str">
        <f>IFERROR(((VLOOKUP(Tabla1[[#This Row],[HIPOTESIS_2]],listas!$D$1:$E$105,2,FALSE))),"")</f>
        <v/>
      </c>
      <c r="AR504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505" spans="1:44" x14ac:dyDescent="0.25">
      <c r="A505" s="12">
        <v>330</v>
      </c>
      <c r="B505" s="36">
        <v>0</v>
      </c>
      <c r="C505" s="36">
        <v>1</v>
      </c>
      <c r="D505" s="60">
        <v>0</v>
      </c>
      <c r="E505" s="18" t="str">
        <f t="shared" si="28"/>
        <v>LESIONADO</v>
      </c>
      <c r="F505" s="29" t="s">
        <v>311</v>
      </c>
      <c r="G505" s="17">
        <v>5.3417277777777779</v>
      </c>
      <c r="H505" s="17">
        <v>-72.404694444444445</v>
      </c>
      <c r="I505" s="93" t="s">
        <v>697</v>
      </c>
      <c r="J505" s="36" t="s">
        <v>717</v>
      </c>
      <c r="K505" s="24" t="str">
        <f t="shared" si="29"/>
        <v>2022</v>
      </c>
      <c r="L505" s="24" t="str">
        <f t="shared" si="30"/>
        <v>OCTUBRE</v>
      </c>
      <c r="M505" s="225">
        <v>44845</v>
      </c>
      <c r="N505" s="24" t="str">
        <f t="shared" si="31"/>
        <v>MARTES</v>
      </c>
      <c r="O505" s="170">
        <v>0.41666666666666702</v>
      </c>
      <c r="P505" s="53" t="s">
        <v>469</v>
      </c>
      <c r="Q505" s="53" t="s">
        <v>441</v>
      </c>
      <c r="R505" s="36">
        <f>COUNTIF(Tabla1[[#This Row],[VEHICULOS_ACCIDENTADOS]:[VEHICULOS_ACCIDENTADOS2]],"MOTOCICLETA")</f>
        <v>1</v>
      </c>
      <c r="S505" s="36">
        <f>COUNTIF(Tabla1[[#This Row],[VEHICULOS_ACCIDENTADOS]:[VEHICULOS_ACCIDENTADOS2]],"MOTOCARRO")</f>
        <v>0</v>
      </c>
      <c r="T505" s="36">
        <f>COUNTIF(Tabla1[[#This Row],[VEHICULOS_ACCIDENTADOS]:[VEHICULOS_ACCIDENTADOS2]],"AUTOMOVIL")</f>
        <v>0</v>
      </c>
      <c r="U505" s="36">
        <f>COUNTIF(Tabla1[[#This Row],[VEHICULOS_ACCIDENTADOS]:[VEHICULOS_ACCIDENTADOS2]],"CAMPERO")</f>
        <v>0</v>
      </c>
      <c r="V505" s="36">
        <f>COUNTIF(Tabla1[[#This Row],[VEHICULOS_ACCIDENTADOS]:[VEHICULOS_ACCIDENTADOS2]],"CAMIONETA")</f>
        <v>0</v>
      </c>
      <c r="W505" s="36">
        <f>COUNTIF(Tabla1[[#This Row],[VEHICULOS_ACCIDENTADOS]:[VEHICULOS_ACCIDENTADOS2]],"MICROBUS")</f>
        <v>0</v>
      </c>
      <c r="X505" s="36">
        <f>COUNTIF(Tabla1[[#This Row],[VEHICULOS_ACCIDENTADOS]:[VEHICULOS_ACCIDENTADOS2]],"BUS")</f>
        <v>0</v>
      </c>
      <c r="Y505" s="36">
        <f>COUNTIF(Tabla1[[#This Row],[VEHICULOS_ACCIDENTADOS]:[VEHICULOS_ACCIDENTADOS2]],"BUSETA")</f>
        <v>0</v>
      </c>
      <c r="Z505" s="36">
        <f>COUNTIF(Tabla1[[#This Row],[VEHICULOS_ACCIDENTADOS]:[VEHICULOS_ACCIDENTADOS2]],"CAMION")</f>
        <v>1</v>
      </c>
      <c r="AA505" s="36">
        <f>COUNTIF(Tabla1[[#This Row],[VEHICULOS_ACCIDENTADOS]:[VEHICULOS_ACCIDENTADOS2]],"TRACTOCAMION")</f>
        <v>0</v>
      </c>
      <c r="AB505" s="36">
        <f>COUNTIF(Tabla1[[#This Row],[VEHICULOS_ACCIDENTADOS]:[VEHICULOS_ACCIDENTADOS2]],"VOLQUETA")</f>
        <v>0</v>
      </c>
      <c r="AC505" s="36">
        <f>COUNTIF(Tabla1[[#This Row],[VEHICULOS_ACCIDENTADOS]:[VEHICULOS_ACCIDENTADOS2]],"BICICLETA")</f>
        <v>0</v>
      </c>
      <c r="AD505" s="56" t="s">
        <v>471</v>
      </c>
      <c r="AE505" s="56"/>
      <c r="AF505" s="56">
        <f>COUNTIF(Tabla1[[#This Row],[GENERO_MASCULINO]:[GENERO_FEMENINO]],"MASCULINO")</f>
        <v>1</v>
      </c>
      <c r="AG505" s="36">
        <f>COUNTIF(Tabla1[[#This Row],[GENERO_MASCULINO]:[GENERO_FEMENINO]],"FEMENINO")</f>
        <v>0</v>
      </c>
      <c r="AH505" s="61">
        <v>39</v>
      </c>
      <c r="AI505" s="61"/>
      <c r="AJ505" s="61"/>
      <c r="AK505" s="61"/>
      <c r="AL505" s="61"/>
      <c r="AM505" s="36"/>
      <c r="AN505" s="61">
        <v>132</v>
      </c>
      <c r="AO505" s="36" t="str">
        <f>IFERROR(((VLOOKUP(Tabla1[[#This Row],[HIPOTESIS_1]],listas!$D$1:$E$105,2,FALSE))),"SIN INFORMACIÓN")</f>
        <v>No respetar prelación.</v>
      </c>
      <c r="AP505" s="36"/>
      <c r="AQ505" s="36" t="str">
        <f>IFERROR(((VLOOKUP(Tabla1[[#This Row],[HIPOTESIS_2]],listas!$D$1:$E$105,2,FALSE))),"")</f>
        <v/>
      </c>
      <c r="AR505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506" spans="1:44" x14ac:dyDescent="0.25">
      <c r="A506" s="12">
        <v>20</v>
      </c>
      <c r="B506" s="36">
        <v>0</v>
      </c>
      <c r="C506" s="36">
        <v>1</v>
      </c>
      <c r="D506" s="60">
        <v>0</v>
      </c>
      <c r="E506" s="18" t="str">
        <f t="shared" si="28"/>
        <v>LESIONADO</v>
      </c>
      <c r="F506" s="29" t="s">
        <v>823</v>
      </c>
      <c r="G506" s="17">
        <v>5.3427388888888885</v>
      </c>
      <c r="H506" s="17">
        <v>-72.401927777777786</v>
      </c>
      <c r="I506" s="93" t="s">
        <v>697</v>
      </c>
      <c r="J506" s="36" t="s">
        <v>717</v>
      </c>
      <c r="K506" s="24" t="str">
        <f t="shared" si="29"/>
        <v>2022</v>
      </c>
      <c r="L506" s="24" t="str">
        <f t="shared" si="30"/>
        <v>ENERO</v>
      </c>
      <c r="M506" s="225">
        <v>44583</v>
      </c>
      <c r="N506" s="24" t="str">
        <f t="shared" si="31"/>
        <v>SÁBADO</v>
      </c>
      <c r="O506" s="103">
        <v>0.51388888888888884</v>
      </c>
      <c r="P506" s="63" t="s">
        <v>469</v>
      </c>
      <c r="Q506" s="63" t="s">
        <v>447</v>
      </c>
      <c r="R506" s="36">
        <f>COUNTIF(Tabla1[[#This Row],[VEHICULOS_ACCIDENTADOS]:[VEHICULOS_ACCIDENTADOS2]],"MOTOCICLETA")</f>
        <v>1</v>
      </c>
      <c r="S506" s="36">
        <f>COUNTIF(Tabla1[[#This Row],[VEHICULOS_ACCIDENTADOS]:[VEHICULOS_ACCIDENTADOS2]],"MOTOCARRO")</f>
        <v>0</v>
      </c>
      <c r="T506" s="36">
        <f>COUNTIF(Tabla1[[#This Row],[VEHICULOS_ACCIDENTADOS]:[VEHICULOS_ACCIDENTADOS2]],"AUTOMOVIL")</f>
        <v>1</v>
      </c>
      <c r="U506" s="36">
        <f>COUNTIF(Tabla1[[#This Row],[VEHICULOS_ACCIDENTADOS]:[VEHICULOS_ACCIDENTADOS2]],"CAMPERO")</f>
        <v>0</v>
      </c>
      <c r="V506" s="36">
        <f>COUNTIF(Tabla1[[#This Row],[VEHICULOS_ACCIDENTADOS]:[VEHICULOS_ACCIDENTADOS2]],"CAMIONETA")</f>
        <v>0</v>
      </c>
      <c r="W506" s="36">
        <f>COUNTIF(Tabla1[[#This Row],[VEHICULOS_ACCIDENTADOS]:[VEHICULOS_ACCIDENTADOS2]],"MICROBUS")</f>
        <v>0</v>
      </c>
      <c r="X506" s="36">
        <f>COUNTIF(Tabla1[[#This Row],[VEHICULOS_ACCIDENTADOS]:[VEHICULOS_ACCIDENTADOS2]],"BUS")</f>
        <v>0</v>
      </c>
      <c r="Y506" s="36">
        <f>COUNTIF(Tabla1[[#This Row],[VEHICULOS_ACCIDENTADOS]:[VEHICULOS_ACCIDENTADOS2]],"BUSETA")</f>
        <v>0</v>
      </c>
      <c r="Z506" s="36">
        <f>COUNTIF(Tabla1[[#This Row],[VEHICULOS_ACCIDENTADOS]:[VEHICULOS_ACCIDENTADOS2]],"CAMION")</f>
        <v>0</v>
      </c>
      <c r="AA506" s="36">
        <f>COUNTIF(Tabla1[[#This Row],[VEHICULOS_ACCIDENTADOS]:[VEHICULOS_ACCIDENTADOS2]],"TRACTOCAMION")</f>
        <v>0</v>
      </c>
      <c r="AB506" s="36">
        <f>COUNTIF(Tabla1[[#This Row],[VEHICULOS_ACCIDENTADOS]:[VEHICULOS_ACCIDENTADOS2]],"VOLQUETA")</f>
        <v>0</v>
      </c>
      <c r="AC506" s="36">
        <f>COUNTIF(Tabla1[[#This Row],[VEHICULOS_ACCIDENTADOS]:[VEHICULOS_ACCIDENTADOS2]],"BICICLETA")</f>
        <v>0</v>
      </c>
      <c r="AD506" s="56" t="s">
        <v>471</v>
      </c>
      <c r="AE506" s="56"/>
      <c r="AF506" s="56">
        <f>COUNTIF(Tabla1[[#This Row],[GENERO_MASCULINO]:[GENERO_FEMENINO]],"MASCULINO")</f>
        <v>1</v>
      </c>
      <c r="AG506" s="36">
        <f>COUNTIF(Tabla1[[#This Row],[GENERO_MASCULINO]:[GENERO_FEMENINO]],"FEMENINO")</f>
        <v>0</v>
      </c>
      <c r="AH506" s="61">
        <v>21</v>
      </c>
      <c r="AI506" s="61"/>
      <c r="AJ506" s="61"/>
      <c r="AK506" s="61"/>
      <c r="AL506" s="61"/>
      <c r="AM506" s="36"/>
      <c r="AN506" s="61">
        <v>157</v>
      </c>
      <c r="AO506" s="36" t="str">
        <f>IFERROR(((VLOOKUP(Tabla1[[#This Row],[HIPOTESIS_1]],listas!$D$1:$E$105,2,FALSE))),"SIN INFORMACIÓN")</f>
        <v>Otra</v>
      </c>
      <c r="AP506" s="36"/>
      <c r="AQ506" s="36" t="str">
        <f>IFERROR(((VLOOKUP(Tabla1[[#This Row],[HIPOTESIS_2]],listas!$D$1:$E$105,2,FALSE))),"")</f>
        <v/>
      </c>
      <c r="AR506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507" spans="1:44" x14ac:dyDescent="0.25">
      <c r="A507" s="12">
        <v>540</v>
      </c>
      <c r="B507" s="36">
        <v>1</v>
      </c>
      <c r="C507" s="36">
        <v>0</v>
      </c>
      <c r="D507" s="60">
        <v>0</v>
      </c>
      <c r="E507" s="18" t="str">
        <f t="shared" si="28"/>
        <v>SOLO DAÑO</v>
      </c>
      <c r="F507" s="29" t="s">
        <v>824</v>
      </c>
      <c r="G507" s="21">
        <v>5.3446991666666666</v>
      </c>
      <c r="H507" s="21">
        <v>-72.392585555555556</v>
      </c>
      <c r="I507" s="93" t="s">
        <v>697</v>
      </c>
      <c r="J507" s="36" t="s">
        <v>717</v>
      </c>
      <c r="K507" s="24" t="str">
        <f t="shared" si="29"/>
        <v>2023</v>
      </c>
      <c r="L507" s="24" t="str">
        <f t="shared" si="30"/>
        <v>AGOSTO</v>
      </c>
      <c r="M507" s="225">
        <v>45157</v>
      </c>
      <c r="N507" s="24" t="str">
        <f t="shared" si="31"/>
        <v>SÁBADO</v>
      </c>
      <c r="O507" s="103">
        <v>0.22916666666666666</v>
      </c>
      <c r="P507" s="57" t="s">
        <v>447</v>
      </c>
      <c r="Q507" s="57" t="s">
        <v>445</v>
      </c>
      <c r="R507" s="36">
        <f>COUNTIF(Tabla1[[#This Row],[VEHICULOS_ACCIDENTADOS]:[VEHICULOS_ACCIDENTADOS2]],"MOTOCICLETA")</f>
        <v>0</v>
      </c>
      <c r="S507" s="36">
        <f>COUNTIF(Tabla1[[#This Row],[VEHICULOS_ACCIDENTADOS]:[VEHICULOS_ACCIDENTADOS2]],"MOTOCARRO")</f>
        <v>0</v>
      </c>
      <c r="T507" s="36">
        <f>COUNTIF(Tabla1[[#This Row],[VEHICULOS_ACCIDENTADOS]:[VEHICULOS_ACCIDENTADOS2]],"AUTOMOVIL")</f>
        <v>1</v>
      </c>
      <c r="U507" s="36">
        <f>COUNTIF(Tabla1[[#This Row],[VEHICULOS_ACCIDENTADOS]:[VEHICULOS_ACCIDENTADOS2]],"CAMPERO")</f>
        <v>0</v>
      </c>
      <c r="V507" s="36">
        <f>COUNTIF(Tabla1[[#This Row],[VEHICULOS_ACCIDENTADOS]:[VEHICULOS_ACCIDENTADOS2]],"CAMIONETA")</f>
        <v>1</v>
      </c>
      <c r="W507" s="36">
        <f>COUNTIF(Tabla1[[#This Row],[VEHICULOS_ACCIDENTADOS]:[VEHICULOS_ACCIDENTADOS2]],"MICROBUS")</f>
        <v>0</v>
      </c>
      <c r="X507" s="36">
        <f>COUNTIF(Tabla1[[#This Row],[VEHICULOS_ACCIDENTADOS]:[VEHICULOS_ACCIDENTADOS2]],"BUS")</f>
        <v>0</v>
      </c>
      <c r="Y507" s="36">
        <f>COUNTIF(Tabla1[[#This Row],[VEHICULOS_ACCIDENTADOS]:[VEHICULOS_ACCIDENTADOS2]],"BUSETA")</f>
        <v>0</v>
      </c>
      <c r="Z507" s="36">
        <f>COUNTIF(Tabla1[[#This Row],[VEHICULOS_ACCIDENTADOS]:[VEHICULOS_ACCIDENTADOS2]],"CAMION")</f>
        <v>0</v>
      </c>
      <c r="AA507" s="36">
        <f>COUNTIF(Tabla1[[#This Row],[VEHICULOS_ACCIDENTADOS]:[VEHICULOS_ACCIDENTADOS2]],"TRACTOCAMION")</f>
        <v>0</v>
      </c>
      <c r="AB507" s="36">
        <f>COUNTIF(Tabla1[[#This Row],[VEHICULOS_ACCIDENTADOS]:[VEHICULOS_ACCIDENTADOS2]],"VOLQUETA")</f>
        <v>0</v>
      </c>
      <c r="AC507" s="36">
        <f>COUNTIF(Tabla1[[#This Row],[VEHICULOS_ACCIDENTADOS]:[VEHICULOS_ACCIDENTADOS2]],"BICICLETA")</f>
        <v>0</v>
      </c>
      <c r="AD507" s="56"/>
      <c r="AE507" s="56" t="s">
        <v>472</v>
      </c>
      <c r="AF507" s="56">
        <f>COUNTIF(Tabla1[[#This Row],[GENERO_MASCULINO]:[GENERO_FEMENINO]],"MASCULINO")</f>
        <v>0</v>
      </c>
      <c r="AG507" s="36">
        <f>COUNTIF(Tabla1[[#This Row],[GENERO_MASCULINO]:[GENERO_FEMENINO]],"FEMENINO")</f>
        <v>1</v>
      </c>
      <c r="AH507" s="61"/>
      <c r="AI507" s="61"/>
      <c r="AJ507" s="61"/>
      <c r="AK507" s="61"/>
      <c r="AL507" s="61"/>
      <c r="AM507" s="36"/>
      <c r="AN507" s="61">
        <v>157</v>
      </c>
      <c r="AO507" s="36" t="str">
        <f>IFERROR(((VLOOKUP(Tabla1[[#This Row],[HIPOTESIS_1]],listas!$D$1:$E$105,2,FALSE))),"SIN INFORMACIÓN")</f>
        <v>Otra</v>
      </c>
      <c r="AP507" s="36"/>
      <c r="AQ507" s="36" t="str">
        <f>IFERROR(((VLOOKUP(Tabla1[[#This Row],[HIPOTESIS_2]],listas!$D$1:$E$105,2,FALSE))),"")</f>
        <v/>
      </c>
      <c r="AR507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508" spans="1:44" x14ac:dyDescent="0.25">
      <c r="A508" s="12">
        <v>713</v>
      </c>
      <c r="B508" s="36">
        <v>1</v>
      </c>
      <c r="C508" s="136">
        <v>0</v>
      </c>
      <c r="D508" s="60">
        <v>0</v>
      </c>
      <c r="E508" s="18" t="str">
        <f t="shared" si="28"/>
        <v>SOLO DAÑO</v>
      </c>
      <c r="F508" s="29" t="s">
        <v>141</v>
      </c>
      <c r="G508" s="21">
        <v>5.3469638888888884</v>
      </c>
      <c r="H508" s="21">
        <v>-72.388833333333338</v>
      </c>
      <c r="I508" s="93" t="s">
        <v>697</v>
      </c>
      <c r="J508" s="136" t="s">
        <v>717</v>
      </c>
      <c r="K508" s="24" t="str">
        <f t="shared" si="29"/>
        <v>2024</v>
      </c>
      <c r="L508" s="24" t="str">
        <f t="shared" si="30"/>
        <v>MAYO</v>
      </c>
      <c r="M508" s="225">
        <v>45427</v>
      </c>
      <c r="N508" s="24" t="str">
        <f t="shared" si="31"/>
        <v>MIÉRCOLES</v>
      </c>
      <c r="O508" s="103">
        <v>1.3888888888888888E-2</v>
      </c>
      <c r="P508" s="57" t="s">
        <v>447</v>
      </c>
      <c r="Q508" s="57"/>
      <c r="R508" s="36">
        <f>COUNTIF(Tabla1[[#This Row],[VEHICULOS_ACCIDENTADOS]:[VEHICULOS_ACCIDENTADOS2]],"MOTOCICLETA")</f>
        <v>0</v>
      </c>
      <c r="S508" s="36">
        <f>COUNTIF(Tabla1[[#This Row],[VEHICULOS_ACCIDENTADOS]:[VEHICULOS_ACCIDENTADOS2]],"MOTOCARRO")</f>
        <v>0</v>
      </c>
      <c r="T508" s="36">
        <f>COUNTIF(Tabla1[[#This Row],[VEHICULOS_ACCIDENTADOS]:[VEHICULOS_ACCIDENTADOS2]],"AUTOMOVIL")</f>
        <v>1</v>
      </c>
      <c r="U508" s="36">
        <f>COUNTIF(Tabla1[[#This Row],[VEHICULOS_ACCIDENTADOS]:[VEHICULOS_ACCIDENTADOS2]],"CAMPERO")</f>
        <v>0</v>
      </c>
      <c r="V508" s="36">
        <f>COUNTIF(Tabla1[[#This Row],[VEHICULOS_ACCIDENTADOS]:[VEHICULOS_ACCIDENTADOS2]],"CAMIONETA")</f>
        <v>0</v>
      </c>
      <c r="W508" s="36">
        <f>COUNTIF(Tabla1[[#This Row],[VEHICULOS_ACCIDENTADOS]:[VEHICULOS_ACCIDENTADOS2]],"MICROBUS")</f>
        <v>0</v>
      </c>
      <c r="X508" s="36">
        <f>COUNTIF(Tabla1[[#This Row],[VEHICULOS_ACCIDENTADOS]:[VEHICULOS_ACCIDENTADOS2]],"BUS")</f>
        <v>0</v>
      </c>
      <c r="Y508" s="36">
        <f>COUNTIF(Tabla1[[#This Row],[VEHICULOS_ACCIDENTADOS]:[VEHICULOS_ACCIDENTADOS2]],"BUSETA")</f>
        <v>0</v>
      </c>
      <c r="Z508" s="36">
        <f>COUNTIF(Tabla1[[#This Row],[VEHICULOS_ACCIDENTADOS]:[VEHICULOS_ACCIDENTADOS2]],"CAMION")</f>
        <v>0</v>
      </c>
      <c r="AA508" s="36">
        <f>COUNTIF(Tabla1[[#This Row],[VEHICULOS_ACCIDENTADOS]:[VEHICULOS_ACCIDENTADOS2]],"TRACTOCAMION")</f>
        <v>0</v>
      </c>
      <c r="AB508" s="36">
        <f>COUNTIF(Tabla1[[#This Row],[VEHICULOS_ACCIDENTADOS]:[VEHICULOS_ACCIDENTADOS2]],"VOLQUETA")</f>
        <v>0</v>
      </c>
      <c r="AC508" s="36">
        <f>COUNTIF(Tabla1[[#This Row],[VEHICULOS_ACCIDENTADOS]:[VEHICULOS_ACCIDENTADOS2]],"BICICLETA")</f>
        <v>0</v>
      </c>
      <c r="AD508" s="56" t="s">
        <v>471</v>
      </c>
      <c r="AE508" s="56"/>
      <c r="AF508" s="56">
        <f>COUNTIF(Tabla1[[#This Row],[GENERO_MASCULINO]:[GENERO_FEMENINO]],"MASCULINO")</f>
        <v>1</v>
      </c>
      <c r="AG508" s="36">
        <f>COUNTIF(Tabla1[[#This Row],[GENERO_MASCULINO]:[GENERO_FEMENINO]],"FEMENINO")</f>
        <v>0</v>
      </c>
      <c r="AH508" s="61">
        <v>32</v>
      </c>
      <c r="AI508" s="61"/>
      <c r="AJ508" s="61"/>
      <c r="AK508" s="61"/>
      <c r="AL508" s="61"/>
      <c r="AM508" s="36"/>
      <c r="AN508" s="61">
        <v>115</v>
      </c>
      <c r="AO508" s="36" t="str">
        <f>IFERROR(((VLOOKUP(Tabla1[[#This Row],[HIPOTESIS_1]],listas!$D$1:$E$105,2,FALSE))),"SIN INFORMACIÓN")</f>
        <v>Embriaguez o Sustancias alucinogenas</v>
      </c>
      <c r="AP508" s="36"/>
      <c r="AQ508" s="36" t="str">
        <f>IFERROR(((VLOOKUP(Tabla1[[#This Row],[HIPOTESIS_2]],listas!$D$1:$E$105,2,FALSE))),"")</f>
        <v/>
      </c>
      <c r="AR508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509" spans="1:44" x14ac:dyDescent="0.25">
      <c r="A509" s="12">
        <v>1114</v>
      </c>
      <c r="B509" s="137">
        <v>1</v>
      </c>
      <c r="C509" s="137">
        <v>0</v>
      </c>
      <c r="D509" s="146">
        <v>0</v>
      </c>
      <c r="E509" s="24" t="str">
        <f t="shared" si="28"/>
        <v>SOLO DAÑO</v>
      </c>
      <c r="F509" s="152" t="s">
        <v>826</v>
      </c>
      <c r="G509" s="30">
        <v>5.3384599999999898</v>
      </c>
      <c r="H509" s="30">
        <v>-72.401439999999994</v>
      </c>
      <c r="I509" s="165" t="s">
        <v>697</v>
      </c>
      <c r="J509" s="36" t="s">
        <v>717</v>
      </c>
      <c r="K509" s="24" t="str">
        <f t="shared" si="29"/>
        <v>2025</v>
      </c>
      <c r="L509" s="24" t="str">
        <f t="shared" si="30"/>
        <v>OCTUBRE</v>
      </c>
      <c r="M509" s="225">
        <v>45935</v>
      </c>
      <c r="N509" s="24" t="str">
        <f t="shared" si="31"/>
        <v>DOMINGO</v>
      </c>
      <c r="O509" s="103">
        <v>0.36319444444444443</v>
      </c>
      <c r="P509" s="63" t="s">
        <v>469</v>
      </c>
      <c r="Q509" s="63"/>
      <c r="R509" s="36">
        <f>COUNTIF(Tabla1[[#This Row],[VEHICULOS_ACCIDENTADOS]:[VEHICULOS_ACCIDENTADOS2]],"MOTOCICLETA")</f>
        <v>1</v>
      </c>
      <c r="S509" s="36">
        <f>COUNTIF(Tabla1[[#This Row],[VEHICULOS_ACCIDENTADOS]:[VEHICULOS_ACCIDENTADOS2]],"MOTOCARRO")</f>
        <v>0</v>
      </c>
      <c r="T509" s="36">
        <f>COUNTIF(Tabla1[[#This Row],[VEHICULOS_ACCIDENTADOS]:[VEHICULOS_ACCIDENTADOS2]],"AUTOMOVIL")</f>
        <v>0</v>
      </c>
      <c r="U509" s="36">
        <f>COUNTIF(Tabla1[[#This Row],[VEHICULOS_ACCIDENTADOS]:[VEHICULOS_ACCIDENTADOS2]],"CAMPERO")</f>
        <v>0</v>
      </c>
      <c r="V509" s="36">
        <f>COUNTIF(Tabla1[[#This Row],[VEHICULOS_ACCIDENTADOS]:[VEHICULOS_ACCIDENTADOS2]],"CAMIONETA")</f>
        <v>0</v>
      </c>
      <c r="W509" s="36">
        <f>COUNTIF(Tabla1[[#This Row],[VEHICULOS_ACCIDENTADOS]:[VEHICULOS_ACCIDENTADOS2]],"MICROBUS")</f>
        <v>0</v>
      </c>
      <c r="X509" s="36">
        <f>COUNTIF(Tabla1[[#This Row],[VEHICULOS_ACCIDENTADOS]:[VEHICULOS_ACCIDENTADOS2]],"BUS")</f>
        <v>0</v>
      </c>
      <c r="Y509" s="36">
        <f>COUNTIF(Tabla1[[#This Row],[VEHICULOS_ACCIDENTADOS]:[VEHICULOS_ACCIDENTADOS2]],"BUSETA")</f>
        <v>0</v>
      </c>
      <c r="Z509" s="36">
        <f>COUNTIF(Tabla1[[#This Row],[VEHICULOS_ACCIDENTADOS]:[VEHICULOS_ACCIDENTADOS2]],"CAMION")</f>
        <v>0</v>
      </c>
      <c r="AA509" s="36">
        <f>COUNTIF(Tabla1[[#This Row],[VEHICULOS_ACCIDENTADOS]:[VEHICULOS_ACCIDENTADOS2]],"TRACTOCAMION")</f>
        <v>0</v>
      </c>
      <c r="AB509" s="36">
        <f>COUNTIF(Tabla1[[#This Row],[VEHICULOS_ACCIDENTADOS]:[VEHICULOS_ACCIDENTADOS2]],"VOLQUETA")</f>
        <v>0</v>
      </c>
      <c r="AC509" s="36">
        <f>COUNTIF(Tabla1[[#This Row],[VEHICULOS_ACCIDENTADOS]:[VEHICULOS_ACCIDENTADOS2]],"BICICLETA")</f>
        <v>0</v>
      </c>
      <c r="AD509" s="188" t="s">
        <v>472</v>
      </c>
      <c r="AE509" s="188"/>
      <c r="AF509" s="56">
        <f>COUNTIF(Tabla1[[#This Row],[GENERO_MASCULINO]:[GENERO_FEMENINO]],"MASCULINO")</f>
        <v>0</v>
      </c>
      <c r="AG509" s="36">
        <f>COUNTIF(Tabla1[[#This Row],[GENERO_MASCULINO]:[GENERO_FEMENINO]],"FEMENINO")</f>
        <v>1</v>
      </c>
      <c r="AH509" s="85"/>
      <c r="AI509" s="85"/>
      <c r="AJ509" s="85"/>
      <c r="AK509" s="78"/>
      <c r="AL509" s="78"/>
      <c r="AM509" s="59"/>
      <c r="AN509" s="61">
        <v>201</v>
      </c>
      <c r="AO509" s="59" t="str">
        <f>IFERROR(((VLOOKUP(Tabla1[[#This Row],[HIPOTESIS_1]],listas!$D$1:$E$105,2,FALSE))),"SIN INFORMACIÓN")</f>
        <v>Fallas en las llantas.</v>
      </c>
      <c r="AP509" s="36"/>
      <c r="AQ509" s="36" t="str">
        <f>IFERROR(((VLOOKUP(Tabla1[[#This Row],[HIPOTESIS_2]],listas!$D$1:$E$105,2,FALSE))),"")</f>
        <v/>
      </c>
      <c r="AR509" s="2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510" spans="1:44" x14ac:dyDescent="0.25">
      <c r="A510" s="12">
        <v>1074</v>
      </c>
      <c r="B510" s="137">
        <v>1</v>
      </c>
      <c r="C510" s="137">
        <v>0</v>
      </c>
      <c r="D510" s="146">
        <v>0</v>
      </c>
      <c r="E510" s="24" t="str">
        <f t="shared" si="28"/>
        <v>SOLO DAÑO</v>
      </c>
      <c r="F510" s="155" t="s">
        <v>716</v>
      </c>
      <c r="G510" s="30">
        <v>5.3392900000000001</v>
      </c>
      <c r="H510" s="30">
        <v>-72.398944999999998</v>
      </c>
      <c r="I510" s="165" t="s">
        <v>697</v>
      </c>
      <c r="J510" s="36" t="s">
        <v>717</v>
      </c>
      <c r="K510" s="24" t="str">
        <f t="shared" si="29"/>
        <v>2025</v>
      </c>
      <c r="L510" s="24" t="str">
        <f t="shared" si="30"/>
        <v>SEPTIEMBRE</v>
      </c>
      <c r="M510" s="225">
        <v>45913</v>
      </c>
      <c r="N510" s="24" t="str">
        <f t="shared" si="31"/>
        <v>SÁBADO</v>
      </c>
      <c r="O510" s="103">
        <v>0.89583333333333337</v>
      </c>
      <c r="P510" s="63" t="s">
        <v>469</v>
      </c>
      <c r="Q510" s="63" t="s">
        <v>445</v>
      </c>
      <c r="R510" s="36">
        <f>COUNTIF(Tabla1[[#This Row],[VEHICULOS_ACCIDENTADOS]:[VEHICULOS_ACCIDENTADOS2]],"MOTOCICLETA")</f>
        <v>1</v>
      </c>
      <c r="S510" s="36">
        <f>COUNTIF(Tabla1[[#This Row],[VEHICULOS_ACCIDENTADOS]:[VEHICULOS_ACCIDENTADOS2]],"MOTOCARRO")</f>
        <v>0</v>
      </c>
      <c r="T510" s="36">
        <f>COUNTIF(Tabla1[[#This Row],[VEHICULOS_ACCIDENTADOS]:[VEHICULOS_ACCIDENTADOS2]],"AUTOMOVIL")</f>
        <v>0</v>
      </c>
      <c r="U510" s="36">
        <f>COUNTIF(Tabla1[[#This Row],[VEHICULOS_ACCIDENTADOS]:[VEHICULOS_ACCIDENTADOS2]],"CAMPERO")</f>
        <v>0</v>
      </c>
      <c r="V510" s="36">
        <f>COUNTIF(Tabla1[[#This Row],[VEHICULOS_ACCIDENTADOS]:[VEHICULOS_ACCIDENTADOS2]],"CAMIONETA")</f>
        <v>1</v>
      </c>
      <c r="W510" s="36">
        <f>COUNTIF(Tabla1[[#This Row],[VEHICULOS_ACCIDENTADOS]:[VEHICULOS_ACCIDENTADOS2]],"MICROBUS")</f>
        <v>0</v>
      </c>
      <c r="X510" s="36">
        <f>COUNTIF(Tabla1[[#This Row],[VEHICULOS_ACCIDENTADOS]:[VEHICULOS_ACCIDENTADOS2]],"BUS")</f>
        <v>0</v>
      </c>
      <c r="Y510" s="36">
        <f>COUNTIF(Tabla1[[#This Row],[VEHICULOS_ACCIDENTADOS]:[VEHICULOS_ACCIDENTADOS2]],"BUSETA")</f>
        <v>0</v>
      </c>
      <c r="Z510" s="36">
        <f>COUNTIF(Tabla1[[#This Row],[VEHICULOS_ACCIDENTADOS]:[VEHICULOS_ACCIDENTADOS2]],"CAMION")</f>
        <v>0</v>
      </c>
      <c r="AA510" s="36">
        <f>COUNTIF(Tabla1[[#This Row],[VEHICULOS_ACCIDENTADOS]:[VEHICULOS_ACCIDENTADOS2]],"TRACTOCAMION")</f>
        <v>0</v>
      </c>
      <c r="AB510" s="36">
        <f>COUNTIF(Tabla1[[#This Row],[VEHICULOS_ACCIDENTADOS]:[VEHICULOS_ACCIDENTADOS2]],"VOLQUETA")</f>
        <v>0</v>
      </c>
      <c r="AC510" s="36">
        <f>COUNTIF(Tabla1[[#This Row],[VEHICULOS_ACCIDENTADOS]:[VEHICULOS_ACCIDENTADOS2]],"BICICLETA")</f>
        <v>0</v>
      </c>
      <c r="AD510" s="188" t="s">
        <v>471</v>
      </c>
      <c r="AE510" s="188" t="s">
        <v>471</v>
      </c>
      <c r="AF510" s="56">
        <f>COUNTIF(Tabla1[[#This Row],[GENERO_MASCULINO]:[GENERO_FEMENINO]],"MASCULINO")</f>
        <v>2</v>
      </c>
      <c r="AG510" s="36">
        <f>COUNTIF(Tabla1[[#This Row],[GENERO_MASCULINO]:[GENERO_FEMENINO]],"FEMENINO")</f>
        <v>0</v>
      </c>
      <c r="AH510" s="85">
        <v>36</v>
      </c>
      <c r="AI510" s="85">
        <v>36</v>
      </c>
      <c r="AJ510" s="85"/>
      <c r="AK510" s="78"/>
      <c r="AL510" s="78"/>
      <c r="AM510" s="59"/>
      <c r="AN510" s="61">
        <v>157</v>
      </c>
      <c r="AO510" s="59" t="str">
        <f>IFERROR(((VLOOKUP(Tabla1[[#This Row],[HIPOTESIS_1]],listas!$D$1:$E$105,2,FALSE))),"SIN INFORMACIÓN")</f>
        <v>Otra</v>
      </c>
      <c r="AP510" s="36"/>
      <c r="AQ510" s="36" t="str">
        <f>IFERROR(((VLOOKUP(Tabla1[[#This Row],[HIPOTESIS_2]],listas!$D$1:$E$105,2,FALSE))),"")</f>
        <v/>
      </c>
      <c r="AR510" s="2" t="str">
        <f>IF(HOUR(Tabla1[[#This Row],[HORA_ACCIDENTE]])&lt;6,"MAÑANA",
 IF(HOUR(Tabla1[[#This Row],[HORA_ACCIDENTE]])&lt;12,"MAÑANA",
 IF(HOUR(Tabla1[[#This Row],[HORA_ACCIDENTE]])&lt;18,"TARDE","NOCHE")))</f>
        <v>NOCHE</v>
      </c>
    </row>
    <row r="511" spans="1:44" x14ac:dyDescent="0.25">
      <c r="A511" s="12">
        <v>1024</v>
      </c>
      <c r="B511" s="137">
        <v>0</v>
      </c>
      <c r="C511" s="137">
        <v>1</v>
      </c>
      <c r="D511" s="146">
        <v>0</v>
      </c>
      <c r="E511" s="18" t="str">
        <f t="shared" si="28"/>
        <v>LESIONADO</v>
      </c>
      <c r="F511" s="152" t="s">
        <v>467</v>
      </c>
      <c r="G511" s="30">
        <v>5.3444450000000003</v>
      </c>
      <c r="H511" s="30">
        <v>-72.398621000000006</v>
      </c>
      <c r="I511" s="93" t="s">
        <v>697</v>
      </c>
      <c r="J511" s="36" t="s">
        <v>717</v>
      </c>
      <c r="K511" s="24" t="str">
        <f t="shared" si="29"/>
        <v>2025</v>
      </c>
      <c r="L511" s="24" t="str">
        <f t="shared" si="30"/>
        <v>JULIO</v>
      </c>
      <c r="M511" s="225">
        <v>45866</v>
      </c>
      <c r="N511" s="24" t="str">
        <f t="shared" si="31"/>
        <v>LUNES</v>
      </c>
      <c r="O511" s="103">
        <v>0.59722222222222221</v>
      </c>
      <c r="P511" s="63" t="s">
        <v>469</v>
      </c>
      <c r="Q511" s="63" t="s">
        <v>445</v>
      </c>
      <c r="R511" s="36">
        <f>COUNTIF(Tabla1[[#This Row],[VEHICULOS_ACCIDENTADOS]:[VEHICULOS_ACCIDENTADOS2]],"MOTOCICLETA")</f>
        <v>1</v>
      </c>
      <c r="S511" s="36">
        <f>COUNTIF(Tabla1[[#This Row],[VEHICULOS_ACCIDENTADOS]:[VEHICULOS_ACCIDENTADOS2]],"MOTOCARRO")</f>
        <v>0</v>
      </c>
      <c r="T511" s="36">
        <f>COUNTIF(Tabla1[[#This Row],[VEHICULOS_ACCIDENTADOS]:[VEHICULOS_ACCIDENTADOS2]],"AUTOMOVIL")</f>
        <v>0</v>
      </c>
      <c r="U511" s="36">
        <f>COUNTIF(Tabla1[[#This Row],[VEHICULOS_ACCIDENTADOS]:[VEHICULOS_ACCIDENTADOS2]],"CAMPERO")</f>
        <v>0</v>
      </c>
      <c r="V511" s="36">
        <f>COUNTIF(Tabla1[[#This Row],[VEHICULOS_ACCIDENTADOS]:[VEHICULOS_ACCIDENTADOS2]],"CAMIONETA")</f>
        <v>1</v>
      </c>
      <c r="W511" s="36">
        <f>COUNTIF(Tabla1[[#This Row],[VEHICULOS_ACCIDENTADOS]:[VEHICULOS_ACCIDENTADOS2]],"MICROBUS")</f>
        <v>0</v>
      </c>
      <c r="X511" s="36">
        <f>COUNTIF(Tabla1[[#This Row],[VEHICULOS_ACCIDENTADOS]:[VEHICULOS_ACCIDENTADOS2]],"BUS")</f>
        <v>0</v>
      </c>
      <c r="Y511" s="36">
        <f>COUNTIF(Tabla1[[#This Row],[VEHICULOS_ACCIDENTADOS]:[VEHICULOS_ACCIDENTADOS2]],"BUSETA")</f>
        <v>0</v>
      </c>
      <c r="Z511" s="36">
        <f>COUNTIF(Tabla1[[#This Row],[VEHICULOS_ACCIDENTADOS]:[VEHICULOS_ACCIDENTADOS2]],"CAMION")</f>
        <v>0</v>
      </c>
      <c r="AA511" s="36">
        <f>COUNTIF(Tabla1[[#This Row],[VEHICULOS_ACCIDENTADOS]:[VEHICULOS_ACCIDENTADOS2]],"TRACTOCAMION")</f>
        <v>0</v>
      </c>
      <c r="AB511" s="36">
        <f>COUNTIF(Tabla1[[#This Row],[VEHICULOS_ACCIDENTADOS]:[VEHICULOS_ACCIDENTADOS2]],"VOLQUETA")</f>
        <v>0</v>
      </c>
      <c r="AC511" s="36">
        <f>COUNTIF(Tabla1[[#This Row],[VEHICULOS_ACCIDENTADOS]:[VEHICULOS_ACCIDENTADOS2]],"BICICLETA")</f>
        <v>0</v>
      </c>
      <c r="AD511" s="188" t="s">
        <v>471</v>
      </c>
      <c r="AE511" s="188" t="s">
        <v>472</v>
      </c>
      <c r="AF511" s="56">
        <f>COUNTIF(Tabla1[[#This Row],[GENERO_MASCULINO]:[GENERO_FEMENINO]],"MASCULINO")</f>
        <v>1</v>
      </c>
      <c r="AG511" s="36">
        <f>COUNTIF(Tabla1[[#This Row],[GENERO_MASCULINO]:[GENERO_FEMENINO]],"FEMENINO")</f>
        <v>1</v>
      </c>
      <c r="AH511" s="85">
        <v>23</v>
      </c>
      <c r="AI511" s="85">
        <v>35</v>
      </c>
      <c r="AJ511" s="85"/>
      <c r="AK511" s="78"/>
      <c r="AL511" s="78"/>
      <c r="AM511" s="59"/>
      <c r="AN511" s="61">
        <v>157</v>
      </c>
      <c r="AO511" s="59" t="str">
        <f>IFERROR(((VLOOKUP(Tabla1[[#This Row],[HIPOTESIS_1]],listas!$D$1:$E$105,2,FALSE))),"SIN INFORMACIÓN")</f>
        <v>Otra</v>
      </c>
      <c r="AP511" s="36"/>
      <c r="AQ511" s="36" t="str">
        <f>IFERROR(((VLOOKUP(Tabla1[[#This Row],[HIPOTESIS_2]],listas!$D$1:$E$105,2,FALSE))),"")</f>
        <v/>
      </c>
      <c r="AR511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512" spans="1:44" x14ac:dyDescent="0.25">
      <c r="A512" s="12">
        <v>1089</v>
      </c>
      <c r="B512" s="137">
        <v>1</v>
      </c>
      <c r="C512" s="137">
        <v>0</v>
      </c>
      <c r="D512" s="146">
        <v>0</v>
      </c>
      <c r="E512" s="24" t="str">
        <f t="shared" si="28"/>
        <v>SOLO DAÑO</v>
      </c>
      <c r="F512" s="152" t="s">
        <v>827</v>
      </c>
      <c r="G512" s="30">
        <v>5.3401513585220997</v>
      </c>
      <c r="H512" s="30">
        <v>-72.391459138546495</v>
      </c>
      <c r="I512" s="165" t="s">
        <v>697</v>
      </c>
      <c r="J512" s="36" t="s">
        <v>717</v>
      </c>
      <c r="K512" s="24" t="str">
        <f t="shared" si="29"/>
        <v>2025</v>
      </c>
      <c r="L512" s="24" t="str">
        <f t="shared" si="30"/>
        <v>SEPTIEMBRE</v>
      </c>
      <c r="M512" s="225">
        <v>45919</v>
      </c>
      <c r="N512" s="24" t="str">
        <f t="shared" si="31"/>
        <v>VIERNES</v>
      </c>
      <c r="O512" s="103">
        <v>0.52083333333333337</v>
      </c>
      <c r="P512" s="63" t="s">
        <v>447</v>
      </c>
      <c r="Q512" s="63" t="s">
        <v>469</v>
      </c>
      <c r="R512" s="36">
        <f>COUNTIF(Tabla1[[#This Row],[VEHICULOS_ACCIDENTADOS]:[VEHICULOS_ACCIDENTADOS2]],"MOTOCICLETA")</f>
        <v>1</v>
      </c>
      <c r="S512" s="36">
        <f>COUNTIF(Tabla1[[#This Row],[VEHICULOS_ACCIDENTADOS]:[VEHICULOS_ACCIDENTADOS2]],"MOTOCARRO")</f>
        <v>0</v>
      </c>
      <c r="T512" s="36">
        <f>COUNTIF(Tabla1[[#This Row],[VEHICULOS_ACCIDENTADOS]:[VEHICULOS_ACCIDENTADOS2]],"AUTOMOVIL")</f>
        <v>1</v>
      </c>
      <c r="U512" s="36">
        <f>COUNTIF(Tabla1[[#This Row],[VEHICULOS_ACCIDENTADOS]:[VEHICULOS_ACCIDENTADOS2]],"CAMPERO")</f>
        <v>0</v>
      </c>
      <c r="V512" s="36">
        <f>COUNTIF(Tabla1[[#This Row],[VEHICULOS_ACCIDENTADOS]:[VEHICULOS_ACCIDENTADOS2]],"CAMIONETA")</f>
        <v>0</v>
      </c>
      <c r="W512" s="36">
        <f>COUNTIF(Tabla1[[#This Row],[VEHICULOS_ACCIDENTADOS]:[VEHICULOS_ACCIDENTADOS2]],"MICROBUS")</f>
        <v>0</v>
      </c>
      <c r="X512" s="36">
        <f>COUNTIF(Tabla1[[#This Row],[VEHICULOS_ACCIDENTADOS]:[VEHICULOS_ACCIDENTADOS2]],"BUS")</f>
        <v>0</v>
      </c>
      <c r="Y512" s="36">
        <f>COUNTIF(Tabla1[[#This Row],[VEHICULOS_ACCIDENTADOS]:[VEHICULOS_ACCIDENTADOS2]],"BUSETA")</f>
        <v>0</v>
      </c>
      <c r="Z512" s="36">
        <f>COUNTIF(Tabla1[[#This Row],[VEHICULOS_ACCIDENTADOS]:[VEHICULOS_ACCIDENTADOS2]],"CAMION")</f>
        <v>0</v>
      </c>
      <c r="AA512" s="36">
        <f>COUNTIF(Tabla1[[#This Row],[VEHICULOS_ACCIDENTADOS]:[VEHICULOS_ACCIDENTADOS2]],"TRACTOCAMION")</f>
        <v>0</v>
      </c>
      <c r="AB512" s="36">
        <f>COUNTIF(Tabla1[[#This Row],[VEHICULOS_ACCIDENTADOS]:[VEHICULOS_ACCIDENTADOS2]],"VOLQUETA")</f>
        <v>0</v>
      </c>
      <c r="AC512" s="36">
        <f>COUNTIF(Tabla1[[#This Row],[VEHICULOS_ACCIDENTADOS]:[VEHICULOS_ACCIDENTADOS2]],"BICICLETA")</f>
        <v>0</v>
      </c>
      <c r="AD512" s="188" t="s">
        <v>471</v>
      </c>
      <c r="AE512" s="188" t="s">
        <v>471</v>
      </c>
      <c r="AF512" s="56">
        <f>COUNTIF(Tabla1[[#This Row],[GENERO_MASCULINO]:[GENERO_FEMENINO]],"MASCULINO")</f>
        <v>2</v>
      </c>
      <c r="AG512" s="36">
        <f>COUNTIF(Tabla1[[#This Row],[GENERO_MASCULINO]:[GENERO_FEMENINO]],"FEMENINO")</f>
        <v>0</v>
      </c>
      <c r="AH512" s="85"/>
      <c r="AI512" s="85"/>
      <c r="AJ512" s="85"/>
      <c r="AK512" s="78"/>
      <c r="AL512" s="78"/>
      <c r="AM512" s="59"/>
      <c r="AN512" s="61">
        <v>112</v>
      </c>
      <c r="AO512" s="59" t="str">
        <f>IFERROR(((VLOOKUP(Tabla1[[#This Row],[HIPOTESIS_1]],listas!$D$1:$E$105,2,FALSE))),"SIN INFORMACIÓN")</f>
        <v>Desobedecer señales o normas de tránsito.</v>
      </c>
      <c r="AP512" s="36"/>
      <c r="AQ512" s="36" t="str">
        <f>IFERROR(((VLOOKUP(Tabla1[[#This Row],[HIPOTESIS_2]],listas!$D$1:$E$105,2,FALSE))),"")</f>
        <v/>
      </c>
      <c r="AR512" s="2" t="str">
        <f>IF(HOUR(Tabla1[[#This Row],[HORA_ACCIDENTE]])&lt;6,"MAÑANA",
 IF(HOUR(Tabla1[[#This Row],[HORA_ACCIDENTE]])&lt;12,"MAÑANA",
 IF(HOUR(Tabla1[[#This Row],[HORA_ACCIDENTE]])&lt;18,"TARDE","NOCHE")))</f>
        <v>TARDE</v>
      </c>
    </row>
    <row r="513" spans="1:44" x14ac:dyDescent="0.25">
      <c r="A513" s="12">
        <v>261</v>
      </c>
      <c r="B513" s="36">
        <v>0</v>
      </c>
      <c r="C513" s="36">
        <v>1</v>
      </c>
      <c r="D513" s="60">
        <v>0</v>
      </c>
      <c r="E513" s="18" t="str">
        <f t="shared" si="28"/>
        <v>LESIONADO</v>
      </c>
      <c r="F513" s="29" t="s">
        <v>829</v>
      </c>
      <c r="G513" s="17">
        <v>5.3336716666666666</v>
      </c>
      <c r="H513" s="17">
        <v>-72.400023333333337</v>
      </c>
      <c r="I513" s="93" t="s">
        <v>697</v>
      </c>
      <c r="J513" s="36" t="s">
        <v>717</v>
      </c>
      <c r="K513" s="24" t="str">
        <f t="shared" si="29"/>
        <v>2022</v>
      </c>
      <c r="L513" s="24" t="str">
        <f t="shared" si="30"/>
        <v>JULIO</v>
      </c>
      <c r="M513" s="225">
        <v>44769</v>
      </c>
      <c r="N513" s="24" t="str">
        <f t="shared" si="31"/>
        <v>MIÉRCOLES</v>
      </c>
      <c r="O513" s="170">
        <v>0.82638888888888895</v>
      </c>
      <c r="P513" s="53" t="s">
        <v>469</v>
      </c>
      <c r="Q513" s="53" t="s">
        <v>447</v>
      </c>
      <c r="R513" s="36">
        <f>COUNTIF(Tabla1[[#This Row],[VEHICULOS_ACCIDENTADOS]:[VEHICULOS_ACCIDENTADOS2]],"MOTOCICLETA")</f>
        <v>1</v>
      </c>
      <c r="S513" s="36">
        <f>COUNTIF(Tabla1[[#This Row],[VEHICULOS_ACCIDENTADOS]:[VEHICULOS_ACCIDENTADOS2]],"MOTOCARRO")</f>
        <v>0</v>
      </c>
      <c r="T513" s="36">
        <f>COUNTIF(Tabla1[[#This Row],[VEHICULOS_ACCIDENTADOS]:[VEHICULOS_ACCIDENTADOS2]],"AUTOMOVIL")</f>
        <v>1</v>
      </c>
      <c r="U513" s="36">
        <f>COUNTIF(Tabla1[[#This Row],[VEHICULOS_ACCIDENTADOS]:[VEHICULOS_ACCIDENTADOS2]],"CAMPERO")</f>
        <v>0</v>
      </c>
      <c r="V513" s="36">
        <f>COUNTIF(Tabla1[[#This Row],[VEHICULOS_ACCIDENTADOS]:[VEHICULOS_ACCIDENTADOS2]],"CAMIONETA")</f>
        <v>0</v>
      </c>
      <c r="W513" s="36">
        <f>COUNTIF(Tabla1[[#This Row],[VEHICULOS_ACCIDENTADOS]:[VEHICULOS_ACCIDENTADOS2]],"MICROBUS")</f>
        <v>0</v>
      </c>
      <c r="X513" s="36">
        <f>COUNTIF(Tabla1[[#This Row],[VEHICULOS_ACCIDENTADOS]:[VEHICULOS_ACCIDENTADOS2]],"BUS")</f>
        <v>0</v>
      </c>
      <c r="Y513" s="36">
        <f>COUNTIF(Tabla1[[#This Row],[VEHICULOS_ACCIDENTADOS]:[VEHICULOS_ACCIDENTADOS2]],"BUSETA")</f>
        <v>0</v>
      </c>
      <c r="Z513" s="36">
        <f>COUNTIF(Tabla1[[#This Row],[VEHICULOS_ACCIDENTADOS]:[VEHICULOS_ACCIDENTADOS2]],"CAMION")</f>
        <v>0</v>
      </c>
      <c r="AA513" s="36">
        <f>COUNTIF(Tabla1[[#This Row],[VEHICULOS_ACCIDENTADOS]:[VEHICULOS_ACCIDENTADOS2]],"TRACTOCAMION")</f>
        <v>0</v>
      </c>
      <c r="AB513" s="36">
        <f>COUNTIF(Tabla1[[#This Row],[VEHICULOS_ACCIDENTADOS]:[VEHICULOS_ACCIDENTADOS2]],"VOLQUETA")</f>
        <v>0</v>
      </c>
      <c r="AC513" s="36">
        <f>COUNTIF(Tabla1[[#This Row],[VEHICULOS_ACCIDENTADOS]:[VEHICULOS_ACCIDENTADOS2]],"BICICLETA")</f>
        <v>0</v>
      </c>
      <c r="AD513" s="56"/>
      <c r="AE513" s="56" t="s">
        <v>472</v>
      </c>
      <c r="AF513" s="56">
        <f>COUNTIF(Tabla1[[#This Row],[GENERO_MASCULINO]:[GENERO_FEMENINO]],"MASCULINO")</f>
        <v>0</v>
      </c>
      <c r="AG513" s="36">
        <f>COUNTIF(Tabla1[[#This Row],[GENERO_MASCULINO]:[GENERO_FEMENINO]],"FEMENINO")</f>
        <v>1</v>
      </c>
      <c r="AH513" s="61">
        <v>37</v>
      </c>
      <c r="AI513" s="61"/>
      <c r="AJ513" s="61"/>
      <c r="AK513" s="61"/>
      <c r="AL513" s="61"/>
      <c r="AM513" s="36"/>
      <c r="AN513" s="61">
        <v>121</v>
      </c>
      <c r="AO513" s="36" t="str">
        <f>IFERROR(((VLOOKUP(Tabla1[[#This Row],[HIPOTESIS_1]],listas!$D$1:$E$105,2,FALSE))),"SIN INFORMACIÓN")</f>
        <v>No mantener distancia de seguridad.</v>
      </c>
      <c r="AP513" s="36"/>
      <c r="AQ513" s="36" t="str">
        <f>IFERROR(((VLOOKUP(Tabla1[[#This Row],[HIPOTESIS_2]],listas!$D$1:$E$105,2,FALSE))),"")</f>
        <v/>
      </c>
      <c r="AR513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514" spans="1:44" x14ac:dyDescent="0.25">
      <c r="A514" s="12">
        <v>10</v>
      </c>
      <c r="B514" s="36">
        <v>1</v>
      </c>
      <c r="C514" s="36">
        <v>0</v>
      </c>
      <c r="D514" s="60">
        <v>0</v>
      </c>
      <c r="E514" s="18" t="str">
        <f t="shared" ref="E514:E577" si="32">IF(D514&gt;=1,"FALLECIDO",IF(C514&gt;=1,"LESIONADO",IF(B514&gt;=1,"SOLO DAÑO","")))</f>
        <v>SOLO DAÑO</v>
      </c>
      <c r="F514" s="29" t="s">
        <v>830</v>
      </c>
      <c r="G514" s="17">
        <v>5.3344166666666668</v>
      </c>
      <c r="H514" s="17">
        <v>-72.397088888888902</v>
      </c>
      <c r="I514" s="93" t="s">
        <v>697</v>
      </c>
      <c r="J514" s="36" t="s">
        <v>717</v>
      </c>
      <c r="K514" s="24" t="str">
        <f t="shared" ref="K514:K577" si="33">UPPER(TEXT(M514,"YYYY"))</f>
        <v>2022</v>
      </c>
      <c r="L514" s="24" t="str">
        <f t="shared" ref="L514:L577" si="34">UPPER(TEXT(M514,"MMMM"))</f>
        <v>ENERO</v>
      </c>
      <c r="M514" s="225">
        <v>44578</v>
      </c>
      <c r="N514" s="24" t="str">
        <f t="shared" ref="N514:N577" si="35">UPPER(TEXT(M514,"DDDD"))</f>
        <v>LUNES</v>
      </c>
      <c r="O514" s="103">
        <v>0.34722222222222199</v>
      </c>
      <c r="P514" s="63" t="s">
        <v>447</v>
      </c>
      <c r="Q514" s="63" t="s">
        <v>444</v>
      </c>
      <c r="R514" s="36">
        <f>COUNTIF(Tabla1[[#This Row],[VEHICULOS_ACCIDENTADOS]:[VEHICULOS_ACCIDENTADOS2]],"MOTOCICLETA")</f>
        <v>0</v>
      </c>
      <c r="S514" s="36">
        <f>COUNTIF(Tabla1[[#This Row],[VEHICULOS_ACCIDENTADOS]:[VEHICULOS_ACCIDENTADOS2]],"MOTOCARRO")</f>
        <v>0</v>
      </c>
      <c r="T514" s="36">
        <f>COUNTIF(Tabla1[[#This Row],[VEHICULOS_ACCIDENTADOS]:[VEHICULOS_ACCIDENTADOS2]],"AUTOMOVIL")</f>
        <v>1</v>
      </c>
      <c r="U514" s="36">
        <f>COUNTIF(Tabla1[[#This Row],[VEHICULOS_ACCIDENTADOS]:[VEHICULOS_ACCIDENTADOS2]],"CAMPERO")</f>
        <v>0</v>
      </c>
      <c r="V514" s="36">
        <f>COUNTIF(Tabla1[[#This Row],[VEHICULOS_ACCIDENTADOS]:[VEHICULOS_ACCIDENTADOS2]],"CAMIONETA")</f>
        <v>0</v>
      </c>
      <c r="W514" s="36">
        <f>COUNTIF(Tabla1[[#This Row],[VEHICULOS_ACCIDENTADOS]:[VEHICULOS_ACCIDENTADOS2]],"MICROBUS")</f>
        <v>1</v>
      </c>
      <c r="X514" s="36">
        <f>COUNTIF(Tabla1[[#This Row],[VEHICULOS_ACCIDENTADOS]:[VEHICULOS_ACCIDENTADOS2]],"BUS")</f>
        <v>0</v>
      </c>
      <c r="Y514" s="36">
        <f>COUNTIF(Tabla1[[#This Row],[VEHICULOS_ACCIDENTADOS]:[VEHICULOS_ACCIDENTADOS2]],"BUSETA")</f>
        <v>0</v>
      </c>
      <c r="Z514" s="36">
        <f>COUNTIF(Tabla1[[#This Row],[VEHICULOS_ACCIDENTADOS]:[VEHICULOS_ACCIDENTADOS2]],"CAMION")</f>
        <v>0</v>
      </c>
      <c r="AA514" s="36">
        <f>COUNTIF(Tabla1[[#This Row],[VEHICULOS_ACCIDENTADOS]:[VEHICULOS_ACCIDENTADOS2]],"TRACTOCAMION")</f>
        <v>0</v>
      </c>
      <c r="AB514" s="36">
        <f>COUNTIF(Tabla1[[#This Row],[VEHICULOS_ACCIDENTADOS]:[VEHICULOS_ACCIDENTADOS2]],"VOLQUETA")</f>
        <v>0</v>
      </c>
      <c r="AC514" s="36">
        <f>COUNTIF(Tabla1[[#This Row],[VEHICULOS_ACCIDENTADOS]:[VEHICULOS_ACCIDENTADOS2]],"BICICLETA")</f>
        <v>0</v>
      </c>
      <c r="AD514" s="56" t="s">
        <v>471</v>
      </c>
      <c r="AE514" s="56"/>
      <c r="AF514" s="56">
        <f>COUNTIF(Tabla1[[#This Row],[GENERO_MASCULINO]:[GENERO_FEMENINO]],"MASCULINO")</f>
        <v>1</v>
      </c>
      <c r="AG514" s="36">
        <f>COUNTIF(Tabla1[[#This Row],[GENERO_MASCULINO]:[GENERO_FEMENINO]],"FEMENINO")</f>
        <v>0</v>
      </c>
      <c r="AH514" s="61"/>
      <c r="AI514" s="61"/>
      <c r="AJ514" s="61"/>
      <c r="AK514" s="61"/>
      <c r="AL514" s="61"/>
      <c r="AM514" s="36"/>
      <c r="AN514" s="61">
        <v>121</v>
      </c>
      <c r="AO514" s="36" t="str">
        <f>IFERROR(((VLOOKUP(Tabla1[[#This Row],[HIPOTESIS_1]],listas!$D$1:$E$105,2,FALSE))),"SIN INFORMACIÓN")</f>
        <v>No mantener distancia de seguridad.</v>
      </c>
      <c r="AP514" s="36"/>
      <c r="AQ514" s="36" t="str">
        <f>IFERROR(((VLOOKUP(Tabla1[[#This Row],[HIPOTESIS_2]],listas!$D$1:$E$105,2,FALSE))),"")</f>
        <v/>
      </c>
      <c r="AR514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515" spans="1:44" x14ac:dyDescent="0.25">
      <c r="A515" s="12">
        <v>233</v>
      </c>
      <c r="B515" s="36">
        <v>1</v>
      </c>
      <c r="C515" s="36">
        <v>0</v>
      </c>
      <c r="D515" s="60">
        <v>0</v>
      </c>
      <c r="E515" s="18" t="str">
        <f t="shared" si="32"/>
        <v>SOLO DAÑO</v>
      </c>
      <c r="F515" s="29" t="s">
        <v>831</v>
      </c>
      <c r="G515" s="17">
        <v>5.3348605555555553</v>
      </c>
      <c r="H515" s="17">
        <v>-72.395720833333343</v>
      </c>
      <c r="I515" s="93" t="s">
        <v>697</v>
      </c>
      <c r="J515" s="36" t="s">
        <v>717</v>
      </c>
      <c r="K515" s="24" t="str">
        <f t="shared" si="33"/>
        <v>2022</v>
      </c>
      <c r="L515" s="24" t="str">
        <f t="shared" si="34"/>
        <v>JUNIO</v>
      </c>
      <c r="M515" s="225">
        <v>44737</v>
      </c>
      <c r="N515" s="24" t="str">
        <f t="shared" si="35"/>
        <v>SÁBADO</v>
      </c>
      <c r="O515" s="170">
        <v>0.52083333333333337</v>
      </c>
      <c r="P515" s="53" t="s">
        <v>447</v>
      </c>
      <c r="Q515" s="53" t="s">
        <v>441</v>
      </c>
      <c r="R515" s="36">
        <f>COUNTIF(Tabla1[[#This Row],[VEHICULOS_ACCIDENTADOS]:[VEHICULOS_ACCIDENTADOS2]],"MOTOCICLETA")</f>
        <v>0</v>
      </c>
      <c r="S515" s="36">
        <f>COUNTIF(Tabla1[[#This Row],[VEHICULOS_ACCIDENTADOS]:[VEHICULOS_ACCIDENTADOS2]],"MOTOCARRO")</f>
        <v>0</v>
      </c>
      <c r="T515" s="36">
        <f>COUNTIF(Tabla1[[#This Row],[VEHICULOS_ACCIDENTADOS]:[VEHICULOS_ACCIDENTADOS2]],"AUTOMOVIL")</f>
        <v>1</v>
      </c>
      <c r="U515" s="36">
        <f>COUNTIF(Tabla1[[#This Row],[VEHICULOS_ACCIDENTADOS]:[VEHICULOS_ACCIDENTADOS2]],"CAMPERO")</f>
        <v>0</v>
      </c>
      <c r="V515" s="36">
        <f>COUNTIF(Tabla1[[#This Row],[VEHICULOS_ACCIDENTADOS]:[VEHICULOS_ACCIDENTADOS2]],"CAMIONETA")</f>
        <v>0</v>
      </c>
      <c r="W515" s="36">
        <f>COUNTIF(Tabla1[[#This Row],[VEHICULOS_ACCIDENTADOS]:[VEHICULOS_ACCIDENTADOS2]],"MICROBUS")</f>
        <v>0</v>
      </c>
      <c r="X515" s="36">
        <f>COUNTIF(Tabla1[[#This Row],[VEHICULOS_ACCIDENTADOS]:[VEHICULOS_ACCIDENTADOS2]],"BUS")</f>
        <v>0</v>
      </c>
      <c r="Y515" s="36">
        <f>COUNTIF(Tabla1[[#This Row],[VEHICULOS_ACCIDENTADOS]:[VEHICULOS_ACCIDENTADOS2]],"BUSETA")</f>
        <v>0</v>
      </c>
      <c r="Z515" s="36">
        <f>COUNTIF(Tabla1[[#This Row],[VEHICULOS_ACCIDENTADOS]:[VEHICULOS_ACCIDENTADOS2]],"CAMION")</f>
        <v>1</v>
      </c>
      <c r="AA515" s="36">
        <f>COUNTIF(Tabla1[[#This Row],[VEHICULOS_ACCIDENTADOS]:[VEHICULOS_ACCIDENTADOS2]],"TRACTOCAMION")</f>
        <v>0</v>
      </c>
      <c r="AB515" s="36">
        <f>COUNTIF(Tabla1[[#This Row],[VEHICULOS_ACCIDENTADOS]:[VEHICULOS_ACCIDENTADOS2]],"VOLQUETA")</f>
        <v>0</v>
      </c>
      <c r="AC515" s="36">
        <f>COUNTIF(Tabla1[[#This Row],[VEHICULOS_ACCIDENTADOS]:[VEHICULOS_ACCIDENTADOS2]],"BICICLETA")</f>
        <v>0</v>
      </c>
      <c r="AD515" s="56" t="s">
        <v>471</v>
      </c>
      <c r="AE515" s="56"/>
      <c r="AF515" s="56">
        <f>COUNTIF(Tabla1[[#This Row],[GENERO_MASCULINO]:[GENERO_FEMENINO]],"MASCULINO")</f>
        <v>1</v>
      </c>
      <c r="AG515" s="36">
        <f>COUNTIF(Tabla1[[#This Row],[GENERO_MASCULINO]:[GENERO_FEMENINO]],"FEMENINO")</f>
        <v>0</v>
      </c>
      <c r="AH515" s="61"/>
      <c r="AI515" s="61"/>
      <c r="AJ515" s="61"/>
      <c r="AK515" s="61"/>
      <c r="AL515" s="61"/>
      <c r="AM515" s="36"/>
      <c r="AN515" s="61">
        <v>157</v>
      </c>
      <c r="AO515" s="36" t="str">
        <f>IFERROR(((VLOOKUP(Tabla1[[#This Row],[HIPOTESIS_1]],listas!$D$1:$E$105,2,FALSE))),"SIN INFORMACIÓN")</f>
        <v>Otra</v>
      </c>
      <c r="AP515" s="36"/>
      <c r="AQ515" s="36" t="str">
        <f>IFERROR(((VLOOKUP(Tabla1[[#This Row],[HIPOTESIS_2]],listas!$D$1:$E$105,2,FALSE))),"")</f>
        <v/>
      </c>
      <c r="AR515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516" spans="1:44" x14ac:dyDescent="0.25">
      <c r="A516" s="12">
        <v>29</v>
      </c>
      <c r="B516" s="36">
        <v>1</v>
      </c>
      <c r="C516" s="36">
        <v>0</v>
      </c>
      <c r="D516" s="60">
        <v>0</v>
      </c>
      <c r="E516" s="18" t="str">
        <f t="shared" si="32"/>
        <v>SOLO DAÑO</v>
      </c>
      <c r="F516" s="29" t="s">
        <v>832</v>
      </c>
      <c r="G516" s="17">
        <v>5.3350833333333334</v>
      </c>
      <c r="H516" s="17">
        <v>-72.395113888888901</v>
      </c>
      <c r="I516" s="93" t="s">
        <v>697</v>
      </c>
      <c r="J516" s="36" t="s">
        <v>717</v>
      </c>
      <c r="K516" s="24" t="str">
        <f t="shared" si="33"/>
        <v>2022</v>
      </c>
      <c r="L516" s="24" t="str">
        <f t="shared" si="34"/>
        <v>ENERO</v>
      </c>
      <c r="M516" s="225">
        <v>44589</v>
      </c>
      <c r="N516" s="24" t="str">
        <f t="shared" si="35"/>
        <v>VIERNES</v>
      </c>
      <c r="O516" s="103">
        <v>0.47916666666666702</v>
      </c>
      <c r="P516" s="63" t="s">
        <v>445</v>
      </c>
      <c r="Q516" s="63" t="s">
        <v>441</v>
      </c>
      <c r="R516" s="36">
        <f>COUNTIF(Tabla1[[#This Row],[VEHICULOS_ACCIDENTADOS]:[VEHICULOS_ACCIDENTADOS2]],"MOTOCICLETA")</f>
        <v>0</v>
      </c>
      <c r="S516" s="36">
        <f>COUNTIF(Tabla1[[#This Row],[VEHICULOS_ACCIDENTADOS]:[VEHICULOS_ACCIDENTADOS2]],"MOTOCARRO")</f>
        <v>0</v>
      </c>
      <c r="T516" s="36">
        <f>COUNTIF(Tabla1[[#This Row],[VEHICULOS_ACCIDENTADOS]:[VEHICULOS_ACCIDENTADOS2]],"AUTOMOVIL")</f>
        <v>0</v>
      </c>
      <c r="U516" s="36">
        <f>COUNTIF(Tabla1[[#This Row],[VEHICULOS_ACCIDENTADOS]:[VEHICULOS_ACCIDENTADOS2]],"CAMPERO")</f>
        <v>0</v>
      </c>
      <c r="V516" s="36">
        <f>COUNTIF(Tabla1[[#This Row],[VEHICULOS_ACCIDENTADOS]:[VEHICULOS_ACCIDENTADOS2]],"CAMIONETA")</f>
        <v>1</v>
      </c>
      <c r="W516" s="36">
        <f>COUNTIF(Tabla1[[#This Row],[VEHICULOS_ACCIDENTADOS]:[VEHICULOS_ACCIDENTADOS2]],"MICROBUS")</f>
        <v>0</v>
      </c>
      <c r="X516" s="36">
        <f>COUNTIF(Tabla1[[#This Row],[VEHICULOS_ACCIDENTADOS]:[VEHICULOS_ACCIDENTADOS2]],"BUS")</f>
        <v>0</v>
      </c>
      <c r="Y516" s="36">
        <f>COUNTIF(Tabla1[[#This Row],[VEHICULOS_ACCIDENTADOS]:[VEHICULOS_ACCIDENTADOS2]],"BUSETA")</f>
        <v>0</v>
      </c>
      <c r="Z516" s="36">
        <f>COUNTIF(Tabla1[[#This Row],[VEHICULOS_ACCIDENTADOS]:[VEHICULOS_ACCIDENTADOS2]],"CAMION")</f>
        <v>1</v>
      </c>
      <c r="AA516" s="36">
        <f>COUNTIF(Tabla1[[#This Row],[VEHICULOS_ACCIDENTADOS]:[VEHICULOS_ACCIDENTADOS2]],"TRACTOCAMION")</f>
        <v>0</v>
      </c>
      <c r="AB516" s="36">
        <f>COUNTIF(Tabla1[[#This Row],[VEHICULOS_ACCIDENTADOS]:[VEHICULOS_ACCIDENTADOS2]],"VOLQUETA")</f>
        <v>0</v>
      </c>
      <c r="AC516" s="36">
        <f>COUNTIF(Tabla1[[#This Row],[VEHICULOS_ACCIDENTADOS]:[VEHICULOS_ACCIDENTADOS2]],"BICICLETA")</f>
        <v>0</v>
      </c>
      <c r="AD516" s="56" t="s">
        <v>471</v>
      </c>
      <c r="AE516" s="56"/>
      <c r="AF516" s="56">
        <f>COUNTIF(Tabla1[[#This Row],[GENERO_MASCULINO]:[GENERO_FEMENINO]],"MASCULINO")</f>
        <v>1</v>
      </c>
      <c r="AG516" s="36">
        <f>COUNTIF(Tabla1[[#This Row],[GENERO_MASCULINO]:[GENERO_FEMENINO]],"FEMENINO")</f>
        <v>0</v>
      </c>
      <c r="AH516" s="61"/>
      <c r="AI516" s="61"/>
      <c r="AJ516" s="61"/>
      <c r="AK516" s="61"/>
      <c r="AL516" s="61"/>
      <c r="AM516" s="36"/>
      <c r="AN516" s="61">
        <v>103</v>
      </c>
      <c r="AO516" s="36" t="str">
        <f>IFERROR(((VLOOKUP(Tabla1[[#This Row],[HIPOTESIS_1]],listas!$D$1:$E$105,2,FALSE))),"SIN INFORMACIÓN")</f>
        <v>Adelantar cerrando.</v>
      </c>
      <c r="AP516" s="36"/>
      <c r="AQ516" s="36" t="str">
        <f>IFERROR(((VLOOKUP(Tabla1[[#This Row],[HIPOTESIS_2]],listas!$D$1:$E$105,2,FALSE))),"")</f>
        <v/>
      </c>
      <c r="AR516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517" spans="1:44" x14ac:dyDescent="0.25">
      <c r="A517" s="12">
        <v>217</v>
      </c>
      <c r="B517" s="36">
        <v>1</v>
      </c>
      <c r="C517" s="36">
        <v>0</v>
      </c>
      <c r="D517" s="60">
        <v>0</v>
      </c>
      <c r="E517" s="18" t="str">
        <f t="shared" si="32"/>
        <v>SOLO DAÑO</v>
      </c>
      <c r="F517" s="29" t="s">
        <v>833</v>
      </c>
      <c r="G517" s="17">
        <v>5.3350472222222223</v>
      </c>
      <c r="H517" s="17">
        <v>-72.395455555555557</v>
      </c>
      <c r="I517" s="93" t="s">
        <v>697</v>
      </c>
      <c r="J517" s="36" t="s">
        <v>717</v>
      </c>
      <c r="K517" s="24" t="str">
        <f t="shared" si="33"/>
        <v>2022</v>
      </c>
      <c r="L517" s="24" t="str">
        <f t="shared" si="34"/>
        <v>JUNIO</v>
      </c>
      <c r="M517" s="225">
        <v>44725</v>
      </c>
      <c r="N517" s="24" t="str">
        <f t="shared" si="35"/>
        <v>LUNES</v>
      </c>
      <c r="O517" s="170">
        <v>0.69791666666666663</v>
      </c>
      <c r="P517" s="53" t="s">
        <v>447</v>
      </c>
      <c r="Q517" s="53" t="s">
        <v>444</v>
      </c>
      <c r="R517" s="36">
        <f>COUNTIF(Tabla1[[#This Row],[VEHICULOS_ACCIDENTADOS]:[VEHICULOS_ACCIDENTADOS2]],"MOTOCICLETA")</f>
        <v>0</v>
      </c>
      <c r="S517" s="36">
        <f>COUNTIF(Tabla1[[#This Row],[VEHICULOS_ACCIDENTADOS]:[VEHICULOS_ACCIDENTADOS2]],"MOTOCARRO")</f>
        <v>0</v>
      </c>
      <c r="T517" s="36">
        <f>COUNTIF(Tabla1[[#This Row],[VEHICULOS_ACCIDENTADOS]:[VEHICULOS_ACCIDENTADOS2]],"AUTOMOVIL")</f>
        <v>1</v>
      </c>
      <c r="U517" s="36">
        <f>COUNTIF(Tabla1[[#This Row],[VEHICULOS_ACCIDENTADOS]:[VEHICULOS_ACCIDENTADOS2]],"CAMPERO")</f>
        <v>0</v>
      </c>
      <c r="V517" s="36">
        <f>COUNTIF(Tabla1[[#This Row],[VEHICULOS_ACCIDENTADOS]:[VEHICULOS_ACCIDENTADOS2]],"CAMIONETA")</f>
        <v>0</v>
      </c>
      <c r="W517" s="36">
        <f>COUNTIF(Tabla1[[#This Row],[VEHICULOS_ACCIDENTADOS]:[VEHICULOS_ACCIDENTADOS2]],"MICROBUS")</f>
        <v>1</v>
      </c>
      <c r="X517" s="36">
        <f>COUNTIF(Tabla1[[#This Row],[VEHICULOS_ACCIDENTADOS]:[VEHICULOS_ACCIDENTADOS2]],"BUS")</f>
        <v>0</v>
      </c>
      <c r="Y517" s="36">
        <f>COUNTIF(Tabla1[[#This Row],[VEHICULOS_ACCIDENTADOS]:[VEHICULOS_ACCIDENTADOS2]],"BUSETA")</f>
        <v>0</v>
      </c>
      <c r="Z517" s="36">
        <f>COUNTIF(Tabla1[[#This Row],[VEHICULOS_ACCIDENTADOS]:[VEHICULOS_ACCIDENTADOS2]],"CAMION")</f>
        <v>0</v>
      </c>
      <c r="AA517" s="36">
        <f>COUNTIF(Tabla1[[#This Row],[VEHICULOS_ACCIDENTADOS]:[VEHICULOS_ACCIDENTADOS2]],"TRACTOCAMION")</f>
        <v>0</v>
      </c>
      <c r="AB517" s="36">
        <f>COUNTIF(Tabla1[[#This Row],[VEHICULOS_ACCIDENTADOS]:[VEHICULOS_ACCIDENTADOS2]],"VOLQUETA")</f>
        <v>0</v>
      </c>
      <c r="AC517" s="36">
        <f>COUNTIF(Tabla1[[#This Row],[VEHICULOS_ACCIDENTADOS]:[VEHICULOS_ACCIDENTADOS2]],"BICICLETA")</f>
        <v>0</v>
      </c>
      <c r="AD517" s="56" t="s">
        <v>471</v>
      </c>
      <c r="AE517" s="56"/>
      <c r="AF517" s="56">
        <f>COUNTIF(Tabla1[[#This Row],[GENERO_MASCULINO]:[GENERO_FEMENINO]],"MASCULINO")</f>
        <v>1</v>
      </c>
      <c r="AG517" s="36">
        <f>COUNTIF(Tabla1[[#This Row],[GENERO_MASCULINO]:[GENERO_FEMENINO]],"FEMENINO")</f>
        <v>0</v>
      </c>
      <c r="AH517" s="61"/>
      <c r="AI517" s="61"/>
      <c r="AJ517" s="61"/>
      <c r="AK517" s="61"/>
      <c r="AL517" s="61"/>
      <c r="AM517" s="36"/>
      <c r="AN517" s="61">
        <v>145</v>
      </c>
      <c r="AO517" s="36" t="str">
        <f>IFERROR(((VLOOKUP(Tabla1[[#This Row],[HIPOTESIS_1]],listas!$D$1:$E$105,2,FALSE))),"SIN INFORMACIÓN")</f>
        <v>Arrancar sin precaución.</v>
      </c>
      <c r="AP517" s="36"/>
      <c r="AQ517" s="36" t="str">
        <f>IFERROR(((VLOOKUP(Tabla1[[#This Row],[HIPOTESIS_2]],listas!$D$1:$E$105,2,FALSE))),"")</f>
        <v/>
      </c>
      <c r="AR517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518" spans="1:44" x14ac:dyDescent="0.25">
      <c r="A518" s="12">
        <v>566</v>
      </c>
      <c r="B518" s="36">
        <v>0</v>
      </c>
      <c r="C518" s="36">
        <v>1</v>
      </c>
      <c r="D518" s="60">
        <v>0</v>
      </c>
      <c r="E518" s="18" t="str">
        <f t="shared" si="32"/>
        <v>LESIONADO</v>
      </c>
      <c r="F518" s="29" t="s">
        <v>834</v>
      </c>
      <c r="G518" s="21">
        <v>5.335334722222222</v>
      </c>
      <c r="H518" s="21">
        <v>-72.394545000000008</v>
      </c>
      <c r="I518" s="93" t="s">
        <v>697</v>
      </c>
      <c r="J518" s="36" t="s">
        <v>717</v>
      </c>
      <c r="K518" s="24" t="str">
        <f t="shared" si="33"/>
        <v>2023</v>
      </c>
      <c r="L518" s="24" t="str">
        <f t="shared" si="34"/>
        <v>SEPTIEMBRE</v>
      </c>
      <c r="M518" s="225">
        <v>45198</v>
      </c>
      <c r="N518" s="24" t="str">
        <f t="shared" si="35"/>
        <v>VIERNES</v>
      </c>
      <c r="O518" s="103">
        <v>0.88194444444444453</v>
      </c>
      <c r="P518" s="57" t="s">
        <v>469</v>
      </c>
      <c r="Q518" s="57" t="s">
        <v>438</v>
      </c>
      <c r="R518" s="36">
        <f>COUNTIF(Tabla1[[#This Row],[VEHICULOS_ACCIDENTADOS]:[VEHICULOS_ACCIDENTADOS2]],"MOTOCICLETA")</f>
        <v>1</v>
      </c>
      <c r="S518" s="36">
        <f>COUNTIF(Tabla1[[#This Row],[VEHICULOS_ACCIDENTADOS]:[VEHICULOS_ACCIDENTADOS2]],"MOTOCARRO")</f>
        <v>0</v>
      </c>
      <c r="T518" s="36">
        <f>COUNTIF(Tabla1[[#This Row],[VEHICULOS_ACCIDENTADOS]:[VEHICULOS_ACCIDENTADOS2]],"AUTOMOVIL")</f>
        <v>0</v>
      </c>
      <c r="U518" s="36">
        <f>COUNTIF(Tabla1[[#This Row],[VEHICULOS_ACCIDENTADOS]:[VEHICULOS_ACCIDENTADOS2]],"CAMPERO")</f>
        <v>0</v>
      </c>
      <c r="V518" s="36">
        <f>COUNTIF(Tabla1[[#This Row],[VEHICULOS_ACCIDENTADOS]:[VEHICULOS_ACCIDENTADOS2]],"CAMIONETA")</f>
        <v>0</v>
      </c>
      <c r="W518" s="36">
        <f>COUNTIF(Tabla1[[#This Row],[VEHICULOS_ACCIDENTADOS]:[VEHICULOS_ACCIDENTADOS2]],"MICROBUS")</f>
        <v>0</v>
      </c>
      <c r="X518" s="36">
        <f>COUNTIF(Tabla1[[#This Row],[VEHICULOS_ACCIDENTADOS]:[VEHICULOS_ACCIDENTADOS2]],"BUS")</f>
        <v>0</v>
      </c>
      <c r="Y518" s="36">
        <f>COUNTIF(Tabla1[[#This Row],[VEHICULOS_ACCIDENTADOS]:[VEHICULOS_ACCIDENTADOS2]],"BUSETA")</f>
        <v>0</v>
      </c>
      <c r="Z518" s="36">
        <f>COUNTIF(Tabla1[[#This Row],[VEHICULOS_ACCIDENTADOS]:[VEHICULOS_ACCIDENTADOS2]],"CAMION")</f>
        <v>0</v>
      </c>
      <c r="AA518" s="36">
        <f>COUNTIF(Tabla1[[#This Row],[VEHICULOS_ACCIDENTADOS]:[VEHICULOS_ACCIDENTADOS2]],"TRACTOCAMION")</f>
        <v>0</v>
      </c>
      <c r="AB518" s="36">
        <f>COUNTIF(Tabla1[[#This Row],[VEHICULOS_ACCIDENTADOS]:[VEHICULOS_ACCIDENTADOS2]],"VOLQUETA")</f>
        <v>0</v>
      </c>
      <c r="AC518" s="36">
        <f>COUNTIF(Tabla1[[#This Row],[VEHICULOS_ACCIDENTADOS]:[VEHICULOS_ACCIDENTADOS2]],"BICICLETA")</f>
        <v>1</v>
      </c>
      <c r="AD518" s="56" t="s">
        <v>471</v>
      </c>
      <c r="AE518" s="56"/>
      <c r="AF518" s="56">
        <f>COUNTIF(Tabla1[[#This Row],[GENERO_MASCULINO]:[GENERO_FEMENINO]],"MASCULINO")</f>
        <v>1</v>
      </c>
      <c r="AG518" s="36">
        <f>COUNTIF(Tabla1[[#This Row],[GENERO_MASCULINO]:[GENERO_FEMENINO]],"FEMENINO")</f>
        <v>0</v>
      </c>
      <c r="AH518" s="61">
        <v>50</v>
      </c>
      <c r="AI518" s="61"/>
      <c r="AJ518" s="61"/>
      <c r="AK518" s="61"/>
      <c r="AL518" s="61"/>
      <c r="AM518" s="36"/>
      <c r="AN518" s="61">
        <v>139</v>
      </c>
      <c r="AO518" s="36" t="str">
        <f>IFERROR(((VLOOKUP(Tabla1[[#This Row],[HIPOTESIS_1]],listas!$D$1:$E$105,2,FALSE))),"SIN INFORMACIÓN")</f>
        <v>Impericia en el manejo.</v>
      </c>
      <c r="AP518" s="36"/>
      <c r="AQ518" s="36" t="str">
        <f>IFERROR(((VLOOKUP(Tabla1[[#This Row],[HIPOTESIS_2]],listas!$D$1:$E$105,2,FALSE))),"")</f>
        <v/>
      </c>
      <c r="AR518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519" spans="1:44" x14ac:dyDescent="0.25">
      <c r="A519" s="12">
        <v>190</v>
      </c>
      <c r="B519" s="36">
        <v>1</v>
      </c>
      <c r="C519" s="36">
        <v>0</v>
      </c>
      <c r="D519" s="60">
        <v>0</v>
      </c>
      <c r="E519" s="18" t="str">
        <f t="shared" si="32"/>
        <v>SOLO DAÑO</v>
      </c>
      <c r="F519" s="29" t="s">
        <v>835</v>
      </c>
      <c r="G519" s="17">
        <v>5.3371277777777779</v>
      </c>
      <c r="H519" s="17">
        <v>-72.391444444444446</v>
      </c>
      <c r="I519" s="93" t="s">
        <v>697</v>
      </c>
      <c r="J519" s="36" t="s">
        <v>717</v>
      </c>
      <c r="K519" s="24" t="str">
        <f t="shared" si="33"/>
        <v>2022</v>
      </c>
      <c r="L519" s="24" t="str">
        <f t="shared" si="34"/>
        <v>MAYO</v>
      </c>
      <c r="M519" s="225">
        <v>44702</v>
      </c>
      <c r="N519" s="24" t="str">
        <f t="shared" si="35"/>
        <v>SÁBADO</v>
      </c>
      <c r="O519" s="170">
        <v>0.70833333333333304</v>
      </c>
      <c r="P519" s="53" t="s">
        <v>447</v>
      </c>
      <c r="Q519" s="53" t="s">
        <v>445</v>
      </c>
      <c r="R519" s="36">
        <f>COUNTIF(Tabla1[[#This Row],[VEHICULOS_ACCIDENTADOS]:[VEHICULOS_ACCIDENTADOS2]],"MOTOCICLETA")</f>
        <v>0</v>
      </c>
      <c r="S519" s="36">
        <f>COUNTIF(Tabla1[[#This Row],[VEHICULOS_ACCIDENTADOS]:[VEHICULOS_ACCIDENTADOS2]],"MOTOCARRO")</f>
        <v>0</v>
      </c>
      <c r="T519" s="36">
        <f>COUNTIF(Tabla1[[#This Row],[VEHICULOS_ACCIDENTADOS]:[VEHICULOS_ACCIDENTADOS2]],"AUTOMOVIL")</f>
        <v>1</v>
      </c>
      <c r="U519" s="36">
        <f>COUNTIF(Tabla1[[#This Row],[VEHICULOS_ACCIDENTADOS]:[VEHICULOS_ACCIDENTADOS2]],"CAMPERO")</f>
        <v>0</v>
      </c>
      <c r="V519" s="36">
        <f>COUNTIF(Tabla1[[#This Row],[VEHICULOS_ACCIDENTADOS]:[VEHICULOS_ACCIDENTADOS2]],"CAMIONETA")</f>
        <v>1</v>
      </c>
      <c r="W519" s="36">
        <f>COUNTIF(Tabla1[[#This Row],[VEHICULOS_ACCIDENTADOS]:[VEHICULOS_ACCIDENTADOS2]],"MICROBUS")</f>
        <v>0</v>
      </c>
      <c r="X519" s="36">
        <f>COUNTIF(Tabla1[[#This Row],[VEHICULOS_ACCIDENTADOS]:[VEHICULOS_ACCIDENTADOS2]],"BUS")</f>
        <v>0</v>
      </c>
      <c r="Y519" s="36">
        <f>COUNTIF(Tabla1[[#This Row],[VEHICULOS_ACCIDENTADOS]:[VEHICULOS_ACCIDENTADOS2]],"BUSETA")</f>
        <v>0</v>
      </c>
      <c r="Z519" s="36">
        <f>COUNTIF(Tabla1[[#This Row],[VEHICULOS_ACCIDENTADOS]:[VEHICULOS_ACCIDENTADOS2]],"CAMION")</f>
        <v>0</v>
      </c>
      <c r="AA519" s="36">
        <f>COUNTIF(Tabla1[[#This Row],[VEHICULOS_ACCIDENTADOS]:[VEHICULOS_ACCIDENTADOS2]],"TRACTOCAMION")</f>
        <v>0</v>
      </c>
      <c r="AB519" s="36">
        <f>COUNTIF(Tabla1[[#This Row],[VEHICULOS_ACCIDENTADOS]:[VEHICULOS_ACCIDENTADOS2]],"VOLQUETA")</f>
        <v>0</v>
      </c>
      <c r="AC519" s="36">
        <f>COUNTIF(Tabla1[[#This Row],[VEHICULOS_ACCIDENTADOS]:[VEHICULOS_ACCIDENTADOS2]],"BICICLETA")</f>
        <v>0</v>
      </c>
      <c r="AD519" s="56" t="s">
        <v>471</v>
      </c>
      <c r="AE519" s="56"/>
      <c r="AF519" s="56">
        <f>COUNTIF(Tabla1[[#This Row],[GENERO_MASCULINO]:[GENERO_FEMENINO]],"MASCULINO")</f>
        <v>1</v>
      </c>
      <c r="AG519" s="36">
        <f>COUNTIF(Tabla1[[#This Row],[GENERO_MASCULINO]:[GENERO_FEMENINO]],"FEMENINO")</f>
        <v>0</v>
      </c>
      <c r="AH519" s="61"/>
      <c r="AI519" s="61"/>
      <c r="AJ519" s="61"/>
      <c r="AK519" s="61"/>
      <c r="AL519" s="61"/>
      <c r="AM519" s="36"/>
      <c r="AN519" s="61">
        <v>121</v>
      </c>
      <c r="AO519" s="36" t="str">
        <f>IFERROR(((VLOOKUP(Tabla1[[#This Row],[HIPOTESIS_1]],listas!$D$1:$E$105,2,FALSE))),"SIN INFORMACIÓN")</f>
        <v>No mantener distancia de seguridad.</v>
      </c>
      <c r="AP519" s="36"/>
      <c r="AQ519" s="36" t="str">
        <f>IFERROR(((VLOOKUP(Tabla1[[#This Row],[HIPOTESIS_2]],listas!$D$1:$E$105,2,FALSE))),"")</f>
        <v/>
      </c>
      <c r="AR519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520" spans="1:44" x14ac:dyDescent="0.25">
      <c r="A520" s="12">
        <v>347</v>
      </c>
      <c r="B520" s="36">
        <v>0</v>
      </c>
      <c r="C520" s="36">
        <v>2</v>
      </c>
      <c r="D520" s="60">
        <v>0</v>
      </c>
      <c r="E520" s="18" t="str">
        <f t="shared" si="32"/>
        <v>LESIONADO</v>
      </c>
      <c r="F520" s="29" t="s">
        <v>836</v>
      </c>
      <c r="G520" s="17">
        <v>5.340325</v>
      </c>
      <c r="H520" s="17">
        <v>-72.385502777777788</v>
      </c>
      <c r="I520" s="93" t="s">
        <v>697</v>
      </c>
      <c r="J520" s="36" t="s">
        <v>717</v>
      </c>
      <c r="K520" s="24" t="str">
        <f t="shared" si="33"/>
        <v>2022</v>
      </c>
      <c r="L520" s="24" t="str">
        <f t="shared" si="34"/>
        <v>NOVIEMBRE</v>
      </c>
      <c r="M520" s="225">
        <v>44866</v>
      </c>
      <c r="N520" s="24" t="str">
        <f t="shared" si="35"/>
        <v>MARTES</v>
      </c>
      <c r="O520" s="170">
        <v>0.35416666666666702</v>
      </c>
      <c r="P520" s="53" t="s">
        <v>469</v>
      </c>
      <c r="Q520" s="53"/>
      <c r="R520" s="36">
        <f>COUNTIF(Tabla1[[#This Row],[VEHICULOS_ACCIDENTADOS]:[VEHICULOS_ACCIDENTADOS2]],"MOTOCICLETA")</f>
        <v>1</v>
      </c>
      <c r="S520" s="36">
        <f>COUNTIF(Tabla1[[#This Row],[VEHICULOS_ACCIDENTADOS]:[VEHICULOS_ACCIDENTADOS2]],"MOTOCARRO")</f>
        <v>0</v>
      </c>
      <c r="T520" s="36">
        <f>COUNTIF(Tabla1[[#This Row],[VEHICULOS_ACCIDENTADOS]:[VEHICULOS_ACCIDENTADOS2]],"AUTOMOVIL")</f>
        <v>0</v>
      </c>
      <c r="U520" s="36">
        <f>COUNTIF(Tabla1[[#This Row],[VEHICULOS_ACCIDENTADOS]:[VEHICULOS_ACCIDENTADOS2]],"CAMPERO")</f>
        <v>0</v>
      </c>
      <c r="V520" s="36">
        <f>COUNTIF(Tabla1[[#This Row],[VEHICULOS_ACCIDENTADOS]:[VEHICULOS_ACCIDENTADOS2]],"CAMIONETA")</f>
        <v>0</v>
      </c>
      <c r="W520" s="36">
        <f>COUNTIF(Tabla1[[#This Row],[VEHICULOS_ACCIDENTADOS]:[VEHICULOS_ACCIDENTADOS2]],"MICROBUS")</f>
        <v>0</v>
      </c>
      <c r="X520" s="36">
        <f>COUNTIF(Tabla1[[#This Row],[VEHICULOS_ACCIDENTADOS]:[VEHICULOS_ACCIDENTADOS2]],"BUS")</f>
        <v>0</v>
      </c>
      <c r="Y520" s="36">
        <f>COUNTIF(Tabla1[[#This Row],[VEHICULOS_ACCIDENTADOS]:[VEHICULOS_ACCIDENTADOS2]],"BUSETA")</f>
        <v>0</v>
      </c>
      <c r="Z520" s="36">
        <f>COUNTIF(Tabla1[[#This Row],[VEHICULOS_ACCIDENTADOS]:[VEHICULOS_ACCIDENTADOS2]],"CAMION")</f>
        <v>0</v>
      </c>
      <c r="AA520" s="36">
        <f>COUNTIF(Tabla1[[#This Row],[VEHICULOS_ACCIDENTADOS]:[VEHICULOS_ACCIDENTADOS2]],"TRACTOCAMION")</f>
        <v>0</v>
      </c>
      <c r="AB520" s="36">
        <f>COUNTIF(Tabla1[[#This Row],[VEHICULOS_ACCIDENTADOS]:[VEHICULOS_ACCIDENTADOS2]],"VOLQUETA")</f>
        <v>0</v>
      </c>
      <c r="AC520" s="36">
        <f>COUNTIF(Tabla1[[#This Row],[VEHICULOS_ACCIDENTADOS]:[VEHICULOS_ACCIDENTADOS2]],"BICICLETA")</f>
        <v>0</v>
      </c>
      <c r="AD520" s="56" t="s">
        <v>471</v>
      </c>
      <c r="AE520" s="56"/>
      <c r="AF520" s="56">
        <f>COUNTIF(Tabla1[[#This Row],[GENERO_MASCULINO]:[GENERO_FEMENINO]],"MASCULINO")</f>
        <v>1</v>
      </c>
      <c r="AG520" s="36">
        <f>COUNTIF(Tabla1[[#This Row],[GENERO_MASCULINO]:[GENERO_FEMENINO]],"FEMENINO")</f>
        <v>0</v>
      </c>
      <c r="AH520" s="61">
        <v>31</v>
      </c>
      <c r="AI520" s="61"/>
      <c r="AJ520" s="61"/>
      <c r="AK520" s="61">
        <v>75</v>
      </c>
      <c r="AL520" s="61"/>
      <c r="AM520" s="36"/>
      <c r="AN520" s="61">
        <v>112</v>
      </c>
      <c r="AO520" s="36" t="str">
        <f>IFERROR(((VLOOKUP(Tabla1[[#This Row],[HIPOTESIS_1]],listas!$D$1:$E$105,2,FALSE))),"SIN INFORMACIÓN")</f>
        <v>Desobedecer señales o normas de tránsito.</v>
      </c>
      <c r="AP520" s="36"/>
      <c r="AQ520" s="36" t="str">
        <f>IFERROR(((VLOOKUP(Tabla1[[#This Row],[HIPOTESIS_2]],listas!$D$1:$E$105,2,FALSE))),"")</f>
        <v/>
      </c>
      <c r="AR520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521" spans="1:44" x14ac:dyDescent="0.25">
      <c r="A521" s="12">
        <v>164</v>
      </c>
      <c r="B521" s="36">
        <v>1</v>
      </c>
      <c r="C521" s="36">
        <v>0</v>
      </c>
      <c r="D521" s="60">
        <v>0</v>
      </c>
      <c r="E521" s="18" t="str">
        <f t="shared" si="32"/>
        <v>SOLO DAÑO</v>
      </c>
      <c r="F521" s="29" t="s">
        <v>837</v>
      </c>
      <c r="G521" s="17">
        <v>5.3321194444444444</v>
      </c>
      <c r="H521" s="17">
        <v>-72.40636111111111</v>
      </c>
      <c r="I521" s="93" t="s">
        <v>697</v>
      </c>
      <c r="J521" s="36" t="s">
        <v>717</v>
      </c>
      <c r="K521" s="24" t="str">
        <f t="shared" si="33"/>
        <v>2022</v>
      </c>
      <c r="L521" s="24" t="str">
        <f t="shared" si="34"/>
        <v>MAYO</v>
      </c>
      <c r="M521" s="225">
        <v>44683</v>
      </c>
      <c r="N521" s="24" t="str">
        <f t="shared" si="35"/>
        <v>LUNES</v>
      </c>
      <c r="O521" s="103">
        <v>0.30555555555555602</v>
      </c>
      <c r="P521" s="63" t="s">
        <v>447</v>
      </c>
      <c r="Q521" s="63" t="s">
        <v>445</v>
      </c>
      <c r="R521" s="36">
        <f>COUNTIF(Tabla1[[#This Row],[VEHICULOS_ACCIDENTADOS]:[VEHICULOS_ACCIDENTADOS2]],"MOTOCICLETA")</f>
        <v>0</v>
      </c>
      <c r="S521" s="36">
        <f>COUNTIF(Tabla1[[#This Row],[VEHICULOS_ACCIDENTADOS]:[VEHICULOS_ACCIDENTADOS2]],"MOTOCARRO")</f>
        <v>0</v>
      </c>
      <c r="T521" s="36">
        <f>COUNTIF(Tabla1[[#This Row],[VEHICULOS_ACCIDENTADOS]:[VEHICULOS_ACCIDENTADOS2]],"AUTOMOVIL")</f>
        <v>1</v>
      </c>
      <c r="U521" s="36">
        <f>COUNTIF(Tabla1[[#This Row],[VEHICULOS_ACCIDENTADOS]:[VEHICULOS_ACCIDENTADOS2]],"CAMPERO")</f>
        <v>0</v>
      </c>
      <c r="V521" s="36">
        <f>COUNTIF(Tabla1[[#This Row],[VEHICULOS_ACCIDENTADOS]:[VEHICULOS_ACCIDENTADOS2]],"CAMIONETA")</f>
        <v>1</v>
      </c>
      <c r="W521" s="36">
        <f>COUNTIF(Tabla1[[#This Row],[VEHICULOS_ACCIDENTADOS]:[VEHICULOS_ACCIDENTADOS2]],"MICROBUS")</f>
        <v>0</v>
      </c>
      <c r="X521" s="36">
        <f>COUNTIF(Tabla1[[#This Row],[VEHICULOS_ACCIDENTADOS]:[VEHICULOS_ACCIDENTADOS2]],"BUS")</f>
        <v>0</v>
      </c>
      <c r="Y521" s="36">
        <f>COUNTIF(Tabla1[[#This Row],[VEHICULOS_ACCIDENTADOS]:[VEHICULOS_ACCIDENTADOS2]],"BUSETA")</f>
        <v>0</v>
      </c>
      <c r="Z521" s="36">
        <f>COUNTIF(Tabla1[[#This Row],[VEHICULOS_ACCIDENTADOS]:[VEHICULOS_ACCIDENTADOS2]],"CAMION")</f>
        <v>0</v>
      </c>
      <c r="AA521" s="36">
        <f>COUNTIF(Tabla1[[#This Row],[VEHICULOS_ACCIDENTADOS]:[VEHICULOS_ACCIDENTADOS2]],"TRACTOCAMION")</f>
        <v>0</v>
      </c>
      <c r="AB521" s="36">
        <f>COUNTIF(Tabla1[[#This Row],[VEHICULOS_ACCIDENTADOS]:[VEHICULOS_ACCIDENTADOS2]],"VOLQUETA")</f>
        <v>0</v>
      </c>
      <c r="AC521" s="36">
        <f>COUNTIF(Tabla1[[#This Row],[VEHICULOS_ACCIDENTADOS]:[VEHICULOS_ACCIDENTADOS2]],"BICICLETA")</f>
        <v>0</v>
      </c>
      <c r="AD521" s="56" t="s">
        <v>471</v>
      </c>
      <c r="AE521" s="56" t="s">
        <v>472</v>
      </c>
      <c r="AF521" s="56">
        <f>COUNTIF(Tabla1[[#This Row],[GENERO_MASCULINO]:[GENERO_FEMENINO]],"MASCULINO")</f>
        <v>1</v>
      </c>
      <c r="AG521" s="36">
        <f>COUNTIF(Tabla1[[#This Row],[GENERO_MASCULINO]:[GENERO_FEMENINO]],"FEMENINO")</f>
        <v>1</v>
      </c>
      <c r="AH521" s="61"/>
      <c r="AI521" s="61"/>
      <c r="AJ521" s="61"/>
      <c r="AK521" s="61"/>
      <c r="AL521" s="61"/>
      <c r="AM521" s="36"/>
      <c r="AN521" s="61">
        <v>121</v>
      </c>
      <c r="AO521" s="36" t="str">
        <f>IFERROR(((VLOOKUP(Tabla1[[#This Row],[HIPOTESIS_1]],listas!$D$1:$E$105,2,FALSE))),"SIN INFORMACIÓN")</f>
        <v>No mantener distancia de seguridad.</v>
      </c>
      <c r="AP521" s="36"/>
      <c r="AQ521" s="36" t="str">
        <f>IFERROR(((VLOOKUP(Tabla1[[#This Row],[HIPOTESIS_2]],listas!$D$1:$E$105,2,FALSE))),"")</f>
        <v/>
      </c>
      <c r="AR521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522" spans="1:44" x14ac:dyDescent="0.25">
      <c r="A522" s="12">
        <v>1069</v>
      </c>
      <c r="B522" s="137">
        <v>0</v>
      </c>
      <c r="C522" s="137">
        <v>1</v>
      </c>
      <c r="D522" s="146">
        <v>1</v>
      </c>
      <c r="E522" s="24" t="str">
        <f t="shared" si="32"/>
        <v>FALLECIDO</v>
      </c>
      <c r="F522" s="155" t="s">
        <v>839</v>
      </c>
      <c r="G522" s="30">
        <v>5.3352839999999997</v>
      </c>
      <c r="H522" s="30">
        <v>-72.394851000000003</v>
      </c>
      <c r="I522" s="165" t="s">
        <v>697</v>
      </c>
      <c r="J522" s="36" t="s">
        <v>717</v>
      </c>
      <c r="K522" s="24" t="str">
        <f t="shared" si="33"/>
        <v>2025</v>
      </c>
      <c r="L522" s="24" t="str">
        <f t="shared" si="34"/>
        <v>SEPTIEMBRE</v>
      </c>
      <c r="M522" s="225">
        <v>45916</v>
      </c>
      <c r="N522" s="24" t="str">
        <f t="shared" si="35"/>
        <v>MARTES</v>
      </c>
      <c r="O522" s="103">
        <v>0.625</v>
      </c>
      <c r="P522" s="63" t="s">
        <v>469</v>
      </c>
      <c r="Q522" s="63" t="s">
        <v>469</v>
      </c>
      <c r="R522" s="36">
        <f>COUNTIF(Tabla1[[#This Row],[VEHICULOS_ACCIDENTADOS]:[VEHICULOS_ACCIDENTADOS2]],"MOTOCICLETA")</f>
        <v>2</v>
      </c>
      <c r="S522" s="36">
        <f>COUNTIF(Tabla1[[#This Row],[VEHICULOS_ACCIDENTADOS]:[VEHICULOS_ACCIDENTADOS2]],"MOTOCARRO")</f>
        <v>0</v>
      </c>
      <c r="T522" s="36">
        <f>COUNTIF(Tabla1[[#This Row],[VEHICULOS_ACCIDENTADOS]:[VEHICULOS_ACCIDENTADOS2]],"AUTOMOVIL")</f>
        <v>0</v>
      </c>
      <c r="U522" s="36">
        <f>COUNTIF(Tabla1[[#This Row],[VEHICULOS_ACCIDENTADOS]:[VEHICULOS_ACCIDENTADOS2]],"CAMPERO")</f>
        <v>0</v>
      </c>
      <c r="V522" s="36">
        <f>COUNTIF(Tabla1[[#This Row],[VEHICULOS_ACCIDENTADOS]:[VEHICULOS_ACCIDENTADOS2]],"CAMIONETA")</f>
        <v>0</v>
      </c>
      <c r="W522" s="36">
        <f>COUNTIF(Tabla1[[#This Row],[VEHICULOS_ACCIDENTADOS]:[VEHICULOS_ACCIDENTADOS2]],"MICROBUS")</f>
        <v>0</v>
      </c>
      <c r="X522" s="36">
        <f>COUNTIF(Tabla1[[#This Row],[VEHICULOS_ACCIDENTADOS]:[VEHICULOS_ACCIDENTADOS2]],"BUS")</f>
        <v>0</v>
      </c>
      <c r="Y522" s="36">
        <f>COUNTIF(Tabla1[[#This Row],[VEHICULOS_ACCIDENTADOS]:[VEHICULOS_ACCIDENTADOS2]],"BUSETA")</f>
        <v>0</v>
      </c>
      <c r="Z522" s="36">
        <f>COUNTIF(Tabla1[[#This Row],[VEHICULOS_ACCIDENTADOS]:[VEHICULOS_ACCIDENTADOS2]],"CAMION")</f>
        <v>0</v>
      </c>
      <c r="AA522" s="36">
        <f>COUNTIF(Tabla1[[#This Row],[VEHICULOS_ACCIDENTADOS]:[VEHICULOS_ACCIDENTADOS2]],"TRACTOCAMION")</f>
        <v>0</v>
      </c>
      <c r="AB522" s="36">
        <f>COUNTIF(Tabla1[[#This Row],[VEHICULOS_ACCIDENTADOS]:[VEHICULOS_ACCIDENTADOS2]],"VOLQUETA")</f>
        <v>0</v>
      </c>
      <c r="AC522" s="36">
        <f>COUNTIF(Tabla1[[#This Row],[VEHICULOS_ACCIDENTADOS]:[VEHICULOS_ACCIDENTADOS2]],"BICICLETA")</f>
        <v>0</v>
      </c>
      <c r="AD522" s="188" t="s">
        <v>471</v>
      </c>
      <c r="AE522" s="188" t="s">
        <v>471</v>
      </c>
      <c r="AF522" s="56">
        <f>COUNTIF(Tabla1[[#This Row],[GENERO_MASCULINO]:[GENERO_FEMENINO]],"MASCULINO")</f>
        <v>2</v>
      </c>
      <c r="AG522" s="36">
        <f>COUNTIF(Tabla1[[#This Row],[GENERO_MASCULINO]:[GENERO_FEMENINO]],"FEMENINO")</f>
        <v>0</v>
      </c>
      <c r="AH522" s="85"/>
      <c r="AI522" s="85"/>
      <c r="AJ522" s="85"/>
      <c r="AK522" s="78"/>
      <c r="AL522" s="78"/>
      <c r="AM522" s="59"/>
      <c r="AN522" s="61">
        <v>116</v>
      </c>
      <c r="AO522" s="59" t="str">
        <f>IFERROR(((VLOOKUP(Tabla1[[#This Row],[HIPOTESIS_1]],listas!$D$1:$E$105,2,FALSE))),"SIN INFORMACIÓN")</f>
        <v>Exceso de velocidad</v>
      </c>
      <c r="AP522" s="36"/>
      <c r="AQ522" s="36" t="str">
        <f>IFERROR(((VLOOKUP(Tabla1[[#This Row],[HIPOTESIS_2]],listas!$D$1:$E$105,2,FALSE))),"")</f>
        <v/>
      </c>
      <c r="AR522" s="2" t="str">
        <f>IF(HOUR(Tabla1[[#This Row],[HORA_ACCIDENTE]])&lt;6,"MAÑANA",
 IF(HOUR(Tabla1[[#This Row],[HORA_ACCIDENTE]])&lt;12,"MAÑANA",
 IF(HOUR(Tabla1[[#This Row],[HORA_ACCIDENTE]])&lt;18,"TARDE","NOCHE")))</f>
        <v>TARDE</v>
      </c>
    </row>
    <row r="523" spans="1:44" x14ac:dyDescent="0.25">
      <c r="A523" s="12">
        <v>966</v>
      </c>
      <c r="B523" s="136">
        <v>1</v>
      </c>
      <c r="C523" s="136">
        <v>0</v>
      </c>
      <c r="D523" s="149">
        <v>0</v>
      </c>
      <c r="E523" s="18" t="str">
        <f t="shared" si="32"/>
        <v>SOLO DAÑO</v>
      </c>
      <c r="F523" s="26" t="s">
        <v>842</v>
      </c>
      <c r="G523" s="20">
        <v>5.3383089999999997</v>
      </c>
      <c r="H523" s="20">
        <v>-72.389279000000002</v>
      </c>
      <c r="I523" s="93" t="s">
        <v>697</v>
      </c>
      <c r="J523" s="36" t="s">
        <v>717</v>
      </c>
      <c r="K523" s="24" t="str">
        <f t="shared" si="33"/>
        <v>2025</v>
      </c>
      <c r="L523" s="24" t="str">
        <f t="shared" si="34"/>
        <v>MAYO</v>
      </c>
      <c r="M523" s="224">
        <v>45780</v>
      </c>
      <c r="N523" s="24" t="str">
        <f t="shared" si="35"/>
        <v>SÁBADO</v>
      </c>
      <c r="O523" s="104">
        <v>0.84027777777777779</v>
      </c>
      <c r="P523" s="63" t="s">
        <v>438</v>
      </c>
      <c r="Q523" s="63" t="s">
        <v>447</v>
      </c>
      <c r="R523" s="36">
        <f>COUNTIF(Tabla1[[#This Row],[VEHICULOS_ACCIDENTADOS]:[VEHICULOS_ACCIDENTADOS2]],"MOTOCICLETA")</f>
        <v>0</v>
      </c>
      <c r="S523" s="36">
        <f>COUNTIF(Tabla1[[#This Row],[VEHICULOS_ACCIDENTADOS]:[VEHICULOS_ACCIDENTADOS2]],"MOTOCARRO")</f>
        <v>0</v>
      </c>
      <c r="T523" s="36">
        <f>COUNTIF(Tabla1[[#This Row],[VEHICULOS_ACCIDENTADOS]:[VEHICULOS_ACCIDENTADOS2]],"AUTOMOVIL")</f>
        <v>1</v>
      </c>
      <c r="U523" s="36">
        <f>COUNTIF(Tabla1[[#This Row],[VEHICULOS_ACCIDENTADOS]:[VEHICULOS_ACCIDENTADOS2]],"CAMPERO")</f>
        <v>0</v>
      </c>
      <c r="V523" s="36">
        <f>COUNTIF(Tabla1[[#This Row],[VEHICULOS_ACCIDENTADOS]:[VEHICULOS_ACCIDENTADOS2]],"CAMIONETA")</f>
        <v>0</v>
      </c>
      <c r="W523" s="36">
        <f>COUNTIF(Tabla1[[#This Row],[VEHICULOS_ACCIDENTADOS]:[VEHICULOS_ACCIDENTADOS2]],"MICROBUS")</f>
        <v>0</v>
      </c>
      <c r="X523" s="36">
        <f>COUNTIF(Tabla1[[#This Row],[VEHICULOS_ACCIDENTADOS]:[VEHICULOS_ACCIDENTADOS2]],"BUS")</f>
        <v>0</v>
      </c>
      <c r="Y523" s="36">
        <f>COUNTIF(Tabla1[[#This Row],[VEHICULOS_ACCIDENTADOS]:[VEHICULOS_ACCIDENTADOS2]],"BUSETA")</f>
        <v>0</v>
      </c>
      <c r="Z523" s="36">
        <f>COUNTIF(Tabla1[[#This Row],[VEHICULOS_ACCIDENTADOS]:[VEHICULOS_ACCIDENTADOS2]],"CAMION")</f>
        <v>0</v>
      </c>
      <c r="AA523" s="36">
        <f>COUNTIF(Tabla1[[#This Row],[VEHICULOS_ACCIDENTADOS]:[VEHICULOS_ACCIDENTADOS2]],"TRACTOCAMION")</f>
        <v>0</v>
      </c>
      <c r="AB523" s="36">
        <f>COUNTIF(Tabla1[[#This Row],[VEHICULOS_ACCIDENTADOS]:[VEHICULOS_ACCIDENTADOS2]],"VOLQUETA")</f>
        <v>0</v>
      </c>
      <c r="AC523" s="36">
        <f>COUNTIF(Tabla1[[#This Row],[VEHICULOS_ACCIDENTADOS]:[VEHICULOS_ACCIDENTADOS2]],"BICICLETA")</f>
        <v>1</v>
      </c>
      <c r="AD523" s="56" t="s">
        <v>472</v>
      </c>
      <c r="AE523" s="56" t="s">
        <v>471</v>
      </c>
      <c r="AF523" s="56">
        <f>COUNTIF(Tabla1[[#This Row],[GENERO_MASCULINO]:[GENERO_FEMENINO]],"MASCULINO")</f>
        <v>1</v>
      </c>
      <c r="AG523" s="36">
        <f>COUNTIF(Tabla1[[#This Row],[GENERO_MASCULINO]:[GENERO_FEMENINO]],"FEMENINO")</f>
        <v>1</v>
      </c>
      <c r="AH523" s="85">
        <v>42</v>
      </c>
      <c r="AI523" s="85">
        <v>40</v>
      </c>
      <c r="AJ523" s="85"/>
      <c r="AK523" s="85"/>
      <c r="AL523" s="78"/>
      <c r="AM523" s="59"/>
      <c r="AN523" s="85">
        <v>115</v>
      </c>
      <c r="AO523" s="36" t="str">
        <f>IFERROR(((VLOOKUP(Tabla1[[#This Row],[HIPOTESIS_1]],listas!$D$1:$E$105,2,FALSE))),"SIN INFORMACIÓN")</f>
        <v>Embriaguez o Sustancias alucinogenas</v>
      </c>
      <c r="AP523" s="36"/>
      <c r="AQ523" s="36" t="str">
        <f>IFERROR(((VLOOKUP(Tabla1[[#This Row],[HIPOTESIS_2]],listas!$D$1:$E$105,2,FALSE))),"")</f>
        <v/>
      </c>
      <c r="AR523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524" spans="1:44" x14ac:dyDescent="0.25">
      <c r="A524" s="12">
        <v>810</v>
      </c>
      <c r="B524" s="136">
        <v>0</v>
      </c>
      <c r="C524" s="136">
        <v>0</v>
      </c>
      <c r="D524" s="149">
        <v>1</v>
      </c>
      <c r="E524" s="18" t="str">
        <f t="shared" si="32"/>
        <v>FALLECIDO</v>
      </c>
      <c r="F524" s="26" t="s">
        <v>844</v>
      </c>
      <c r="G524" s="21">
        <v>5.3458933333333327</v>
      </c>
      <c r="H524" s="21">
        <v>-72.376486666666665</v>
      </c>
      <c r="I524" s="93" t="s">
        <v>697</v>
      </c>
      <c r="J524" s="36" t="s">
        <v>717</v>
      </c>
      <c r="K524" s="24" t="str">
        <f t="shared" si="33"/>
        <v>2024</v>
      </c>
      <c r="L524" s="24" t="str">
        <f t="shared" si="34"/>
        <v>NOVIEMBRE</v>
      </c>
      <c r="M524" s="224">
        <v>45605</v>
      </c>
      <c r="N524" s="24" t="str">
        <f t="shared" si="35"/>
        <v>SÁBADO</v>
      </c>
      <c r="O524" s="104">
        <v>0.47916666666666669</v>
      </c>
      <c r="P524" s="178" t="s">
        <v>469</v>
      </c>
      <c r="Q524" s="178"/>
      <c r="R524" s="36">
        <f>COUNTIF(Tabla1[[#This Row],[VEHICULOS_ACCIDENTADOS]:[VEHICULOS_ACCIDENTADOS2]],"MOTOCICLETA")</f>
        <v>1</v>
      </c>
      <c r="S524" s="36">
        <f>COUNTIF(Tabla1[[#This Row],[VEHICULOS_ACCIDENTADOS]:[VEHICULOS_ACCIDENTADOS2]],"MOTOCARRO")</f>
        <v>0</v>
      </c>
      <c r="T524" s="36">
        <f>COUNTIF(Tabla1[[#This Row],[VEHICULOS_ACCIDENTADOS]:[VEHICULOS_ACCIDENTADOS2]],"AUTOMOVIL")</f>
        <v>0</v>
      </c>
      <c r="U524" s="36">
        <f>COUNTIF(Tabla1[[#This Row],[VEHICULOS_ACCIDENTADOS]:[VEHICULOS_ACCIDENTADOS2]],"CAMPERO")</f>
        <v>0</v>
      </c>
      <c r="V524" s="36">
        <f>COUNTIF(Tabla1[[#This Row],[VEHICULOS_ACCIDENTADOS]:[VEHICULOS_ACCIDENTADOS2]],"CAMIONETA")</f>
        <v>0</v>
      </c>
      <c r="W524" s="36">
        <f>COUNTIF(Tabla1[[#This Row],[VEHICULOS_ACCIDENTADOS]:[VEHICULOS_ACCIDENTADOS2]],"MICROBUS")</f>
        <v>0</v>
      </c>
      <c r="X524" s="36">
        <f>COUNTIF(Tabla1[[#This Row],[VEHICULOS_ACCIDENTADOS]:[VEHICULOS_ACCIDENTADOS2]],"BUS")</f>
        <v>0</v>
      </c>
      <c r="Y524" s="36">
        <f>COUNTIF(Tabla1[[#This Row],[VEHICULOS_ACCIDENTADOS]:[VEHICULOS_ACCIDENTADOS2]],"BUSETA")</f>
        <v>0</v>
      </c>
      <c r="Z524" s="36">
        <f>COUNTIF(Tabla1[[#This Row],[VEHICULOS_ACCIDENTADOS]:[VEHICULOS_ACCIDENTADOS2]],"CAMION")</f>
        <v>0</v>
      </c>
      <c r="AA524" s="36">
        <f>COUNTIF(Tabla1[[#This Row],[VEHICULOS_ACCIDENTADOS]:[VEHICULOS_ACCIDENTADOS2]],"TRACTOCAMION")</f>
        <v>0</v>
      </c>
      <c r="AB524" s="36">
        <f>COUNTIF(Tabla1[[#This Row],[VEHICULOS_ACCIDENTADOS]:[VEHICULOS_ACCIDENTADOS2]],"VOLQUETA")</f>
        <v>0</v>
      </c>
      <c r="AC524" s="36">
        <f>COUNTIF(Tabla1[[#This Row],[VEHICULOS_ACCIDENTADOS]:[VEHICULOS_ACCIDENTADOS2]],"BICICLETA")</f>
        <v>0</v>
      </c>
      <c r="AD524" s="190" t="s">
        <v>471</v>
      </c>
      <c r="AE524" s="190"/>
      <c r="AF524" s="190">
        <f>COUNTIF(Tabla1[[#This Row],[GENERO_MASCULINO]:[GENERO_FEMENINO]],"MASCULINO")</f>
        <v>1</v>
      </c>
      <c r="AG524" s="36">
        <f>COUNTIF(Tabla1[[#This Row],[GENERO_MASCULINO]:[GENERO_FEMENINO]],"FEMENINO")</f>
        <v>0</v>
      </c>
      <c r="AH524" s="85"/>
      <c r="AI524" s="85"/>
      <c r="AJ524" s="85"/>
      <c r="AK524" s="85"/>
      <c r="AL524" s="85"/>
      <c r="AM524" s="136">
        <v>30</v>
      </c>
      <c r="AN524" s="85">
        <v>157</v>
      </c>
      <c r="AO524" s="36" t="str">
        <f>IFERROR(((VLOOKUP(Tabla1[[#This Row],[HIPOTESIS_1]],listas!$D$1:$E$105,2,FALSE))),"SIN INFORMACIÓN")</f>
        <v>Otra</v>
      </c>
      <c r="AP524" s="136"/>
      <c r="AQ524" s="36" t="str">
        <f>IFERROR(((VLOOKUP(Tabla1[[#This Row],[HIPOTESIS_2]],listas!$D$1:$E$105,2,FALSE))),"")</f>
        <v/>
      </c>
      <c r="AR524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525" spans="1:44" x14ac:dyDescent="0.25">
      <c r="A525" s="12">
        <v>1063</v>
      </c>
      <c r="B525" s="137">
        <v>0</v>
      </c>
      <c r="C525" s="137">
        <v>1</v>
      </c>
      <c r="D525" s="146">
        <v>1</v>
      </c>
      <c r="E525" s="24" t="str">
        <f t="shared" si="32"/>
        <v>FALLECIDO</v>
      </c>
      <c r="F525" s="155" t="s">
        <v>845</v>
      </c>
      <c r="G525" s="30">
        <v>5.3305030000000002</v>
      </c>
      <c r="H525" s="30">
        <v>-72.410185999999996</v>
      </c>
      <c r="I525" s="165" t="s">
        <v>697</v>
      </c>
      <c r="J525" s="36" t="s">
        <v>717</v>
      </c>
      <c r="K525" s="24" t="str">
        <f t="shared" si="33"/>
        <v>2025</v>
      </c>
      <c r="L525" s="24" t="str">
        <f t="shared" si="34"/>
        <v>SEPTIEMBRE</v>
      </c>
      <c r="M525" s="225">
        <v>45911</v>
      </c>
      <c r="N525" s="24" t="str">
        <f t="shared" si="35"/>
        <v>JUEVES</v>
      </c>
      <c r="O525" s="103">
        <v>0.58958333333333335</v>
      </c>
      <c r="P525" s="63" t="s">
        <v>447</v>
      </c>
      <c r="Q525" s="63"/>
      <c r="R525" s="36">
        <f>COUNTIF(Tabla1[[#This Row],[VEHICULOS_ACCIDENTADOS]:[VEHICULOS_ACCIDENTADOS2]],"MOTOCICLETA")</f>
        <v>0</v>
      </c>
      <c r="S525" s="36">
        <f>COUNTIF(Tabla1[[#This Row],[VEHICULOS_ACCIDENTADOS]:[VEHICULOS_ACCIDENTADOS2]],"MOTOCARRO")</f>
        <v>0</v>
      </c>
      <c r="T525" s="36">
        <f>COUNTIF(Tabla1[[#This Row],[VEHICULOS_ACCIDENTADOS]:[VEHICULOS_ACCIDENTADOS2]],"AUTOMOVIL")</f>
        <v>1</v>
      </c>
      <c r="U525" s="36">
        <f>COUNTIF(Tabla1[[#This Row],[VEHICULOS_ACCIDENTADOS]:[VEHICULOS_ACCIDENTADOS2]],"CAMPERO")</f>
        <v>0</v>
      </c>
      <c r="V525" s="36">
        <f>COUNTIF(Tabla1[[#This Row],[VEHICULOS_ACCIDENTADOS]:[VEHICULOS_ACCIDENTADOS2]],"CAMIONETA")</f>
        <v>0</v>
      </c>
      <c r="W525" s="36">
        <f>COUNTIF(Tabla1[[#This Row],[VEHICULOS_ACCIDENTADOS]:[VEHICULOS_ACCIDENTADOS2]],"MICROBUS")</f>
        <v>0</v>
      </c>
      <c r="X525" s="36">
        <f>COUNTIF(Tabla1[[#This Row],[VEHICULOS_ACCIDENTADOS]:[VEHICULOS_ACCIDENTADOS2]],"BUS")</f>
        <v>0</v>
      </c>
      <c r="Y525" s="36">
        <f>COUNTIF(Tabla1[[#This Row],[VEHICULOS_ACCIDENTADOS]:[VEHICULOS_ACCIDENTADOS2]],"BUSETA")</f>
        <v>0</v>
      </c>
      <c r="Z525" s="36">
        <f>COUNTIF(Tabla1[[#This Row],[VEHICULOS_ACCIDENTADOS]:[VEHICULOS_ACCIDENTADOS2]],"CAMION")</f>
        <v>0</v>
      </c>
      <c r="AA525" s="36">
        <f>COUNTIF(Tabla1[[#This Row],[VEHICULOS_ACCIDENTADOS]:[VEHICULOS_ACCIDENTADOS2]],"TRACTOCAMION")</f>
        <v>0</v>
      </c>
      <c r="AB525" s="36">
        <f>COUNTIF(Tabla1[[#This Row],[VEHICULOS_ACCIDENTADOS]:[VEHICULOS_ACCIDENTADOS2]],"VOLQUETA")</f>
        <v>0</v>
      </c>
      <c r="AC525" s="36">
        <f>COUNTIF(Tabla1[[#This Row],[VEHICULOS_ACCIDENTADOS]:[VEHICULOS_ACCIDENTADOS2]],"BICICLETA")</f>
        <v>0</v>
      </c>
      <c r="AD525" s="188" t="s">
        <v>471</v>
      </c>
      <c r="AE525" s="188" t="s">
        <v>472</v>
      </c>
      <c r="AF525" s="56">
        <f>COUNTIF(Tabla1[[#This Row],[GENERO_MASCULINO]:[GENERO_FEMENINO]],"MASCULINO")</f>
        <v>1</v>
      </c>
      <c r="AG525" s="36">
        <f>COUNTIF(Tabla1[[#This Row],[GENERO_MASCULINO]:[GENERO_FEMENINO]],"FEMENINO")</f>
        <v>1</v>
      </c>
      <c r="AH525" s="85">
        <v>59</v>
      </c>
      <c r="AI525" s="85">
        <v>69</v>
      </c>
      <c r="AJ525" s="85"/>
      <c r="AK525" s="78"/>
      <c r="AL525" s="78"/>
      <c r="AM525" s="59"/>
      <c r="AN525" s="61">
        <v>109</v>
      </c>
      <c r="AO525" s="59" t="str">
        <f>IFERROR(((VLOOKUP(Tabla1[[#This Row],[HIPOTESIS_1]],listas!$D$1:$E$105,2,FALSE))),"SIN INFORMACIÓN")</f>
        <v>Efectos físicos y psíquicos.</v>
      </c>
      <c r="AP525" s="36"/>
      <c r="AQ525" s="36" t="str">
        <f>IFERROR(((VLOOKUP(Tabla1[[#This Row],[HIPOTESIS_2]],listas!$D$1:$E$105,2,FALSE))),"")</f>
        <v/>
      </c>
      <c r="AR525" s="2" t="str">
        <f>IF(HOUR(Tabla1[[#This Row],[HORA_ACCIDENTE]])&lt;6,"MAÑANA",
 IF(HOUR(Tabla1[[#This Row],[HORA_ACCIDENTE]])&lt;12,"MAÑANA",
 IF(HOUR(Tabla1[[#This Row],[HORA_ACCIDENTE]])&lt;18,"TARDE","NOCHE")))</f>
        <v>TARDE</v>
      </c>
    </row>
    <row r="526" spans="1:44" x14ac:dyDescent="0.25">
      <c r="A526" s="12">
        <v>660</v>
      </c>
      <c r="B526" s="135">
        <v>0</v>
      </c>
      <c r="C526" s="136">
        <v>1</v>
      </c>
      <c r="D526" s="148">
        <v>0</v>
      </c>
      <c r="E526" s="18" t="str">
        <f t="shared" si="32"/>
        <v>LESIONADO</v>
      </c>
      <c r="F526" s="26" t="s">
        <v>166</v>
      </c>
      <c r="G526" s="21">
        <v>5.345269444444444</v>
      </c>
      <c r="H526" s="21">
        <v>-72.377483333333331</v>
      </c>
      <c r="I526" s="93" t="s">
        <v>697</v>
      </c>
      <c r="J526" s="136" t="s">
        <v>717</v>
      </c>
      <c r="K526" s="24" t="str">
        <f t="shared" si="33"/>
        <v>2024</v>
      </c>
      <c r="L526" s="24" t="str">
        <f t="shared" si="34"/>
        <v>FEBRERO</v>
      </c>
      <c r="M526" s="224">
        <v>45333</v>
      </c>
      <c r="N526" s="24" t="str">
        <f t="shared" si="35"/>
        <v>DOMINGO</v>
      </c>
      <c r="O526" s="104">
        <v>0.57291666666666663</v>
      </c>
      <c r="P526" s="178" t="s">
        <v>469</v>
      </c>
      <c r="Q526" s="178"/>
      <c r="R526" s="36">
        <f>COUNTIF(Tabla1[[#This Row],[VEHICULOS_ACCIDENTADOS]:[VEHICULOS_ACCIDENTADOS2]],"MOTOCICLETA")</f>
        <v>1</v>
      </c>
      <c r="S526" s="36">
        <f>COUNTIF(Tabla1[[#This Row],[VEHICULOS_ACCIDENTADOS]:[VEHICULOS_ACCIDENTADOS2]],"MOTOCARRO")</f>
        <v>0</v>
      </c>
      <c r="T526" s="36">
        <f>COUNTIF(Tabla1[[#This Row],[VEHICULOS_ACCIDENTADOS]:[VEHICULOS_ACCIDENTADOS2]],"AUTOMOVIL")</f>
        <v>0</v>
      </c>
      <c r="U526" s="36">
        <f>COUNTIF(Tabla1[[#This Row],[VEHICULOS_ACCIDENTADOS]:[VEHICULOS_ACCIDENTADOS2]],"CAMPERO")</f>
        <v>0</v>
      </c>
      <c r="V526" s="36">
        <f>COUNTIF(Tabla1[[#This Row],[VEHICULOS_ACCIDENTADOS]:[VEHICULOS_ACCIDENTADOS2]],"CAMIONETA")</f>
        <v>0</v>
      </c>
      <c r="W526" s="36">
        <f>COUNTIF(Tabla1[[#This Row],[VEHICULOS_ACCIDENTADOS]:[VEHICULOS_ACCIDENTADOS2]],"MICROBUS")</f>
        <v>0</v>
      </c>
      <c r="X526" s="36">
        <f>COUNTIF(Tabla1[[#This Row],[VEHICULOS_ACCIDENTADOS]:[VEHICULOS_ACCIDENTADOS2]],"BUS")</f>
        <v>0</v>
      </c>
      <c r="Y526" s="36">
        <f>COUNTIF(Tabla1[[#This Row],[VEHICULOS_ACCIDENTADOS]:[VEHICULOS_ACCIDENTADOS2]],"BUSETA")</f>
        <v>0</v>
      </c>
      <c r="Z526" s="36">
        <f>COUNTIF(Tabla1[[#This Row],[VEHICULOS_ACCIDENTADOS]:[VEHICULOS_ACCIDENTADOS2]],"CAMION")</f>
        <v>0</v>
      </c>
      <c r="AA526" s="36">
        <f>COUNTIF(Tabla1[[#This Row],[VEHICULOS_ACCIDENTADOS]:[VEHICULOS_ACCIDENTADOS2]],"TRACTOCAMION")</f>
        <v>0</v>
      </c>
      <c r="AB526" s="36">
        <f>COUNTIF(Tabla1[[#This Row],[VEHICULOS_ACCIDENTADOS]:[VEHICULOS_ACCIDENTADOS2]],"VOLQUETA")</f>
        <v>0</v>
      </c>
      <c r="AC526" s="36">
        <f>COUNTIF(Tabla1[[#This Row],[VEHICULOS_ACCIDENTADOS]:[VEHICULOS_ACCIDENTADOS2]],"BICICLETA")</f>
        <v>0</v>
      </c>
      <c r="AD526" s="190" t="s">
        <v>471</v>
      </c>
      <c r="AE526" s="190"/>
      <c r="AF526" s="190">
        <f>COUNTIF(Tabla1[[#This Row],[GENERO_MASCULINO]:[GENERO_FEMENINO]],"MASCULINO")</f>
        <v>1</v>
      </c>
      <c r="AG526" s="36">
        <f>COUNTIF(Tabla1[[#This Row],[GENERO_MASCULINO]:[GENERO_FEMENINO]],"FEMENINO")</f>
        <v>0</v>
      </c>
      <c r="AH526" s="85">
        <v>36</v>
      </c>
      <c r="AI526" s="85"/>
      <c r="AJ526" s="85"/>
      <c r="AK526" s="85"/>
      <c r="AL526" s="85"/>
      <c r="AM526" s="136"/>
      <c r="AN526" s="85">
        <v>157</v>
      </c>
      <c r="AO526" s="36" t="str">
        <f>IFERROR(((VLOOKUP(Tabla1[[#This Row],[HIPOTESIS_1]],listas!$D$1:$E$105,2,FALSE))),"SIN INFORMACIÓN")</f>
        <v>Otra</v>
      </c>
      <c r="AP526" s="136"/>
      <c r="AQ526" s="36" t="str">
        <f>IFERROR(((VLOOKUP(Tabla1[[#This Row],[HIPOTESIS_2]],listas!$D$1:$E$105,2,FALSE))),"")</f>
        <v/>
      </c>
      <c r="AR526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527" spans="1:44" x14ac:dyDescent="0.25">
      <c r="A527" s="12">
        <v>492</v>
      </c>
      <c r="B527" s="36">
        <v>1</v>
      </c>
      <c r="C527" s="36">
        <v>0</v>
      </c>
      <c r="D527" s="60">
        <v>0</v>
      </c>
      <c r="E527" s="18" t="str">
        <f t="shared" si="32"/>
        <v>SOLO DAÑO</v>
      </c>
      <c r="F527" s="29" t="s">
        <v>846</v>
      </c>
      <c r="G527" s="21">
        <v>5.3275894444444445</v>
      </c>
      <c r="H527" s="21">
        <v>-72.401080555555566</v>
      </c>
      <c r="I527" s="93" t="s">
        <v>697</v>
      </c>
      <c r="J527" s="36" t="s">
        <v>717</v>
      </c>
      <c r="K527" s="24" t="str">
        <f t="shared" si="33"/>
        <v>2023</v>
      </c>
      <c r="L527" s="24" t="str">
        <f t="shared" si="34"/>
        <v>MAYO</v>
      </c>
      <c r="M527" s="225">
        <v>45076</v>
      </c>
      <c r="N527" s="24" t="str">
        <f t="shared" si="35"/>
        <v>MARTES</v>
      </c>
      <c r="O527" s="103">
        <v>0.83333333333333337</v>
      </c>
      <c r="P527" s="57" t="s">
        <v>447</v>
      </c>
      <c r="Q527" s="57" t="s">
        <v>445</v>
      </c>
      <c r="R527" s="36">
        <f>COUNTIF(Tabla1[[#This Row],[VEHICULOS_ACCIDENTADOS]:[VEHICULOS_ACCIDENTADOS2]],"MOTOCICLETA")</f>
        <v>0</v>
      </c>
      <c r="S527" s="36">
        <f>COUNTIF(Tabla1[[#This Row],[VEHICULOS_ACCIDENTADOS]:[VEHICULOS_ACCIDENTADOS2]],"MOTOCARRO")</f>
        <v>0</v>
      </c>
      <c r="T527" s="36">
        <f>COUNTIF(Tabla1[[#This Row],[VEHICULOS_ACCIDENTADOS]:[VEHICULOS_ACCIDENTADOS2]],"AUTOMOVIL")</f>
        <v>1</v>
      </c>
      <c r="U527" s="36">
        <f>COUNTIF(Tabla1[[#This Row],[VEHICULOS_ACCIDENTADOS]:[VEHICULOS_ACCIDENTADOS2]],"CAMPERO")</f>
        <v>0</v>
      </c>
      <c r="V527" s="36">
        <f>COUNTIF(Tabla1[[#This Row],[VEHICULOS_ACCIDENTADOS]:[VEHICULOS_ACCIDENTADOS2]],"CAMIONETA")</f>
        <v>1</v>
      </c>
      <c r="W527" s="36">
        <f>COUNTIF(Tabla1[[#This Row],[VEHICULOS_ACCIDENTADOS]:[VEHICULOS_ACCIDENTADOS2]],"MICROBUS")</f>
        <v>0</v>
      </c>
      <c r="X527" s="36">
        <f>COUNTIF(Tabla1[[#This Row],[VEHICULOS_ACCIDENTADOS]:[VEHICULOS_ACCIDENTADOS2]],"BUS")</f>
        <v>0</v>
      </c>
      <c r="Y527" s="36">
        <f>COUNTIF(Tabla1[[#This Row],[VEHICULOS_ACCIDENTADOS]:[VEHICULOS_ACCIDENTADOS2]],"BUSETA")</f>
        <v>0</v>
      </c>
      <c r="Z527" s="36">
        <f>COUNTIF(Tabla1[[#This Row],[VEHICULOS_ACCIDENTADOS]:[VEHICULOS_ACCIDENTADOS2]],"CAMION")</f>
        <v>0</v>
      </c>
      <c r="AA527" s="36">
        <f>COUNTIF(Tabla1[[#This Row],[VEHICULOS_ACCIDENTADOS]:[VEHICULOS_ACCIDENTADOS2]],"TRACTOCAMION")</f>
        <v>0</v>
      </c>
      <c r="AB527" s="36">
        <f>COUNTIF(Tabla1[[#This Row],[VEHICULOS_ACCIDENTADOS]:[VEHICULOS_ACCIDENTADOS2]],"VOLQUETA")</f>
        <v>0</v>
      </c>
      <c r="AC527" s="36">
        <f>COUNTIF(Tabla1[[#This Row],[VEHICULOS_ACCIDENTADOS]:[VEHICULOS_ACCIDENTADOS2]],"BICICLETA")</f>
        <v>0</v>
      </c>
      <c r="AD527" s="56" t="s">
        <v>471</v>
      </c>
      <c r="AE527" s="56"/>
      <c r="AF527" s="56">
        <f>COUNTIF(Tabla1[[#This Row],[GENERO_MASCULINO]:[GENERO_FEMENINO]],"MASCULINO")</f>
        <v>1</v>
      </c>
      <c r="AG527" s="36">
        <f>COUNTIF(Tabla1[[#This Row],[GENERO_MASCULINO]:[GENERO_FEMENINO]],"FEMENINO")</f>
        <v>0</v>
      </c>
      <c r="AH527" s="61"/>
      <c r="AI527" s="61"/>
      <c r="AJ527" s="78"/>
      <c r="AK527" s="61"/>
      <c r="AL527" s="61"/>
      <c r="AM527" s="36"/>
      <c r="AN527" s="61">
        <v>121</v>
      </c>
      <c r="AO527" s="36" t="str">
        <f>IFERROR(((VLOOKUP(Tabla1[[#This Row],[HIPOTESIS_1]],listas!$D$1:$E$105,2,FALSE))),"SIN INFORMACIÓN")</f>
        <v>No mantener distancia de seguridad.</v>
      </c>
      <c r="AP527" s="36"/>
      <c r="AQ527" s="36" t="str">
        <f>IFERROR(((VLOOKUP(Tabla1[[#This Row],[HIPOTESIS_2]],listas!$D$1:$E$105,2,FALSE))),"")</f>
        <v/>
      </c>
      <c r="AR527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528" spans="1:44" x14ac:dyDescent="0.25">
      <c r="A528" s="12">
        <v>811</v>
      </c>
      <c r="B528" s="135">
        <v>0</v>
      </c>
      <c r="C528" s="136">
        <v>2</v>
      </c>
      <c r="D528" s="149">
        <v>0</v>
      </c>
      <c r="E528" s="18" t="str">
        <f t="shared" si="32"/>
        <v>LESIONADO</v>
      </c>
      <c r="F528" s="26" t="s">
        <v>847</v>
      </c>
      <c r="G528" s="21">
        <v>5.3311105555555551</v>
      </c>
      <c r="H528" s="21">
        <v>-72.39094611111112</v>
      </c>
      <c r="I528" s="93" t="s">
        <v>697</v>
      </c>
      <c r="J528" s="36" t="s">
        <v>717</v>
      </c>
      <c r="K528" s="24" t="str">
        <f t="shared" si="33"/>
        <v>2024</v>
      </c>
      <c r="L528" s="24" t="str">
        <f t="shared" si="34"/>
        <v>NOVIEMBRE</v>
      </c>
      <c r="M528" s="224">
        <v>45607</v>
      </c>
      <c r="N528" s="24" t="str">
        <f t="shared" si="35"/>
        <v>LUNES</v>
      </c>
      <c r="O528" s="104">
        <v>0.81944444444444453</v>
      </c>
      <c r="P528" s="178" t="s">
        <v>469</v>
      </c>
      <c r="Q528" s="178"/>
      <c r="R528" s="36">
        <f>COUNTIF(Tabla1[[#This Row],[VEHICULOS_ACCIDENTADOS]:[VEHICULOS_ACCIDENTADOS2]],"MOTOCICLETA")</f>
        <v>1</v>
      </c>
      <c r="S528" s="36">
        <f>COUNTIF(Tabla1[[#This Row],[VEHICULOS_ACCIDENTADOS]:[VEHICULOS_ACCIDENTADOS2]],"MOTOCARRO")</f>
        <v>0</v>
      </c>
      <c r="T528" s="36">
        <f>COUNTIF(Tabla1[[#This Row],[VEHICULOS_ACCIDENTADOS]:[VEHICULOS_ACCIDENTADOS2]],"AUTOMOVIL")</f>
        <v>0</v>
      </c>
      <c r="U528" s="36">
        <f>COUNTIF(Tabla1[[#This Row],[VEHICULOS_ACCIDENTADOS]:[VEHICULOS_ACCIDENTADOS2]],"CAMPERO")</f>
        <v>0</v>
      </c>
      <c r="V528" s="36">
        <f>COUNTIF(Tabla1[[#This Row],[VEHICULOS_ACCIDENTADOS]:[VEHICULOS_ACCIDENTADOS2]],"CAMIONETA")</f>
        <v>0</v>
      </c>
      <c r="W528" s="36">
        <f>COUNTIF(Tabla1[[#This Row],[VEHICULOS_ACCIDENTADOS]:[VEHICULOS_ACCIDENTADOS2]],"MICROBUS")</f>
        <v>0</v>
      </c>
      <c r="X528" s="36">
        <f>COUNTIF(Tabla1[[#This Row],[VEHICULOS_ACCIDENTADOS]:[VEHICULOS_ACCIDENTADOS2]],"BUS")</f>
        <v>0</v>
      </c>
      <c r="Y528" s="36">
        <f>COUNTIF(Tabla1[[#This Row],[VEHICULOS_ACCIDENTADOS]:[VEHICULOS_ACCIDENTADOS2]],"BUSETA")</f>
        <v>0</v>
      </c>
      <c r="Z528" s="36">
        <f>COUNTIF(Tabla1[[#This Row],[VEHICULOS_ACCIDENTADOS]:[VEHICULOS_ACCIDENTADOS2]],"CAMION")</f>
        <v>0</v>
      </c>
      <c r="AA528" s="36">
        <f>COUNTIF(Tabla1[[#This Row],[VEHICULOS_ACCIDENTADOS]:[VEHICULOS_ACCIDENTADOS2]],"TRACTOCAMION")</f>
        <v>0</v>
      </c>
      <c r="AB528" s="36">
        <f>COUNTIF(Tabla1[[#This Row],[VEHICULOS_ACCIDENTADOS]:[VEHICULOS_ACCIDENTADOS2]],"VOLQUETA")</f>
        <v>0</v>
      </c>
      <c r="AC528" s="36">
        <f>COUNTIF(Tabla1[[#This Row],[VEHICULOS_ACCIDENTADOS]:[VEHICULOS_ACCIDENTADOS2]],"BICICLETA")</f>
        <v>0</v>
      </c>
      <c r="AD528" s="190" t="s">
        <v>471</v>
      </c>
      <c r="AE528" s="190" t="s">
        <v>472</v>
      </c>
      <c r="AF528" s="190">
        <f>COUNTIF(Tabla1[[#This Row],[GENERO_MASCULINO]:[GENERO_FEMENINO]],"MASCULINO")</f>
        <v>1</v>
      </c>
      <c r="AG528" s="36">
        <f>COUNTIF(Tabla1[[#This Row],[GENERO_MASCULINO]:[GENERO_FEMENINO]],"FEMENINO")</f>
        <v>1</v>
      </c>
      <c r="AH528" s="85">
        <v>20</v>
      </c>
      <c r="AI528" s="85">
        <v>39</v>
      </c>
      <c r="AJ528" s="85">
        <v>16</v>
      </c>
      <c r="AK528" s="85"/>
      <c r="AL528" s="85"/>
      <c r="AM528" s="136"/>
      <c r="AN528" s="85">
        <v>157</v>
      </c>
      <c r="AO528" s="36" t="str">
        <f>IFERROR(((VLOOKUP(Tabla1[[#This Row],[HIPOTESIS_1]],listas!$D$1:$E$105,2,FALSE))),"SIN INFORMACIÓN")</f>
        <v>Otra</v>
      </c>
      <c r="AP528" s="136"/>
      <c r="AQ528" s="36" t="str">
        <f>IFERROR(((VLOOKUP(Tabla1[[#This Row],[HIPOTESIS_2]],listas!$D$1:$E$105,2,FALSE))),"")</f>
        <v/>
      </c>
      <c r="AR528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529" spans="1:44" x14ac:dyDescent="0.25">
      <c r="A529" s="12">
        <v>675</v>
      </c>
      <c r="B529" s="136">
        <v>0</v>
      </c>
      <c r="C529" s="136">
        <v>0</v>
      </c>
      <c r="D529" s="149">
        <v>1</v>
      </c>
      <c r="E529" s="18" t="str">
        <f t="shared" si="32"/>
        <v>FALLECIDO</v>
      </c>
      <c r="F529" s="26" t="s">
        <v>849</v>
      </c>
      <c r="G529" s="21">
        <v>5.3266361111111111</v>
      </c>
      <c r="H529" s="21">
        <v>-72.402225000000001</v>
      </c>
      <c r="I529" s="93" t="s">
        <v>697</v>
      </c>
      <c r="J529" s="136" t="s">
        <v>717</v>
      </c>
      <c r="K529" s="24" t="str">
        <f t="shared" si="33"/>
        <v>2024</v>
      </c>
      <c r="L529" s="24" t="str">
        <f t="shared" si="34"/>
        <v>MARZO</v>
      </c>
      <c r="M529" s="224">
        <v>45360</v>
      </c>
      <c r="N529" s="24" t="str">
        <f t="shared" si="35"/>
        <v>SÁBADO</v>
      </c>
      <c r="O529" s="104">
        <v>0.97916666666666663</v>
      </c>
      <c r="P529" s="178" t="s">
        <v>469</v>
      </c>
      <c r="Q529" s="178"/>
      <c r="R529" s="36">
        <f>COUNTIF(Tabla1[[#This Row],[VEHICULOS_ACCIDENTADOS]:[VEHICULOS_ACCIDENTADOS2]],"MOTOCICLETA")</f>
        <v>1</v>
      </c>
      <c r="S529" s="36">
        <f>COUNTIF(Tabla1[[#This Row],[VEHICULOS_ACCIDENTADOS]:[VEHICULOS_ACCIDENTADOS2]],"MOTOCARRO")</f>
        <v>0</v>
      </c>
      <c r="T529" s="36">
        <f>COUNTIF(Tabla1[[#This Row],[VEHICULOS_ACCIDENTADOS]:[VEHICULOS_ACCIDENTADOS2]],"AUTOMOVIL")</f>
        <v>0</v>
      </c>
      <c r="U529" s="36">
        <f>COUNTIF(Tabla1[[#This Row],[VEHICULOS_ACCIDENTADOS]:[VEHICULOS_ACCIDENTADOS2]],"CAMPERO")</f>
        <v>0</v>
      </c>
      <c r="V529" s="36">
        <f>COUNTIF(Tabla1[[#This Row],[VEHICULOS_ACCIDENTADOS]:[VEHICULOS_ACCIDENTADOS2]],"CAMIONETA")</f>
        <v>0</v>
      </c>
      <c r="W529" s="36">
        <f>COUNTIF(Tabla1[[#This Row],[VEHICULOS_ACCIDENTADOS]:[VEHICULOS_ACCIDENTADOS2]],"MICROBUS")</f>
        <v>0</v>
      </c>
      <c r="X529" s="36">
        <f>COUNTIF(Tabla1[[#This Row],[VEHICULOS_ACCIDENTADOS]:[VEHICULOS_ACCIDENTADOS2]],"BUS")</f>
        <v>0</v>
      </c>
      <c r="Y529" s="36">
        <f>COUNTIF(Tabla1[[#This Row],[VEHICULOS_ACCIDENTADOS]:[VEHICULOS_ACCIDENTADOS2]],"BUSETA")</f>
        <v>0</v>
      </c>
      <c r="Z529" s="36">
        <f>COUNTIF(Tabla1[[#This Row],[VEHICULOS_ACCIDENTADOS]:[VEHICULOS_ACCIDENTADOS2]],"CAMION")</f>
        <v>0</v>
      </c>
      <c r="AA529" s="36">
        <f>COUNTIF(Tabla1[[#This Row],[VEHICULOS_ACCIDENTADOS]:[VEHICULOS_ACCIDENTADOS2]],"TRACTOCAMION")</f>
        <v>0</v>
      </c>
      <c r="AB529" s="36">
        <f>COUNTIF(Tabla1[[#This Row],[VEHICULOS_ACCIDENTADOS]:[VEHICULOS_ACCIDENTADOS2]],"VOLQUETA")</f>
        <v>0</v>
      </c>
      <c r="AC529" s="36">
        <f>COUNTIF(Tabla1[[#This Row],[VEHICULOS_ACCIDENTADOS]:[VEHICULOS_ACCIDENTADOS2]],"BICICLETA")</f>
        <v>0</v>
      </c>
      <c r="AD529" s="190" t="s">
        <v>471</v>
      </c>
      <c r="AE529" s="190"/>
      <c r="AF529" s="190">
        <f>COUNTIF(Tabla1[[#This Row],[GENERO_MASCULINO]:[GENERO_FEMENINO]],"MASCULINO")</f>
        <v>1</v>
      </c>
      <c r="AG529" s="36">
        <f>COUNTIF(Tabla1[[#This Row],[GENERO_MASCULINO]:[GENERO_FEMENINO]],"FEMENINO")</f>
        <v>0</v>
      </c>
      <c r="AH529" s="85"/>
      <c r="AI529" s="85"/>
      <c r="AJ529" s="85"/>
      <c r="AK529" s="85"/>
      <c r="AL529" s="85"/>
      <c r="AM529" s="136">
        <v>31</v>
      </c>
      <c r="AN529" s="85">
        <v>139</v>
      </c>
      <c r="AO529" s="36" t="str">
        <f>IFERROR(((VLOOKUP(Tabla1[[#This Row],[HIPOTESIS_1]],listas!$D$1:$E$105,2,FALSE))),"SIN INFORMACIÓN")</f>
        <v>Impericia en el manejo.</v>
      </c>
      <c r="AP529" s="136"/>
      <c r="AQ529" s="36" t="str">
        <f>IFERROR(((VLOOKUP(Tabla1[[#This Row],[HIPOTESIS_2]],listas!$D$1:$E$105,2,FALSE))),"")</f>
        <v/>
      </c>
      <c r="AR529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530" spans="1:44" x14ac:dyDescent="0.25">
      <c r="A530" s="12">
        <v>1041</v>
      </c>
      <c r="B530" s="137">
        <v>0</v>
      </c>
      <c r="C530" s="137">
        <v>0</v>
      </c>
      <c r="D530" s="146">
        <v>2</v>
      </c>
      <c r="E530" s="18" t="str">
        <f t="shared" si="32"/>
        <v>FALLECIDO</v>
      </c>
      <c r="F530" s="152" t="s">
        <v>674</v>
      </c>
      <c r="G530" s="30">
        <v>5.3289799999999996</v>
      </c>
      <c r="H530" s="30">
        <v>-72.395754999999994</v>
      </c>
      <c r="I530" s="93" t="s">
        <v>697</v>
      </c>
      <c r="J530" s="36" t="s">
        <v>717</v>
      </c>
      <c r="K530" s="24" t="str">
        <f t="shared" si="33"/>
        <v>2025</v>
      </c>
      <c r="L530" s="24" t="str">
        <f t="shared" si="34"/>
        <v>AGOSTO</v>
      </c>
      <c r="M530" s="225">
        <v>45879</v>
      </c>
      <c r="N530" s="24" t="str">
        <f t="shared" si="35"/>
        <v>DOMINGO</v>
      </c>
      <c r="O530" s="103">
        <v>6.25E-2</v>
      </c>
      <c r="P530" s="63" t="s">
        <v>469</v>
      </c>
      <c r="Q530" s="63" t="s">
        <v>446</v>
      </c>
      <c r="R530" s="36">
        <f>COUNTIF(Tabla1[[#This Row],[VEHICULOS_ACCIDENTADOS]:[VEHICULOS_ACCIDENTADOS2]],"MOTOCICLETA")</f>
        <v>1</v>
      </c>
      <c r="S530" s="36">
        <f>COUNTIF(Tabla1[[#This Row],[VEHICULOS_ACCIDENTADOS]:[VEHICULOS_ACCIDENTADOS2]],"MOTOCARRO")</f>
        <v>0</v>
      </c>
      <c r="T530" s="36">
        <f>COUNTIF(Tabla1[[#This Row],[VEHICULOS_ACCIDENTADOS]:[VEHICULOS_ACCIDENTADOS2]],"AUTOMOVIL")</f>
        <v>0</v>
      </c>
      <c r="U530" s="36">
        <f>COUNTIF(Tabla1[[#This Row],[VEHICULOS_ACCIDENTADOS]:[VEHICULOS_ACCIDENTADOS2]],"CAMPERO")</f>
        <v>1</v>
      </c>
      <c r="V530" s="36">
        <f>COUNTIF(Tabla1[[#This Row],[VEHICULOS_ACCIDENTADOS]:[VEHICULOS_ACCIDENTADOS2]],"CAMIONETA")</f>
        <v>0</v>
      </c>
      <c r="W530" s="36">
        <f>COUNTIF(Tabla1[[#This Row],[VEHICULOS_ACCIDENTADOS]:[VEHICULOS_ACCIDENTADOS2]],"MICROBUS")</f>
        <v>0</v>
      </c>
      <c r="X530" s="36">
        <f>COUNTIF(Tabla1[[#This Row],[VEHICULOS_ACCIDENTADOS]:[VEHICULOS_ACCIDENTADOS2]],"BUS")</f>
        <v>0</v>
      </c>
      <c r="Y530" s="36">
        <f>COUNTIF(Tabla1[[#This Row],[VEHICULOS_ACCIDENTADOS]:[VEHICULOS_ACCIDENTADOS2]],"BUSETA")</f>
        <v>0</v>
      </c>
      <c r="Z530" s="36">
        <f>COUNTIF(Tabla1[[#This Row],[VEHICULOS_ACCIDENTADOS]:[VEHICULOS_ACCIDENTADOS2]],"CAMION")</f>
        <v>0</v>
      </c>
      <c r="AA530" s="36">
        <f>COUNTIF(Tabla1[[#This Row],[VEHICULOS_ACCIDENTADOS]:[VEHICULOS_ACCIDENTADOS2]],"TRACTOCAMION")</f>
        <v>0</v>
      </c>
      <c r="AB530" s="36">
        <f>COUNTIF(Tabla1[[#This Row],[VEHICULOS_ACCIDENTADOS]:[VEHICULOS_ACCIDENTADOS2]],"VOLQUETA")</f>
        <v>0</v>
      </c>
      <c r="AC530" s="36">
        <f>COUNTIF(Tabla1[[#This Row],[VEHICULOS_ACCIDENTADOS]:[VEHICULOS_ACCIDENTADOS2]],"BICICLETA")</f>
        <v>0</v>
      </c>
      <c r="AD530" s="188" t="s">
        <v>472</v>
      </c>
      <c r="AE530" s="188" t="s">
        <v>472</v>
      </c>
      <c r="AF530" s="56">
        <f>COUNTIF(Tabla1[[#This Row],[GENERO_MASCULINO]:[GENERO_FEMENINO]],"MASCULINO")</f>
        <v>0</v>
      </c>
      <c r="AG530" s="36">
        <f>COUNTIF(Tabla1[[#This Row],[GENERO_MASCULINO]:[GENERO_FEMENINO]],"FEMENINO")</f>
        <v>2</v>
      </c>
      <c r="AH530" s="85">
        <v>30</v>
      </c>
      <c r="AI530" s="85">
        <v>30</v>
      </c>
      <c r="AJ530" s="85"/>
      <c r="AK530" s="78"/>
      <c r="AL530" s="78"/>
      <c r="AM530" s="59"/>
      <c r="AN530" s="61">
        <v>113</v>
      </c>
      <c r="AO530" s="59" t="str">
        <f>IFERROR(((VLOOKUP(Tabla1[[#This Row],[HIPOTESIS_1]],listas!$D$1:$E$105,2,FALSE))),"SIN INFORMACIÓN")</f>
        <v>Desobedecer al agente.</v>
      </c>
      <c r="AP530" s="36"/>
      <c r="AQ530" s="36" t="str">
        <f>IFERROR(((VLOOKUP(Tabla1[[#This Row],[HIPOTESIS_2]],listas!$D$1:$E$105,2,FALSE))),"")</f>
        <v/>
      </c>
      <c r="AR530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531" spans="1:44" x14ac:dyDescent="0.25">
      <c r="A531" s="12">
        <v>732</v>
      </c>
      <c r="B531" s="135">
        <v>0</v>
      </c>
      <c r="C531" s="36">
        <v>1</v>
      </c>
      <c r="D531" s="60">
        <v>0</v>
      </c>
      <c r="E531" s="18" t="str">
        <f t="shared" si="32"/>
        <v>LESIONADO</v>
      </c>
      <c r="F531" s="29" t="s">
        <v>136</v>
      </c>
      <c r="G531" s="21">
        <v>5.3278097222222218</v>
      </c>
      <c r="H531" s="21">
        <v>-72.400271111111124</v>
      </c>
      <c r="I531" s="93" t="s">
        <v>697</v>
      </c>
      <c r="J531" s="136" t="s">
        <v>717</v>
      </c>
      <c r="K531" s="24" t="str">
        <f t="shared" si="33"/>
        <v>2024</v>
      </c>
      <c r="L531" s="24" t="str">
        <f t="shared" si="34"/>
        <v>JUNIO</v>
      </c>
      <c r="M531" s="225">
        <v>45461</v>
      </c>
      <c r="N531" s="24" t="str">
        <f t="shared" si="35"/>
        <v>MARTES</v>
      </c>
      <c r="O531" s="103">
        <v>0.65555555555555556</v>
      </c>
      <c r="P531" s="57" t="s">
        <v>469</v>
      </c>
      <c r="Q531" s="57"/>
      <c r="R531" s="36">
        <f>COUNTIF(Tabla1[[#This Row],[VEHICULOS_ACCIDENTADOS]:[VEHICULOS_ACCIDENTADOS2]],"MOTOCICLETA")</f>
        <v>1</v>
      </c>
      <c r="S531" s="36">
        <f>COUNTIF(Tabla1[[#This Row],[VEHICULOS_ACCIDENTADOS]:[VEHICULOS_ACCIDENTADOS2]],"MOTOCARRO")</f>
        <v>0</v>
      </c>
      <c r="T531" s="36">
        <f>COUNTIF(Tabla1[[#This Row],[VEHICULOS_ACCIDENTADOS]:[VEHICULOS_ACCIDENTADOS2]],"AUTOMOVIL")</f>
        <v>0</v>
      </c>
      <c r="U531" s="36">
        <f>COUNTIF(Tabla1[[#This Row],[VEHICULOS_ACCIDENTADOS]:[VEHICULOS_ACCIDENTADOS2]],"CAMPERO")</f>
        <v>0</v>
      </c>
      <c r="V531" s="36">
        <f>COUNTIF(Tabla1[[#This Row],[VEHICULOS_ACCIDENTADOS]:[VEHICULOS_ACCIDENTADOS2]],"CAMIONETA")</f>
        <v>0</v>
      </c>
      <c r="W531" s="36">
        <f>COUNTIF(Tabla1[[#This Row],[VEHICULOS_ACCIDENTADOS]:[VEHICULOS_ACCIDENTADOS2]],"MICROBUS")</f>
        <v>0</v>
      </c>
      <c r="X531" s="36">
        <f>COUNTIF(Tabla1[[#This Row],[VEHICULOS_ACCIDENTADOS]:[VEHICULOS_ACCIDENTADOS2]],"BUS")</f>
        <v>0</v>
      </c>
      <c r="Y531" s="36">
        <f>COUNTIF(Tabla1[[#This Row],[VEHICULOS_ACCIDENTADOS]:[VEHICULOS_ACCIDENTADOS2]],"BUSETA")</f>
        <v>0</v>
      </c>
      <c r="Z531" s="36">
        <f>COUNTIF(Tabla1[[#This Row],[VEHICULOS_ACCIDENTADOS]:[VEHICULOS_ACCIDENTADOS2]],"CAMION")</f>
        <v>0</v>
      </c>
      <c r="AA531" s="36">
        <f>COUNTIF(Tabla1[[#This Row],[VEHICULOS_ACCIDENTADOS]:[VEHICULOS_ACCIDENTADOS2]],"TRACTOCAMION")</f>
        <v>0</v>
      </c>
      <c r="AB531" s="36">
        <f>COUNTIF(Tabla1[[#This Row],[VEHICULOS_ACCIDENTADOS]:[VEHICULOS_ACCIDENTADOS2]],"VOLQUETA")</f>
        <v>0</v>
      </c>
      <c r="AC531" s="36">
        <f>COUNTIF(Tabla1[[#This Row],[VEHICULOS_ACCIDENTADOS]:[VEHICULOS_ACCIDENTADOS2]],"BICICLETA")</f>
        <v>0</v>
      </c>
      <c r="AD531" s="56" t="s">
        <v>471</v>
      </c>
      <c r="AE531" s="56"/>
      <c r="AF531" s="56">
        <f>COUNTIF(Tabla1[[#This Row],[GENERO_MASCULINO]:[GENERO_FEMENINO]],"MASCULINO")</f>
        <v>1</v>
      </c>
      <c r="AG531" s="36">
        <f>COUNTIF(Tabla1[[#This Row],[GENERO_MASCULINO]:[GENERO_FEMENINO]],"FEMENINO")</f>
        <v>0</v>
      </c>
      <c r="AH531" s="61">
        <v>17</v>
      </c>
      <c r="AI531" s="61">
        <v>46</v>
      </c>
      <c r="AJ531" s="61"/>
      <c r="AK531" s="61"/>
      <c r="AL531" s="61"/>
      <c r="AM531" s="36"/>
      <c r="AN531" s="61">
        <v>127</v>
      </c>
      <c r="AO531" s="36" t="str">
        <f>IFERROR(((VLOOKUP(Tabla1[[#This Row],[HIPOTESIS_1]],listas!$D$1:$E$105,2,FALSE))),"SIN INFORMACIÓN")</f>
        <v>Transitar en contravía.</v>
      </c>
      <c r="AP531" s="36"/>
      <c r="AQ531" s="36" t="str">
        <f>IFERROR(((VLOOKUP(Tabla1[[#This Row],[HIPOTESIS_2]],listas!$D$1:$E$105,2,FALSE))),"")</f>
        <v/>
      </c>
      <c r="AR531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532" spans="1:44" x14ac:dyDescent="0.25">
      <c r="A532" s="12">
        <v>463</v>
      </c>
      <c r="B532" s="36">
        <v>0</v>
      </c>
      <c r="C532" s="36">
        <v>2</v>
      </c>
      <c r="D532" s="60">
        <v>0</v>
      </c>
      <c r="E532" s="18" t="str">
        <f t="shared" si="32"/>
        <v>LESIONADO</v>
      </c>
      <c r="F532" s="29" t="s">
        <v>254</v>
      </c>
      <c r="G532" s="21">
        <v>5.328195</v>
      </c>
      <c r="H532" s="21">
        <v>-72.398396111111111</v>
      </c>
      <c r="I532" s="93" t="s">
        <v>697</v>
      </c>
      <c r="J532" s="36" t="s">
        <v>717</v>
      </c>
      <c r="K532" s="24" t="str">
        <f t="shared" si="33"/>
        <v>2023</v>
      </c>
      <c r="L532" s="24" t="str">
        <f t="shared" si="34"/>
        <v>ABRIL</v>
      </c>
      <c r="M532" s="225">
        <v>45044</v>
      </c>
      <c r="N532" s="24" t="str">
        <f t="shared" si="35"/>
        <v>VIERNES</v>
      </c>
      <c r="O532" s="103">
        <v>0.76388888888888884</v>
      </c>
      <c r="P532" s="57" t="s">
        <v>469</v>
      </c>
      <c r="Q532" s="57"/>
      <c r="R532" s="36">
        <f>COUNTIF(Tabla1[[#This Row],[VEHICULOS_ACCIDENTADOS]:[VEHICULOS_ACCIDENTADOS2]],"MOTOCICLETA")</f>
        <v>1</v>
      </c>
      <c r="S532" s="36">
        <f>COUNTIF(Tabla1[[#This Row],[VEHICULOS_ACCIDENTADOS]:[VEHICULOS_ACCIDENTADOS2]],"MOTOCARRO")</f>
        <v>0</v>
      </c>
      <c r="T532" s="36">
        <f>COUNTIF(Tabla1[[#This Row],[VEHICULOS_ACCIDENTADOS]:[VEHICULOS_ACCIDENTADOS2]],"AUTOMOVIL")</f>
        <v>0</v>
      </c>
      <c r="U532" s="36">
        <f>COUNTIF(Tabla1[[#This Row],[VEHICULOS_ACCIDENTADOS]:[VEHICULOS_ACCIDENTADOS2]],"CAMPERO")</f>
        <v>0</v>
      </c>
      <c r="V532" s="36">
        <f>COUNTIF(Tabla1[[#This Row],[VEHICULOS_ACCIDENTADOS]:[VEHICULOS_ACCIDENTADOS2]],"CAMIONETA")</f>
        <v>0</v>
      </c>
      <c r="W532" s="36">
        <f>COUNTIF(Tabla1[[#This Row],[VEHICULOS_ACCIDENTADOS]:[VEHICULOS_ACCIDENTADOS2]],"MICROBUS")</f>
        <v>0</v>
      </c>
      <c r="X532" s="36">
        <f>COUNTIF(Tabla1[[#This Row],[VEHICULOS_ACCIDENTADOS]:[VEHICULOS_ACCIDENTADOS2]],"BUS")</f>
        <v>0</v>
      </c>
      <c r="Y532" s="36">
        <f>COUNTIF(Tabla1[[#This Row],[VEHICULOS_ACCIDENTADOS]:[VEHICULOS_ACCIDENTADOS2]],"BUSETA")</f>
        <v>0</v>
      </c>
      <c r="Z532" s="36">
        <f>COUNTIF(Tabla1[[#This Row],[VEHICULOS_ACCIDENTADOS]:[VEHICULOS_ACCIDENTADOS2]],"CAMION")</f>
        <v>0</v>
      </c>
      <c r="AA532" s="36">
        <f>COUNTIF(Tabla1[[#This Row],[VEHICULOS_ACCIDENTADOS]:[VEHICULOS_ACCIDENTADOS2]],"TRACTOCAMION")</f>
        <v>0</v>
      </c>
      <c r="AB532" s="36">
        <f>COUNTIF(Tabla1[[#This Row],[VEHICULOS_ACCIDENTADOS]:[VEHICULOS_ACCIDENTADOS2]],"VOLQUETA")</f>
        <v>0</v>
      </c>
      <c r="AC532" s="36">
        <f>COUNTIF(Tabla1[[#This Row],[VEHICULOS_ACCIDENTADOS]:[VEHICULOS_ACCIDENTADOS2]],"BICICLETA")</f>
        <v>0</v>
      </c>
      <c r="AD532" s="56" t="s">
        <v>471</v>
      </c>
      <c r="AE532" s="56"/>
      <c r="AF532" s="56">
        <f>COUNTIF(Tabla1[[#This Row],[GENERO_MASCULINO]:[GENERO_FEMENINO]],"MASCULINO")</f>
        <v>1</v>
      </c>
      <c r="AG532" s="36">
        <f>COUNTIF(Tabla1[[#This Row],[GENERO_MASCULINO]:[GENERO_FEMENINO]],"FEMENINO")</f>
        <v>0</v>
      </c>
      <c r="AH532" s="61">
        <v>21</v>
      </c>
      <c r="AI532" s="61"/>
      <c r="AJ532" s="78"/>
      <c r="AK532" s="61">
        <v>49</v>
      </c>
      <c r="AL532" s="61"/>
      <c r="AM532" s="36"/>
      <c r="AN532" s="61">
        <v>116</v>
      </c>
      <c r="AO532" s="36" t="str">
        <f>IFERROR(((VLOOKUP(Tabla1[[#This Row],[HIPOTESIS_1]],listas!$D$1:$E$105,2,FALSE))),"SIN INFORMACIÓN")</f>
        <v>Exceso de velocidad</v>
      </c>
      <c r="AP532" s="36"/>
      <c r="AQ532" s="36" t="str">
        <f>IFERROR(((VLOOKUP(Tabla1[[#This Row],[HIPOTESIS_2]],listas!$D$1:$E$105,2,FALSE))),"")</f>
        <v/>
      </c>
      <c r="AR532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533" spans="1:44" x14ac:dyDescent="0.25">
      <c r="A533" s="12">
        <v>184</v>
      </c>
      <c r="B533" s="36">
        <v>0</v>
      </c>
      <c r="C533" s="36">
        <v>1</v>
      </c>
      <c r="D533" s="60">
        <v>0</v>
      </c>
      <c r="E533" s="18" t="str">
        <f t="shared" si="32"/>
        <v>LESIONADO</v>
      </c>
      <c r="F533" s="29" t="s">
        <v>853</v>
      </c>
      <c r="G533" s="17">
        <v>5.3265500000000001</v>
      </c>
      <c r="H533" s="17">
        <v>-72.400300000000001</v>
      </c>
      <c r="I533" s="93" t="s">
        <v>697</v>
      </c>
      <c r="J533" s="36" t="s">
        <v>717</v>
      </c>
      <c r="K533" s="24" t="str">
        <f t="shared" si="33"/>
        <v>2022</v>
      </c>
      <c r="L533" s="24" t="str">
        <f t="shared" si="34"/>
        <v>MAYO</v>
      </c>
      <c r="M533" s="225">
        <v>44698</v>
      </c>
      <c r="N533" s="24" t="str">
        <f t="shared" si="35"/>
        <v>MARTES</v>
      </c>
      <c r="O533" s="170">
        <v>0.43055555555555602</v>
      </c>
      <c r="P533" s="53" t="s">
        <v>469</v>
      </c>
      <c r="Q533" s="53" t="s">
        <v>447</v>
      </c>
      <c r="R533" s="36">
        <f>COUNTIF(Tabla1[[#This Row],[VEHICULOS_ACCIDENTADOS]:[VEHICULOS_ACCIDENTADOS2]],"MOTOCICLETA")</f>
        <v>1</v>
      </c>
      <c r="S533" s="36">
        <f>COUNTIF(Tabla1[[#This Row],[VEHICULOS_ACCIDENTADOS]:[VEHICULOS_ACCIDENTADOS2]],"MOTOCARRO")</f>
        <v>0</v>
      </c>
      <c r="T533" s="36">
        <f>COUNTIF(Tabla1[[#This Row],[VEHICULOS_ACCIDENTADOS]:[VEHICULOS_ACCIDENTADOS2]],"AUTOMOVIL")</f>
        <v>1</v>
      </c>
      <c r="U533" s="36">
        <f>COUNTIF(Tabla1[[#This Row],[VEHICULOS_ACCIDENTADOS]:[VEHICULOS_ACCIDENTADOS2]],"CAMPERO")</f>
        <v>0</v>
      </c>
      <c r="V533" s="36">
        <f>COUNTIF(Tabla1[[#This Row],[VEHICULOS_ACCIDENTADOS]:[VEHICULOS_ACCIDENTADOS2]],"CAMIONETA")</f>
        <v>0</v>
      </c>
      <c r="W533" s="36">
        <f>COUNTIF(Tabla1[[#This Row],[VEHICULOS_ACCIDENTADOS]:[VEHICULOS_ACCIDENTADOS2]],"MICROBUS")</f>
        <v>0</v>
      </c>
      <c r="X533" s="36">
        <f>COUNTIF(Tabla1[[#This Row],[VEHICULOS_ACCIDENTADOS]:[VEHICULOS_ACCIDENTADOS2]],"BUS")</f>
        <v>0</v>
      </c>
      <c r="Y533" s="36">
        <f>COUNTIF(Tabla1[[#This Row],[VEHICULOS_ACCIDENTADOS]:[VEHICULOS_ACCIDENTADOS2]],"BUSETA")</f>
        <v>0</v>
      </c>
      <c r="Z533" s="36">
        <f>COUNTIF(Tabla1[[#This Row],[VEHICULOS_ACCIDENTADOS]:[VEHICULOS_ACCIDENTADOS2]],"CAMION")</f>
        <v>0</v>
      </c>
      <c r="AA533" s="36">
        <f>COUNTIF(Tabla1[[#This Row],[VEHICULOS_ACCIDENTADOS]:[VEHICULOS_ACCIDENTADOS2]],"TRACTOCAMION")</f>
        <v>0</v>
      </c>
      <c r="AB533" s="36">
        <f>COUNTIF(Tabla1[[#This Row],[VEHICULOS_ACCIDENTADOS]:[VEHICULOS_ACCIDENTADOS2]],"VOLQUETA")</f>
        <v>0</v>
      </c>
      <c r="AC533" s="36">
        <f>COUNTIF(Tabla1[[#This Row],[VEHICULOS_ACCIDENTADOS]:[VEHICULOS_ACCIDENTADOS2]],"BICICLETA")</f>
        <v>0</v>
      </c>
      <c r="AD533" s="56" t="s">
        <v>471</v>
      </c>
      <c r="AE533" s="56"/>
      <c r="AF533" s="56">
        <f>COUNTIF(Tabla1[[#This Row],[GENERO_MASCULINO]:[GENERO_FEMENINO]],"MASCULINO")</f>
        <v>1</v>
      </c>
      <c r="AG533" s="36">
        <f>COUNTIF(Tabla1[[#This Row],[GENERO_MASCULINO]:[GENERO_FEMENINO]],"FEMENINO")</f>
        <v>0</v>
      </c>
      <c r="AH533" s="61">
        <v>23</v>
      </c>
      <c r="AI533" s="61"/>
      <c r="AJ533" s="61"/>
      <c r="AK533" s="61"/>
      <c r="AL533" s="61"/>
      <c r="AM533" s="36"/>
      <c r="AN533" s="61">
        <v>145</v>
      </c>
      <c r="AO533" s="36" t="str">
        <f>IFERROR(((VLOOKUP(Tabla1[[#This Row],[HIPOTESIS_1]],listas!$D$1:$E$105,2,FALSE))),"SIN INFORMACIÓN")</f>
        <v>Arrancar sin precaución.</v>
      </c>
      <c r="AP533" s="36"/>
      <c r="AQ533" s="36" t="str">
        <f>IFERROR(((VLOOKUP(Tabla1[[#This Row],[HIPOTESIS_2]],listas!$D$1:$E$105,2,FALSE))),"")</f>
        <v/>
      </c>
      <c r="AR533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534" spans="1:44" x14ac:dyDescent="0.25">
      <c r="A534" s="12">
        <v>481</v>
      </c>
      <c r="B534" s="36">
        <v>0</v>
      </c>
      <c r="C534" s="36">
        <v>1</v>
      </c>
      <c r="D534" s="60">
        <v>0</v>
      </c>
      <c r="E534" s="18" t="str">
        <f t="shared" si="32"/>
        <v>LESIONADO</v>
      </c>
      <c r="F534" s="29" t="s">
        <v>854</v>
      </c>
      <c r="G534" s="21">
        <v>5.330886111111111</v>
      </c>
      <c r="H534" s="21">
        <v>-72.382244444444439</v>
      </c>
      <c r="I534" s="93" t="s">
        <v>697</v>
      </c>
      <c r="J534" s="36" t="s">
        <v>717</v>
      </c>
      <c r="K534" s="24" t="str">
        <f t="shared" si="33"/>
        <v>2023</v>
      </c>
      <c r="L534" s="24" t="str">
        <f t="shared" si="34"/>
        <v>MAYO</v>
      </c>
      <c r="M534" s="225">
        <v>45068</v>
      </c>
      <c r="N534" s="24" t="str">
        <f t="shared" si="35"/>
        <v>LUNES</v>
      </c>
      <c r="O534" s="103">
        <v>0.15972222222222224</v>
      </c>
      <c r="P534" s="57" t="s">
        <v>469</v>
      </c>
      <c r="Q534" s="57"/>
      <c r="R534" s="36">
        <f>COUNTIF(Tabla1[[#This Row],[VEHICULOS_ACCIDENTADOS]:[VEHICULOS_ACCIDENTADOS2]],"MOTOCICLETA")</f>
        <v>1</v>
      </c>
      <c r="S534" s="36">
        <f>COUNTIF(Tabla1[[#This Row],[VEHICULOS_ACCIDENTADOS]:[VEHICULOS_ACCIDENTADOS2]],"MOTOCARRO")</f>
        <v>0</v>
      </c>
      <c r="T534" s="36">
        <f>COUNTIF(Tabla1[[#This Row],[VEHICULOS_ACCIDENTADOS]:[VEHICULOS_ACCIDENTADOS2]],"AUTOMOVIL")</f>
        <v>0</v>
      </c>
      <c r="U534" s="36">
        <f>COUNTIF(Tabla1[[#This Row],[VEHICULOS_ACCIDENTADOS]:[VEHICULOS_ACCIDENTADOS2]],"CAMPERO")</f>
        <v>0</v>
      </c>
      <c r="V534" s="36">
        <f>COUNTIF(Tabla1[[#This Row],[VEHICULOS_ACCIDENTADOS]:[VEHICULOS_ACCIDENTADOS2]],"CAMIONETA")</f>
        <v>0</v>
      </c>
      <c r="W534" s="36">
        <f>COUNTIF(Tabla1[[#This Row],[VEHICULOS_ACCIDENTADOS]:[VEHICULOS_ACCIDENTADOS2]],"MICROBUS")</f>
        <v>0</v>
      </c>
      <c r="X534" s="36">
        <f>COUNTIF(Tabla1[[#This Row],[VEHICULOS_ACCIDENTADOS]:[VEHICULOS_ACCIDENTADOS2]],"BUS")</f>
        <v>0</v>
      </c>
      <c r="Y534" s="36">
        <f>COUNTIF(Tabla1[[#This Row],[VEHICULOS_ACCIDENTADOS]:[VEHICULOS_ACCIDENTADOS2]],"BUSETA")</f>
        <v>0</v>
      </c>
      <c r="Z534" s="36">
        <f>COUNTIF(Tabla1[[#This Row],[VEHICULOS_ACCIDENTADOS]:[VEHICULOS_ACCIDENTADOS2]],"CAMION")</f>
        <v>0</v>
      </c>
      <c r="AA534" s="36">
        <f>COUNTIF(Tabla1[[#This Row],[VEHICULOS_ACCIDENTADOS]:[VEHICULOS_ACCIDENTADOS2]],"TRACTOCAMION")</f>
        <v>0</v>
      </c>
      <c r="AB534" s="36">
        <f>COUNTIF(Tabla1[[#This Row],[VEHICULOS_ACCIDENTADOS]:[VEHICULOS_ACCIDENTADOS2]],"VOLQUETA")</f>
        <v>0</v>
      </c>
      <c r="AC534" s="36">
        <f>COUNTIF(Tabla1[[#This Row],[VEHICULOS_ACCIDENTADOS]:[VEHICULOS_ACCIDENTADOS2]],"BICICLETA")</f>
        <v>0</v>
      </c>
      <c r="AD534" s="56" t="s">
        <v>471</v>
      </c>
      <c r="AE534" s="56"/>
      <c r="AF534" s="56">
        <f>COUNTIF(Tabla1[[#This Row],[GENERO_MASCULINO]:[GENERO_FEMENINO]],"MASCULINO")</f>
        <v>1</v>
      </c>
      <c r="AG534" s="36">
        <f>COUNTIF(Tabla1[[#This Row],[GENERO_MASCULINO]:[GENERO_FEMENINO]],"FEMENINO")</f>
        <v>0</v>
      </c>
      <c r="AH534" s="61">
        <v>22</v>
      </c>
      <c r="AI534" s="61"/>
      <c r="AJ534" s="61"/>
      <c r="AK534" s="61"/>
      <c r="AL534" s="61"/>
      <c r="AM534" s="36"/>
      <c r="AN534" s="61">
        <v>114</v>
      </c>
      <c r="AO534" s="36" t="str">
        <f>IFERROR(((VLOOKUP(Tabla1[[#This Row],[HIPOTESIS_1]],listas!$D$1:$E$105,2,FALSE))),"SIN INFORMACIÓN")</f>
        <v>Embriaguez aparente.</v>
      </c>
      <c r="AP534" s="36"/>
      <c r="AQ534" s="36" t="str">
        <f>IFERROR(((VLOOKUP(Tabla1[[#This Row],[HIPOTESIS_2]],listas!$D$1:$E$105,2,FALSE))),"")</f>
        <v/>
      </c>
      <c r="AR534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535" spans="1:44" x14ac:dyDescent="0.25">
      <c r="A535" s="12">
        <v>23</v>
      </c>
      <c r="B535" s="36">
        <v>0</v>
      </c>
      <c r="C535" s="36">
        <v>2</v>
      </c>
      <c r="D535" s="60">
        <v>0</v>
      </c>
      <c r="E535" s="18" t="str">
        <f t="shared" si="32"/>
        <v>LESIONADO</v>
      </c>
      <c r="F535" s="29" t="s">
        <v>855</v>
      </c>
      <c r="G535" s="17">
        <v>5.3317611111111107</v>
      </c>
      <c r="H535" s="17">
        <v>-72.381522222222216</v>
      </c>
      <c r="I535" s="93" t="s">
        <v>697</v>
      </c>
      <c r="J535" s="36" t="s">
        <v>717</v>
      </c>
      <c r="K535" s="24" t="str">
        <f t="shared" si="33"/>
        <v>2022</v>
      </c>
      <c r="L535" s="24" t="str">
        <f t="shared" si="34"/>
        <v>ENERO</v>
      </c>
      <c r="M535" s="225">
        <v>44586</v>
      </c>
      <c r="N535" s="24" t="str">
        <f t="shared" si="35"/>
        <v>MARTES</v>
      </c>
      <c r="O535" s="103">
        <v>0.75</v>
      </c>
      <c r="P535" s="63" t="s">
        <v>469</v>
      </c>
      <c r="Q535" s="63"/>
      <c r="R535" s="36">
        <f>COUNTIF(Tabla1[[#This Row],[VEHICULOS_ACCIDENTADOS]:[VEHICULOS_ACCIDENTADOS2]],"MOTOCICLETA")</f>
        <v>1</v>
      </c>
      <c r="S535" s="36">
        <f>COUNTIF(Tabla1[[#This Row],[VEHICULOS_ACCIDENTADOS]:[VEHICULOS_ACCIDENTADOS2]],"MOTOCARRO")</f>
        <v>0</v>
      </c>
      <c r="T535" s="36">
        <f>COUNTIF(Tabla1[[#This Row],[VEHICULOS_ACCIDENTADOS]:[VEHICULOS_ACCIDENTADOS2]],"AUTOMOVIL")</f>
        <v>0</v>
      </c>
      <c r="U535" s="36">
        <f>COUNTIF(Tabla1[[#This Row],[VEHICULOS_ACCIDENTADOS]:[VEHICULOS_ACCIDENTADOS2]],"CAMPERO")</f>
        <v>0</v>
      </c>
      <c r="V535" s="36">
        <f>COUNTIF(Tabla1[[#This Row],[VEHICULOS_ACCIDENTADOS]:[VEHICULOS_ACCIDENTADOS2]],"CAMIONETA")</f>
        <v>0</v>
      </c>
      <c r="W535" s="36">
        <f>COUNTIF(Tabla1[[#This Row],[VEHICULOS_ACCIDENTADOS]:[VEHICULOS_ACCIDENTADOS2]],"MICROBUS")</f>
        <v>0</v>
      </c>
      <c r="X535" s="36">
        <f>COUNTIF(Tabla1[[#This Row],[VEHICULOS_ACCIDENTADOS]:[VEHICULOS_ACCIDENTADOS2]],"BUS")</f>
        <v>0</v>
      </c>
      <c r="Y535" s="36">
        <f>COUNTIF(Tabla1[[#This Row],[VEHICULOS_ACCIDENTADOS]:[VEHICULOS_ACCIDENTADOS2]],"BUSETA")</f>
        <v>0</v>
      </c>
      <c r="Z535" s="36">
        <f>COUNTIF(Tabla1[[#This Row],[VEHICULOS_ACCIDENTADOS]:[VEHICULOS_ACCIDENTADOS2]],"CAMION")</f>
        <v>0</v>
      </c>
      <c r="AA535" s="36">
        <f>COUNTIF(Tabla1[[#This Row],[VEHICULOS_ACCIDENTADOS]:[VEHICULOS_ACCIDENTADOS2]],"TRACTOCAMION")</f>
        <v>0</v>
      </c>
      <c r="AB535" s="36">
        <f>COUNTIF(Tabla1[[#This Row],[VEHICULOS_ACCIDENTADOS]:[VEHICULOS_ACCIDENTADOS2]],"VOLQUETA")</f>
        <v>0</v>
      </c>
      <c r="AC535" s="36">
        <f>COUNTIF(Tabla1[[#This Row],[VEHICULOS_ACCIDENTADOS]:[VEHICULOS_ACCIDENTADOS2]],"BICICLETA")</f>
        <v>0</v>
      </c>
      <c r="AD535" s="56" t="s">
        <v>471</v>
      </c>
      <c r="AE535" s="56"/>
      <c r="AF535" s="56">
        <f>COUNTIF(Tabla1[[#This Row],[GENERO_MASCULINO]:[GENERO_FEMENINO]],"MASCULINO")</f>
        <v>1</v>
      </c>
      <c r="AG535" s="36">
        <f>COUNTIF(Tabla1[[#This Row],[GENERO_MASCULINO]:[GENERO_FEMENINO]],"FEMENINO")</f>
        <v>0</v>
      </c>
      <c r="AH535" s="61">
        <v>31</v>
      </c>
      <c r="AI535" s="61"/>
      <c r="AJ535" s="61"/>
      <c r="AK535" s="61">
        <v>51</v>
      </c>
      <c r="AL535" s="61"/>
      <c r="AM535" s="36"/>
      <c r="AN535" s="61">
        <v>116</v>
      </c>
      <c r="AO535" s="36" t="str">
        <f>IFERROR(((VLOOKUP(Tabla1[[#This Row],[HIPOTESIS_1]],listas!$D$1:$E$105,2,FALSE))),"SIN INFORMACIÓN")</f>
        <v>Exceso de velocidad</v>
      </c>
      <c r="AP535" s="36"/>
      <c r="AQ535" s="36" t="str">
        <f>IFERROR(((VLOOKUP(Tabla1[[#This Row],[HIPOTESIS_2]],listas!$D$1:$E$105,2,FALSE))),"")</f>
        <v/>
      </c>
      <c r="AR535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536" spans="1:44" x14ac:dyDescent="0.25">
      <c r="A536" s="12">
        <v>1013</v>
      </c>
      <c r="B536" s="137">
        <v>0</v>
      </c>
      <c r="C536" s="137">
        <v>1</v>
      </c>
      <c r="D536" s="146">
        <v>1</v>
      </c>
      <c r="E536" s="18" t="str">
        <f t="shared" si="32"/>
        <v>FALLECIDO</v>
      </c>
      <c r="F536" s="152" t="s">
        <v>666</v>
      </c>
      <c r="G536" s="30">
        <v>5.3250060000000001</v>
      </c>
      <c r="H536" s="30">
        <v>-72.391025999999997</v>
      </c>
      <c r="I536" s="93" t="s">
        <v>697</v>
      </c>
      <c r="J536" s="36" t="s">
        <v>717</v>
      </c>
      <c r="K536" s="24" t="str">
        <f t="shared" si="33"/>
        <v>2025</v>
      </c>
      <c r="L536" s="24" t="str">
        <f t="shared" si="34"/>
        <v>JULIO</v>
      </c>
      <c r="M536" s="225">
        <v>45857</v>
      </c>
      <c r="N536" s="24" t="str">
        <f t="shared" si="35"/>
        <v>SÁBADO</v>
      </c>
      <c r="O536" s="103">
        <v>0.79652777777777783</v>
      </c>
      <c r="P536" s="63" t="s">
        <v>469</v>
      </c>
      <c r="Q536" s="63" t="s">
        <v>469</v>
      </c>
      <c r="R536" s="36">
        <f>COUNTIF(Tabla1[[#This Row],[VEHICULOS_ACCIDENTADOS]:[VEHICULOS_ACCIDENTADOS2]],"MOTOCICLETA")</f>
        <v>2</v>
      </c>
      <c r="S536" s="36">
        <f>COUNTIF(Tabla1[[#This Row],[VEHICULOS_ACCIDENTADOS]:[VEHICULOS_ACCIDENTADOS2]],"MOTOCARRO")</f>
        <v>0</v>
      </c>
      <c r="T536" s="36">
        <f>COUNTIF(Tabla1[[#This Row],[VEHICULOS_ACCIDENTADOS]:[VEHICULOS_ACCIDENTADOS2]],"AUTOMOVIL")</f>
        <v>0</v>
      </c>
      <c r="U536" s="36">
        <f>COUNTIF(Tabla1[[#This Row],[VEHICULOS_ACCIDENTADOS]:[VEHICULOS_ACCIDENTADOS2]],"CAMPERO")</f>
        <v>0</v>
      </c>
      <c r="V536" s="36">
        <f>COUNTIF(Tabla1[[#This Row],[VEHICULOS_ACCIDENTADOS]:[VEHICULOS_ACCIDENTADOS2]],"CAMIONETA")</f>
        <v>0</v>
      </c>
      <c r="W536" s="36">
        <f>COUNTIF(Tabla1[[#This Row],[VEHICULOS_ACCIDENTADOS]:[VEHICULOS_ACCIDENTADOS2]],"MICROBUS")</f>
        <v>0</v>
      </c>
      <c r="X536" s="36">
        <f>COUNTIF(Tabla1[[#This Row],[VEHICULOS_ACCIDENTADOS]:[VEHICULOS_ACCIDENTADOS2]],"BUS")</f>
        <v>0</v>
      </c>
      <c r="Y536" s="36">
        <f>COUNTIF(Tabla1[[#This Row],[VEHICULOS_ACCIDENTADOS]:[VEHICULOS_ACCIDENTADOS2]],"BUSETA")</f>
        <v>0</v>
      </c>
      <c r="Z536" s="36">
        <f>COUNTIF(Tabla1[[#This Row],[VEHICULOS_ACCIDENTADOS]:[VEHICULOS_ACCIDENTADOS2]],"CAMION")</f>
        <v>0</v>
      </c>
      <c r="AA536" s="36">
        <f>COUNTIF(Tabla1[[#This Row],[VEHICULOS_ACCIDENTADOS]:[VEHICULOS_ACCIDENTADOS2]],"TRACTOCAMION")</f>
        <v>0</v>
      </c>
      <c r="AB536" s="36">
        <f>COUNTIF(Tabla1[[#This Row],[VEHICULOS_ACCIDENTADOS]:[VEHICULOS_ACCIDENTADOS2]],"VOLQUETA")</f>
        <v>0</v>
      </c>
      <c r="AC536" s="36">
        <f>COUNTIF(Tabla1[[#This Row],[VEHICULOS_ACCIDENTADOS]:[VEHICULOS_ACCIDENTADOS2]],"BICICLETA")</f>
        <v>0</v>
      </c>
      <c r="AD536" s="56" t="s">
        <v>471</v>
      </c>
      <c r="AE536" s="56" t="s">
        <v>471</v>
      </c>
      <c r="AF536" s="56">
        <f>COUNTIF(Tabla1[[#This Row],[GENERO_MASCULINO]:[GENERO_FEMENINO]],"MASCULINO")</f>
        <v>2</v>
      </c>
      <c r="AG536" s="36">
        <f>COUNTIF(Tabla1[[#This Row],[GENERO_MASCULINO]:[GENERO_FEMENINO]],"FEMENINO")</f>
        <v>0</v>
      </c>
      <c r="AH536" s="85">
        <v>54</v>
      </c>
      <c r="AI536" s="85">
        <v>25</v>
      </c>
      <c r="AJ536" s="85"/>
      <c r="AK536" s="78"/>
      <c r="AL536" s="78"/>
      <c r="AM536" s="59"/>
      <c r="AN536" s="61">
        <v>139</v>
      </c>
      <c r="AO536" s="36" t="str">
        <f>IFERROR(((VLOOKUP(Tabla1[[#This Row],[HIPOTESIS_1]],listas!$D$1:$E$105,2,FALSE))),"SIN INFORMACIÓN")</f>
        <v>Impericia en el manejo.</v>
      </c>
      <c r="AP536" s="36"/>
      <c r="AQ536" s="36" t="str">
        <f>IFERROR(((VLOOKUP(Tabla1[[#This Row],[HIPOTESIS_2]],listas!$D$1:$E$105,2,FALSE))),"")</f>
        <v/>
      </c>
      <c r="AR536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537" spans="1:44" x14ac:dyDescent="0.25">
      <c r="A537" s="12">
        <v>960</v>
      </c>
      <c r="B537" s="136">
        <v>0</v>
      </c>
      <c r="C537" s="136">
        <v>1</v>
      </c>
      <c r="D537" s="148">
        <v>0</v>
      </c>
      <c r="E537" s="18" t="str">
        <f t="shared" si="32"/>
        <v>LESIONADO</v>
      </c>
      <c r="F537" s="26" t="s">
        <v>27</v>
      </c>
      <c r="G537" s="20">
        <v>5.3210309999999996</v>
      </c>
      <c r="H537" s="20">
        <v>-72.402990000000003</v>
      </c>
      <c r="I537" s="93" t="s">
        <v>697</v>
      </c>
      <c r="J537" s="135" t="s">
        <v>717</v>
      </c>
      <c r="K537" s="24" t="str">
        <f t="shared" si="33"/>
        <v>2025</v>
      </c>
      <c r="L537" s="24" t="str">
        <f t="shared" si="34"/>
        <v>MAYO</v>
      </c>
      <c r="M537" s="224">
        <v>45786</v>
      </c>
      <c r="N537" s="24" t="str">
        <f t="shared" si="35"/>
        <v>VIERNES</v>
      </c>
      <c r="O537" s="104">
        <v>0.53819444444444442</v>
      </c>
      <c r="P537" s="63" t="s">
        <v>469</v>
      </c>
      <c r="Q537" s="63"/>
      <c r="R537" s="36">
        <f>COUNTIF(Tabla1[[#This Row],[VEHICULOS_ACCIDENTADOS]:[VEHICULOS_ACCIDENTADOS2]],"MOTOCICLETA")</f>
        <v>1</v>
      </c>
      <c r="S537" s="36">
        <f>COUNTIF(Tabla1[[#This Row],[VEHICULOS_ACCIDENTADOS]:[VEHICULOS_ACCIDENTADOS2]],"MOTOCARRO")</f>
        <v>0</v>
      </c>
      <c r="T537" s="36">
        <f>COUNTIF(Tabla1[[#This Row],[VEHICULOS_ACCIDENTADOS]:[VEHICULOS_ACCIDENTADOS2]],"AUTOMOVIL")</f>
        <v>0</v>
      </c>
      <c r="U537" s="36">
        <f>COUNTIF(Tabla1[[#This Row],[VEHICULOS_ACCIDENTADOS]:[VEHICULOS_ACCIDENTADOS2]],"CAMPERO")</f>
        <v>0</v>
      </c>
      <c r="V537" s="36">
        <f>COUNTIF(Tabla1[[#This Row],[VEHICULOS_ACCIDENTADOS]:[VEHICULOS_ACCIDENTADOS2]],"CAMIONETA")</f>
        <v>0</v>
      </c>
      <c r="W537" s="36">
        <f>COUNTIF(Tabla1[[#This Row],[VEHICULOS_ACCIDENTADOS]:[VEHICULOS_ACCIDENTADOS2]],"MICROBUS")</f>
        <v>0</v>
      </c>
      <c r="X537" s="36">
        <f>COUNTIF(Tabla1[[#This Row],[VEHICULOS_ACCIDENTADOS]:[VEHICULOS_ACCIDENTADOS2]],"BUS")</f>
        <v>0</v>
      </c>
      <c r="Y537" s="36">
        <f>COUNTIF(Tabla1[[#This Row],[VEHICULOS_ACCIDENTADOS]:[VEHICULOS_ACCIDENTADOS2]],"BUSETA")</f>
        <v>0</v>
      </c>
      <c r="Z537" s="36">
        <f>COUNTIF(Tabla1[[#This Row],[VEHICULOS_ACCIDENTADOS]:[VEHICULOS_ACCIDENTADOS2]],"CAMION")</f>
        <v>0</v>
      </c>
      <c r="AA537" s="36">
        <f>COUNTIF(Tabla1[[#This Row],[VEHICULOS_ACCIDENTADOS]:[VEHICULOS_ACCIDENTADOS2]],"TRACTOCAMION")</f>
        <v>0</v>
      </c>
      <c r="AB537" s="36">
        <f>COUNTIF(Tabla1[[#This Row],[VEHICULOS_ACCIDENTADOS]:[VEHICULOS_ACCIDENTADOS2]],"VOLQUETA")</f>
        <v>0</v>
      </c>
      <c r="AC537" s="36">
        <f>COUNTIF(Tabla1[[#This Row],[VEHICULOS_ACCIDENTADOS]:[VEHICULOS_ACCIDENTADOS2]],"BICICLETA")</f>
        <v>0</v>
      </c>
      <c r="AD537" s="56" t="s">
        <v>471</v>
      </c>
      <c r="AE537" s="56" t="s">
        <v>471</v>
      </c>
      <c r="AF537" s="56">
        <f>COUNTIF(Tabla1[[#This Row],[GENERO_MASCULINO]:[GENERO_FEMENINO]],"MASCULINO")</f>
        <v>2</v>
      </c>
      <c r="AG537" s="36">
        <f>COUNTIF(Tabla1[[#This Row],[GENERO_MASCULINO]:[GENERO_FEMENINO]],"FEMENINO")</f>
        <v>0</v>
      </c>
      <c r="AH537" s="85">
        <v>20</v>
      </c>
      <c r="AI537" s="85">
        <v>43</v>
      </c>
      <c r="AJ537" s="85"/>
      <c r="AK537" s="85"/>
      <c r="AL537" s="78"/>
      <c r="AM537" s="59"/>
      <c r="AN537" s="85">
        <v>157</v>
      </c>
      <c r="AO537" s="36" t="str">
        <f>IFERROR(((VLOOKUP(Tabla1[[#This Row],[HIPOTESIS_1]],listas!$D$1:$E$105,2,FALSE))),"SIN INFORMACIÓN")</f>
        <v>Otra</v>
      </c>
      <c r="AP537" s="36"/>
      <c r="AQ537" s="36" t="str">
        <f>IFERROR(((VLOOKUP(Tabla1[[#This Row],[HIPOTESIS_2]],listas!$D$1:$E$105,2,FALSE))),"")</f>
        <v/>
      </c>
      <c r="AR537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538" spans="1:44" x14ac:dyDescent="0.25">
      <c r="A538" s="12">
        <v>980</v>
      </c>
      <c r="B538" s="137">
        <v>0</v>
      </c>
      <c r="C538" s="137">
        <v>2</v>
      </c>
      <c r="D538" s="146">
        <v>0</v>
      </c>
      <c r="E538" s="18" t="str">
        <f t="shared" si="32"/>
        <v>LESIONADO</v>
      </c>
      <c r="F538" s="152" t="s">
        <v>16</v>
      </c>
      <c r="G538" s="30">
        <v>5.3296900000000003</v>
      </c>
      <c r="H538" s="30">
        <v>-72.380277000000007</v>
      </c>
      <c r="I538" s="93" t="s">
        <v>697</v>
      </c>
      <c r="J538" s="36" t="s">
        <v>717</v>
      </c>
      <c r="K538" s="24" t="str">
        <f t="shared" si="33"/>
        <v>2025</v>
      </c>
      <c r="L538" s="24" t="str">
        <f t="shared" si="34"/>
        <v>JUNIO</v>
      </c>
      <c r="M538" s="227">
        <v>45815</v>
      </c>
      <c r="N538" s="24" t="str">
        <f t="shared" si="35"/>
        <v>SÁBADO</v>
      </c>
      <c r="O538" s="103">
        <v>0.85763888888888884</v>
      </c>
      <c r="P538" s="63" t="s">
        <v>469</v>
      </c>
      <c r="Q538" s="63"/>
      <c r="R538" s="36">
        <f>COUNTIF(Tabla1[[#This Row],[VEHICULOS_ACCIDENTADOS]:[VEHICULOS_ACCIDENTADOS2]],"MOTOCICLETA")</f>
        <v>1</v>
      </c>
      <c r="S538" s="36">
        <f>COUNTIF(Tabla1[[#This Row],[VEHICULOS_ACCIDENTADOS]:[VEHICULOS_ACCIDENTADOS2]],"MOTOCARRO")</f>
        <v>0</v>
      </c>
      <c r="T538" s="36">
        <f>COUNTIF(Tabla1[[#This Row],[VEHICULOS_ACCIDENTADOS]:[VEHICULOS_ACCIDENTADOS2]],"AUTOMOVIL")</f>
        <v>0</v>
      </c>
      <c r="U538" s="36">
        <f>COUNTIF(Tabla1[[#This Row],[VEHICULOS_ACCIDENTADOS]:[VEHICULOS_ACCIDENTADOS2]],"CAMPERO")</f>
        <v>0</v>
      </c>
      <c r="V538" s="36">
        <f>COUNTIF(Tabla1[[#This Row],[VEHICULOS_ACCIDENTADOS]:[VEHICULOS_ACCIDENTADOS2]],"CAMIONETA")</f>
        <v>0</v>
      </c>
      <c r="W538" s="36">
        <f>COUNTIF(Tabla1[[#This Row],[VEHICULOS_ACCIDENTADOS]:[VEHICULOS_ACCIDENTADOS2]],"MICROBUS")</f>
        <v>0</v>
      </c>
      <c r="X538" s="36">
        <f>COUNTIF(Tabla1[[#This Row],[VEHICULOS_ACCIDENTADOS]:[VEHICULOS_ACCIDENTADOS2]],"BUS")</f>
        <v>0</v>
      </c>
      <c r="Y538" s="36">
        <f>COUNTIF(Tabla1[[#This Row],[VEHICULOS_ACCIDENTADOS]:[VEHICULOS_ACCIDENTADOS2]],"BUSETA")</f>
        <v>0</v>
      </c>
      <c r="Z538" s="36">
        <f>COUNTIF(Tabla1[[#This Row],[VEHICULOS_ACCIDENTADOS]:[VEHICULOS_ACCIDENTADOS2]],"CAMION")</f>
        <v>0</v>
      </c>
      <c r="AA538" s="36">
        <f>COUNTIF(Tabla1[[#This Row],[VEHICULOS_ACCIDENTADOS]:[VEHICULOS_ACCIDENTADOS2]],"TRACTOCAMION")</f>
        <v>0</v>
      </c>
      <c r="AB538" s="36">
        <f>COUNTIF(Tabla1[[#This Row],[VEHICULOS_ACCIDENTADOS]:[VEHICULOS_ACCIDENTADOS2]],"VOLQUETA")</f>
        <v>0</v>
      </c>
      <c r="AC538" s="36">
        <f>COUNTIF(Tabla1[[#This Row],[VEHICULOS_ACCIDENTADOS]:[VEHICULOS_ACCIDENTADOS2]],"BICICLETA")</f>
        <v>0</v>
      </c>
      <c r="AD538" s="56" t="s">
        <v>471</v>
      </c>
      <c r="AE538" s="56" t="s">
        <v>471</v>
      </c>
      <c r="AF538" s="56">
        <f>COUNTIF(Tabla1[[#This Row],[GENERO_MASCULINO]:[GENERO_FEMENINO]],"MASCULINO")</f>
        <v>2</v>
      </c>
      <c r="AG538" s="36">
        <f>COUNTIF(Tabla1[[#This Row],[GENERO_MASCULINO]:[GENERO_FEMENINO]],"FEMENINO")</f>
        <v>0</v>
      </c>
      <c r="AH538" s="85">
        <v>19</v>
      </c>
      <c r="AI538" s="85">
        <v>14</v>
      </c>
      <c r="AJ538" s="85"/>
      <c r="AK538" s="78"/>
      <c r="AL538" s="78"/>
      <c r="AM538" s="59"/>
      <c r="AN538" s="61">
        <v>157</v>
      </c>
      <c r="AO538" s="36" t="str">
        <f>IFERROR(((VLOOKUP(Tabla1[[#This Row],[HIPOTESIS_1]],listas!$D$1:$E$105,2,FALSE))),"SIN INFORMACIÓN")</f>
        <v>Otra</v>
      </c>
      <c r="AP538" s="36"/>
      <c r="AQ538" s="36" t="str">
        <f>IFERROR(((VLOOKUP(Tabla1[[#This Row],[HIPOTESIS_2]],listas!$D$1:$E$105,2,FALSE))),"")</f>
        <v/>
      </c>
      <c r="AR538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539" spans="1:44" x14ac:dyDescent="0.25">
      <c r="A539" s="12">
        <v>599</v>
      </c>
      <c r="B539" s="36">
        <v>0</v>
      </c>
      <c r="C539" s="36">
        <v>1</v>
      </c>
      <c r="D539" s="60">
        <v>0</v>
      </c>
      <c r="E539" s="18" t="str">
        <f t="shared" si="32"/>
        <v>LESIONADO</v>
      </c>
      <c r="F539" s="29" t="s">
        <v>856</v>
      </c>
      <c r="G539" s="21">
        <v>5.3189166666666665</v>
      </c>
      <c r="H539" s="21">
        <v>-72.401600000000002</v>
      </c>
      <c r="I539" s="93" t="s">
        <v>697</v>
      </c>
      <c r="J539" s="36" t="s">
        <v>717</v>
      </c>
      <c r="K539" s="24" t="str">
        <f t="shared" si="33"/>
        <v>2023</v>
      </c>
      <c r="L539" s="24" t="str">
        <f t="shared" si="34"/>
        <v>NOVIEMBRE</v>
      </c>
      <c r="M539" s="225">
        <v>45235</v>
      </c>
      <c r="N539" s="24" t="str">
        <f t="shared" si="35"/>
        <v>DOMINGO</v>
      </c>
      <c r="O539" s="103">
        <v>0.77083333333333337</v>
      </c>
      <c r="P539" s="57" t="s">
        <v>445</v>
      </c>
      <c r="Q539" s="57"/>
      <c r="R539" s="36">
        <f>COUNTIF(Tabla1[[#This Row],[VEHICULOS_ACCIDENTADOS]:[VEHICULOS_ACCIDENTADOS2]],"MOTOCICLETA")</f>
        <v>0</v>
      </c>
      <c r="S539" s="36">
        <f>COUNTIF(Tabla1[[#This Row],[VEHICULOS_ACCIDENTADOS]:[VEHICULOS_ACCIDENTADOS2]],"MOTOCARRO")</f>
        <v>0</v>
      </c>
      <c r="T539" s="36">
        <f>COUNTIF(Tabla1[[#This Row],[VEHICULOS_ACCIDENTADOS]:[VEHICULOS_ACCIDENTADOS2]],"AUTOMOVIL")</f>
        <v>0</v>
      </c>
      <c r="U539" s="36">
        <f>COUNTIF(Tabla1[[#This Row],[VEHICULOS_ACCIDENTADOS]:[VEHICULOS_ACCIDENTADOS2]],"CAMPERO")</f>
        <v>0</v>
      </c>
      <c r="V539" s="36">
        <f>COUNTIF(Tabla1[[#This Row],[VEHICULOS_ACCIDENTADOS]:[VEHICULOS_ACCIDENTADOS2]],"CAMIONETA")</f>
        <v>1</v>
      </c>
      <c r="W539" s="36">
        <f>COUNTIF(Tabla1[[#This Row],[VEHICULOS_ACCIDENTADOS]:[VEHICULOS_ACCIDENTADOS2]],"MICROBUS")</f>
        <v>0</v>
      </c>
      <c r="X539" s="36">
        <f>COUNTIF(Tabla1[[#This Row],[VEHICULOS_ACCIDENTADOS]:[VEHICULOS_ACCIDENTADOS2]],"BUS")</f>
        <v>0</v>
      </c>
      <c r="Y539" s="36">
        <f>COUNTIF(Tabla1[[#This Row],[VEHICULOS_ACCIDENTADOS]:[VEHICULOS_ACCIDENTADOS2]],"BUSETA")</f>
        <v>0</v>
      </c>
      <c r="Z539" s="36">
        <f>COUNTIF(Tabla1[[#This Row],[VEHICULOS_ACCIDENTADOS]:[VEHICULOS_ACCIDENTADOS2]],"CAMION")</f>
        <v>0</v>
      </c>
      <c r="AA539" s="36">
        <f>COUNTIF(Tabla1[[#This Row],[VEHICULOS_ACCIDENTADOS]:[VEHICULOS_ACCIDENTADOS2]],"TRACTOCAMION")</f>
        <v>0</v>
      </c>
      <c r="AB539" s="36">
        <f>COUNTIF(Tabla1[[#This Row],[VEHICULOS_ACCIDENTADOS]:[VEHICULOS_ACCIDENTADOS2]],"VOLQUETA")</f>
        <v>0</v>
      </c>
      <c r="AC539" s="36">
        <f>COUNTIF(Tabla1[[#This Row],[VEHICULOS_ACCIDENTADOS]:[VEHICULOS_ACCIDENTADOS2]],"BICICLETA")</f>
        <v>0</v>
      </c>
      <c r="AD539" s="56" t="s">
        <v>471</v>
      </c>
      <c r="AE539" s="56"/>
      <c r="AF539" s="56">
        <f>COUNTIF(Tabla1[[#This Row],[GENERO_MASCULINO]:[GENERO_FEMENINO]],"MASCULINO")</f>
        <v>1</v>
      </c>
      <c r="AG539" s="36">
        <f>COUNTIF(Tabla1[[#This Row],[GENERO_MASCULINO]:[GENERO_FEMENINO]],"FEMENINO")</f>
        <v>0</v>
      </c>
      <c r="AH539" s="61"/>
      <c r="AI539" s="61"/>
      <c r="AJ539" s="61"/>
      <c r="AK539" s="61">
        <v>69</v>
      </c>
      <c r="AL539" s="61"/>
      <c r="AM539" s="36"/>
      <c r="AN539" s="61">
        <v>115</v>
      </c>
      <c r="AO539" s="36" t="str">
        <f>IFERROR(((VLOOKUP(Tabla1[[#This Row],[HIPOTESIS_1]],listas!$D$1:$E$105,2,FALSE))),"SIN INFORMACIÓN")</f>
        <v>Embriaguez o Sustancias alucinogenas</v>
      </c>
      <c r="AP539" s="36"/>
      <c r="AQ539" s="36" t="str">
        <f>IFERROR(((VLOOKUP(Tabla1[[#This Row],[HIPOTESIS_2]],listas!$D$1:$E$105,2,FALSE))),"")</f>
        <v/>
      </c>
      <c r="AR539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540" spans="1:44" x14ac:dyDescent="0.25">
      <c r="A540" s="12">
        <v>1111</v>
      </c>
      <c r="B540" s="137">
        <v>1</v>
      </c>
      <c r="C540" s="137">
        <v>0</v>
      </c>
      <c r="D540" s="146">
        <v>0</v>
      </c>
      <c r="E540" s="24" t="str">
        <f t="shared" si="32"/>
        <v>SOLO DAÑO</v>
      </c>
      <c r="F540" s="152" t="s">
        <v>857</v>
      </c>
      <c r="G540" s="30">
        <v>5.3188383333333302</v>
      </c>
      <c r="H540" s="30">
        <v>-72.401088333333306</v>
      </c>
      <c r="I540" s="165" t="s">
        <v>697</v>
      </c>
      <c r="J540" s="36" t="s">
        <v>717</v>
      </c>
      <c r="K540" s="24" t="str">
        <f t="shared" si="33"/>
        <v>2025</v>
      </c>
      <c r="L540" s="24" t="str">
        <f t="shared" si="34"/>
        <v>OCTUBRE</v>
      </c>
      <c r="M540" s="225">
        <v>45934</v>
      </c>
      <c r="N540" s="24" t="str">
        <f t="shared" si="35"/>
        <v>SÁBADO</v>
      </c>
      <c r="O540" s="103">
        <v>0.72499999999999998</v>
      </c>
      <c r="P540" s="63" t="s">
        <v>469</v>
      </c>
      <c r="Q540" s="63"/>
      <c r="R540" s="36">
        <f>COUNTIF(Tabla1[[#This Row],[VEHICULOS_ACCIDENTADOS]:[VEHICULOS_ACCIDENTADOS2]],"MOTOCICLETA")</f>
        <v>1</v>
      </c>
      <c r="S540" s="36">
        <f>COUNTIF(Tabla1[[#This Row],[VEHICULOS_ACCIDENTADOS]:[VEHICULOS_ACCIDENTADOS2]],"MOTOCARRO")</f>
        <v>0</v>
      </c>
      <c r="T540" s="36">
        <f>COUNTIF(Tabla1[[#This Row],[VEHICULOS_ACCIDENTADOS]:[VEHICULOS_ACCIDENTADOS2]],"AUTOMOVIL")</f>
        <v>0</v>
      </c>
      <c r="U540" s="36">
        <f>COUNTIF(Tabla1[[#This Row],[VEHICULOS_ACCIDENTADOS]:[VEHICULOS_ACCIDENTADOS2]],"CAMPERO")</f>
        <v>0</v>
      </c>
      <c r="V540" s="36">
        <f>COUNTIF(Tabla1[[#This Row],[VEHICULOS_ACCIDENTADOS]:[VEHICULOS_ACCIDENTADOS2]],"CAMIONETA")</f>
        <v>0</v>
      </c>
      <c r="W540" s="36">
        <f>COUNTIF(Tabla1[[#This Row],[VEHICULOS_ACCIDENTADOS]:[VEHICULOS_ACCIDENTADOS2]],"MICROBUS")</f>
        <v>0</v>
      </c>
      <c r="X540" s="36">
        <f>COUNTIF(Tabla1[[#This Row],[VEHICULOS_ACCIDENTADOS]:[VEHICULOS_ACCIDENTADOS2]],"BUS")</f>
        <v>0</v>
      </c>
      <c r="Y540" s="36">
        <f>COUNTIF(Tabla1[[#This Row],[VEHICULOS_ACCIDENTADOS]:[VEHICULOS_ACCIDENTADOS2]],"BUSETA")</f>
        <v>0</v>
      </c>
      <c r="Z540" s="36">
        <f>COUNTIF(Tabla1[[#This Row],[VEHICULOS_ACCIDENTADOS]:[VEHICULOS_ACCIDENTADOS2]],"CAMION")</f>
        <v>0</v>
      </c>
      <c r="AA540" s="36">
        <f>COUNTIF(Tabla1[[#This Row],[VEHICULOS_ACCIDENTADOS]:[VEHICULOS_ACCIDENTADOS2]],"TRACTOCAMION")</f>
        <v>0</v>
      </c>
      <c r="AB540" s="36">
        <f>COUNTIF(Tabla1[[#This Row],[VEHICULOS_ACCIDENTADOS]:[VEHICULOS_ACCIDENTADOS2]],"VOLQUETA")</f>
        <v>0</v>
      </c>
      <c r="AC540" s="36">
        <f>COUNTIF(Tabla1[[#This Row],[VEHICULOS_ACCIDENTADOS]:[VEHICULOS_ACCIDENTADOS2]],"BICICLETA")</f>
        <v>0</v>
      </c>
      <c r="AD540" s="188"/>
      <c r="AE540" s="188"/>
      <c r="AF540" s="56">
        <f>COUNTIF(Tabla1[[#This Row],[GENERO_MASCULINO]:[GENERO_FEMENINO]],"MASCULINO")</f>
        <v>0</v>
      </c>
      <c r="AG540" s="36">
        <f>COUNTIF(Tabla1[[#This Row],[GENERO_MASCULINO]:[GENERO_FEMENINO]],"FEMENINO")</f>
        <v>0</v>
      </c>
      <c r="AH540" s="85"/>
      <c r="AI540" s="85"/>
      <c r="AJ540" s="85"/>
      <c r="AK540" s="78"/>
      <c r="AL540" s="78"/>
      <c r="AM540" s="59"/>
      <c r="AN540" s="61">
        <v>409</v>
      </c>
      <c r="AO540" s="59" t="str">
        <f>IFERROR(((VLOOKUP(Tabla1[[#This Row],[HIPOTESIS_1]],listas!$D$1:$E$105,2,FALSE))),"SIN INFORMACIÓN")</f>
        <v>Cruzar sin observar.</v>
      </c>
      <c r="AP540" s="36"/>
      <c r="AQ540" s="36" t="str">
        <f>IFERROR(((VLOOKUP(Tabla1[[#This Row],[HIPOTESIS_2]],listas!$D$1:$E$105,2,FALSE))),"")</f>
        <v/>
      </c>
      <c r="AR540" s="2" t="str">
        <f>IF(HOUR(Tabla1[[#This Row],[HORA_ACCIDENTE]])&lt;6,"MAÑANA",
 IF(HOUR(Tabla1[[#This Row],[HORA_ACCIDENTE]])&lt;12,"MAÑANA",
 IF(HOUR(Tabla1[[#This Row],[HORA_ACCIDENTE]])&lt;18,"TARDE","NOCHE")))</f>
        <v>TARDE</v>
      </c>
    </row>
    <row r="541" spans="1:44" x14ac:dyDescent="0.25">
      <c r="A541" s="12">
        <v>1105</v>
      </c>
      <c r="B541" s="137">
        <v>0</v>
      </c>
      <c r="C541" s="137">
        <v>2</v>
      </c>
      <c r="D541" s="146">
        <v>0</v>
      </c>
      <c r="E541" s="24" t="str">
        <f t="shared" si="32"/>
        <v>LESIONADO</v>
      </c>
      <c r="F541" s="152" t="s">
        <v>858</v>
      </c>
      <c r="G541" s="30">
        <v>5.31986715828491</v>
      </c>
      <c r="H541" s="30">
        <v>-72.393840993294305</v>
      </c>
      <c r="I541" s="165" t="s">
        <v>697</v>
      </c>
      <c r="J541" s="36" t="s">
        <v>717</v>
      </c>
      <c r="K541" s="24" t="str">
        <f t="shared" si="33"/>
        <v>2025</v>
      </c>
      <c r="L541" s="24" t="str">
        <f t="shared" si="34"/>
        <v>OCTUBRE</v>
      </c>
      <c r="M541" s="225">
        <v>45933</v>
      </c>
      <c r="N541" s="24" t="str">
        <f t="shared" si="35"/>
        <v>VIERNES</v>
      </c>
      <c r="O541" s="103">
        <v>0.75</v>
      </c>
      <c r="P541" s="63" t="s">
        <v>469</v>
      </c>
      <c r="Q541" s="63" t="s">
        <v>469</v>
      </c>
      <c r="R541" s="36">
        <f>COUNTIF(Tabla1[[#This Row],[VEHICULOS_ACCIDENTADOS]:[VEHICULOS_ACCIDENTADOS2]],"MOTOCICLETA")</f>
        <v>2</v>
      </c>
      <c r="S541" s="36">
        <f>COUNTIF(Tabla1[[#This Row],[VEHICULOS_ACCIDENTADOS]:[VEHICULOS_ACCIDENTADOS2]],"MOTOCARRO")</f>
        <v>0</v>
      </c>
      <c r="T541" s="36">
        <f>COUNTIF(Tabla1[[#This Row],[VEHICULOS_ACCIDENTADOS]:[VEHICULOS_ACCIDENTADOS2]],"AUTOMOVIL")</f>
        <v>0</v>
      </c>
      <c r="U541" s="36">
        <f>COUNTIF(Tabla1[[#This Row],[VEHICULOS_ACCIDENTADOS]:[VEHICULOS_ACCIDENTADOS2]],"CAMPERO")</f>
        <v>0</v>
      </c>
      <c r="V541" s="36">
        <f>COUNTIF(Tabla1[[#This Row],[VEHICULOS_ACCIDENTADOS]:[VEHICULOS_ACCIDENTADOS2]],"CAMIONETA")</f>
        <v>0</v>
      </c>
      <c r="W541" s="36">
        <f>COUNTIF(Tabla1[[#This Row],[VEHICULOS_ACCIDENTADOS]:[VEHICULOS_ACCIDENTADOS2]],"MICROBUS")</f>
        <v>0</v>
      </c>
      <c r="X541" s="36">
        <f>COUNTIF(Tabla1[[#This Row],[VEHICULOS_ACCIDENTADOS]:[VEHICULOS_ACCIDENTADOS2]],"BUS")</f>
        <v>0</v>
      </c>
      <c r="Y541" s="36">
        <f>COUNTIF(Tabla1[[#This Row],[VEHICULOS_ACCIDENTADOS]:[VEHICULOS_ACCIDENTADOS2]],"BUSETA")</f>
        <v>0</v>
      </c>
      <c r="Z541" s="36">
        <f>COUNTIF(Tabla1[[#This Row],[VEHICULOS_ACCIDENTADOS]:[VEHICULOS_ACCIDENTADOS2]],"CAMION")</f>
        <v>0</v>
      </c>
      <c r="AA541" s="36">
        <f>COUNTIF(Tabla1[[#This Row],[VEHICULOS_ACCIDENTADOS]:[VEHICULOS_ACCIDENTADOS2]],"TRACTOCAMION")</f>
        <v>0</v>
      </c>
      <c r="AB541" s="36">
        <f>COUNTIF(Tabla1[[#This Row],[VEHICULOS_ACCIDENTADOS]:[VEHICULOS_ACCIDENTADOS2]],"VOLQUETA")</f>
        <v>0</v>
      </c>
      <c r="AC541" s="36">
        <f>COUNTIF(Tabla1[[#This Row],[VEHICULOS_ACCIDENTADOS]:[VEHICULOS_ACCIDENTADOS2]],"BICICLETA")</f>
        <v>0</v>
      </c>
      <c r="AD541" s="188" t="s">
        <v>471</v>
      </c>
      <c r="AE541" s="188" t="s">
        <v>471</v>
      </c>
      <c r="AF541" s="56">
        <f>COUNTIF(Tabla1[[#This Row],[GENERO_MASCULINO]:[GENERO_FEMENINO]],"MASCULINO")</f>
        <v>2</v>
      </c>
      <c r="AG541" s="36">
        <f>COUNTIF(Tabla1[[#This Row],[GENERO_MASCULINO]:[GENERO_FEMENINO]],"FEMENINO")</f>
        <v>0</v>
      </c>
      <c r="AH541" s="85">
        <v>29</v>
      </c>
      <c r="AI541" s="85">
        <v>28</v>
      </c>
      <c r="AJ541" s="85"/>
      <c r="AK541" s="78"/>
      <c r="AL541" s="78"/>
      <c r="AM541" s="59"/>
      <c r="AN541" s="61">
        <v>139</v>
      </c>
      <c r="AO541" s="59" t="str">
        <f>IFERROR(((VLOOKUP(Tabla1[[#This Row],[HIPOTESIS_1]],listas!$D$1:$E$105,2,FALSE))),"SIN INFORMACIÓN")</f>
        <v>Impericia en el manejo.</v>
      </c>
      <c r="AP541" s="36"/>
      <c r="AQ541" s="36" t="str">
        <f>IFERROR(((VLOOKUP(Tabla1[[#This Row],[HIPOTESIS_2]],listas!$D$1:$E$105,2,FALSE))),"")</f>
        <v/>
      </c>
      <c r="AR541" s="2" t="str">
        <f>IF(HOUR(Tabla1[[#This Row],[HORA_ACCIDENTE]])&lt;6,"MAÑANA",
 IF(HOUR(Tabla1[[#This Row],[HORA_ACCIDENTE]])&lt;12,"MAÑANA",
 IF(HOUR(Tabla1[[#This Row],[HORA_ACCIDENTE]])&lt;18,"TARDE","NOCHE")))</f>
        <v>NOCHE</v>
      </c>
    </row>
    <row r="542" spans="1:44" x14ac:dyDescent="0.25">
      <c r="A542" s="12">
        <v>498</v>
      </c>
      <c r="B542" s="36">
        <v>0</v>
      </c>
      <c r="C542" s="36">
        <v>1</v>
      </c>
      <c r="D542" s="60">
        <v>0</v>
      </c>
      <c r="E542" s="18" t="str">
        <f t="shared" si="32"/>
        <v>LESIONADO</v>
      </c>
      <c r="F542" s="29" t="s">
        <v>234</v>
      </c>
      <c r="G542" s="21">
        <v>5.3223816666666668</v>
      </c>
      <c r="H542" s="21">
        <v>-72.390037500000005</v>
      </c>
      <c r="I542" s="93" t="s">
        <v>697</v>
      </c>
      <c r="J542" s="36" t="s">
        <v>717</v>
      </c>
      <c r="K542" s="24" t="str">
        <f t="shared" si="33"/>
        <v>2023</v>
      </c>
      <c r="L542" s="24" t="str">
        <f t="shared" si="34"/>
        <v>JUNIO</v>
      </c>
      <c r="M542" s="225">
        <v>45081</v>
      </c>
      <c r="N542" s="24" t="str">
        <f t="shared" si="35"/>
        <v>DOMINGO</v>
      </c>
      <c r="O542" s="103">
        <v>0.84930555555555554</v>
      </c>
      <c r="P542" s="57" t="s">
        <v>469</v>
      </c>
      <c r="Q542" s="57"/>
      <c r="R542" s="36">
        <f>COUNTIF(Tabla1[[#This Row],[VEHICULOS_ACCIDENTADOS]:[VEHICULOS_ACCIDENTADOS2]],"MOTOCICLETA")</f>
        <v>1</v>
      </c>
      <c r="S542" s="36">
        <f>COUNTIF(Tabla1[[#This Row],[VEHICULOS_ACCIDENTADOS]:[VEHICULOS_ACCIDENTADOS2]],"MOTOCARRO")</f>
        <v>0</v>
      </c>
      <c r="T542" s="36">
        <f>COUNTIF(Tabla1[[#This Row],[VEHICULOS_ACCIDENTADOS]:[VEHICULOS_ACCIDENTADOS2]],"AUTOMOVIL")</f>
        <v>0</v>
      </c>
      <c r="U542" s="36">
        <f>COUNTIF(Tabla1[[#This Row],[VEHICULOS_ACCIDENTADOS]:[VEHICULOS_ACCIDENTADOS2]],"CAMPERO")</f>
        <v>0</v>
      </c>
      <c r="V542" s="36">
        <f>COUNTIF(Tabla1[[#This Row],[VEHICULOS_ACCIDENTADOS]:[VEHICULOS_ACCIDENTADOS2]],"CAMIONETA")</f>
        <v>0</v>
      </c>
      <c r="W542" s="36">
        <f>COUNTIF(Tabla1[[#This Row],[VEHICULOS_ACCIDENTADOS]:[VEHICULOS_ACCIDENTADOS2]],"MICROBUS")</f>
        <v>0</v>
      </c>
      <c r="X542" s="36">
        <f>COUNTIF(Tabla1[[#This Row],[VEHICULOS_ACCIDENTADOS]:[VEHICULOS_ACCIDENTADOS2]],"BUS")</f>
        <v>0</v>
      </c>
      <c r="Y542" s="36">
        <f>COUNTIF(Tabla1[[#This Row],[VEHICULOS_ACCIDENTADOS]:[VEHICULOS_ACCIDENTADOS2]],"BUSETA")</f>
        <v>0</v>
      </c>
      <c r="Z542" s="36">
        <f>COUNTIF(Tabla1[[#This Row],[VEHICULOS_ACCIDENTADOS]:[VEHICULOS_ACCIDENTADOS2]],"CAMION")</f>
        <v>0</v>
      </c>
      <c r="AA542" s="36">
        <f>COUNTIF(Tabla1[[#This Row],[VEHICULOS_ACCIDENTADOS]:[VEHICULOS_ACCIDENTADOS2]],"TRACTOCAMION")</f>
        <v>0</v>
      </c>
      <c r="AB542" s="36">
        <f>COUNTIF(Tabla1[[#This Row],[VEHICULOS_ACCIDENTADOS]:[VEHICULOS_ACCIDENTADOS2]],"VOLQUETA")</f>
        <v>0</v>
      </c>
      <c r="AC542" s="36">
        <f>COUNTIF(Tabla1[[#This Row],[VEHICULOS_ACCIDENTADOS]:[VEHICULOS_ACCIDENTADOS2]],"BICICLETA")</f>
        <v>0</v>
      </c>
      <c r="AD542" s="56"/>
      <c r="AE542" s="56" t="s">
        <v>472</v>
      </c>
      <c r="AF542" s="56">
        <f>COUNTIF(Tabla1[[#This Row],[GENERO_MASCULINO]:[GENERO_FEMENINO]],"MASCULINO")</f>
        <v>0</v>
      </c>
      <c r="AG542" s="36">
        <f>COUNTIF(Tabla1[[#This Row],[GENERO_MASCULINO]:[GENERO_FEMENINO]],"FEMENINO")</f>
        <v>1</v>
      </c>
      <c r="AH542" s="61"/>
      <c r="AI542" s="61"/>
      <c r="AJ542" s="61"/>
      <c r="AK542" s="61"/>
      <c r="AL542" s="61">
        <v>26</v>
      </c>
      <c r="AM542" s="36"/>
      <c r="AN542" s="61">
        <v>157</v>
      </c>
      <c r="AO542" s="36" t="str">
        <f>IFERROR(((VLOOKUP(Tabla1[[#This Row],[HIPOTESIS_1]],listas!$D$1:$E$105,2,FALSE))),"SIN INFORMACIÓN")</f>
        <v>Otra</v>
      </c>
      <c r="AP542" s="36"/>
      <c r="AQ542" s="36" t="str">
        <f>IFERROR(((VLOOKUP(Tabla1[[#This Row],[HIPOTESIS_2]],listas!$D$1:$E$105,2,FALSE))),"")</f>
        <v/>
      </c>
      <c r="AR542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543" spans="1:44" x14ac:dyDescent="0.25">
      <c r="A543" s="12">
        <v>986</v>
      </c>
      <c r="B543" s="137">
        <v>0</v>
      </c>
      <c r="C543" s="137">
        <v>2</v>
      </c>
      <c r="D543" s="146">
        <v>0</v>
      </c>
      <c r="E543" s="18" t="str">
        <f t="shared" si="32"/>
        <v>LESIONADO</v>
      </c>
      <c r="F543" s="152" t="s">
        <v>13</v>
      </c>
      <c r="G543" s="30">
        <v>5.3239470000000004</v>
      </c>
      <c r="H543" s="30">
        <v>-72.387145000000004</v>
      </c>
      <c r="I543" s="93" t="s">
        <v>697</v>
      </c>
      <c r="J543" s="36" t="s">
        <v>717</v>
      </c>
      <c r="K543" s="24" t="str">
        <f t="shared" si="33"/>
        <v>2025</v>
      </c>
      <c r="L543" s="24" t="str">
        <f t="shared" si="34"/>
        <v>JUNIO</v>
      </c>
      <c r="M543" s="228">
        <v>45819</v>
      </c>
      <c r="N543" s="24" t="str">
        <f t="shared" si="35"/>
        <v>MIÉRCOLES</v>
      </c>
      <c r="O543" s="103">
        <v>0.77777777777777779</v>
      </c>
      <c r="P543" s="63" t="s">
        <v>469</v>
      </c>
      <c r="Q543" s="63"/>
      <c r="R543" s="36">
        <f>COUNTIF(Tabla1[[#This Row],[VEHICULOS_ACCIDENTADOS]:[VEHICULOS_ACCIDENTADOS2]],"MOTOCICLETA")</f>
        <v>1</v>
      </c>
      <c r="S543" s="36">
        <f>COUNTIF(Tabla1[[#This Row],[VEHICULOS_ACCIDENTADOS]:[VEHICULOS_ACCIDENTADOS2]],"MOTOCARRO")</f>
        <v>0</v>
      </c>
      <c r="T543" s="36">
        <f>COUNTIF(Tabla1[[#This Row],[VEHICULOS_ACCIDENTADOS]:[VEHICULOS_ACCIDENTADOS2]],"AUTOMOVIL")</f>
        <v>0</v>
      </c>
      <c r="U543" s="36">
        <f>COUNTIF(Tabla1[[#This Row],[VEHICULOS_ACCIDENTADOS]:[VEHICULOS_ACCIDENTADOS2]],"CAMPERO")</f>
        <v>0</v>
      </c>
      <c r="V543" s="36">
        <f>COUNTIF(Tabla1[[#This Row],[VEHICULOS_ACCIDENTADOS]:[VEHICULOS_ACCIDENTADOS2]],"CAMIONETA")</f>
        <v>0</v>
      </c>
      <c r="W543" s="36">
        <f>COUNTIF(Tabla1[[#This Row],[VEHICULOS_ACCIDENTADOS]:[VEHICULOS_ACCIDENTADOS2]],"MICROBUS")</f>
        <v>0</v>
      </c>
      <c r="X543" s="36">
        <f>COUNTIF(Tabla1[[#This Row],[VEHICULOS_ACCIDENTADOS]:[VEHICULOS_ACCIDENTADOS2]],"BUS")</f>
        <v>0</v>
      </c>
      <c r="Y543" s="36">
        <f>COUNTIF(Tabla1[[#This Row],[VEHICULOS_ACCIDENTADOS]:[VEHICULOS_ACCIDENTADOS2]],"BUSETA")</f>
        <v>0</v>
      </c>
      <c r="Z543" s="36">
        <f>COUNTIF(Tabla1[[#This Row],[VEHICULOS_ACCIDENTADOS]:[VEHICULOS_ACCIDENTADOS2]],"CAMION")</f>
        <v>0</v>
      </c>
      <c r="AA543" s="36">
        <f>COUNTIF(Tabla1[[#This Row],[VEHICULOS_ACCIDENTADOS]:[VEHICULOS_ACCIDENTADOS2]],"TRACTOCAMION")</f>
        <v>0</v>
      </c>
      <c r="AB543" s="36">
        <f>COUNTIF(Tabla1[[#This Row],[VEHICULOS_ACCIDENTADOS]:[VEHICULOS_ACCIDENTADOS2]],"VOLQUETA")</f>
        <v>0</v>
      </c>
      <c r="AC543" s="36">
        <f>COUNTIF(Tabla1[[#This Row],[VEHICULOS_ACCIDENTADOS]:[VEHICULOS_ACCIDENTADOS2]],"BICICLETA")</f>
        <v>0</v>
      </c>
      <c r="AD543" s="56" t="s">
        <v>472</v>
      </c>
      <c r="AE543" s="56" t="s">
        <v>471</v>
      </c>
      <c r="AF543" s="56">
        <f>COUNTIF(Tabla1[[#This Row],[GENERO_MASCULINO]:[GENERO_FEMENINO]],"MASCULINO")</f>
        <v>1</v>
      </c>
      <c r="AG543" s="36">
        <f>COUNTIF(Tabla1[[#This Row],[GENERO_MASCULINO]:[GENERO_FEMENINO]],"FEMENINO")</f>
        <v>1</v>
      </c>
      <c r="AH543" s="85">
        <v>18</v>
      </c>
      <c r="AI543" s="85">
        <v>8</v>
      </c>
      <c r="AJ543" s="85"/>
      <c r="AK543" s="78"/>
      <c r="AL543" s="78"/>
      <c r="AM543" s="59"/>
      <c r="AN543" s="61">
        <v>139</v>
      </c>
      <c r="AO543" s="36" t="str">
        <f>IFERROR(((VLOOKUP(Tabla1[[#This Row],[HIPOTESIS_1]],listas!$D$1:$E$105,2,FALSE))),"SIN INFORMACIÓN")</f>
        <v>Impericia en el manejo.</v>
      </c>
      <c r="AP543" s="36"/>
      <c r="AQ543" s="36" t="str">
        <f>IFERROR(((VLOOKUP(Tabla1[[#This Row],[HIPOTESIS_2]],listas!$D$1:$E$105,2,FALSE))),"")</f>
        <v/>
      </c>
      <c r="AR543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544" spans="1:44" x14ac:dyDescent="0.25">
      <c r="A544" s="12">
        <v>358</v>
      </c>
      <c r="B544" s="36">
        <v>0</v>
      </c>
      <c r="C544" s="36">
        <v>2</v>
      </c>
      <c r="D544" s="60">
        <v>0</v>
      </c>
      <c r="E544" s="18" t="str">
        <f t="shared" si="32"/>
        <v>LESIONADO</v>
      </c>
      <c r="F544" s="26" t="s">
        <v>861</v>
      </c>
      <c r="G544" s="21">
        <v>5.3187936111111105</v>
      </c>
      <c r="H544" s="21">
        <v>-72.40898833333334</v>
      </c>
      <c r="I544" s="93" t="s">
        <v>697</v>
      </c>
      <c r="J544" s="36" t="s">
        <v>717</v>
      </c>
      <c r="K544" s="24" t="str">
        <f t="shared" si="33"/>
        <v>2022</v>
      </c>
      <c r="L544" s="24" t="str">
        <f t="shared" si="34"/>
        <v>NOVIEMBRE</v>
      </c>
      <c r="M544" s="225">
        <v>44888</v>
      </c>
      <c r="N544" s="24" t="str">
        <f t="shared" si="35"/>
        <v>MIÉRCOLES</v>
      </c>
      <c r="O544" s="170">
        <v>0.29166666666666702</v>
      </c>
      <c r="P544" s="53" t="s">
        <v>469</v>
      </c>
      <c r="Q544" s="53"/>
      <c r="R544" s="36">
        <f>COUNTIF(Tabla1[[#This Row],[VEHICULOS_ACCIDENTADOS]:[VEHICULOS_ACCIDENTADOS2]],"MOTOCICLETA")</f>
        <v>1</v>
      </c>
      <c r="S544" s="36">
        <f>COUNTIF(Tabla1[[#This Row],[VEHICULOS_ACCIDENTADOS]:[VEHICULOS_ACCIDENTADOS2]],"MOTOCARRO")</f>
        <v>0</v>
      </c>
      <c r="T544" s="36">
        <f>COUNTIF(Tabla1[[#This Row],[VEHICULOS_ACCIDENTADOS]:[VEHICULOS_ACCIDENTADOS2]],"AUTOMOVIL")</f>
        <v>0</v>
      </c>
      <c r="U544" s="36">
        <f>COUNTIF(Tabla1[[#This Row],[VEHICULOS_ACCIDENTADOS]:[VEHICULOS_ACCIDENTADOS2]],"CAMPERO")</f>
        <v>0</v>
      </c>
      <c r="V544" s="36">
        <f>COUNTIF(Tabla1[[#This Row],[VEHICULOS_ACCIDENTADOS]:[VEHICULOS_ACCIDENTADOS2]],"CAMIONETA")</f>
        <v>0</v>
      </c>
      <c r="W544" s="36">
        <f>COUNTIF(Tabla1[[#This Row],[VEHICULOS_ACCIDENTADOS]:[VEHICULOS_ACCIDENTADOS2]],"MICROBUS")</f>
        <v>0</v>
      </c>
      <c r="X544" s="36">
        <f>COUNTIF(Tabla1[[#This Row],[VEHICULOS_ACCIDENTADOS]:[VEHICULOS_ACCIDENTADOS2]],"BUS")</f>
        <v>0</v>
      </c>
      <c r="Y544" s="36">
        <f>COUNTIF(Tabla1[[#This Row],[VEHICULOS_ACCIDENTADOS]:[VEHICULOS_ACCIDENTADOS2]],"BUSETA")</f>
        <v>0</v>
      </c>
      <c r="Z544" s="36">
        <f>COUNTIF(Tabla1[[#This Row],[VEHICULOS_ACCIDENTADOS]:[VEHICULOS_ACCIDENTADOS2]],"CAMION")</f>
        <v>0</v>
      </c>
      <c r="AA544" s="36">
        <f>COUNTIF(Tabla1[[#This Row],[VEHICULOS_ACCIDENTADOS]:[VEHICULOS_ACCIDENTADOS2]],"TRACTOCAMION")</f>
        <v>0</v>
      </c>
      <c r="AB544" s="36">
        <f>COUNTIF(Tabla1[[#This Row],[VEHICULOS_ACCIDENTADOS]:[VEHICULOS_ACCIDENTADOS2]],"VOLQUETA")</f>
        <v>0</v>
      </c>
      <c r="AC544" s="36">
        <f>COUNTIF(Tabla1[[#This Row],[VEHICULOS_ACCIDENTADOS]:[VEHICULOS_ACCIDENTADOS2]],"BICICLETA")</f>
        <v>0</v>
      </c>
      <c r="AD544" s="56" t="s">
        <v>471</v>
      </c>
      <c r="AE544" s="56"/>
      <c r="AF544" s="56">
        <f>COUNTIF(Tabla1[[#This Row],[GENERO_MASCULINO]:[GENERO_FEMENINO]],"MASCULINO")</f>
        <v>1</v>
      </c>
      <c r="AG544" s="36">
        <f>COUNTIF(Tabla1[[#This Row],[GENERO_MASCULINO]:[GENERO_FEMENINO]],"FEMENINO")</f>
        <v>0</v>
      </c>
      <c r="AH544" s="61">
        <v>37</v>
      </c>
      <c r="AI544" s="61"/>
      <c r="AJ544" s="61"/>
      <c r="AK544" s="61"/>
      <c r="AL544" s="61">
        <v>32</v>
      </c>
      <c r="AM544" s="36"/>
      <c r="AN544" s="61">
        <v>409</v>
      </c>
      <c r="AO544" s="36" t="str">
        <f>IFERROR(((VLOOKUP(Tabla1[[#This Row],[HIPOTESIS_1]],listas!$D$1:$E$105,2,FALSE))),"SIN INFORMACIÓN")</f>
        <v>Cruzar sin observar.</v>
      </c>
      <c r="AP544" s="36"/>
      <c r="AQ544" s="36" t="str">
        <f>IFERROR(((VLOOKUP(Tabla1[[#This Row],[HIPOTESIS_2]],listas!$D$1:$E$105,2,FALSE))),"")</f>
        <v/>
      </c>
      <c r="AR544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545" spans="1:44" x14ac:dyDescent="0.25">
      <c r="A545" s="12">
        <v>288</v>
      </c>
      <c r="B545" s="36">
        <v>0</v>
      </c>
      <c r="C545" s="36">
        <v>2</v>
      </c>
      <c r="D545" s="60">
        <v>0</v>
      </c>
      <c r="E545" s="18" t="str">
        <f t="shared" si="32"/>
        <v>LESIONADO</v>
      </c>
      <c r="F545" s="29" t="s">
        <v>862</v>
      </c>
      <c r="G545" s="17">
        <v>5.3183788888888888</v>
      </c>
      <c r="H545" s="17">
        <v>-72.397040000000004</v>
      </c>
      <c r="I545" s="93" t="s">
        <v>697</v>
      </c>
      <c r="J545" s="36" t="s">
        <v>717</v>
      </c>
      <c r="K545" s="24" t="str">
        <f t="shared" si="33"/>
        <v>2022</v>
      </c>
      <c r="L545" s="24" t="str">
        <f t="shared" si="34"/>
        <v>AGOSTO</v>
      </c>
      <c r="M545" s="225">
        <v>44800</v>
      </c>
      <c r="N545" s="24" t="str">
        <f t="shared" si="35"/>
        <v>SÁBADO</v>
      </c>
      <c r="O545" s="170">
        <v>0.72916666666666696</v>
      </c>
      <c r="P545" s="53" t="s">
        <v>469</v>
      </c>
      <c r="Q545" s="53"/>
      <c r="R545" s="36">
        <f>COUNTIF(Tabla1[[#This Row],[VEHICULOS_ACCIDENTADOS]:[VEHICULOS_ACCIDENTADOS2]],"MOTOCICLETA")</f>
        <v>1</v>
      </c>
      <c r="S545" s="36">
        <f>COUNTIF(Tabla1[[#This Row],[VEHICULOS_ACCIDENTADOS]:[VEHICULOS_ACCIDENTADOS2]],"MOTOCARRO")</f>
        <v>0</v>
      </c>
      <c r="T545" s="36">
        <f>COUNTIF(Tabla1[[#This Row],[VEHICULOS_ACCIDENTADOS]:[VEHICULOS_ACCIDENTADOS2]],"AUTOMOVIL")</f>
        <v>0</v>
      </c>
      <c r="U545" s="36">
        <f>COUNTIF(Tabla1[[#This Row],[VEHICULOS_ACCIDENTADOS]:[VEHICULOS_ACCIDENTADOS2]],"CAMPERO")</f>
        <v>0</v>
      </c>
      <c r="V545" s="36">
        <f>COUNTIF(Tabla1[[#This Row],[VEHICULOS_ACCIDENTADOS]:[VEHICULOS_ACCIDENTADOS2]],"CAMIONETA")</f>
        <v>0</v>
      </c>
      <c r="W545" s="36">
        <f>COUNTIF(Tabla1[[#This Row],[VEHICULOS_ACCIDENTADOS]:[VEHICULOS_ACCIDENTADOS2]],"MICROBUS")</f>
        <v>0</v>
      </c>
      <c r="X545" s="36">
        <f>COUNTIF(Tabla1[[#This Row],[VEHICULOS_ACCIDENTADOS]:[VEHICULOS_ACCIDENTADOS2]],"BUS")</f>
        <v>0</v>
      </c>
      <c r="Y545" s="36">
        <f>COUNTIF(Tabla1[[#This Row],[VEHICULOS_ACCIDENTADOS]:[VEHICULOS_ACCIDENTADOS2]],"BUSETA")</f>
        <v>0</v>
      </c>
      <c r="Z545" s="36">
        <f>COUNTIF(Tabla1[[#This Row],[VEHICULOS_ACCIDENTADOS]:[VEHICULOS_ACCIDENTADOS2]],"CAMION")</f>
        <v>0</v>
      </c>
      <c r="AA545" s="36">
        <f>COUNTIF(Tabla1[[#This Row],[VEHICULOS_ACCIDENTADOS]:[VEHICULOS_ACCIDENTADOS2]],"TRACTOCAMION")</f>
        <v>0</v>
      </c>
      <c r="AB545" s="36">
        <f>COUNTIF(Tabla1[[#This Row],[VEHICULOS_ACCIDENTADOS]:[VEHICULOS_ACCIDENTADOS2]],"VOLQUETA")</f>
        <v>0</v>
      </c>
      <c r="AC545" s="36">
        <f>COUNTIF(Tabla1[[#This Row],[VEHICULOS_ACCIDENTADOS]:[VEHICULOS_ACCIDENTADOS2]],"BICICLETA")</f>
        <v>0</v>
      </c>
      <c r="AD545" s="56" t="s">
        <v>471</v>
      </c>
      <c r="AE545" s="56" t="s">
        <v>472</v>
      </c>
      <c r="AF545" s="56">
        <f>COUNTIF(Tabla1[[#This Row],[GENERO_MASCULINO]:[GENERO_FEMENINO]],"MASCULINO")</f>
        <v>1</v>
      </c>
      <c r="AG545" s="36">
        <f>COUNTIF(Tabla1[[#This Row],[GENERO_MASCULINO]:[GENERO_FEMENINO]],"FEMENINO")</f>
        <v>1</v>
      </c>
      <c r="AH545" s="61">
        <v>24</v>
      </c>
      <c r="AI545" s="61"/>
      <c r="AJ545" s="61"/>
      <c r="AK545" s="61">
        <v>47</v>
      </c>
      <c r="AL545" s="61"/>
      <c r="AM545" s="36"/>
      <c r="AN545" s="61">
        <v>157</v>
      </c>
      <c r="AO545" s="36" t="str">
        <f>IFERROR(((VLOOKUP(Tabla1[[#This Row],[HIPOTESIS_1]],listas!$D$1:$E$105,2,FALSE))),"SIN INFORMACIÓN")</f>
        <v>Otra</v>
      </c>
      <c r="AP545" s="36"/>
      <c r="AQ545" s="36" t="str">
        <f>IFERROR(((VLOOKUP(Tabla1[[#This Row],[HIPOTESIS_2]],listas!$D$1:$E$105,2,FALSE))),"")</f>
        <v/>
      </c>
      <c r="AR545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546" spans="1:44" x14ac:dyDescent="0.25">
      <c r="A546" s="12">
        <v>135</v>
      </c>
      <c r="B546" s="36">
        <v>0</v>
      </c>
      <c r="C546" s="36">
        <v>2</v>
      </c>
      <c r="D546" s="60">
        <v>0</v>
      </c>
      <c r="E546" s="18" t="str">
        <f t="shared" si="32"/>
        <v>LESIONADO</v>
      </c>
      <c r="F546" s="29" t="s">
        <v>863</v>
      </c>
      <c r="G546" s="17">
        <v>5.3187833333333332</v>
      </c>
      <c r="H546" s="17">
        <v>-72.396027777777789</v>
      </c>
      <c r="I546" s="93" t="s">
        <v>697</v>
      </c>
      <c r="J546" s="36" t="s">
        <v>717</v>
      </c>
      <c r="K546" s="24" t="str">
        <f t="shared" si="33"/>
        <v>2022</v>
      </c>
      <c r="L546" s="24" t="str">
        <f t="shared" si="34"/>
        <v>ABRIL</v>
      </c>
      <c r="M546" s="225">
        <v>44666</v>
      </c>
      <c r="N546" s="24" t="str">
        <f t="shared" si="35"/>
        <v>VIERNES</v>
      </c>
      <c r="O546" s="103">
        <v>9.375E-2</v>
      </c>
      <c r="P546" s="63" t="s">
        <v>469</v>
      </c>
      <c r="Q546" s="63" t="s">
        <v>447</v>
      </c>
      <c r="R546" s="36">
        <f>COUNTIF(Tabla1[[#This Row],[VEHICULOS_ACCIDENTADOS]:[VEHICULOS_ACCIDENTADOS2]],"MOTOCICLETA")</f>
        <v>1</v>
      </c>
      <c r="S546" s="36">
        <f>COUNTIF(Tabla1[[#This Row],[VEHICULOS_ACCIDENTADOS]:[VEHICULOS_ACCIDENTADOS2]],"MOTOCARRO")</f>
        <v>0</v>
      </c>
      <c r="T546" s="36">
        <f>COUNTIF(Tabla1[[#This Row],[VEHICULOS_ACCIDENTADOS]:[VEHICULOS_ACCIDENTADOS2]],"AUTOMOVIL")</f>
        <v>1</v>
      </c>
      <c r="U546" s="36">
        <f>COUNTIF(Tabla1[[#This Row],[VEHICULOS_ACCIDENTADOS]:[VEHICULOS_ACCIDENTADOS2]],"CAMPERO")</f>
        <v>0</v>
      </c>
      <c r="V546" s="36">
        <f>COUNTIF(Tabla1[[#This Row],[VEHICULOS_ACCIDENTADOS]:[VEHICULOS_ACCIDENTADOS2]],"CAMIONETA")</f>
        <v>0</v>
      </c>
      <c r="W546" s="36">
        <f>COUNTIF(Tabla1[[#This Row],[VEHICULOS_ACCIDENTADOS]:[VEHICULOS_ACCIDENTADOS2]],"MICROBUS")</f>
        <v>0</v>
      </c>
      <c r="X546" s="36">
        <f>COUNTIF(Tabla1[[#This Row],[VEHICULOS_ACCIDENTADOS]:[VEHICULOS_ACCIDENTADOS2]],"BUS")</f>
        <v>0</v>
      </c>
      <c r="Y546" s="36">
        <f>COUNTIF(Tabla1[[#This Row],[VEHICULOS_ACCIDENTADOS]:[VEHICULOS_ACCIDENTADOS2]],"BUSETA")</f>
        <v>0</v>
      </c>
      <c r="Z546" s="36">
        <f>COUNTIF(Tabla1[[#This Row],[VEHICULOS_ACCIDENTADOS]:[VEHICULOS_ACCIDENTADOS2]],"CAMION")</f>
        <v>0</v>
      </c>
      <c r="AA546" s="36">
        <f>COUNTIF(Tabla1[[#This Row],[VEHICULOS_ACCIDENTADOS]:[VEHICULOS_ACCIDENTADOS2]],"TRACTOCAMION")</f>
        <v>0</v>
      </c>
      <c r="AB546" s="36">
        <f>COUNTIF(Tabla1[[#This Row],[VEHICULOS_ACCIDENTADOS]:[VEHICULOS_ACCIDENTADOS2]],"VOLQUETA")</f>
        <v>0</v>
      </c>
      <c r="AC546" s="36">
        <f>COUNTIF(Tabla1[[#This Row],[VEHICULOS_ACCIDENTADOS]:[VEHICULOS_ACCIDENTADOS2]],"BICICLETA")</f>
        <v>0</v>
      </c>
      <c r="AD546" s="56" t="s">
        <v>471</v>
      </c>
      <c r="AE546" s="56"/>
      <c r="AF546" s="56">
        <f>COUNTIF(Tabla1[[#This Row],[GENERO_MASCULINO]:[GENERO_FEMENINO]],"MASCULINO")</f>
        <v>1</v>
      </c>
      <c r="AG546" s="36">
        <f>COUNTIF(Tabla1[[#This Row],[GENERO_MASCULINO]:[GENERO_FEMENINO]],"FEMENINO")</f>
        <v>0</v>
      </c>
      <c r="AH546" s="61">
        <v>23</v>
      </c>
      <c r="AI546" s="61">
        <v>21</v>
      </c>
      <c r="AJ546" s="61"/>
      <c r="AK546" s="61"/>
      <c r="AL546" s="61"/>
      <c r="AM546" s="36"/>
      <c r="AN546" s="61">
        <v>157</v>
      </c>
      <c r="AO546" s="36" t="str">
        <f>IFERROR(((VLOOKUP(Tabla1[[#This Row],[HIPOTESIS_1]],listas!$D$1:$E$105,2,FALSE))),"SIN INFORMACIÓN")</f>
        <v>Otra</v>
      </c>
      <c r="AP546" s="36"/>
      <c r="AQ546" s="36" t="str">
        <f>IFERROR(((VLOOKUP(Tabla1[[#This Row],[HIPOTESIS_2]],listas!$D$1:$E$105,2,FALSE))),"")</f>
        <v/>
      </c>
      <c r="AR546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547" spans="1:44" x14ac:dyDescent="0.25">
      <c r="A547" s="12">
        <v>543</v>
      </c>
      <c r="B547" s="36">
        <v>0</v>
      </c>
      <c r="C547" s="36">
        <v>3</v>
      </c>
      <c r="D547" s="60">
        <v>0</v>
      </c>
      <c r="E547" s="18" t="str">
        <f t="shared" si="32"/>
        <v>LESIONADO</v>
      </c>
      <c r="F547" s="29" t="s">
        <v>870</v>
      </c>
      <c r="G547" s="21">
        <v>5.3187813888888886</v>
      </c>
      <c r="H547" s="21">
        <v>-72.410271666666674</v>
      </c>
      <c r="I547" s="93" t="s">
        <v>697</v>
      </c>
      <c r="J547" s="36" t="s">
        <v>717</v>
      </c>
      <c r="K547" s="24" t="str">
        <f t="shared" si="33"/>
        <v>2023</v>
      </c>
      <c r="L547" s="24" t="str">
        <f t="shared" si="34"/>
        <v>AGOSTO</v>
      </c>
      <c r="M547" s="225">
        <v>45167</v>
      </c>
      <c r="N547" s="24" t="str">
        <f t="shared" si="35"/>
        <v>MARTES</v>
      </c>
      <c r="O547" s="101">
        <v>0.58333333333333337</v>
      </c>
      <c r="P547" s="57" t="s">
        <v>469</v>
      </c>
      <c r="Q547" s="57" t="s">
        <v>469</v>
      </c>
      <c r="R547" s="36">
        <f>COUNTIF(Tabla1[[#This Row],[VEHICULOS_ACCIDENTADOS]:[VEHICULOS_ACCIDENTADOS2]],"MOTOCICLETA")</f>
        <v>2</v>
      </c>
      <c r="S547" s="36">
        <f>COUNTIF(Tabla1[[#This Row],[VEHICULOS_ACCIDENTADOS]:[VEHICULOS_ACCIDENTADOS2]],"MOTOCARRO")</f>
        <v>0</v>
      </c>
      <c r="T547" s="36">
        <f>COUNTIF(Tabla1[[#This Row],[VEHICULOS_ACCIDENTADOS]:[VEHICULOS_ACCIDENTADOS2]],"AUTOMOVIL")</f>
        <v>0</v>
      </c>
      <c r="U547" s="36">
        <f>COUNTIF(Tabla1[[#This Row],[VEHICULOS_ACCIDENTADOS]:[VEHICULOS_ACCIDENTADOS2]],"CAMPERO")</f>
        <v>0</v>
      </c>
      <c r="V547" s="36">
        <f>COUNTIF(Tabla1[[#This Row],[VEHICULOS_ACCIDENTADOS]:[VEHICULOS_ACCIDENTADOS2]],"CAMIONETA")</f>
        <v>0</v>
      </c>
      <c r="W547" s="36">
        <f>COUNTIF(Tabla1[[#This Row],[VEHICULOS_ACCIDENTADOS]:[VEHICULOS_ACCIDENTADOS2]],"MICROBUS")</f>
        <v>0</v>
      </c>
      <c r="X547" s="36">
        <f>COUNTIF(Tabla1[[#This Row],[VEHICULOS_ACCIDENTADOS]:[VEHICULOS_ACCIDENTADOS2]],"BUS")</f>
        <v>0</v>
      </c>
      <c r="Y547" s="36">
        <f>COUNTIF(Tabla1[[#This Row],[VEHICULOS_ACCIDENTADOS]:[VEHICULOS_ACCIDENTADOS2]],"BUSETA")</f>
        <v>0</v>
      </c>
      <c r="Z547" s="36">
        <f>COUNTIF(Tabla1[[#This Row],[VEHICULOS_ACCIDENTADOS]:[VEHICULOS_ACCIDENTADOS2]],"CAMION")</f>
        <v>0</v>
      </c>
      <c r="AA547" s="36">
        <f>COUNTIF(Tabla1[[#This Row],[VEHICULOS_ACCIDENTADOS]:[VEHICULOS_ACCIDENTADOS2]],"TRACTOCAMION")</f>
        <v>0</v>
      </c>
      <c r="AB547" s="36">
        <f>COUNTIF(Tabla1[[#This Row],[VEHICULOS_ACCIDENTADOS]:[VEHICULOS_ACCIDENTADOS2]],"VOLQUETA")</f>
        <v>0</v>
      </c>
      <c r="AC547" s="36">
        <f>COUNTIF(Tabla1[[#This Row],[VEHICULOS_ACCIDENTADOS]:[VEHICULOS_ACCIDENTADOS2]],"BICICLETA")</f>
        <v>0</v>
      </c>
      <c r="AD547" s="56" t="s">
        <v>471</v>
      </c>
      <c r="AE547" s="56"/>
      <c r="AF547" s="56">
        <f>COUNTIF(Tabla1[[#This Row],[GENERO_MASCULINO]:[GENERO_FEMENINO]],"MASCULINO")</f>
        <v>1</v>
      </c>
      <c r="AG547" s="36">
        <f>COUNTIF(Tabla1[[#This Row],[GENERO_MASCULINO]:[GENERO_FEMENINO]],"FEMENINO")</f>
        <v>0</v>
      </c>
      <c r="AH547" s="61">
        <v>30</v>
      </c>
      <c r="AI547" s="61">
        <v>21</v>
      </c>
      <c r="AJ547" s="61"/>
      <c r="AK547" s="61"/>
      <c r="AL547" s="61">
        <v>36</v>
      </c>
      <c r="AM547" s="36"/>
      <c r="AN547" s="61">
        <v>103</v>
      </c>
      <c r="AO547" s="36" t="str">
        <f>IFERROR(((VLOOKUP(Tabla1[[#This Row],[HIPOTESIS_1]],listas!$D$1:$E$105,2,FALSE))),"SIN INFORMACIÓN")</f>
        <v>Adelantar cerrando.</v>
      </c>
      <c r="AP547" s="36"/>
      <c r="AQ547" s="36" t="str">
        <f>IFERROR(((VLOOKUP(Tabla1[[#This Row],[HIPOTESIS_2]],listas!$D$1:$E$105,2,FALSE))),"")</f>
        <v/>
      </c>
      <c r="AR547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548" spans="1:44" x14ac:dyDescent="0.25">
      <c r="A548" s="12">
        <v>693</v>
      </c>
      <c r="B548" s="135">
        <v>0</v>
      </c>
      <c r="C548" s="136">
        <v>1</v>
      </c>
      <c r="D548" s="148">
        <v>0</v>
      </c>
      <c r="E548" s="18" t="str">
        <f t="shared" si="32"/>
        <v>LESIONADO</v>
      </c>
      <c r="F548" s="26" t="s">
        <v>871</v>
      </c>
      <c r="G548" s="21">
        <v>5.3344055555555556</v>
      </c>
      <c r="H548" s="21">
        <v>-72.373541666666654</v>
      </c>
      <c r="I548" s="93" t="s">
        <v>697</v>
      </c>
      <c r="J548" s="136" t="s">
        <v>717</v>
      </c>
      <c r="K548" s="24" t="str">
        <f t="shared" si="33"/>
        <v>2024</v>
      </c>
      <c r="L548" s="24" t="str">
        <f t="shared" si="34"/>
        <v>ABRIL</v>
      </c>
      <c r="M548" s="224">
        <v>45397</v>
      </c>
      <c r="N548" s="24" t="str">
        <f t="shared" si="35"/>
        <v>LUNES</v>
      </c>
      <c r="O548" s="104">
        <v>0.63194444444444442</v>
      </c>
      <c r="P548" s="178" t="s">
        <v>438</v>
      </c>
      <c r="Q548" s="178"/>
      <c r="R548" s="36">
        <f>COUNTIF(Tabla1[[#This Row],[VEHICULOS_ACCIDENTADOS]:[VEHICULOS_ACCIDENTADOS2]],"MOTOCICLETA")</f>
        <v>0</v>
      </c>
      <c r="S548" s="36">
        <f>COUNTIF(Tabla1[[#This Row],[VEHICULOS_ACCIDENTADOS]:[VEHICULOS_ACCIDENTADOS2]],"MOTOCARRO")</f>
        <v>0</v>
      </c>
      <c r="T548" s="36">
        <f>COUNTIF(Tabla1[[#This Row],[VEHICULOS_ACCIDENTADOS]:[VEHICULOS_ACCIDENTADOS2]],"AUTOMOVIL")</f>
        <v>0</v>
      </c>
      <c r="U548" s="36">
        <f>COUNTIF(Tabla1[[#This Row],[VEHICULOS_ACCIDENTADOS]:[VEHICULOS_ACCIDENTADOS2]],"CAMPERO")</f>
        <v>0</v>
      </c>
      <c r="V548" s="36">
        <f>COUNTIF(Tabla1[[#This Row],[VEHICULOS_ACCIDENTADOS]:[VEHICULOS_ACCIDENTADOS2]],"CAMIONETA")</f>
        <v>0</v>
      </c>
      <c r="W548" s="36">
        <f>COUNTIF(Tabla1[[#This Row],[VEHICULOS_ACCIDENTADOS]:[VEHICULOS_ACCIDENTADOS2]],"MICROBUS")</f>
        <v>0</v>
      </c>
      <c r="X548" s="36">
        <f>COUNTIF(Tabla1[[#This Row],[VEHICULOS_ACCIDENTADOS]:[VEHICULOS_ACCIDENTADOS2]],"BUS")</f>
        <v>0</v>
      </c>
      <c r="Y548" s="36">
        <f>COUNTIF(Tabla1[[#This Row],[VEHICULOS_ACCIDENTADOS]:[VEHICULOS_ACCIDENTADOS2]],"BUSETA")</f>
        <v>0</v>
      </c>
      <c r="Z548" s="36">
        <f>COUNTIF(Tabla1[[#This Row],[VEHICULOS_ACCIDENTADOS]:[VEHICULOS_ACCIDENTADOS2]],"CAMION")</f>
        <v>0</v>
      </c>
      <c r="AA548" s="36">
        <f>COUNTIF(Tabla1[[#This Row],[VEHICULOS_ACCIDENTADOS]:[VEHICULOS_ACCIDENTADOS2]],"TRACTOCAMION")</f>
        <v>0</v>
      </c>
      <c r="AB548" s="36">
        <f>COUNTIF(Tabla1[[#This Row],[VEHICULOS_ACCIDENTADOS]:[VEHICULOS_ACCIDENTADOS2]],"VOLQUETA")</f>
        <v>0</v>
      </c>
      <c r="AC548" s="36">
        <f>COUNTIF(Tabla1[[#This Row],[VEHICULOS_ACCIDENTADOS]:[VEHICULOS_ACCIDENTADOS2]],"BICICLETA")</f>
        <v>1</v>
      </c>
      <c r="AD548" s="190"/>
      <c r="AE548" s="190" t="s">
        <v>472</v>
      </c>
      <c r="AF548" s="190">
        <f>COUNTIF(Tabla1[[#This Row],[GENERO_MASCULINO]:[GENERO_FEMENINO]],"MASCULINO")</f>
        <v>0</v>
      </c>
      <c r="AG548" s="36">
        <f>COUNTIF(Tabla1[[#This Row],[GENERO_MASCULINO]:[GENERO_FEMENINO]],"FEMENINO")</f>
        <v>1</v>
      </c>
      <c r="AH548" s="85">
        <v>53</v>
      </c>
      <c r="AI548" s="85"/>
      <c r="AJ548" s="85"/>
      <c r="AK548" s="85"/>
      <c r="AL548" s="85"/>
      <c r="AM548" s="136"/>
      <c r="AN548" s="85">
        <v>1</v>
      </c>
      <c r="AO548" s="36" t="str">
        <f>IFERROR(((VLOOKUP(Tabla1[[#This Row],[HIPOTESIS_1]],listas!$D$1:$E$105,2,FALSE))),"SIN INFORMACIÓN")</f>
        <v>SIN INFORMACIÓN</v>
      </c>
      <c r="AP548" s="136"/>
      <c r="AQ548" s="36" t="str">
        <f>IFERROR(((VLOOKUP(Tabla1[[#This Row],[HIPOTESIS_2]],listas!$D$1:$E$105,2,FALSE))),"")</f>
        <v/>
      </c>
      <c r="AR548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549" spans="1:44" x14ac:dyDescent="0.25">
      <c r="A549" s="12">
        <v>264</v>
      </c>
      <c r="B549" s="36">
        <v>0</v>
      </c>
      <c r="C549" s="36">
        <v>1</v>
      </c>
      <c r="D549" s="60">
        <v>0</v>
      </c>
      <c r="E549" s="18" t="str">
        <f t="shared" si="32"/>
        <v>LESIONADO</v>
      </c>
      <c r="F549" s="29" t="s">
        <v>872</v>
      </c>
      <c r="G549" s="21">
        <v>5.3185236111111109</v>
      </c>
      <c r="H549" s="21">
        <v>-72.40307972222223</v>
      </c>
      <c r="I549" s="93" t="s">
        <v>697</v>
      </c>
      <c r="J549" s="36" t="s">
        <v>717</v>
      </c>
      <c r="K549" s="24" t="str">
        <f t="shared" si="33"/>
        <v>2022</v>
      </c>
      <c r="L549" s="24" t="str">
        <f t="shared" si="34"/>
        <v>JULIO</v>
      </c>
      <c r="M549" s="225">
        <v>44772</v>
      </c>
      <c r="N549" s="24" t="str">
        <f t="shared" si="35"/>
        <v>SÁBADO</v>
      </c>
      <c r="O549" s="170">
        <v>2745</v>
      </c>
      <c r="P549" s="53" t="s">
        <v>469</v>
      </c>
      <c r="Q549" s="53" t="s">
        <v>447</v>
      </c>
      <c r="R549" s="36">
        <f>COUNTIF(Tabla1[[#This Row],[VEHICULOS_ACCIDENTADOS]:[VEHICULOS_ACCIDENTADOS2]],"MOTOCICLETA")</f>
        <v>1</v>
      </c>
      <c r="S549" s="36">
        <f>COUNTIF(Tabla1[[#This Row],[VEHICULOS_ACCIDENTADOS]:[VEHICULOS_ACCIDENTADOS2]],"MOTOCARRO")</f>
        <v>0</v>
      </c>
      <c r="T549" s="36">
        <f>COUNTIF(Tabla1[[#This Row],[VEHICULOS_ACCIDENTADOS]:[VEHICULOS_ACCIDENTADOS2]],"AUTOMOVIL")</f>
        <v>1</v>
      </c>
      <c r="U549" s="36">
        <f>COUNTIF(Tabla1[[#This Row],[VEHICULOS_ACCIDENTADOS]:[VEHICULOS_ACCIDENTADOS2]],"CAMPERO")</f>
        <v>0</v>
      </c>
      <c r="V549" s="36">
        <f>COUNTIF(Tabla1[[#This Row],[VEHICULOS_ACCIDENTADOS]:[VEHICULOS_ACCIDENTADOS2]],"CAMIONETA")</f>
        <v>0</v>
      </c>
      <c r="W549" s="36">
        <f>COUNTIF(Tabla1[[#This Row],[VEHICULOS_ACCIDENTADOS]:[VEHICULOS_ACCIDENTADOS2]],"MICROBUS")</f>
        <v>0</v>
      </c>
      <c r="X549" s="36">
        <f>COUNTIF(Tabla1[[#This Row],[VEHICULOS_ACCIDENTADOS]:[VEHICULOS_ACCIDENTADOS2]],"BUS")</f>
        <v>0</v>
      </c>
      <c r="Y549" s="36">
        <f>COUNTIF(Tabla1[[#This Row],[VEHICULOS_ACCIDENTADOS]:[VEHICULOS_ACCIDENTADOS2]],"BUSETA")</f>
        <v>0</v>
      </c>
      <c r="Z549" s="36">
        <f>COUNTIF(Tabla1[[#This Row],[VEHICULOS_ACCIDENTADOS]:[VEHICULOS_ACCIDENTADOS2]],"CAMION")</f>
        <v>0</v>
      </c>
      <c r="AA549" s="36">
        <f>COUNTIF(Tabla1[[#This Row],[VEHICULOS_ACCIDENTADOS]:[VEHICULOS_ACCIDENTADOS2]],"TRACTOCAMION")</f>
        <v>0</v>
      </c>
      <c r="AB549" s="36">
        <f>COUNTIF(Tabla1[[#This Row],[VEHICULOS_ACCIDENTADOS]:[VEHICULOS_ACCIDENTADOS2]],"VOLQUETA")</f>
        <v>0</v>
      </c>
      <c r="AC549" s="36">
        <f>COUNTIF(Tabla1[[#This Row],[VEHICULOS_ACCIDENTADOS]:[VEHICULOS_ACCIDENTADOS2]],"BICICLETA")</f>
        <v>0</v>
      </c>
      <c r="AD549" s="56"/>
      <c r="AE549" s="56" t="s">
        <v>472</v>
      </c>
      <c r="AF549" s="56">
        <f>COUNTIF(Tabla1[[#This Row],[GENERO_MASCULINO]:[GENERO_FEMENINO]],"MASCULINO")</f>
        <v>0</v>
      </c>
      <c r="AG549" s="36">
        <f>COUNTIF(Tabla1[[#This Row],[GENERO_MASCULINO]:[GENERO_FEMENINO]],"FEMENINO")</f>
        <v>1</v>
      </c>
      <c r="AH549" s="61"/>
      <c r="AI549" s="61"/>
      <c r="AJ549" s="61"/>
      <c r="AK549" s="61"/>
      <c r="AL549" s="61">
        <v>35</v>
      </c>
      <c r="AM549" s="36"/>
      <c r="AN549" s="61">
        <v>114</v>
      </c>
      <c r="AO549" s="36" t="str">
        <f>IFERROR(((VLOOKUP(Tabla1[[#This Row],[HIPOTESIS_1]],listas!$D$1:$E$105,2,FALSE))),"SIN INFORMACIÓN")</f>
        <v>Embriaguez aparente.</v>
      </c>
      <c r="AP549" s="36"/>
      <c r="AQ549" s="36" t="str">
        <f>IFERROR(((VLOOKUP(Tabla1[[#This Row],[HIPOTESIS_2]],listas!$D$1:$E$105,2,FALSE))),"")</f>
        <v/>
      </c>
      <c r="AR549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550" spans="1:44" ht="13.8" customHeight="1" x14ac:dyDescent="0.25">
      <c r="A550" s="12">
        <v>746</v>
      </c>
      <c r="B550" s="135">
        <v>0</v>
      </c>
      <c r="C550" s="36">
        <v>1</v>
      </c>
      <c r="D550" s="60">
        <v>0</v>
      </c>
      <c r="E550" s="18" t="str">
        <f t="shared" si="32"/>
        <v>LESIONADO</v>
      </c>
      <c r="F550" s="29" t="s">
        <v>874</v>
      </c>
      <c r="G550" s="21">
        <v>5.3184322222222216</v>
      </c>
      <c r="H550" s="21">
        <v>-72.401526666666669</v>
      </c>
      <c r="I550" s="93" t="s">
        <v>697</v>
      </c>
      <c r="J550" s="136" t="s">
        <v>717</v>
      </c>
      <c r="K550" s="24" t="str">
        <f t="shared" si="33"/>
        <v>2024</v>
      </c>
      <c r="L550" s="24" t="str">
        <f t="shared" si="34"/>
        <v>JULIO</v>
      </c>
      <c r="M550" s="225">
        <v>45491</v>
      </c>
      <c r="N550" s="24" t="str">
        <f t="shared" si="35"/>
        <v>JUEVES</v>
      </c>
      <c r="O550" s="103">
        <v>0.62847222222222221</v>
      </c>
      <c r="P550" s="57" t="s">
        <v>469</v>
      </c>
      <c r="Q550" s="57" t="s">
        <v>469</v>
      </c>
      <c r="R550" s="36">
        <f>COUNTIF(Tabla1[[#This Row],[VEHICULOS_ACCIDENTADOS]:[VEHICULOS_ACCIDENTADOS2]],"MOTOCICLETA")</f>
        <v>2</v>
      </c>
      <c r="S550" s="36">
        <f>COUNTIF(Tabla1[[#This Row],[VEHICULOS_ACCIDENTADOS]:[VEHICULOS_ACCIDENTADOS2]],"MOTOCARRO")</f>
        <v>0</v>
      </c>
      <c r="T550" s="36">
        <f>COUNTIF(Tabla1[[#This Row],[VEHICULOS_ACCIDENTADOS]:[VEHICULOS_ACCIDENTADOS2]],"AUTOMOVIL")</f>
        <v>0</v>
      </c>
      <c r="U550" s="36">
        <f>COUNTIF(Tabla1[[#This Row],[VEHICULOS_ACCIDENTADOS]:[VEHICULOS_ACCIDENTADOS2]],"CAMPERO")</f>
        <v>0</v>
      </c>
      <c r="V550" s="36">
        <f>COUNTIF(Tabla1[[#This Row],[VEHICULOS_ACCIDENTADOS]:[VEHICULOS_ACCIDENTADOS2]],"CAMIONETA")</f>
        <v>0</v>
      </c>
      <c r="W550" s="36">
        <f>COUNTIF(Tabla1[[#This Row],[VEHICULOS_ACCIDENTADOS]:[VEHICULOS_ACCIDENTADOS2]],"MICROBUS")</f>
        <v>0</v>
      </c>
      <c r="X550" s="36">
        <f>COUNTIF(Tabla1[[#This Row],[VEHICULOS_ACCIDENTADOS]:[VEHICULOS_ACCIDENTADOS2]],"BUS")</f>
        <v>0</v>
      </c>
      <c r="Y550" s="36">
        <f>COUNTIF(Tabla1[[#This Row],[VEHICULOS_ACCIDENTADOS]:[VEHICULOS_ACCIDENTADOS2]],"BUSETA")</f>
        <v>0</v>
      </c>
      <c r="Z550" s="36">
        <f>COUNTIF(Tabla1[[#This Row],[VEHICULOS_ACCIDENTADOS]:[VEHICULOS_ACCIDENTADOS2]],"CAMION")</f>
        <v>0</v>
      </c>
      <c r="AA550" s="36">
        <f>COUNTIF(Tabla1[[#This Row],[VEHICULOS_ACCIDENTADOS]:[VEHICULOS_ACCIDENTADOS2]],"TRACTOCAMION")</f>
        <v>0</v>
      </c>
      <c r="AB550" s="36">
        <f>COUNTIF(Tabla1[[#This Row],[VEHICULOS_ACCIDENTADOS]:[VEHICULOS_ACCIDENTADOS2]],"VOLQUETA")</f>
        <v>0</v>
      </c>
      <c r="AC550" s="36">
        <f>COUNTIF(Tabla1[[#This Row],[VEHICULOS_ACCIDENTADOS]:[VEHICULOS_ACCIDENTADOS2]],"BICICLETA")</f>
        <v>0</v>
      </c>
      <c r="AD550" s="56" t="s">
        <v>471</v>
      </c>
      <c r="AE550" s="56"/>
      <c r="AF550" s="56">
        <f>COUNTIF(Tabla1[[#This Row],[GENERO_MASCULINO]:[GENERO_FEMENINO]],"MASCULINO")</f>
        <v>1</v>
      </c>
      <c r="AG550" s="36">
        <f>COUNTIF(Tabla1[[#This Row],[GENERO_MASCULINO]:[GENERO_FEMENINO]],"FEMENINO")</f>
        <v>0</v>
      </c>
      <c r="AH550" s="61">
        <v>25</v>
      </c>
      <c r="AI550" s="61">
        <v>21</v>
      </c>
      <c r="AJ550" s="61"/>
      <c r="AK550" s="61"/>
      <c r="AL550" s="61"/>
      <c r="AM550" s="36"/>
      <c r="AN550" s="61">
        <v>122</v>
      </c>
      <c r="AO550" s="36" t="str">
        <f>IFERROR(((VLOOKUP(Tabla1[[#This Row],[HIPOTESIS_1]],listas!$D$1:$E$105,2,FALSE))),"SIN INFORMACIÓN")</f>
        <v>Girar bruscamente.</v>
      </c>
      <c r="AP550" s="36"/>
      <c r="AQ550" s="36" t="str">
        <f>IFERROR(((VLOOKUP(Tabla1[[#This Row],[HIPOTESIS_2]],listas!$D$1:$E$105,2,FALSE))),"")</f>
        <v/>
      </c>
      <c r="AR550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551" spans="1:44" x14ac:dyDescent="0.25">
      <c r="A551" s="12">
        <v>1113</v>
      </c>
      <c r="B551" s="137">
        <v>0</v>
      </c>
      <c r="C551" s="137">
        <v>3</v>
      </c>
      <c r="D551" s="146">
        <v>0</v>
      </c>
      <c r="E551" s="24" t="str">
        <f t="shared" si="32"/>
        <v>LESIONADO</v>
      </c>
      <c r="F551" s="152" t="s">
        <v>876</v>
      </c>
      <c r="G551" s="30">
        <v>5.3181522965823103</v>
      </c>
      <c r="H551" s="30">
        <v>-72.414222495760299</v>
      </c>
      <c r="I551" s="165" t="s">
        <v>697</v>
      </c>
      <c r="J551" s="36" t="s">
        <v>717</v>
      </c>
      <c r="K551" s="24" t="str">
        <f t="shared" si="33"/>
        <v>2025</v>
      </c>
      <c r="L551" s="24" t="str">
        <f t="shared" si="34"/>
        <v>OCTUBRE</v>
      </c>
      <c r="M551" s="225">
        <v>45934</v>
      </c>
      <c r="N551" s="24" t="str">
        <f t="shared" si="35"/>
        <v>SÁBADO</v>
      </c>
      <c r="O551" s="103">
        <v>0.88888888888888884</v>
      </c>
      <c r="P551" s="63" t="s">
        <v>469</v>
      </c>
      <c r="Q551" s="63"/>
      <c r="R551" s="36">
        <f>COUNTIF(Tabla1[[#This Row],[VEHICULOS_ACCIDENTADOS]:[VEHICULOS_ACCIDENTADOS2]],"MOTOCICLETA")</f>
        <v>1</v>
      </c>
      <c r="S551" s="36">
        <f>COUNTIF(Tabla1[[#This Row],[VEHICULOS_ACCIDENTADOS]:[VEHICULOS_ACCIDENTADOS2]],"MOTOCARRO")</f>
        <v>0</v>
      </c>
      <c r="T551" s="36">
        <f>COUNTIF(Tabla1[[#This Row],[VEHICULOS_ACCIDENTADOS]:[VEHICULOS_ACCIDENTADOS2]],"AUTOMOVIL")</f>
        <v>0</v>
      </c>
      <c r="U551" s="36">
        <f>COUNTIF(Tabla1[[#This Row],[VEHICULOS_ACCIDENTADOS]:[VEHICULOS_ACCIDENTADOS2]],"CAMPERO")</f>
        <v>0</v>
      </c>
      <c r="V551" s="36">
        <f>COUNTIF(Tabla1[[#This Row],[VEHICULOS_ACCIDENTADOS]:[VEHICULOS_ACCIDENTADOS2]],"CAMIONETA")</f>
        <v>0</v>
      </c>
      <c r="W551" s="36">
        <f>COUNTIF(Tabla1[[#This Row],[VEHICULOS_ACCIDENTADOS]:[VEHICULOS_ACCIDENTADOS2]],"MICROBUS")</f>
        <v>0</v>
      </c>
      <c r="X551" s="36">
        <f>COUNTIF(Tabla1[[#This Row],[VEHICULOS_ACCIDENTADOS]:[VEHICULOS_ACCIDENTADOS2]],"BUS")</f>
        <v>0</v>
      </c>
      <c r="Y551" s="36">
        <f>COUNTIF(Tabla1[[#This Row],[VEHICULOS_ACCIDENTADOS]:[VEHICULOS_ACCIDENTADOS2]],"BUSETA")</f>
        <v>0</v>
      </c>
      <c r="Z551" s="36">
        <f>COUNTIF(Tabla1[[#This Row],[VEHICULOS_ACCIDENTADOS]:[VEHICULOS_ACCIDENTADOS2]],"CAMION")</f>
        <v>0</v>
      </c>
      <c r="AA551" s="36">
        <f>COUNTIF(Tabla1[[#This Row],[VEHICULOS_ACCIDENTADOS]:[VEHICULOS_ACCIDENTADOS2]],"TRACTOCAMION")</f>
        <v>0</v>
      </c>
      <c r="AB551" s="36">
        <f>COUNTIF(Tabla1[[#This Row],[VEHICULOS_ACCIDENTADOS]:[VEHICULOS_ACCIDENTADOS2]],"VOLQUETA")</f>
        <v>0</v>
      </c>
      <c r="AC551" s="36">
        <f>COUNTIF(Tabla1[[#This Row],[VEHICULOS_ACCIDENTADOS]:[VEHICULOS_ACCIDENTADOS2]],"BICICLETA")</f>
        <v>0</v>
      </c>
      <c r="AD551" s="188" t="s">
        <v>471</v>
      </c>
      <c r="AE551" s="188" t="s">
        <v>472</v>
      </c>
      <c r="AF551" s="56">
        <f>COUNTIF(Tabla1[[#This Row],[GENERO_MASCULINO]:[GENERO_FEMENINO]],"MASCULINO")</f>
        <v>1</v>
      </c>
      <c r="AG551" s="36">
        <f>COUNTIF(Tabla1[[#This Row],[GENERO_MASCULINO]:[GENERO_FEMENINO]],"FEMENINO")</f>
        <v>1</v>
      </c>
      <c r="AH551" s="85">
        <v>29</v>
      </c>
      <c r="AI551" s="85">
        <v>38</v>
      </c>
      <c r="AJ551" s="85"/>
      <c r="AK551" s="78"/>
      <c r="AL551" s="78"/>
      <c r="AM551" s="59"/>
      <c r="AN551" s="61">
        <v>114</v>
      </c>
      <c r="AO551" s="59" t="str">
        <f>IFERROR(((VLOOKUP(Tabla1[[#This Row],[HIPOTESIS_1]],listas!$D$1:$E$105,2,FALSE))),"SIN INFORMACIÓN")</f>
        <v>Embriaguez aparente.</v>
      </c>
      <c r="AP551" s="36"/>
      <c r="AQ551" s="36" t="str">
        <f>IFERROR(((VLOOKUP(Tabla1[[#This Row],[HIPOTESIS_2]],listas!$D$1:$E$105,2,FALSE))),"")</f>
        <v/>
      </c>
      <c r="AR551" s="2" t="str">
        <f>IF(HOUR(Tabla1[[#This Row],[HORA_ACCIDENTE]])&lt;6,"MAÑANA",
 IF(HOUR(Tabla1[[#This Row],[HORA_ACCIDENTE]])&lt;12,"MAÑANA",
 IF(HOUR(Tabla1[[#This Row],[HORA_ACCIDENTE]])&lt;18,"TARDE","NOCHE")))</f>
        <v>NOCHE</v>
      </c>
    </row>
    <row r="552" spans="1:44" x14ac:dyDescent="0.25">
      <c r="A552" s="12">
        <v>1017</v>
      </c>
      <c r="B552" s="137">
        <v>1</v>
      </c>
      <c r="C552" s="137">
        <v>0</v>
      </c>
      <c r="D552" s="146">
        <v>0</v>
      </c>
      <c r="E552" s="18" t="str">
        <f t="shared" si="32"/>
        <v>SOLO DAÑO</v>
      </c>
      <c r="F552" s="152" t="s">
        <v>464</v>
      </c>
      <c r="G552" s="30">
        <v>5.3216229999999998</v>
      </c>
      <c r="H552" s="30">
        <v>-72.387452999999994</v>
      </c>
      <c r="I552" s="93" t="s">
        <v>697</v>
      </c>
      <c r="J552" s="36" t="s">
        <v>717</v>
      </c>
      <c r="K552" s="24" t="str">
        <f t="shared" si="33"/>
        <v>2025</v>
      </c>
      <c r="L552" s="24" t="str">
        <f t="shared" si="34"/>
        <v>JULIO</v>
      </c>
      <c r="M552" s="225">
        <v>45856</v>
      </c>
      <c r="N552" s="24" t="str">
        <f t="shared" si="35"/>
        <v>VIERNES</v>
      </c>
      <c r="O552" s="103">
        <v>0.28472222222222221</v>
      </c>
      <c r="P552" s="63" t="s">
        <v>469</v>
      </c>
      <c r="Q552" s="63" t="s">
        <v>447</v>
      </c>
      <c r="R552" s="36">
        <f>COUNTIF(Tabla1[[#This Row],[VEHICULOS_ACCIDENTADOS]:[VEHICULOS_ACCIDENTADOS2]],"MOTOCICLETA")</f>
        <v>1</v>
      </c>
      <c r="S552" s="36">
        <f>COUNTIF(Tabla1[[#This Row],[VEHICULOS_ACCIDENTADOS]:[VEHICULOS_ACCIDENTADOS2]],"MOTOCARRO")</f>
        <v>0</v>
      </c>
      <c r="T552" s="36">
        <f>COUNTIF(Tabla1[[#This Row],[VEHICULOS_ACCIDENTADOS]:[VEHICULOS_ACCIDENTADOS2]],"AUTOMOVIL")</f>
        <v>1</v>
      </c>
      <c r="U552" s="36">
        <f>COUNTIF(Tabla1[[#This Row],[VEHICULOS_ACCIDENTADOS]:[VEHICULOS_ACCIDENTADOS2]],"CAMPERO")</f>
        <v>0</v>
      </c>
      <c r="V552" s="36">
        <f>COUNTIF(Tabla1[[#This Row],[VEHICULOS_ACCIDENTADOS]:[VEHICULOS_ACCIDENTADOS2]],"CAMIONETA")</f>
        <v>0</v>
      </c>
      <c r="W552" s="36">
        <f>COUNTIF(Tabla1[[#This Row],[VEHICULOS_ACCIDENTADOS]:[VEHICULOS_ACCIDENTADOS2]],"MICROBUS")</f>
        <v>0</v>
      </c>
      <c r="X552" s="36">
        <f>COUNTIF(Tabla1[[#This Row],[VEHICULOS_ACCIDENTADOS]:[VEHICULOS_ACCIDENTADOS2]],"BUS")</f>
        <v>0</v>
      </c>
      <c r="Y552" s="36">
        <f>COUNTIF(Tabla1[[#This Row],[VEHICULOS_ACCIDENTADOS]:[VEHICULOS_ACCIDENTADOS2]],"BUSETA")</f>
        <v>0</v>
      </c>
      <c r="Z552" s="36">
        <f>COUNTIF(Tabla1[[#This Row],[VEHICULOS_ACCIDENTADOS]:[VEHICULOS_ACCIDENTADOS2]],"CAMION")</f>
        <v>0</v>
      </c>
      <c r="AA552" s="36">
        <f>COUNTIF(Tabla1[[#This Row],[VEHICULOS_ACCIDENTADOS]:[VEHICULOS_ACCIDENTADOS2]],"TRACTOCAMION")</f>
        <v>0</v>
      </c>
      <c r="AB552" s="36">
        <f>COUNTIF(Tabla1[[#This Row],[VEHICULOS_ACCIDENTADOS]:[VEHICULOS_ACCIDENTADOS2]],"VOLQUETA")</f>
        <v>0</v>
      </c>
      <c r="AC552" s="36">
        <f>COUNTIF(Tabla1[[#This Row],[VEHICULOS_ACCIDENTADOS]:[VEHICULOS_ACCIDENTADOS2]],"BICICLETA")</f>
        <v>0</v>
      </c>
      <c r="AD552" s="56" t="s">
        <v>471</v>
      </c>
      <c r="AE552" s="56" t="s">
        <v>472</v>
      </c>
      <c r="AF552" s="56">
        <f>COUNTIF(Tabla1[[#This Row],[GENERO_MASCULINO]:[GENERO_FEMENINO]],"MASCULINO")</f>
        <v>1</v>
      </c>
      <c r="AG552" s="36">
        <f>COUNTIF(Tabla1[[#This Row],[GENERO_MASCULINO]:[GENERO_FEMENINO]],"FEMENINO")</f>
        <v>1</v>
      </c>
      <c r="AH552" s="85">
        <v>21</v>
      </c>
      <c r="AI552" s="85">
        <v>34</v>
      </c>
      <c r="AJ552" s="85"/>
      <c r="AK552" s="78"/>
      <c r="AL552" s="78"/>
      <c r="AM552" s="59"/>
      <c r="AN552" s="61">
        <v>121</v>
      </c>
      <c r="AO552" s="36" t="str">
        <f>IFERROR(((VLOOKUP(Tabla1[[#This Row],[HIPOTESIS_1]],listas!$D$1:$E$105,2,FALSE))),"SIN INFORMACIÓN")</f>
        <v>No mantener distancia de seguridad.</v>
      </c>
      <c r="AP552" s="36"/>
      <c r="AQ552" s="36" t="str">
        <f>IFERROR(((VLOOKUP(Tabla1[[#This Row],[HIPOTESIS_2]],listas!$D$1:$E$105,2,FALSE))),"")</f>
        <v/>
      </c>
      <c r="AR552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553" spans="1:44" x14ac:dyDescent="0.25">
      <c r="A553" s="12">
        <v>747</v>
      </c>
      <c r="B553" s="135">
        <v>0</v>
      </c>
      <c r="C553" s="36">
        <v>1</v>
      </c>
      <c r="D553" s="60">
        <v>0</v>
      </c>
      <c r="E553" s="18" t="str">
        <f t="shared" si="32"/>
        <v>LESIONADO</v>
      </c>
      <c r="F553" s="29" t="s">
        <v>129</v>
      </c>
      <c r="G553" s="21">
        <v>5.3185797222222222</v>
      </c>
      <c r="H553" s="21">
        <v>-72.402120277777783</v>
      </c>
      <c r="I553" s="93" t="s">
        <v>697</v>
      </c>
      <c r="J553" s="136" t="s">
        <v>717</v>
      </c>
      <c r="K553" s="24" t="str">
        <f t="shared" si="33"/>
        <v>2024</v>
      </c>
      <c r="L553" s="24" t="str">
        <f t="shared" si="34"/>
        <v>JULIO</v>
      </c>
      <c r="M553" s="225">
        <v>45493</v>
      </c>
      <c r="N553" s="24" t="str">
        <f t="shared" si="35"/>
        <v>SÁBADO</v>
      </c>
      <c r="O553" s="103">
        <v>0.81944444444444453</v>
      </c>
      <c r="P553" s="57" t="s">
        <v>469</v>
      </c>
      <c r="Q553" s="57" t="s">
        <v>469</v>
      </c>
      <c r="R553" s="36">
        <f>COUNTIF(Tabla1[[#This Row],[VEHICULOS_ACCIDENTADOS]:[VEHICULOS_ACCIDENTADOS2]],"MOTOCICLETA")</f>
        <v>2</v>
      </c>
      <c r="S553" s="36">
        <f>COUNTIF(Tabla1[[#This Row],[VEHICULOS_ACCIDENTADOS]:[VEHICULOS_ACCIDENTADOS2]],"MOTOCARRO")</f>
        <v>0</v>
      </c>
      <c r="T553" s="36">
        <f>COUNTIF(Tabla1[[#This Row],[VEHICULOS_ACCIDENTADOS]:[VEHICULOS_ACCIDENTADOS2]],"AUTOMOVIL")</f>
        <v>0</v>
      </c>
      <c r="U553" s="36">
        <f>COUNTIF(Tabla1[[#This Row],[VEHICULOS_ACCIDENTADOS]:[VEHICULOS_ACCIDENTADOS2]],"CAMPERO")</f>
        <v>0</v>
      </c>
      <c r="V553" s="36">
        <f>COUNTIF(Tabla1[[#This Row],[VEHICULOS_ACCIDENTADOS]:[VEHICULOS_ACCIDENTADOS2]],"CAMIONETA")</f>
        <v>0</v>
      </c>
      <c r="W553" s="36">
        <f>COUNTIF(Tabla1[[#This Row],[VEHICULOS_ACCIDENTADOS]:[VEHICULOS_ACCIDENTADOS2]],"MICROBUS")</f>
        <v>0</v>
      </c>
      <c r="X553" s="36">
        <f>COUNTIF(Tabla1[[#This Row],[VEHICULOS_ACCIDENTADOS]:[VEHICULOS_ACCIDENTADOS2]],"BUS")</f>
        <v>0</v>
      </c>
      <c r="Y553" s="36">
        <f>COUNTIF(Tabla1[[#This Row],[VEHICULOS_ACCIDENTADOS]:[VEHICULOS_ACCIDENTADOS2]],"BUSETA")</f>
        <v>0</v>
      </c>
      <c r="Z553" s="36">
        <f>COUNTIF(Tabla1[[#This Row],[VEHICULOS_ACCIDENTADOS]:[VEHICULOS_ACCIDENTADOS2]],"CAMION")</f>
        <v>0</v>
      </c>
      <c r="AA553" s="36">
        <f>COUNTIF(Tabla1[[#This Row],[VEHICULOS_ACCIDENTADOS]:[VEHICULOS_ACCIDENTADOS2]],"TRACTOCAMION")</f>
        <v>0</v>
      </c>
      <c r="AB553" s="36">
        <f>COUNTIF(Tabla1[[#This Row],[VEHICULOS_ACCIDENTADOS]:[VEHICULOS_ACCIDENTADOS2]],"VOLQUETA")</f>
        <v>0</v>
      </c>
      <c r="AC553" s="36">
        <f>COUNTIF(Tabla1[[#This Row],[VEHICULOS_ACCIDENTADOS]:[VEHICULOS_ACCIDENTADOS2]],"BICICLETA")</f>
        <v>0</v>
      </c>
      <c r="AD553" s="56" t="s">
        <v>471</v>
      </c>
      <c r="AE553" s="56" t="s">
        <v>472</v>
      </c>
      <c r="AF553" s="56">
        <f>COUNTIF(Tabla1[[#This Row],[GENERO_MASCULINO]:[GENERO_FEMENINO]],"MASCULINO")</f>
        <v>1</v>
      </c>
      <c r="AG553" s="36">
        <f>COUNTIF(Tabla1[[#This Row],[GENERO_MASCULINO]:[GENERO_FEMENINO]],"FEMENINO")</f>
        <v>1</v>
      </c>
      <c r="AH553" s="61">
        <v>37</v>
      </c>
      <c r="AI553" s="61"/>
      <c r="AJ553" s="61">
        <v>69</v>
      </c>
      <c r="AK553" s="61"/>
      <c r="AL553" s="61"/>
      <c r="AM553" s="36"/>
      <c r="AN553" s="61">
        <v>114</v>
      </c>
      <c r="AO553" s="36" t="str">
        <f>IFERROR(((VLOOKUP(Tabla1[[#This Row],[HIPOTESIS_1]],listas!$D$1:$E$105,2,FALSE))),"SIN INFORMACIÓN")</f>
        <v>Embriaguez aparente.</v>
      </c>
      <c r="AP553" s="36"/>
      <c r="AQ553" s="36" t="str">
        <f>IFERROR(((VLOOKUP(Tabla1[[#This Row],[HIPOTESIS_2]],listas!$D$1:$E$105,2,FALSE))),"")</f>
        <v/>
      </c>
      <c r="AR553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554" spans="1:44" x14ac:dyDescent="0.25">
      <c r="A554" s="12">
        <v>848</v>
      </c>
      <c r="B554" s="136">
        <v>1</v>
      </c>
      <c r="C554" s="136">
        <v>0</v>
      </c>
      <c r="D554" s="149">
        <v>0</v>
      </c>
      <c r="E554" s="18" t="str">
        <f t="shared" si="32"/>
        <v>SOLO DAÑO</v>
      </c>
      <c r="F554" s="26" t="s">
        <v>87</v>
      </c>
      <c r="G554" s="21">
        <v>5.3183211111111106</v>
      </c>
      <c r="H554" s="21">
        <v>-72.399257222222232</v>
      </c>
      <c r="I554" s="93" t="s">
        <v>697</v>
      </c>
      <c r="J554" s="36" t="s">
        <v>717</v>
      </c>
      <c r="K554" s="24" t="str">
        <f t="shared" si="33"/>
        <v>2024</v>
      </c>
      <c r="L554" s="24" t="str">
        <f t="shared" si="34"/>
        <v>DICIEMBRE</v>
      </c>
      <c r="M554" s="224">
        <v>45651</v>
      </c>
      <c r="N554" s="24" t="str">
        <f t="shared" si="35"/>
        <v>MIÉRCOLES</v>
      </c>
      <c r="O554" s="104">
        <v>4.8611111111111112E-2</v>
      </c>
      <c r="P554" s="178" t="s">
        <v>445</v>
      </c>
      <c r="Q554" s="178" t="s">
        <v>441</v>
      </c>
      <c r="R554" s="36">
        <f>COUNTIF(Tabla1[[#This Row],[VEHICULOS_ACCIDENTADOS]:[VEHICULOS_ACCIDENTADOS2]],"MOTOCICLETA")</f>
        <v>0</v>
      </c>
      <c r="S554" s="36">
        <f>COUNTIF(Tabla1[[#This Row],[VEHICULOS_ACCIDENTADOS]:[VEHICULOS_ACCIDENTADOS2]],"MOTOCARRO")</f>
        <v>0</v>
      </c>
      <c r="T554" s="36">
        <f>COUNTIF(Tabla1[[#This Row],[VEHICULOS_ACCIDENTADOS]:[VEHICULOS_ACCIDENTADOS2]],"AUTOMOVIL")</f>
        <v>0</v>
      </c>
      <c r="U554" s="36">
        <f>COUNTIF(Tabla1[[#This Row],[VEHICULOS_ACCIDENTADOS]:[VEHICULOS_ACCIDENTADOS2]],"CAMPERO")</f>
        <v>0</v>
      </c>
      <c r="V554" s="36">
        <f>COUNTIF(Tabla1[[#This Row],[VEHICULOS_ACCIDENTADOS]:[VEHICULOS_ACCIDENTADOS2]],"CAMIONETA")</f>
        <v>1</v>
      </c>
      <c r="W554" s="36">
        <f>COUNTIF(Tabla1[[#This Row],[VEHICULOS_ACCIDENTADOS]:[VEHICULOS_ACCIDENTADOS2]],"MICROBUS")</f>
        <v>0</v>
      </c>
      <c r="X554" s="36">
        <f>COUNTIF(Tabla1[[#This Row],[VEHICULOS_ACCIDENTADOS]:[VEHICULOS_ACCIDENTADOS2]],"BUS")</f>
        <v>0</v>
      </c>
      <c r="Y554" s="36">
        <f>COUNTIF(Tabla1[[#This Row],[VEHICULOS_ACCIDENTADOS]:[VEHICULOS_ACCIDENTADOS2]],"BUSETA")</f>
        <v>0</v>
      </c>
      <c r="Z554" s="36">
        <f>COUNTIF(Tabla1[[#This Row],[VEHICULOS_ACCIDENTADOS]:[VEHICULOS_ACCIDENTADOS2]],"CAMION")</f>
        <v>1</v>
      </c>
      <c r="AA554" s="36">
        <f>COUNTIF(Tabla1[[#This Row],[VEHICULOS_ACCIDENTADOS]:[VEHICULOS_ACCIDENTADOS2]],"TRACTOCAMION")</f>
        <v>0</v>
      </c>
      <c r="AB554" s="36">
        <f>COUNTIF(Tabla1[[#This Row],[VEHICULOS_ACCIDENTADOS]:[VEHICULOS_ACCIDENTADOS2]],"VOLQUETA")</f>
        <v>0</v>
      </c>
      <c r="AC554" s="36">
        <f>COUNTIF(Tabla1[[#This Row],[VEHICULOS_ACCIDENTADOS]:[VEHICULOS_ACCIDENTADOS2]],"BICICLETA")</f>
        <v>0</v>
      </c>
      <c r="AD554" s="190" t="s">
        <v>471</v>
      </c>
      <c r="AE554" s="190" t="s">
        <v>472</v>
      </c>
      <c r="AF554" s="190">
        <f>COUNTIF(Tabla1[[#This Row],[GENERO_MASCULINO]:[GENERO_FEMENINO]],"MASCULINO")</f>
        <v>1</v>
      </c>
      <c r="AG554" s="36">
        <f>COUNTIF(Tabla1[[#This Row],[GENERO_MASCULINO]:[GENERO_FEMENINO]],"FEMENINO")</f>
        <v>1</v>
      </c>
      <c r="AH554" s="85">
        <v>43</v>
      </c>
      <c r="AI554" s="85">
        <v>32</v>
      </c>
      <c r="AJ554" s="85"/>
      <c r="AK554" s="85"/>
      <c r="AL554" s="85"/>
      <c r="AM554" s="136"/>
      <c r="AN554" s="85">
        <v>121</v>
      </c>
      <c r="AO554" s="36" t="str">
        <f>IFERROR(((VLOOKUP(Tabla1[[#This Row],[HIPOTESIS_1]],listas!$D$1:$E$105,2,FALSE))),"SIN INFORMACIÓN")</f>
        <v>No mantener distancia de seguridad.</v>
      </c>
      <c r="AP554" s="136"/>
      <c r="AQ554" s="36" t="str">
        <f>IFERROR(((VLOOKUP(Tabla1[[#This Row],[HIPOTESIS_2]],listas!$D$1:$E$105,2,FALSE))),"")</f>
        <v/>
      </c>
      <c r="AR554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555" spans="1:44" x14ac:dyDescent="0.25">
      <c r="A555" s="12">
        <v>513</v>
      </c>
      <c r="B555" s="55">
        <v>0</v>
      </c>
      <c r="C555" s="55">
        <v>1</v>
      </c>
      <c r="D555" s="58">
        <v>0</v>
      </c>
      <c r="E555" s="18" t="str">
        <f t="shared" si="32"/>
        <v>LESIONADO</v>
      </c>
      <c r="F555" s="29" t="s">
        <v>881</v>
      </c>
      <c r="G555" s="21">
        <v>5.3130477777777774</v>
      </c>
      <c r="H555" s="21">
        <v>-72.401732500000008</v>
      </c>
      <c r="I555" s="93" t="s">
        <v>697</v>
      </c>
      <c r="J555" s="36" t="s">
        <v>717</v>
      </c>
      <c r="K555" s="24" t="str">
        <f t="shared" si="33"/>
        <v>2023</v>
      </c>
      <c r="L555" s="24" t="str">
        <f t="shared" si="34"/>
        <v>JUNIO</v>
      </c>
      <c r="M555" s="225">
        <v>45101</v>
      </c>
      <c r="N555" s="24" t="str">
        <f t="shared" si="35"/>
        <v>SÁBADO</v>
      </c>
      <c r="O555" s="103">
        <v>0.77430555555555547</v>
      </c>
      <c r="P555" s="57" t="s">
        <v>469</v>
      </c>
      <c r="Q555" s="57"/>
      <c r="R555" s="36">
        <f>COUNTIF(Tabla1[[#This Row],[VEHICULOS_ACCIDENTADOS]:[VEHICULOS_ACCIDENTADOS2]],"MOTOCICLETA")</f>
        <v>1</v>
      </c>
      <c r="S555" s="36">
        <f>COUNTIF(Tabla1[[#This Row],[VEHICULOS_ACCIDENTADOS]:[VEHICULOS_ACCIDENTADOS2]],"MOTOCARRO")</f>
        <v>0</v>
      </c>
      <c r="T555" s="36">
        <f>COUNTIF(Tabla1[[#This Row],[VEHICULOS_ACCIDENTADOS]:[VEHICULOS_ACCIDENTADOS2]],"AUTOMOVIL")</f>
        <v>0</v>
      </c>
      <c r="U555" s="36">
        <f>COUNTIF(Tabla1[[#This Row],[VEHICULOS_ACCIDENTADOS]:[VEHICULOS_ACCIDENTADOS2]],"CAMPERO")</f>
        <v>0</v>
      </c>
      <c r="V555" s="36">
        <f>COUNTIF(Tabla1[[#This Row],[VEHICULOS_ACCIDENTADOS]:[VEHICULOS_ACCIDENTADOS2]],"CAMIONETA")</f>
        <v>0</v>
      </c>
      <c r="W555" s="36">
        <f>COUNTIF(Tabla1[[#This Row],[VEHICULOS_ACCIDENTADOS]:[VEHICULOS_ACCIDENTADOS2]],"MICROBUS")</f>
        <v>0</v>
      </c>
      <c r="X555" s="36">
        <f>COUNTIF(Tabla1[[#This Row],[VEHICULOS_ACCIDENTADOS]:[VEHICULOS_ACCIDENTADOS2]],"BUS")</f>
        <v>0</v>
      </c>
      <c r="Y555" s="36">
        <f>COUNTIF(Tabla1[[#This Row],[VEHICULOS_ACCIDENTADOS]:[VEHICULOS_ACCIDENTADOS2]],"BUSETA")</f>
        <v>0</v>
      </c>
      <c r="Z555" s="36">
        <f>COUNTIF(Tabla1[[#This Row],[VEHICULOS_ACCIDENTADOS]:[VEHICULOS_ACCIDENTADOS2]],"CAMION")</f>
        <v>0</v>
      </c>
      <c r="AA555" s="36">
        <f>COUNTIF(Tabla1[[#This Row],[VEHICULOS_ACCIDENTADOS]:[VEHICULOS_ACCIDENTADOS2]],"TRACTOCAMION")</f>
        <v>0</v>
      </c>
      <c r="AB555" s="36">
        <f>COUNTIF(Tabla1[[#This Row],[VEHICULOS_ACCIDENTADOS]:[VEHICULOS_ACCIDENTADOS2]],"VOLQUETA")</f>
        <v>0</v>
      </c>
      <c r="AC555" s="36">
        <f>COUNTIF(Tabla1[[#This Row],[VEHICULOS_ACCIDENTADOS]:[VEHICULOS_ACCIDENTADOS2]],"BICICLETA")</f>
        <v>0</v>
      </c>
      <c r="AD555" s="56"/>
      <c r="AE555" s="56" t="s">
        <v>472</v>
      </c>
      <c r="AF555" s="56">
        <f>COUNTIF(Tabla1[[#This Row],[GENERO_MASCULINO]:[GENERO_FEMENINO]],"MASCULINO")</f>
        <v>0</v>
      </c>
      <c r="AG555" s="36">
        <f>COUNTIF(Tabla1[[#This Row],[GENERO_MASCULINO]:[GENERO_FEMENINO]],"FEMENINO")</f>
        <v>1</v>
      </c>
      <c r="AH555" s="85"/>
      <c r="AI555" s="85"/>
      <c r="AJ555" s="78"/>
      <c r="AK555" s="78">
        <v>62</v>
      </c>
      <c r="AL555" s="78"/>
      <c r="AM555" s="59"/>
      <c r="AN555" s="61">
        <v>139</v>
      </c>
      <c r="AO555" s="36" t="str">
        <f>IFERROR(((VLOOKUP(Tabla1[[#This Row],[HIPOTESIS_1]],listas!$D$1:$E$105,2,FALSE))),"SIN INFORMACIÓN")</f>
        <v>Impericia en el manejo.</v>
      </c>
      <c r="AP555" s="36"/>
      <c r="AQ555" s="36" t="str">
        <f>IFERROR(((VLOOKUP(Tabla1[[#This Row],[HIPOTESIS_2]],listas!$D$1:$E$105,2,FALSE))),"")</f>
        <v/>
      </c>
      <c r="AR555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556" spans="1:44" x14ac:dyDescent="0.25">
      <c r="A556" s="12">
        <v>1018</v>
      </c>
      <c r="B556" s="137">
        <v>0</v>
      </c>
      <c r="C556" s="137">
        <v>2</v>
      </c>
      <c r="D556" s="146">
        <v>0</v>
      </c>
      <c r="E556" s="18" t="str">
        <f t="shared" si="32"/>
        <v>LESIONADO</v>
      </c>
      <c r="F556" s="152" t="s">
        <v>465</v>
      </c>
      <c r="G556" s="30">
        <v>5.3174650000000003</v>
      </c>
      <c r="H556" s="30">
        <v>-72.383050999999995</v>
      </c>
      <c r="I556" s="93" t="s">
        <v>697</v>
      </c>
      <c r="J556" s="36" t="s">
        <v>717</v>
      </c>
      <c r="K556" s="24" t="str">
        <f t="shared" si="33"/>
        <v>2025</v>
      </c>
      <c r="L556" s="24" t="str">
        <f t="shared" si="34"/>
        <v>JULIO</v>
      </c>
      <c r="M556" s="225">
        <v>45859</v>
      </c>
      <c r="N556" s="24" t="str">
        <f t="shared" si="35"/>
        <v>LUNES</v>
      </c>
      <c r="O556" s="103">
        <v>0.87986111111111109</v>
      </c>
      <c r="P556" s="63" t="s">
        <v>469</v>
      </c>
      <c r="Q556" s="63" t="s">
        <v>469</v>
      </c>
      <c r="R556" s="36">
        <f>COUNTIF(Tabla1[[#This Row],[VEHICULOS_ACCIDENTADOS]:[VEHICULOS_ACCIDENTADOS2]],"MOTOCICLETA")</f>
        <v>2</v>
      </c>
      <c r="S556" s="36">
        <f>COUNTIF(Tabla1[[#This Row],[VEHICULOS_ACCIDENTADOS]:[VEHICULOS_ACCIDENTADOS2]],"MOTOCARRO")</f>
        <v>0</v>
      </c>
      <c r="T556" s="36">
        <f>COUNTIF(Tabla1[[#This Row],[VEHICULOS_ACCIDENTADOS]:[VEHICULOS_ACCIDENTADOS2]],"AUTOMOVIL")</f>
        <v>0</v>
      </c>
      <c r="U556" s="36">
        <f>COUNTIF(Tabla1[[#This Row],[VEHICULOS_ACCIDENTADOS]:[VEHICULOS_ACCIDENTADOS2]],"CAMPERO")</f>
        <v>0</v>
      </c>
      <c r="V556" s="36">
        <f>COUNTIF(Tabla1[[#This Row],[VEHICULOS_ACCIDENTADOS]:[VEHICULOS_ACCIDENTADOS2]],"CAMIONETA")</f>
        <v>0</v>
      </c>
      <c r="W556" s="36">
        <f>COUNTIF(Tabla1[[#This Row],[VEHICULOS_ACCIDENTADOS]:[VEHICULOS_ACCIDENTADOS2]],"MICROBUS")</f>
        <v>0</v>
      </c>
      <c r="X556" s="36">
        <f>COUNTIF(Tabla1[[#This Row],[VEHICULOS_ACCIDENTADOS]:[VEHICULOS_ACCIDENTADOS2]],"BUS")</f>
        <v>0</v>
      </c>
      <c r="Y556" s="36">
        <f>COUNTIF(Tabla1[[#This Row],[VEHICULOS_ACCIDENTADOS]:[VEHICULOS_ACCIDENTADOS2]],"BUSETA")</f>
        <v>0</v>
      </c>
      <c r="Z556" s="36">
        <f>COUNTIF(Tabla1[[#This Row],[VEHICULOS_ACCIDENTADOS]:[VEHICULOS_ACCIDENTADOS2]],"CAMION")</f>
        <v>0</v>
      </c>
      <c r="AA556" s="36">
        <f>COUNTIF(Tabla1[[#This Row],[VEHICULOS_ACCIDENTADOS]:[VEHICULOS_ACCIDENTADOS2]],"TRACTOCAMION")</f>
        <v>0</v>
      </c>
      <c r="AB556" s="36">
        <f>COUNTIF(Tabla1[[#This Row],[VEHICULOS_ACCIDENTADOS]:[VEHICULOS_ACCIDENTADOS2]],"VOLQUETA")</f>
        <v>0</v>
      </c>
      <c r="AC556" s="36">
        <f>COUNTIF(Tabla1[[#This Row],[VEHICULOS_ACCIDENTADOS]:[VEHICULOS_ACCIDENTADOS2]],"BICICLETA")</f>
        <v>0</v>
      </c>
      <c r="AD556" s="56" t="s">
        <v>472</v>
      </c>
      <c r="AE556" s="56" t="s">
        <v>472</v>
      </c>
      <c r="AF556" s="56">
        <f>COUNTIF(Tabla1[[#This Row],[GENERO_MASCULINO]:[GENERO_FEMENINO]],"MASCULINO")</f>
        <v>0</v>
      </c>
      <c r="AG556" s="36">
        <f>COUNTIF(Tabla1[[#This Row],[GENERO_MASCULINO]:[GENERO_FEMENINO]],"FEMENINO")</f>
        <v>2</v>
      </c>
      <c r="AH556" s="85">
        <v>54</v>
      </c>
      <c r="AI556" s="85">
        <v>48</v>
      </c>
      <c r="AJ556" s="85"/>
      <c r="AK556" s="78"/>
      <c r="AL556" s="78"/>
      <c r="AM556" s="59"/>
      <c r="AN556" s="61">
        <v>157</v>
      </c>
      <c r="AO556" s="36" t="str">
        <f>IFERROR(((VLOOKUP(Tabla1[[#This Row],[HIPOTESIS_1]],listas!$D$1:$E$105,2,FALSE))),"SIN INFORMACIÓN")</f>
        <v>Otra</v>
      </c>
      <c r="AP556" s="36"/>
      <c r="AQ556" s="36" t="str">
        <f>IFERROR(((VLOOKUP(Tabla1[[#This Row],[HIPOTESIS_2]],listas!$D$1:$E$105,2,FALSE))),"")</f>
        <v/>
      </c>
      <c r="AR556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557" spans="1:44" x14ac:dyDescent="0.25">
      <c r="A557" s="12">
        <v>511</v>
      </c>
      <c r="B557" s="36">
        <v>0</v>
      </c>
      <c r="C557" s="36">
        <v>1</v>
      </c>
      <c r="D557" s="60">
        <v>0</v>
      </c>
      <c r="E557" s="18" t="str">
        <f t="shared" si="32"/>
        <v>LESIONADO</v>
      </c>
      <c r="F557" s="29" t="s">
        <v>226</v>
      </c>
      <c r="G557" s="21">
        <v>5.3097525000000001</v>
      </c>
      <c r="H557" s="21">
        <v>-72.413437777777787</v>
      </c>
      <c r="I557" s="93" t="s">
        <v>697</v>
      </c>
      <c r="J557" s="36" t="s">
        <v>717</v>
      </c>
      <c r="K557" s="24" t="str">
        <f t="shared" si="33"/>
        <v>2023</v>
      </c>
      <c r="L557" s="24" t="str">
        <f t="shared" si="34"/>
        <v>JUNIO</v>
      </c>
      <c r="M557" s="225">
        <v>45096</v>
      </c>
      <c r="N557" s="24" t="str">
        <f t="shared" si="35"/>
        <v>LUNES</v>
      </c>
      <c r="O557" s="103">
        <v>0.5625</v>
      </c>
      <c r="P557" s="57" t="s">
        <v>469</v>
      </c>
      <c r="Q557" s="57"/>
      <c r="R557" s="36">
        <f>COUNTIF(Tabla1[[#This Row],[VEHICULOS_ACCIDENTADOS]:[VEHICULOS_ACCIDENTADOS2]],"MOTOCICLETA")</f>
        <v>1</v>
      </c>
      <c r="S557" s="36">
        <f>COUNTIF(Tabla1[[#This Row],[VEHICULOS_ACCIDENTADOS]:[VEHICULOS_ACCIDENTADOS2]],"MOTOCARRO")</f>
        <v>0</v>
      </c>
      <c r="T557" s="36">
        <f>COUNTIF(Tabla1[[#This Row],[VEHICULOS_ACCIDENTADOS]:[VEHICULOS_ACCIDENTADOS2]],"AUTOMOVIL")</f>
        <v>0</v>
      </c>
      <c r="U557" s="36">
        <f>COUNTIF(Tabla1[[#This Row],[VEHICULOS_ACCIDENTADOS]:[VEHICULOS_ACCIDENTADOS2]],"CAMPERO")</f>
        <v>0</v>
      </c>
      <c r="V557" s="36">
        <f>COUNTIF(Tabla1[[#This Row],[VEHICULOS_ACCIDENTADOS]:[VEHICULOS_ACCIDENTADOS2]],"CAMIONETA")</f>
        <v>0</v>
      </c>
      <c r="W557" s="36">
        <f>COUNTIF(Tabla1[[#This Row],[VEHICULOS_ACCIDENTADOS]:[VEHICULOS_ACCIDENTADOS2]],"MICROBUS")</f>
        <v>0</v>
      </c>
      <c r="X557" s="36">
        <f>COUNTIF(Tabla1[[#This Row],[VEHICULOS_ACCIDENTADOS]:[VEHICULOS_ACCIDENTADOS2]],"BUS")</f>
        <v>0</v>
      </c>
      <c r="Y557" s="36">
        <f>COUNTIF(Tabla1[[#This Row],[VEHICULOS_ACCIDENTADOS]:[VEHICULOS_ACCIDENTADOS2]],"BUSETA")</f>
        <v>0</v>
      </c>
      <c r="Z557" s="36">
        <f>COUNTIF(Tabla1[[#This Row],[VEHICULOS_ACCIDENTADOS]:[VEHICULOS_ACCIDENTADOS2]],"CAMION")</f>
        <v>0</v>
      </c>
      <c r="AA557" s="36">
        <f>COUNTIF(Tabla1[[#This Row],[VEHICULOS_ACCIDENTADOS]:[VEHICULOS_ACCIDENTADOS2]],"TRACTOCAMION")</f>
        <v>0</v>
      </c>
      <c r="AB557" s="36">
        <f>COUNTIF(Tabla1[[#This Row],[VEHICULOS_ACCIDENTADOS]:[VEHICULOS_ACCIDENTADOS2]],"VOLQUETA")</f>
        <v>0</v>
      </c>
      <c r="AC557" s="36">
        <f>COUNTIF(Tabla1[[#This Row],[VEHICULOS_ACCIDENTADOS]:[VEHICULOS_ACCIDENTADOS2]],"BICICLETA")</f>
        <v>0</v>
      </c>
      <c r="AD557" s="56" t="s">
        <v>471</v>
      </c>
      <c r="AE557" s="56"/>
      <c r="AF557" s="56">
        <f>COUNTIF(Tabla1[[#This Row],[GENERO_MASCULINO]:[GENERO_FEMENINO]],"MASCULINO")</f>
        <v>1</v>
      </c>
      <c r="AG557" s="36">
        <f>COUNTIF(Tabla1[[#This Row],[GENERO_MASCULINO]:[GENERO_FEMENINO]],"FEMENINO")</f>
        <v>0</v>
      </c>
      <c r="AH557" s="61">
        <v>23</v>
      </c>
      <c r="AI557" s="61"/>
      <c r="AJ557" s="61"/>
      <c r="AK557" s="61"/>
      <c r="AL557" s="61"/>
      <c r="AM557" s="36"/>
      <c r="AN557" s="61">
        <v>139</v>
      </c>
      <c r="AO557" s="36" t="str">
        <f>IFERROR(((VLOOKUP(Tabla1[[#This Row],[HIPOTESIS_1]],listas!$D$1:$E$105,2,FALSE))),"SIN INFORMACIÓN")</f>
        <v>Impericia en el manejo.</v>
      </c>
      <c r="AP557" s="36"/>
      <c r="AQ557" s="36" t="str">
        <f>IFERROR(((VLOOKUP(Tabla1[[#This Row],[HIPOTESIS_2]],listas!$D$1:$E$105,2,FALSE))),"")</f>
        <v/>
      </c>
      <c r="AR557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558" spans="1:44" x14ac:dyDescent="0.25">
      <c r="A558" s="12">
        <v>1060</v>
      </c>
      <c r="B558" s="137">
        <v>1</v>
      </c>
      <c r="C558" s="137">
        <v>0</v>
      </c>
      <c r="D558" s="146">
        <v>0</v>
      </c>
      <c r="E558" s="18" t="str">
        <f t="shared" si="32"/>
        <v>SOLO DAÑO</v>
      </c>
      <c r="F558" s="155" t="s">
        <v>885</v>
      </c>
      <c r="G558" s="30">
        <v>5.3502765600000002</v>
      </c>
      <c r="H558" s="30">
        <v>-72.40006932</v>
      </c>
      <c r="I558" s="93" t="s">
        <v>697</v>
      </c>
      <c r="J558" s="36" t="s">
        <v>717</v>
      </c>
      <c r="K558" s="24" t="str">
        <f t="shared" si="33"/>
        <v>2025</v>
      </c>
      <c r="L558" s="24" t="str">
        <f t="shared" si="34"/>
        <v>SEPTIEMBRE</v>
      </c>
      <c r="M558" s="225">
        <v>45901</v>
      </c>
      <c r="N558" s="24" t="str">
        <f t="shared" si="35"/>
        <v>LUNES</v>
      </c>
      <c r="O558" s="103">
        <v>0.53541666666666665</v>
      </c>
      <c r="P558" s="63" t="s">
        <v>469</v>
      </c>
      <c r="Q558" s="63" t="s">
        <v>447</v>
      </c>
      <c r="R558" s="36">
        <f>COUNTIF(Tabla1[[#This Row],[VEHICULOS_ACCIDENTADOS]:[VEHICULOS_ACCIDENTADOS2]],"MOTOCICLETA")</f>
        <v>1</v>
      </c>
      <c r="S558" s="36">
        <f>COUNTIF(Tabla1[[#This Row],[VEHICULOS_ACCIDENTADOS]:[VEHICULOS_ACCIDENTADOS2]],"MOTOCARRO")</f>
        <v>0</v>
      </c>
      <c r="T558" s="36">
        <f>COUNTIF(Tabla1[[#This Row],[VEHICULOS_ACCIDENTADOS]:[VEHICULOS_ACCIDENTADOS2]],"AUTOMOVIL")</f>
        <v>1</v>
      </c>
      <c r="U558" s="36">
        <f>COUNTIF(Tabla1[[#This Row],[VEHICULOS_ACCIDENTADOS]:[VEHICULOS_ACCIDENTADOS2]],"CAMPERO")</f>
        <v>0</v>
      </c>
      <c r="V558" s="36">
        <f>COUNTIF(Tabla1[[#This Row],[VEHICULOS_ACCIDENTADOS]:[VEHICULOS_ACCIDENTADOS2]],"CAMIONETA")</f>
        <v>0</v>
      </c>
      <c r="W558" s="36">
        <f>COUNTIF(Tabla1[[#This Row],[VEHICULOS_ACCIDENTADOS]:[VEHICULOS_ACCIDENTADOS2]],"MICROBUS")</f>
        <v>0</v>
      </c>
      <c r="X558" s="36">
        <f>COUNTIF(Tabla1[[#This Row],[VEHICULOS_ACCIDENTADOS]:[VEHICULOS_ACCIDENTADOS2]],"BUS")</f>
        <v>0</v>
      </c>
      <c r="Y558" s="36">
        <f>COUNTIF(Tabla1[[#This Row],[VEHICULOS_ACCIDENTADOS]:[VEHICULOS_ACCIDENTADOS2]],"BUSETA")</f>
        <v>0</v>
      </c>
      <c r="Z558" s="36">
        <f>COUNTIF(Tabla1[[#This Row],[VEHICULOS_ACCIDENTADOS]:[VEHICULOS_ACCIDENTADOS2]],"CAMION")</f>
        <v>0</v>
      </c>
      <c r="AA558" s="36">
        <f>COUNTIF(Tabla1[[#This Row],[VEHICULOS_ACCIDENTADOS]:[VEHICULOS_ACCIDENTADOS2]],"TRACTOCAMION")</f>
        <v>0</v>
      </c>
      <c r="AB558" s="36">
        <f>COUNTIF(Tabla1[[#This Row],[VEHICULOS_ACCIDENTADOS]:[VEHICULOS_ACCIDENTADOS2]],"VOLQUETA")</f>
        <v>0</v>
      </c>
      <c r="AC558" s="36">
        <f>COUNTIF(Tabla1[[#This Row],[VEHICULOS_ACCIDENTADOS]:[VEHICULOS_ACCIDENTADOS2]],"BICICLETA")</f>
        <v>0</v>
      </c>
      <c r="AD558" s="188"/>
      <c r="AE558" s="188"/>
      <c r="AF558" s="56">
        <f>COUNTIF(Tabla1[[#This Row],[GENERO_MASCULINO]:[GENERO_FEMENINO]],"MASCULINO")</f>
        <v>0</v>
      </c>
      <c r="AG558" s="36">
        <f>COUNTIF(Tabla1[[#This Row],[GENERO_MASCULINO]:[GENERO_FEMENINO]],"FEMENINO")</f>
        <v>0</v>
      </c>
      <c r="AH558" s="85"/>
      <c r="AI558" s="85"/>
      <c r="AJ558" s="85"/>
      <c r="AK558" s="78"/>
      <c r="AL558" s="78"/>
      <c r="AM558" s="59"/>
      <c r="AN558" s="61">
        <v>139</v>
      </c>
      <c r="AO558" s="59" t="str">
        <f>IFERROR(((VLOOKUP(Tabla1[[#This Row],[HIPOTESIS_1]],listas!$D$1:$E$105,2,FALSE))),"SIN INFORMACIÓN")</f>
        <v>Impericia en el manejo.</v>
      </c>
      <c r="AP558" s="36"/>
      <c r="AQ558" s="36" t="str">
        <f>IFERROR(((VLOOKUP(Tabla1[[#This Row],[HIPOTESIS_2]],listas!$D$1:$E$105,2,FALSE))),"")</f>
        <v/>
      </c>
      <c r="AR558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559" spans="1:44" x14ac:dyDescent="0.25">
      <c r="A559" s="12">
        <v>1106</v>
      </c>
      <c r="B559" s="137">
        <v>1</v>
      </c>
      <c r="C559" s="137">
        <v>0</v>
      </c>
      <c r="D559" s="146">
        <v>0</v>
      </c>
      <c r="E559" s="24" t="str">
        <f t="shared" si="32"/>
        <v>SOLO DAÑO</v>
      </c>
      <c r="F559" s="152" t="s">
        <v>889</v>
      </c>
      <c r="G559" s="30">
        <v>5.2811271740636299</v>
      </c>
      <c r="H559" s="30">
        <v>-72.400989958441798</v>
      </c>
      <c r="I559" s="165" t="s">
        <v>697</v>
      </c>
      <c r="J559" s="36" t="s">
        <v>717</v>
      </c>
      <c r="K559" s="24" t="str">
        <f t="shared" si="33"/>
        <v>2025</v>
      </c>
      <c r="L559" s="24" t="str">
        <f t="shared" si="34"/>
        <v>OCTUBRE</v>
      </c>
      <c r="M559" s="225">
        <v>45933</v>
      </c>
      <c r="N559" s="24" t="str">
        <f t="shared" si="35"/>
        <v>VIERNES</v>
      </c>
      <c r="O559" s="103">
        <v>0.73611111111111116</v>
      </c>
      <c r="P559" s="63" t="s">
        <v>447</v>
      </c>
      <c r="Q559" s="63" t="s">
        <v>441</v>
      </c>
      <c r="R559" s="36">
        <f>COUNTIF(Tabla1[[#This Row],[VEHICULOS_ACCIDENTADOS]:[VEHICULOS_ACCIDENTADOS2]],"MOTOCICLETA")</f>
        <v>0</v>
      </c>
      <c r="S559" s="36">
        <f>COUNTIF(Tabla1[[#This Row],[VEHICULOS_ACCIDENTADOS]:[VEHICULOS_ACCIDENTADOS2]],"MOTOCARRO")</f>
        <v>0</v>
      </c>
      <c r="T559" s="36">
        <f>COUNTIF(Tabla1[[#This Row],[VEHICULOS_ACCIDENTADOS]:[VEHICULOS_ACCIDENTADOS2]],"AUTOMOVIL")</f>
        <v>1</v>
      </c>
      <c r="U559" s="36">
        <f>COUNTIF(Tabla1[[#This Row],[VEHICULOS_ACCIDENTADOS]:[VEHICULOS_ACCIDENTADOS2]],"CAMPERO")</f>
        <v>0</v>
      </c>
      <c r="V559" s="36">
        <f>COUNTIF(Tabla1[[#This Row],[VEHICULOS_ACCIDENTADOS]:[VEHICULOS_ACCIDENTADOS2]],"CAMIONETA")</f>
        <v>0</v>
      </c>
      <c r="W559" s="36">
        <f>COUNTIF(Tabla1[[#This Row],[VEHICULOS_ACCIDENTADOS]:[VEHICULOS_ACCIDENTADOS2]],"MICROBUS")</f>
        <v>0</v>
      </c>
      <c r="X559" s="36">
        <f>COUNTIF(Tabla1[[#This Row],[VEHICULOS_ACCIDENTADOS]:[VEHICULOS_ACCIDENTADOS2]],"BUS")</f>
        <v>0</v>
      </c>
      <c r="Y559" s="36">
        <f>COUNTIF(Tabla1[[#This Row],[VEHICULOS_ACCIDENTADOS]:[VEHICULOS_ACCIDENTADOS2]],"BUSETA")</f>
        <v>0</v>
      </c>
      <c r="Z559" s="36">
        <f>COUNTIF(Tabla1[[#This Row],[VEHICULOS_ACCIDENTADOS]:[VEHICULOS_ACCIDENTADOS2]],"CAMION")</f>
        <v>1</v>
      </c>
      <c r="AA559" s="36">
        <f>COUNTIF(Tabla1[[#This Row],[VEHICULOS_ACCIDENTADOS]:[VEHICULOS_ACCIDENTADOS2]],"TRACTOCAMION")</f>
        <v>0</v>
      </c>
      <c r="AB559" s="36">
        <f>COUNTIF(Tabla1[[#This Row],[VEHICULOS_ACCIDENTADOS]:[VEHICULOS_ACCIDENTADOS2]],"VOLQUETA")</f>
        <v>0</v>
      </c>
      <c r="AC559" s="36">
        <f>COUNTIF(Tabla1[[#This Row],[VEHICULOS_ACCIDENTADOS]:[VEHICULOS_ACCIDENTADOS2]],"BICICLETA")</f>
        <v>0</v>
      </c>
      <c r="AD559" s="188" t="s">
        <v>471</v>
      </c>
      <c r="AE559" s="188" t="s">
        <v>471</v>
      </c>
      <c r="AF559" s="56">
        <f>COUNTIF(Tabla1[[#This Row],[GENERO_MASCULINO]:[GENERO_FEMENINO]],"MASCULINO")</f>
        <v>2</v>
      </c>
      <c r="AG559" s="36">
        <f>COUNTIF(Tabla1[[#This Row],[GENERO_MASCULINO]:[GENERO_FEMENINO]],"FEMENINO")</f>
        <v>0</v>
      </c>
      <c r="AH559" s="85"/>
      <c r="AI559" s="85"/>
      <c r="AJ559" s="85"/>
      <c r="AK559" s="78"/>
      <c r="AL559" s="78"/>
      <c r="AM559" s="59"/>
      <c r="AN559" s="61">
        <v>121</v>
      </c>
      <c r="AO559" s="59" t="str">
        <f>IFERROR(((VLOOKUP(Tabla1[[#This Row],[HIPOTESIS_1]],listas!$D$1:$E$105,2,FALSE))),"SIN INFORMACIÓN")</f>
        <v>No mantener distancia de seguridad.</v>
      </c>
      <c r="AP559" s="36"/>
      <c r="AQ559" s="36" t="str">
        <f>IFERROR(((VLOOKUP(Tabla1[[#This Row],[HIPOTESIS_2]],listas!$D$1:$E$105,2,FALSE))),"")</f>
        <v/>
      </c>
      <c r="AR559" s="2" t="str">
        <f>IF(HOUR(Tabla1[[#This Row],[HORA_ACCIDENTE]])&lt;6,"MAÑANA",
 IF(HOUR(Tabla1[[#This Row],[HORA_ACCIDENTE]])&lt;12,"MAÑANA",
 IF(HOUR(Tabla1[[#This Row],[HORA_ACCIDENTE]])&lt;18,"TARDE","NOCHE")))</f>
        <v>TARDE</v>
      </c>
    </row>
    <row r="560" spans="1:44" x14ac:dyDescent="0.25">
      <c r="A560" s="12">
        <v>344</v>
      </c>
      <c r="B560" s="36">
        <v>0</v>
      </c>
      <c r="C560" s="36">
        <v>1</v>
      </c>
      <c r="D560" s="60">
        <v>0</v>
      </c>
      <c r="E560" s="18" t="str">
        <f t="shared" si="32"/>
        <v>LESIONADO</v>
      </c>
      <c r="F560" s="154" t="s">
        <v>890</v>
      </c>
      <c r="G560" s="17">
        <v>5.301536111111111</v>
      </c>
      <c r="H560" s="17">
        <v>-72.407908333333339</v>
      </c>
      <c r="I560" s="93" t="s">
        <v>697</v>
      </c>
      <c r="J560" s="36" t="s">
        <v>717</v>
      </c>
      <c r="K560" s="24" t="str">
        <f t="shared" si="33"/>
        <v>2022</v>
      </c>
      <c r="L560" s="24" t="str">
        <f t="shared" si="34"/>
        <v>OCTUBRE</v>
      </c>
      <c r="M560" s="225">
        <v>44863</v>
      </c>
      <c r="N560" s="24" t="str">
        <f t="shared" si="35"/>
        <v>SÁBADO</v>
      </c>
      <c r="O560" s="170">
        <v>0.80416666666666703</v>
      </c>
      <c r="P560" s="53" t="s">
        <v>469</v>
      </c>
      <c r="Q560" s="53" t="s">
        <v>447</v>
      </c>
      <c r="R560" s="36">
        <f>COUNTIF(Tabla1[[#This Row],[VEHICULOS_ACCIDENTADOS]:[VEHICULOS_ACCIDENTADOS2]],"MOTOCICLETA")</f>
        <v>1</v>
      </c>
      <c r="S560" s="36">
        <f>COUNTIF(Tabla1[[#This Row],[VEHICULOS_ACCIDENTADOS]:[VEHICULOS_ACCIDENTADOS2]],"MOTOCARRO")</f>
        <v>0</v>
      </c>
      <c r="T560" s="36">
        <f>COUNTIF(Tabla1[[#This Row],[VEHICULOS_ACCIDENTADOS]:[VEHICULOS_ACCIDENTADOS2]],"AUTOMOVIL")</f>
        <v>1</v>
      </c>
      <c r="U560" s="36">
        <f>COUNTIF(Tabla1[[#This Row],[VEHICULOS_ACCIDENTADOS]:[VEHICULOS_ACCIDENTADOS2]],"CAMPERO")</f>
        <v>0</v>
      </c>
      <c r="V560" s="36">
        <f>COUNTIF(Tabla1[[#This Row],[VEHICULOS_ACCIDENTADOS]:[VEHICULOS_ACCIDENTADOS2]],"CAMIONETA")</f>
        <v>0</v>
      </c>
      <c r="W560" s="36">
        <f>COUNTIF(Tabla1[[#This Row],[VEHICULOS_ACCIDENTADOS]:[VEHICULOS_ACCIDENTADOS2]],"MICROBUS")</f>
        <v>0</v>
      </c>
      <c r="X560" s="36">
        <f>COUNTIF(Tabla1[[#This Row],[VEHICULOS_ACCIDENTADOS]:[VEHICULOS_ACCIDENTADOS2]],"BUS")</f>
        <v>0</v>
      </c>
      <c r="Y560" s="36">
        <f>COUNTIF(Tabla1[[#This Row],[VEHICULOS_ACCIDENTADOS]:[VEHICULOS_ACCIDENTADOS2]],"BUSETA")</f>
        <v>0</v>
      </c>
      <c r="Z560" s="36">
        <f>COUNTIF(Tabla1[[#This Row],[VEHICULOS_ACCIDENTADOS]:[VEHICULOS_ACCIDENTADOS2]],"CAMION")</f>
        <v>0</v>
      </c>
      <c r="AA560" s="36">
        <f>COUNTIF(Tabla1[[#This Row],[VEHICULOS_ACCIDENTADOS]:[VEHICULOS_ACCIDENTADOS2]],"TRACTOCAMION")</f>
        <v>0</v>
      </c>
      <c r="AB560" s="36">
        <f>COUNTIF(Tabla1[[#This Row],[VEHICULOS_ACCIDENTADOS]:[VEHICULOS_ACCIDENTADOS2]],"VOLQUETA")</f>
        <v>0</v>
      </c>
      <c r="AC560" s="36">
        <f>COUNTIF(Tabla1[[#This Row],[VEHICULOS_ACCIDENTADOS]:[VEHICULOS_ACCIDENTADOS2]],"BICICLETA")</f>
        <v>0</v>
      </c>
      <c r="AD560" s="56" t="s">
        <v>471</v>
      </c>
      <c r="AE560" s="56"/>
      <c r="AF560" s="56">
        <f>COUNTIF(Tabla1[[#This Row],[GENERO_MASCULINO]:[GENERO_FEMENINO]],"MASCULINO")</f>
        <v>1</v>
      </c>
      <c r="AG560" s="36">
        <f>COUNTIF(Tabla1[[#This Row],[GENERO_MASCULINO]:[GENERO_FEMENINO]],"FEMENINO")</f>
        <v>0</v>
      </c>
      <c r="AH560" s="61">
        <v>48</v>
      </c>
      <c r="AI560" s="61"/>
      <c r="AJ560" s="61"/>
      <c r="AK560" s="61"/>
      <c r="AL560" s="61"/>
      <c r="AM560" s="36"/>
      <c r="AN560" s="61">
        <v>157</v>
      </c>
      <c r="AO560" s="36" t="str">
        <f>IFERROR(((VLOOKUP(Tabla1[[#This Row],[HIPOTESIS_1]],listas!$D$1:$E$105,2,FALSE))),"SIN INFORMACIÓN")</f>
        <v>Otra</v>
      </c>
      <c r="AP560" s="36"/>
      <c r="AQ560" s="36" t="str">
        <f>IFERROR(((VLOOKUP(Tabla1[[#This Row],[HIPOTESIS_2]],listas!$D$1:$E$105,2,FALSE))),"")</f>
        <v/>
      </c>
      <c r="AR560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561" spans="1:44" x14ac:dyDescent="0.25">
      <c r="A561" s="12">
        <v>266</v>
      </c>
      <c r="B561" s="36">
        <v>1</v>
      </c>
      <c r="C561" s="36">
        <v>0</v>
      </c>
      <c r="D561" s="60">
        <v>0</v>
      </c>
      <c r="E561" s="18" t="str">
        <f t="shared" si="32"/>
        <v>SOLO DAÑO</v>
      </c>
      <c r="F561" s="29" t="s">
        <v>888</v>
      </c>
      <c r="G561" s="17">
        <v>5.3032611111111105</v>
      </c>
      <c r="H561" s="17">
        <v>-72.412829166666668</v>
      </c>
      <c r="I561" s="93" t="s">
        <v>697</v>
      </c>
      <c r="J561" s="36" t="s">
        <v>717</v>
      </c>
      <c r="K561" s="24" t="str">
        <f t="shared" si="33"/>
        <v>2022</v>
      </c>
      <c r="L561" s="24" t="str">
        <f t="shared" si="34"/>
        <v>JULIO</v>
      </c>
      <c r="M561" s="225">
        <v>44746</v>
      </c>
      <c r="N561" s="24" t="str">
        <f t="shared" si="35"/>
        <v>LUNES</v>
      </c>
      <c r="O561" s="170">
        <v>0.90625</v>
      </c>
      <c r="P561" s="53" t="s">
        <v>469</v>
      </c>
      <c r="Q561" s="53" t="s">
        <v>445</v>
      </c>
      <c r="R561" s="36">
        <f>COUNTIF(Tabla1[[#This Row],[VEHICULOS_ACCIDENTADOS]:[VEHICULOS_ACCIDENTADOS2]],"MOTOCICLETA")</f>
        <v>1</v>
      </c>
      <c r="S561" s="36">
        <f>COUNTIF(Tabla1[[#This Row],[VEHICULOS_ACCIDENTADOS]:[VEHICULOS_ACCIDENTADOS2]],"MOTOCARRO")</f>
        <v>0</v>
      </c>
      <c r="T561" s="36">
        <f>COUNTIF(Tabla1[[#This Row],[VEHICULOS_ACCIDENTADOS]:[VEHICULOS_ACCIDENTADOS2]],"AUTOMOVIL")</f>
        <v>0</v>
      </c>
      <c r="U561" s="36">
        <f>COUNTIF(Tabla1[[#This Row],[VEHICULOS_ACCIDENTADOS]:[VEHICULOS_ACCIDENTADOS2]],"CAMPERO")</f>
        <v>0</v>
      </c>
      <c r="V561" s="36">
        <f>COUNTIF(Tabla1[[#This Row],[VEHICULOS_ACCIDENTADOS]:[VEHICULOS_ACCIDENTADOS2]],"CAMIONETA")</f>
        <v>1</v>
      </c>
      <c r="W561" s="36">
        <f>COUNTIF(Tabla1[[#This Row],[VEHICULOS_ACCIDENTADOS]:[VEHICULOS_ACCIDENTADOS2]],"MICROBUS")</f>
        <v>0</v>
      </c>
      <c r="X561" s="36">
        <f>COUNTIF(Tabla1[[#This Row],[VEHICULOS_ACCIDENTADOS]:[VEHICULOS_ACCIDENTADOS2]],"BUS")</f>
        <v>0</v>
      </c>
      <c r="Y561" s="36">
        <f>COUNTIF(Tabla1[[#This Row],[VEHICULOS_ACCIDENTADOS]:[VEHICULOS_ACCIDENTADOS2]],"BUSETA")</f>
        <v>0</v>
      </c>
      <c r="Z561" s="36">
        <f>COUNTIF(Tabla1[[#This Row],[VEHICULOS_ACCIDENTADOS]:[VEHICULOS_ACCIDENTADOS2]],"CAMION")</f>
        <v>0</v>
      </c>
      <c r="AA561" s="36">
        <f>COUNTIF(Tabla1[[#This Row],[VEHICULOS_ACCIDENTADOS]:[VEHICULOS_ACCIDENTADOS2]],"TRACTOCAMION")</f>
        <v>0</v>
      </c>
      <c r="AB561" s="36">
        <f>COUNTIF(Tabla1[[#This Row],[VEHICULOS_ACCIDENTADOS]:[VEHICULOS_ACCIDENTADOS2]],"VOLQUETA")</f>
        <v>0</v>
      </c>
      <c r="AC561" s="36">
        <f>COUNTIF(Tabla1[[#This Row],[VEHICULOS_ACCIDENTADOS]:[VEHICULOS_ACCIDENTADOS2]],"BICICLETA")</f>
        <v>0</v>
      </c>
      <c r="AD561" s="56" t="s">
        <v>471</v>
      </c>
      <c r="AE561" s="56"/>
      <c r="AF561" s="56">
        <f>COUNTIF(Tabla1[[#This Row],[GENERO_MASCULINO]:[GENERO_FEMENINO]],"MASCULINO")</f>
        <v>1</v>
      </c>
      <c r="AG561" s="36">
        <f>COUNTIF(Tabla1[[#This Row],[GENERO_MASCULINO]:[GENERO_FEMENINO]],"FEMENINO")</f>
        <v>0</v>
      </c>
      <c r="AH561" s="61"/>
      <c r="AI561" s="61"/>
      <c r="AJ561" s="61"/>
      <c r="AK561" s="61"/>
      <c r="AL561" s="61"/>
      <c r="AM561" s="36"/>
      <c r="AN561" s="61">
        <v>114</v>
      </c>
      <c r="AO561" s="36" t="str">
        <f>IFERROR(((VLOOKUP(Tabla1[[#This Row],[HIPOTESIS_1]],listas!$D$1:$E$105,2,FALSE))),"SIN INFORMACIÓN")</f>
        <v>Embriaguez aparente.</v>
      </c>
      <c r="AP561" s="36"/>
      <c r="AQ561" s="36" t="str">
        <f>IFERROR(((VLOOKUP(Tabla1[[#This Row],[HIPOTESIS_2]],listas!$D$1:$E$105,2,FALSE))),"")</f>
        <v/>
      </c>
      <c r="AR561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562" spans="1:44" x14ac:dyDescent="0.25">
      <c r="A562" s="12">
        <v>452</v>
      </c>
      <c r="B562" s="36">
        <v>0</v>
      </c>
      <c r="C562" s="36">
        <v>0</v>
      </c>
      <c r="D562" s="60">
        <v>1</v>
      </c>
      <c r="E562" s="18" t="str">
        <f t="shared" si="32"/>
        <v>FALLECIDO</v>
      </c>
      <c r="F562" s="29" t="s">
        <v>891</v>
      </c>
      <c r="G562" s="21">
        <v>5.3470391666666668</v>
      </c>
      <c r="H562" s="21">
        <v>-72.401826944444451</v>
      </c>
      <c r="I562" s="93" t="s">
        <v>697</v>
      </c>
      <c r="J562" s="36" t="s">
        <v>717</v>
      </c>
      <c r="K562" s="24" t="str">
        <f t="shared" si="33"/>
        <v>2023</v>
      </c>
      <c r="L562" s="24" t="str">
        <f t="shared" si="34"/>
        <v>ABRIL</v>
      </c>
      <c r="M562" s="225">
        <v>45032</v>
      </c>
      <c r="N562" s="24" t="str">
        <f t="shared" si="35"/>
        <v>DOMINGO</v>
      </c>
      <c r="O562" s="103">
        <v>0.92152777777777772</v>
      </c>
      <c r="P562" s="57" t="s">
        <v>469</v>
      </c>
      <c r="Q562" s="57"/>
      <c r="R562" s="36">
        <f>COUNTIF(Tabla1[[#This Row],[VEHICULOS_ACCIDENTADOS]:[VEHICULOS_ACCIDENTADOS2]],"MOTOCICLETA")</f>
        <v>1</v>
      </c>
      <c r="S562" s="36">
        <f>COUNTIF(Tabla1[[#This Row],[VEHICULOS_ACCIDENTADOS]:[VEHICULOS_ACCIDENTADOS2]],"MOTOCARRO")</f>
        <v>0</v>
      </c>
      <c r="T562" s="36">
        <f>COUNTIF(Tabla1[[#This Row],[VEHICULOS_ACCIDENTADOS]:[VEHICULOS_ACCIDENTADOS2]],"AUTOMOVIL")</f>
        <v>0</v>
      </c>
      <c r="U562" s="36">
        <f>COUNTIF(Tabla1[[#This Row],[VEHICULOS_ACCIDENTADOS]:[VEHICULOS_ACCIDENTADOS2]],"CAMPERO")</f>
        <v>0</v>
      </c>
      <c r="V562" s="36">
        <f>COUNTIF(Tabla1[[#This Row],[VEHICULOS_ACCIDENTADOS]:[VEHICULOS_ACCIDENTADOS2]],"CAMIONETA")</f>
        <v>0</v>
      </c>
      <c r="W562" s="36">
        <f>COUNTIF(Tabla1[[#This Row],[VEHICULOS_ACCIDENTADOS]:[VEHICULOS_ACCIDENTADOS2]],"MICROBUS")</f>
        <v>0</v>
      </c>
      <c r="X562" s="36">
        <f>COUNTIF(Tabla1[[#This Row],[VEHICULOS_ACCIDENTADOS]:[VEHICULOS_ACCIDENTADOS2]],"BUS")</f>
        <v>0</v>
      </c>
      <c r="Y562" s="36">
        <f>COUNTIF(Tabla1[[#This Row],[VEHICULOS_ACCIDENTADOS]:[VEHICULOS_ACCIDENTADOS2]],"BUSETA")</f>
        <v>0</v>
      </c>
      <c r="Z562" s="36">
        <f>COUNTIF(Tabla1[[#This Row],[VEHICULOS_ACCIDENTADOS]:[VEHICULOS_ACCIDENTADOS2]],"CAMION")</f>
        <v>0</v>
      </c>
      <c r="AA562" s="36">
        <f>COUNTIF(Tabla1[[#This Row],[VEHICULOS_ACCIDENTADOS]:[VEHICULOS_ACCIDENTADOS2]],"TRACTOCAMION")</f>
        <v>0</v>
      </c>
      <c r="AB562" s="36">
        <f>COUNTIF(Tabla1[[#This Row],[VEHICULOS_ACCIDENTADOS]:[VEHICULOS_ACCIDENTADOS2]],"VOLQUETA")</f>
        <v>0</v>
      </c>
      <c r="AC562" s="36">
        <f>COUNTIF(Tabla1[[#This Row],[VEHICULOS_ACCIDENTADOS]:[VEHICULOS_ACCIDENTADOS2]],"BICICLETA")</f>
        <v>0</v>
      </c>
      <c r="AD562" s="56" t="s">
        <v>471</v>
      </c>
      <c r="AE562" s="56"/>
      <c r="AF562" s="56">
        <f>COUNTIF(Tabla1[[#This Row],[GENERO_MASCULINO]:[GENERO_FEMENINO]],"MASCULINO")</f>
        <v>1</v>
      </c>
      <c r="AG562" s="36">
        <f>COUNTIF(Tabla1[[#This Row],[GENERO_MASCULINO]:[GENERO_FEMENINO]],"FEMENINO")</f>
        <v>0</v>
      </c>
      <c r="AH562" s="61"/>
      <c r="AI562" s="61"/>
      <c r="AJ562" s="61"/>
      <c r="AK562" s="61"/>
      <c r="AL562" s="61"/>
      <c r="AM562" s="36">
        <v>20</v>
      </c>
      <c r="AN562" s="61">
        <v>1</v>
      </c>
      <c r="AO562" s="36" t="str">
        <f>IFERROR(((VLOOKUP(Tabla1[[#This Row],[HIPOTESIS_1]],listas!$D$1:$E$105,2,FALSE))),"SIN INFORMACIÓN")</f>
        <v>SIN INFORMACIÓN</v>
      </c>
      <c r="AP562" s="36"/>
      <c r="AQ562" s="36" t="str">
        <f>IFERROR(((VLOOKUP(Tabla1[[#This Row],[HIPOTESIS_2]],listas!$D$1:$E$105,2,FALSE))),"")</f>
        <v/>
      </c>
      <c r="AR562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563" spans="1:44" ht="15" x14ac:dyDescent="0.25">
      <c r="A563" s="12">
        <v>59</v>
      </c>
      <c r="B563" s="36">
        <v>1</v>
      </c>
      <c r="C563" s="36">
        <v>0</v>
      </c>
      <c r="D563" s="60">
        <v>0</v>
      </c>
      <c r="E563" s="18" t="str">
        <f t="shared" si="32"/>
        <v>SOLO DAÑO</v>
      </c>
      <c r="F563" s="153" t="s">
        <v>791</v>
      </c>
      <c r="G563" s="17">
        <v>5.3467361111111105</v>
      </c>
      <c r="H563" s="17">
        <v>-72.402419444444448</v>
      </c>
      <c r="I563" s="93" t="s">
        <v>697</v>
      </c>
      <c r="J563" s="36" t="s">
        <v>717</v>
      </c>
      <c r="K563" s="24" t="str">
        <f t="shared" si="33"/>
        <v>2022</v>
      </c>
      <c r="L563" s="24" t="str">
        <f t="shared" si="34"/>
        <v>FEBRERO</v>
      </c>
      <c r="M563" s="225">
        <v>44610</v>
      </c>
      <c r="N563" s="24" t="str">
        <f t="shared" si="35"/>
        <v>VIERNES</v>
      </c>
      <c r="O563" s="103">
        <v>0.51388888888888895</v>
      </c>
      <c r="P563" s="63" t="s">
        <v>447</v>
      </c>
      <c r="Q563" s="63" t="s">
        <v>441</v>
      </c>
      <c r="R563" s="36">
        <f>COUNTIF(Tabla1[[#This Row],[VEHICULOS_ACCIDENTADOS]:[VEHICULOS_ACCIDENTADOS2]],"MOTOCICLETA")</f>
        <v>0</v>
      </c>
      <c r="S563" s="36">
        <f>COUNTIF(Tabla1[[#This Row],[VEHICULOS_ACCIDENTADOS]:[VEHICULOS_ACCIDENTADOS2]],"MOTOCARRO")</f>
        <v>0</v>
      </c>
      <c r="T563" s="36">
        <f>COUNTIF(Tabla1[[#This Row],[VEHICULOS_ACCIDENTADOS]:[VEHICULOS_ACCIDENTADOS2]],"AUTOMOVIL")</f>
        <v>1</v>
      </c>
      <c r="U563" s="36">
        <f>COUNTIF(Tabla1[[#This Row],[VEHICULOS_ACCIDENTADOS]:[VEHICULOS_ACCIDENTADOS2]],"CAMPERO")</f>
        <v>0</v>
      </c>
      <c r="V563" s="36">
        <f>COUNTIF(Tabla1[[#This Row],[VEHICULOS_ACCIDENTADOS]:[VEHICULOS_ACCIDENTADOS2]],"CAMIONETA")</f>
        <v>0</v>
      </c>
      <c r="W563" s="36">
        <f>COUNTIF(Tabla1[[#This Row],[VEHICULOS_ACCIDENTADOS]:[VEHICULOS_ACCIDENTADOS2]],"MICROBUS")</f>
        <v>0</v>
      </c>
      <c r="X563" s="36">
        <f>COUNTIF(Tabla1[[#This Row],[VEHICULOS_ACCIDENTADOS]:[VEHICULOS_ACCIDENTADOS2]],"BUS")</f>
        <v>0</v>
      </c>
      <c r="Y563" s="36">
        <f>COUNTIF(Tabla1[[#This Row],[VEHICULOS_ACCIDENTADOS]:[VEHICULOS_ACCIDENTADOS2]],"BUSETA")</f>
        <v>0</v>
      </c>
      <c r="Z563" s="36">
        <f>COUNTIF(Tabla1[[#This Row],[VEHICULOS_ACCIDENTADOS]:[VEHICULOS_ACCIDENTADOS2]],"CAMION")</f>
        <v>1</v>
      </c>
      <c r="AA563" s="36">
        <f>COUNTIF(Tabla1[[#This Row],[VEHICULOS_ACCIDENTADOS]:[VEHICULOS_ACCIDENTADOS2]],"TRACTOCAMION")</f>
        <v>0</v>
      </c>
      <c r="AB563" s="36">
        <f>COUNTIF(Tabla1[[#This Row],[VEHICULOS_ACCIDENTADOS]:[VEHICULOS_ACCIDENTADOS2]],"VOLQUETA")</f>
        <v>0</v>
      </c>
      <c r="AC563" s="36">
        <f>COUNTIF(Tabla1[[#This Row],[VEHICULOS_ACCIDENTADOS]:[VEHICULOS_ACCIDENTADOS2]],"BICICLETA")</f>
        <v>0</v>
      </c>
      <c r="AD563" s="56"/>
      <c r="AE563" s="56" t="s">
        <v>472</v>
      </c>
      <c r="AF563" s="56">
        <f>COUNTIF(Tabla1[[#This Row],[GENERO_MASCULINO]:[GENERO_FEMENINO]],"MASCULINO")</f>
        <v>0</v>
      </c>
      <c r="AG563" s="36">
        <f>COUNTIF(Tabla1[[#This Row],[GENERO_MASCULINO]:[GENERO_FEMENINO]],"FEMENINO")</f>
        <v>1</v>
      </c>
      <c r="AH563" s="61"/>
      <c r="AI563" s="61"/>
      <c r="AJ563" s="61"/>
      <c r="AK563" s="61"/>
      <c r="AL563" s="61"/>
      <c r="AM563" s="36"/>
      <c r="AN563" s="61">
        <v>103</v>
      </c>
      <c r="AO563" s="36" t="str">
        <f>IFERROR(((VLOOKUP(Tabla1[[#This Row],[HIPOTESIS_1]],listas!$D$1:$E$105,2,FALSE))),"SIN INFORMACIÓN")</f>
        <v>Adelantar cerrando.</v>
      </c>
      <c r="AP563" s="36"/>
      <c r="AQ563" s="36" t="str">
        <f>IFERROR(((VLOOKUP(Tabla1[[#This Row],[HIPOTESIS_2]],listas!$D$1:$E$105,2,FALSE))),"")</f>
        <v/>
      </c>
      <c r="AR563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564" spans="1:44" x14ac:dyDescent="0.25">
      <c r="A564" s="12">
        <v>175</v>
      </c>
      <c r="B564" s="36">
        <v>1</v>
      </c>
      <c r="C564" s="36">
        <v>0</v>
      </c>
      <c r="D564" s="60">
        <v>0</v>
      </c>
      <c r="E564" s="18" t="str">
        <f t="shared" si="32"/>
        <v>SOLO DAÑO</v>
      </c>
      <c r="F564" s="29" t="s">
        <v>371</v>
      </c>
      <c r="G564" s="17">
        <v>5.3109416666666664</v>
      </c>
      <c r="H564" s="17">
        <v>-72.399841666666674</v>
      </c>
      <c r="I564" s="93" t="s">
        <v>697</v>
      </c>
      <c r="J564" s="36" t="s">
        <v>717</v>
      </c>
      <c r="K564" s="24" t="str">
        <f t="shared" si="33"/>
        <v>2022</v>
      </c>
      <c r="L564" s="24" t="str">
        <f t="shared" si="34"/>
        <v>MAYO</v>
      </c>
      <c r="M564" s="225">
        <v>44689</v>
      </c>
      <c r="N564" s="24" t="str">
        <f t="shared" si="35"/>
        <v>DOMINGO</v>
      </c>
      <c r="O564" s="170">
        <v>0.75694444444444497</v>
      </c>
      <c r="P564" s="53" t="s">
        <v>469</v>
      </c>
      <c r="Q564" s="53" t="s">
        <v>447</v>
      </c>
      <c r="R564" s="36">
        <f>COUNTIF(Tabla1[[#This Row],[VEHICULOS_ACCIDENTADOS]:[VEHICULOS_ACCIDENTADOS2]],"MOTOCICLETA")</f>
        <v>1</v>
      </c>
      <c r="S564" s="36">
        <f>COUNTIF(Tabla1[[#This Row],[VEHICULOS_ACCIDENTADOS]:[VEHICULOS_ACCIDENTADOS2]],"MOTOCARRO")</f>
        <v>0</v>
      </c>
      <c r="T564" s="36">
        <f>COUNTIF(Tabla1[[#This Row],[VEHICULOS_ACCIDENTADOS]:[VEHICULOS_ACCIDENTADOS2]],"AUTOMOVIL")</f>
        <v>1</v>
      </c>
      <c r="U564" s="36">
        <f>COUNTIF(Tabla1[[#This Row],[VEHICULOS_ACCIDENTADOS]:[VEHICULOS_ACCIDENTADOS2]],"CAMPERO")</f>
        <v>0</v>
      </c>
      <c r="V564" s="36">
        <f>COUNTIF(Tabla1[[#This Row],[VEHICULOS_ACCIDENTADOS]:[VEHICULOS_ACCIDENTADOS2]],"CAMIONETA")</f>
        <v>0</v>
      </c>
      <c r="W564" s="36">
        <f>COUNTIF(Tabla1[[#This Row],[VEHICULOS_ACCIDENTADOS]:[VEHICULOS_ACCIDENTADOS2]],"MICROBUS")</f>
        <v>0</v>
      </c>
      <c r="X564" s="36">
        <f>COUNTIF(Tabla1[[#This Row],[VEHICULOS_ACCIDENTADOS]:[VEHICULOS_ACCIDENTADOS2]],"BUS")</f>
        <v>0</v>
      </c>
      <c r="Y564" s="36">
        <f>COUNTIF(Tabla1[[#This Row],[VEHICULOS_ACCIDENTADOS]:[VEHICULOS_ACCIDENTADOS2]],"BUSETA")</f>
        <v>0</v>
      </c>
      <c r="Z564" s="36">
        <f>COUNTIF(Tabla1[[#This Row],[VEHICULOS_ACCIDENTADOS]:[VEHICULOS_ACCIDENTADOS2]],"CAMION")</f>
        <v>0</v>
      </c>
      <c r="AA564" s="36">
        <f>COUNTIF(Tabla1[[#This Row],[VEHICULOS_ACCIDENTADOS]:[VEHICULOS_ACCIDENTADOS2]],"TRACTOCAMION")</f>
        <v>0</v>
      </c>
      <c r="AB564" s="36">
        <f>COUNTIF(Tabla1[[#This Row],[VEHICULOS_ACCIDENTADOS]:[VEHICULOS_ACCIDENTADOS2]],"VOLQUETA")</f>
        <v>0</v>
      </c>
      <c r="AC564" s="36">
        <f>COUNTIF(Tabla1[[#This Row],[VEHICULOS_ACCIDENTADOS]:[VEHICULOS_ACCIDENTADOS2]],"BICICLETA")</f>
        <v>0</v>
      </c>
      <c r="AD564" s="56"/>
      <c r="AE564" s="56" t="s">
        <v>472</v>
      </c>
      <c r="AF564" s="56">
        <f>COUNTIF(Tabla1[[#This Row],[GENERO_MASCULINO]:[GENERO_FEMENINO]],"MASCULINO")</f>
        <v>0</v>
      </c>
      <c r="AG564" s="36">
        <f>COUNTIF(Tabla1[[#This Row],[GENERO_MASCULINO]:[GENERO_FEMENINO]],"FEMENINO")</f>
        <v>1</v>
      </c>
      <c r="AH564" s="61"/>
      <c r="AI564" s="61"/>
      <c r="AJ564" s="61"/>
      <c r="AK564" s="61"/>
      <c r="AL564" s="61"/>
      <c r="AM564" s="36"/>
      <c r="AN564" s="61">
        <v>121</v>
      </c>
      <c r="AO564" s="36" t="str">
        <f>IFERROR(((VLOOKUP(Tabla1[[#This Row],[HIPOTESIS_1]],listas!$D$1:$E$105,2,FALSE))),"SIN INFORMACIÓN")</f>
        <v>No mantener distancia de seguridad.</v>
      </c>
      <c r="AP564" s="36"/>
      <c r="AQ564" s="36" t="str">
        <f>IFERROR(((VLOOKUP(Tabla1[[#This Row],[HIPOTESIS_2]],listas!$D$1:$E$105,2,FALSE))),"")</f>
        <v/>
      </c>
      <c r="AR564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565" spans="1:44" x14ac:dyDescent="0.25">
      <c r="A565" s="12">
        <v>581</v>
      </c>
      <c r="B565" s="36">
        <v>0</v>
      </c>
      <c r="C565" s="36">
        <v>1</v>
      </c>
      <c r="D565" s="60">
        <v>0</v>
      </c>
      <c r="E565" s="18" t="str">
        <f t="shared" si="32"/>
        <v>LESIONADO</v>
      </c>
      <c r="F565" s="29" t="s">
        <v>193</v>
      </c>
      <c r="G565" s="21">
        <v>5.2995305555555552</v>
      </c>
      <c r="H565" s="21">
        <v>-72.412363888888891</v>
      </c>
      <c r="I565" s="93" t="s">
        <v>697</v>
      </c>
      <c r="J565" s="36" t="s">
        <v>717</v>
      </c>
      <c r="K565" s="24" t="str">
        <f t="shared" si="33"/>
        <v>2023</v>
      </c>
      <c r="L565" s="24" t="str">
        <f t="shared" si="34"/>
        <v>OCTUBRE</v>
      </c>
      <c r="M565" s="225">
        <v>45222</v>
      </c>
      <c r="N565" s="24" t="str">
        <f t="shared" si="35"/>
        <v>LUNES</v>
      </c>
      <c r="O565" s="103">
        <v>0.76041666666666663</v>
      </c>
      <c r="P565" s="57" t="s">
        <v>469</v>
      </c>
      <c r="Q565" s="57" t="s">
        <v>447</v>
      </c>
      <c r="R565" s="36">
        <f>COUNTIF(Tabla1[[#This Row],[VEHICULOS_ACCIDENTADOS]:[VEHICULOS_ACCIDENTADOS2]],"MOTOCICLETA")</f>
        <v>1</v>
      </c>
      <c r="S565" s="36">
        <f>COUNTIF(Tabla1[[#This Row],[VEHICULOS_ACCIDENTADOS]:[VEHICULOS_ACCIDENTADOS2]],"MOTOCARRO")</f>
        <v>0</v>
      </c>
      <c r="T565" s="36">
        <f>COUNTIF(Tabla1[[#This Row],[VEHICULOS_ACCIDENTADOS]:[VEHICULOS_ACCIDENTADOS2]],"AUTOMOVIL")</f>
        <v>1</v>
      </c>
      <c r="U565" s="36">
        <f>COUNTIF(Tabla1[[#This Row],[VEHICULOS_ACCIDENTADOS]:[VEHICULOS_ACCIDENTADOS2]],"CAMPERO")</f>
        <v>0</v>
      </c>
      <c r="V565" s="36">
        <f>COUNTIF(Tabla1[[#This Row],[VEHICULOS_ACCIDENTADOS]:[VEHICULOS_ACCIDENTADOS2]],"CAMIONETA")</f>
        <v>0</v>
      </c>
      <c r="W565" s="36">
        <f>COUNTIF(Tabla1[[#This Row],[VEHICULOS_ACCIDENTADOS]:[VEHICULOS_ACCIDENTADOS2]],"MICROBUS")</f>
        <v>0</v>
      </c>
      <c r="X565" s="36">
        <f>COUNTIF(Tabla1[[#This Row],[VEHICULOS_ACCIDENTADOS]:[VEHICULOS_ACCIDENTADOS2]],"BUS")</f>
        <v>0</v>
      </c>
      <c r="Y565" s="36">
        <f>COUNTIF(Tabla1[[#This Row],[VEHICULOS_ACCIDENTADOS]:[VEHICULOS_ACCIDENTADOS2]],"BUSETA")</f>
        <v>0</v>
      </c>
      <c r="Z565" s="36">
        <f>COUNTIF(Tabla1[[#This Row],[VEHICULOS_ACCIDENTADOS]:[VEHICULOS_ACCIDENTADOS2]],"CAMION")</f>
        <v>0</v>
      </c>
      <c r="AA565" s="36">
        <f>COUNTIF(Tabla1[[#This Row],[VEHICULOS_ACCIDENTADOS]:[VEHICULOS_ACCIDENTADOS2]],"TRACTOCAMION")</f>
        <v>0</v>
      </c>
      <c r="AB565" s="36">
        <f>COUNTIF(Tabla1[[#This Row],[VEHICULOS_ACCIDENTADOS]:[VEHICULOS_ACCIDENTADOS2]],"VOLQUETA")</f>
        <v>0</v>
      </c>
      <c r="AC565" s="36">
        <f>COUNTIF(Tabla1[[#This Row],[VEHICULOS_ACCIDENTADOS]:[VEHICULOS_ACCIDENTADOS2]],"BICICLETA")</f>
        <v>0</v>
      </c>
      <c r="AD565" s="56"/>
      <c r="AE565" s="56" t="s">
        <v>472</v>
      </c>
      <c r="AF565" s="56">
        <f>COUNTIF(Tabla1[[#This Row],[GENERO_MASCULINO]:[GENERO_FEMENINO]],"MASCULINO")</f>
        <v>0</v>
      </c>
      <c r="AG565" s="36">
        <f>COUNTIF(Tabla1[[#This Row],[GENERO_MASCULINO]:[GENERO_FEMENINO]],"FEMENINO")</f>
        <v>1</v>
      </c>
      <c r="AH565" s="61">
        <v>31</v>
      </c>
      <c r="AI565" s="61"/>
      <c r="AJ565" s="61"/>
      <c r="AK565" s="61"/>
      <c r="AL565" s="61"/>
      <c r="AM565" s="36"/>
      <c r="AN565" s="61">
        <v>139</v>
      </c>
      <c r="AO565" s="36" t="str">
        <f>IFERROR(((VLOOKUP(Tabla1[[#This Row],[HIPOTESIS_1]],listas!$D$1:$E$105,2,FALSE))),"SIN INFORMACIÓN")</f>
        <v>Impericia en el manejo.</v>
      </c>
      <c r="AP565" s="36"/>
      <c r="AQ565" s="36" t="str">
        <f>IFERROR(((VLOOKUP(Tabla1[[#This Row],[HIPOTESIS_2]],listas!$D$1:$E$105,2,FALSE))),"")</f>
        <v/>
      </c>
      <c r="AR565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566" spans="1:44" x14ac:dyDescent="0.25">
      <c r="A566" s="12">
        <v>193</v>
      </c>
      <c r="B566" s="36">
        <v>0</v>
      </c>
      <c r="C566" s="36">
        <v>1</v>
      </c>
      <c r="D566" s="60">
        <v>0</v>
      </c>
      <c r="E566" s="18" t="str">
        <f t="shared" si="32"/>
        <v>LESIONADO</v>
      </c>
      <c r="F566" s="29" t="s">
        <v>362</v>
      </c>
      <c r="G566" s="17">
        <v>5.3095388888888886</v>
      </c>
      <c r="H566" s="17">
        <v>-72.411997222222226</v>
      </c>
      <c r="I566" s="93" t="s">
        <v>697</v>
      </c>
      <c r="J566" s="36" t="s">
        <v>717</v>
      </c>
      <c r="K566" s="24" t="str">
        <f t="shared" si="33"/>
        <v>2022</v>
      </c>
      <c r="L566" s="24" t="str">
        <f t="shared" si="34"/>
        <v>MAYO</v>
      </c>
      <c r="M566" s="225">
        <v>44703</v>
      </c>
      <c r="N566" s="24" t="str">
        <f t="shared" si="35"/>
        <v>DOMINGO</v>
      </c>
      <c r="O566" s="170">
        <v>0.72222222222222199</v>
      </c>
      <c r="P566" s="53" t="s">
        <v>469</v>
      </c>
      <c r="Q566" s="53" t="s">
        <v>469</v>
      </c>
      <c r="R566" s="36">
        <f>COUNTIF(Tabla1[[#This Row],[VEHICULOS_ACCIDENTADOS]:[VEHICULOS_ACCIDENTADOS2]],"MOTOCICLETA")</f>
        <v>2</v>
      </c>
      <c r="S566" s="36">
        <f>COUNTIF(Tabla1[[#This Row],[VEHICULOS_ACCIDENTADOS]:[VEHICULOS_ACCIDENTADOS2]],"MOTOCARRO")</f>
        <v>0</v>
      </c>
      <c r="T566" s="36">
        <f>COUNTIF(Tabla1[[#This Row],[VEHICULOS_ACCIDENTADOS]:[VEHICULOS_ACCIDENTADOS2]],"AUTOMOVIL")</f>
        <v>0</v>
      </c>
      <c r="U566" s="36">
        <f>COUNTIF(Tabla1[[#This Row],[VEHICULOS_ACCIDENTADOS]:[VEHICULOS_ACCIDENTADOS2]],"CAMPERO")</f>
        <v>0</v>
      </c>
      <c r="V566" s="36">
        <f>COUNTIF(Tabla1[[#This Row],[VEHICULOS_ACCIDENTADOS]:[VEHICULOS_ACCIDENTADOS2]],"CAMIONETA")</f>
        <v>0</v>
      </c>
      <c r="W566" s="36">
        <f>COUNTIF(Tabla1[[#This Row],[VEHICULOS_ACCIDENTADOS]:[VEHICULOS_ACCIDENTADOS2]],"MICROBUS")</f>
        <v>0</v>
      </c>
      <c r="X566" s="36">
        <f>COUNTIF(Tabla1[[#This Row],[VEHICULOS_ACCIDENTADOS]:[VEHICULOS_ACCIDENTADOS2]],"BUS")</f>
        <v>0</v>
      </c>
      <c r="Y566" s="36">
        <f>COUNTIF(Tabla1[[#This Row],[VEHICULOS_ACCIDENTADOS]:[VEHICULOS_ACCIDENTADOS2]],"BUSETA")</f>
        <v>0</v>
      </c>
      <c r="Z566" s="36">
        <f>COUNTIF(Tabla1[[#This Row],[VEHICULOS_ACCIDENTADOS]:[VEHICULOS_ACCIDENTADOS2]],"CAMION")</f>
        <v>0</v>
      </c>
      <c r="AA566" s="36">
        <f>COUNTIF(Tabla1[[#This Row],[VEHICULOS_ACCIDENTADOS]:[VEHICULOS_ACCIDENTADOS2]],"TRACTOCAMION")</f>
        <v>0</v>
      </c>
      <c r="AB566" s="36">
        <f>COUNTIF(Tabla1[[#This Row],[VEHICULOS_ACCIDENTADOS]:[VEHICULOS_ACCIDENTADOS2]],"VOLQUETA")</f>
        <v>0</v>
      </c>
      <c r="AC566" s="36">
        <f>COUNTIF(Tabla1[[#This Row],[VEHICULOS_ACCIDENTADOS]:[VEHICULOS_ACCIDENTADOS2]],"BICICLETA")</f>
        <v>0</v>
      </c>
      <c r="AD566" s="56" t="s">
        <v>471</v>
      </c>
      <c r="AE566" s="56"/>
      <c r="AF566" s="56">
        <f>COUNTIF(Tabla1[[#This Row],[GENERO_MASCULINO]:[GENERO_FEMENINO]],"MASCULINO")</f>
        <v>1</v>
      </c>
      <c r="AG566" s="36">
        <f>COUNTIF(Tabla1[[#This Row],[GENERO_MASCULINO]:[GENERO_FEMENINO]],"FEMENINO")</f>
        <v>0</v>
      </c>
      <c r="AH566" s="61">
        <v>15</v>
      </c>
      <c r="AI566" s="61"/>
      <c r="AJ566" s="61"/>
      <c r="AK566" s="61"/>
      <c r="AL566" s="61"/>
      <c r="AM566" s="36"/>
      <c r="AN566" s="61">
        <v>139</v>
      </c>
      <c r="AO566" s="36" t="str">
        <f>IFERROR(((VLOOKUP(Tabla1[[#This Row],[HIPOTESIS_1]],listas!$D$1:$E$105,2,FALSE))),"SIN INFORMACIÓN")</f>
        <v>Impericia en el manejo.</v>
      </c>
      <c r="AP566" s="36"/>
      <c r="AQ566" s="36" t="str">
        <f>IFERROR(((VLOOKUP(Tabla1[[#This Row],[HIPOTESIS_2]],listas!$D$1:$E$105,2,FALSE))),"")</f>
        <v/>
      </c>
      <c r="AR566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567" spans="1:44" x14ac:dyDescent="0.25">
      <c r="A567" s="12">
        <v>985</v>
      </c>
      <c r="B567" s="137">
        <v>0</v>
      </c>
      <c r="C567" s="137">
        <v>0</v>
      </c>
      <c r="D567" s="146">
        <v>1</v>
      </c>
      <c r="E567" s="18" t="str">
        <f t="shared" si="32"/>
        <v>FALLECIDO</v>
      </c>
      <c r="F567" s="152" t="s">
        <v>14</v>
      </c>
      <c r="G567" s="30">
        <v>5.3136900000000002</v>
      </c>
      <c r="H567" s="30">
        <v>-72.412108000000003</v>
      </c>
      <c r="I567" s="93" t="s">
        <v>697</v>
      </c>
      <c r="J567" s="36" t="s">
        <v>717</v>
      </c>
      <c r="K567" s="24" t="str">
        <f t="shared" si="33"/>
        <v>2025</v>
      </c>
      <c r="L567" s="24" t="str">
        <f t="shared" si="34"/>
        <v>JUNIO</v>
      </c>
      <c r="M567" s="228">
        <v>45819</v>
      </c>
      <c r="N567" s="24" t="str">
        <f t="shared" si="35"/>
        <v>MIÉRCOLES</v>
      </c>
      <c r="O567" s="103">
        <v>0.66666666666666663</v>
      </c>
      <c r="P567" s="63" t="s">
        <v>469</v>
      </c>
      <c r="Q567" s="63"/>
      <c r="R567" s="36">
        <f>COUNTIF(Tabla1[[#This Row],[VEHICULOS_ACCIDENTADOS]:[VEHICULOS_ACCIDENTADOS2]],"MOTOCICLETA")</f>
        <v>1</v>
      </c>
      <c r="S567" s="36">
        <f>COUNTIF(Tabla1[[#This Row],[VEHICULOS_ACCIDENTADOS]:[VEHICULOS_ACCIDENTADOS2]],"MOTOCARRO")</f>
        <v>0</v>
      </c>
      <c r="T567" s="36">
        <f>COUNTIF(Tabla1[[#This Row],[VEHICULOS_ACCIDENTADOS]:[VEHICULOS_ACCIDENTADOS2]],"AUTOMOVIL")</f>
        <v>0</v>
      </c>
      <c r="U567" s="36">
        <f>COUNTIF(Tabla1[[#This Row],[VEHICULOS_ACCIDENTADOS]:[VEHICULOS_ACCIDENTADOS2]],"CAMPERO")</f>
        <v>0</v>
      </c>
      <c r="V567" s="36">
        <f>COUNTIF(Tabla1[[#This Row],[VEHICULOS_ACCIDENTADOS]:[VEHICULOS_ACCIDENTADOS2]],"CAMIONETA")</f>
        <v>0</v>
      </c>
      <c r="W567" s="36">
        <f>COUNTIF(Tabla1[[#This Row],[VEHICULOS_ACCIDENTADOS]:[VEHICULOS_ACCIDENTADOS2]],"MICROBUS")</f>
        <v>0</v>
      </c>
      <c r="X567" s="36">
        <f>COUNTIF(Tabla1[[#This Row],[VEHICULOS_ACCIDENTADOS]:[VEHICULOS_ACCIDENTADOS2]],"BUS")</f>
        <v>0</v>
      </c>
      <c r="Y567" s="36">
        <f>COUNTIF(Tabla1[[#This Row],[VEHICULOS_ACCIDENTADOS]:[VEHICULOS_ACCIDENTADOS2]],"BUSETA")</f>
        <v>0</v>
      </c>
      <c r="Z567" s="36">
        <f>COUNTIF(Tabla1[[#This Row],[VEHICULOS_ACCIDENTADOS]:[VEHICULOS_ACCIDENTADOS2]],"CAMION")</f>
        <v>0</v>
      </c>
      <c r="AA567" s="36">
        <f>COUNTIF(Tabla1[[#This Row],[VEHICULOS_ACCIDENTADOS]:[VEHICULOS_ACCIDENTADOS2]],"TRACTOCAMION")</f>
        <v>0</v>
      </c>
      <c r="AB567" s="36">
        <f>COUNTIF(Tabla1[[#This Row],[VEHICULOS_ACCIDENTADOS]:[VEHICULOS_ACCIDENTADOS2]],"VOLQUETA")</f>
        <v>0</v>
      </c>
      <c r="AC567" s="36">
        <f>COUNTIF(Tabla1[[#This Row],[VEHICULOS_ACCIDENTADOS]:[VEHICULOS_ACCIDENTADOS2]],"BICICLETA")</f>
        <v>0</v>
      </c>
      <c r="AD567" s="56" t="s">
        <v>471</v>
      </c>
      <c r="AE567" s="56"/>
      <c r="AF567" s="56">
        <f>COUNTIF(Tabla1[[#This Row],[GENERO_MASCULINO]:[GENERO_FEMENINO]],"MASCULINO")</f>
        <v>1</v>
      </c>
      <c r="AG567" s="36">
        <f>COUNTIF(Tabla1[[#This Row],[GENERO_MASCULINO]:[GENERO_FEMENINO]],"FEMENINO")</f>
        <v>0</v>
      </c>
      <c r="AH567" s="85">
        <v>20</v>
      </c>
      <c r="AI567" s="85"/>
      <c r="AJ567" s="85"/>
      <c r="AK567" s="78"/>
      <c r="AL567" s="78"/>
      <c r="AM567" s="59"/>
      <c r="AN567" s="61">
        <v>139</v>
      </c>
      <c r="AO567" s="36" t="str">
        <f>IFERROR(((VLOOKUP(Tabla1[[#This Row],[HIPOTESIS_1]],listas!$D$1:$E$105,2,FALSE))),"SIN INFORMACIÓN")</f>
        <v>Impericia en el manejo.</v>
      </c>
      <c r="AP567" s="36"/>
      <c r="AQ567" s="36" t="str">
        <f>IFERROR(((VLOOKUP(Tabla1[[#This Row],[HIPOTESIS_2]],listas!$D$1:$E$105,2,FALSE))),"")</f>
        <v/>
      </c>
      <c r="AR567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568" spans="1:44" x14ac:dyDescent="0.25">
      <c r="A568" s="12">
        <v>528</v>
      </c>
      <c r="B568" s="36">
        <v>1</v>
      </c>
      <c r="C568" s="36">
        <v>0</v>
      </c>
      <c r="D568" s="60">
        <v>0</v>
      </c>
      <c r="E568" s="18" t="str">
        <f t="shared" si="32"/>
        <v>SOLO DAÑO</v>
      </c>
      <c r="F568" s="29" t="s">
        <v>218</v>
      </c>
      <c r="G568" s="21">
        <v>5.3151527777777776</v>
      </c>
      <c r="H568" s="21">
        <v>-72.412069444444455</v>
      </c>
      <c r="I568" s="93" t="s">
        <v>697</v>
      </c>
      <c r="J568" s="36" t="s">
        <v>717</v>
      </c>
      <c r="K568" s="24" t="str">
        <f t="shared" si="33"/>
        <v>2023</v>
      </c>
      <c r="L568" s="24" t="str">
        <f t="shared" si="34"/>
        <v>AGOSTO</v>
      </c>
      <c r="M568" s="225">
        <v>45145</v>
      </c>
      <c r="N568" s="24" t="str">
        <f t="shared" si="35"/>
        <v>LUNES</v>
      </c>
      <c r="O568" s="101">
        <v>0.35416666666666669</v>
      </c>
      <c r="P568" s="57" t="s">
        <v>447</v>
      </c>
      <c r="Q568" s="57"/>
      <c r="R568" s="36">
        <f>COUNTIF(Tabla1[[#This Row],[VEHICULOS_ACCIDENTADOS]:[VEHICULOS_ACCIDENTADOS2]],"MOTOCICLETA")</f>
        <v>0</v>
      </c>
      <c r="S568" s="36">
        <f>COUNTIF(Tabla1[[#This Row],[VEHICULOS_ACCIDENTADOS]:[VEHICULOS_ACCIDENTADOS2]],"MOTOCARRO")</f>
        <v>0</v>
      </c>
      <c r="T568" s="36">
        <f>COUNTIF(Tabla1[[#This Row],[VEHICULOS_ACCIDENTADOS]:[VEHICULOS_ACCIDENTADOS2]],"AUTOMOVIL")</f>
        <v>1</v>
      </c>
      <c r="U568" s="36">
        <f>COUNTIF(Tabla1[[#This Row],[VEHICULOS_ACCIDENTADOS]:[VEHICULOS_ACCIDENTADOS2]],"CAMPERO")</f>
        <v>0</v>
      </c>
      <c r="V568" s="36">
        <f>COUNTIF(Tabla1[[#This Row],[VEHICULOS_ACCIDENTADOS]:[VEHICULOS_ACCIDENTADOS2]],"CAMIONETA")</f>
        <v>0</v>
      </c>
      <c r="W568" s="36">
        <f>COUNTIF(Tabla1[[#This Row],[VEHICULOS_ACCIDENTADOS]:[VEHICULOS_ACCIDENTADOS2]],"MICROBUS")</f>
        <v>0</v>
      </c>
      <c r="X568" s="36">
        <f>COUNTIF(Tabla1[[#This Row],[VEHICULOS_ACCIDENTADOS]:[VEHICULOS_ACCIDENTADOS2]],"BUS")</f>
        <v>0</v>
      </c>
      <c r="Y568" s="36">
        <f>COUNTIF(Tabla1[[#This Row],[VEHICULOS_ACCIDENTADOS]:[VEHICULOS_ACCIDENTADOS2]],"BUSETA")</f>
        <v>0</v>
      </c>
      <c r="Z568" s="36">
        <f>COUNTIF(Tabla1[[#This Row],[VEHICULOS_ACCIDENTADOS]:[VEHICULOS_ACCIDENTADOS2]],"CAMION")</f>
        <v>0</v>
      </c>
      <c r="AA568" s="36">
        <f>COUNTIF(Tabla1[[#This Row],[VEHICULOS_ACCIDENTADOS]:[VEHICULOS_ACCIDENTADOS2]],"TRACTOCAMION")</f>
        <v>0</v>
      </c>
      <c r="AB568" s="36">
        <f>COUNTIF(Tabla1[[#This Row],[VEHICULOS_ACCIDENTADOS]:[VEHICULOS_ACCIDENTADOS2]],"VOLQUETA")</f>
        <v>0</v>
      </c>
      <c r="AC568" s="36">
        <f>COUNTIF(Tabla1[[#This Row],[VEHICULOS_ACCIDENTADOS]:[VEHICULOS_ACCIDENTADOS2]],"BICICLETA")</f>
        <v>0</v>
      </c>
      <c r="AD568" s="56" t="s">
        <v>471</v>
      </c>
      <c r="AE568" s="56"/>
      <c r="AF568" s="56">
        <f>COUNTIF(Tabla1[[#This Row],[GENERO_MASCULINO]:[GENERO_FEMENINO]],"MASCULINO")</f>
        <v>1</v>
      </c>
      <c r="AG568" s="36">
        <f>COUNTIF(Tabla1[[#This Row],[GENERO_MASCULINO]:[GENERO_FEMENINO]],"FEMENINO")</f>
        <v>0</v>
      </c>
      <c r="AH568" s="61"/>
      <c r="AI568" s="61"/>
      <c r="AJ568" s="78"/>
      <c r="AK568" s="61"/>
      <c r="AL568" s="61"/>
      <c r="AM568" s="36"/>
      <c r="AN568" s="61">
        <v>157</v>
      </c>
      <c r="AO568" s="36" t="str">
        <f>IFERROR(((VLOOKUP(Tabla1[[#This Row],[HIPOTESIS_1]],listas!$D$1:$E$105,2,FALSE))),"SIN INFORMACIÓN")</f>
        <v>Otra</v>
      </c>
      <c r="AP568" s="36"/>
      <c r="AQ568" s="36" t="str">
        <f>IFERROR(((VLOOKUP(Tabla1[[#This Row],[HIPOTESIS_2]],listas!$D$1:$E$105,2,FALSE))),"")</f>
        <v/>
      </c>
      <c r="AR568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569" spans="1:44" x14ac:dyDescent="0.25">
      <c r="A569" s="12">
        <v>33</v>
      </c>
      <c r="B569" s="36">
        <v>0</v>
      </c>
      <c r="C569" s="36">
        <v>1</v>
      </c>
      <c r="D569" s="60">
        <v>0</v>
      </c>
      <c r="E569" s="18" t="str">
        <f t="shared" si="32"/>
        <v>LESIONADO</v>
      </c>
      <c r="F569" s="29" t="s">
        <v>1044</v>
      </c>
      <c r="G569" s="17">
        <v>5.3327833333333334</v>
      </c>
      <c r="H569" s="17">
        <v>-72.403641666666672</v>
      </c>
      <c r="I569" s="93" t="s">
        <v>697</v>
      </c>
      <c r="J569" s="36" t="s">
        <v>717</v>
      </c>
      <c r="K569" s="24" t="str">
        <f t="shared" si="33"/>
        <v>2022</v>
      </c>
      <c r="L569" s="24" t="str">
        <f t="shared" si="34"/>
        <v>ENERO</v>
      </c>
      <c r="M569" s="225">
        <v>44592</v>
      </c>
      <c r="N569" s="24" t="str">
        <f t="shared" si="35"/>
        <v>LUNES</v>
      </c>
      <c r="O569" s="103">
        <v>0.4861111111111111</v>
      </c>
      <c r="P569" s="63" t="s">
        <v>469</v>
      </c>
      <c r="Q569" s="63"/>
      <c r="R569" s="36">
        <f>COUNTIF(Tabla1[[#This Row],[VEHICULOS_ACCIDENTADOS]:[VEHICULOS_ACCIDENTADOS2]],"MOTOCICLETA")</f>
        <v>1</v>
      </c>
      <c r="S569" s="36">
        <f>COUNTIF(Tabla1[[#This Row],[VEHICULOS_ACCIDENTADOS]:[VEHICULOS_ACCIDENTADOS2]],"MOTOCARRO")</f>
        <v>0</v>
      </c>
      <c r="T569" s="36">
        <f>COUNTIF(Tabla1[[#This Row],[VEHICULOS_ACCIDENTADOS]:[VEHICULOS_ACCIDENTADOS2]],"AUTOMOVIL")</f>
        <v>0</v>
      </c>
      <c r="U569" s="36">
        <f>COUNTIF(Tabla1[[#This Row],[VEHICULOS_ACCIDENTADOS]:[VEHICULOS_ACCIDENTADOS2]],"CAMPERO")</f>
        <v>0</v>
      </c>
      <c r="V569" s="36">
        <f>COUNTIF(Tabla1[[#This Row],[VEHICULOS_ACCIDENTADOS]:[VEHICULOS_ACCIDENTADOS2]],"CAMIONETA")</f>
        <v>0</v>
      </c>
      <c r="W569" s="36">
        <f>COUNTIF(Tabla1[[#This Row],[VEHICULOS_ACCIDENTADOS]:[VEHICULOS_ACCIDENTADOS2]],"MICROBUS")</f>
        <v>0</v>
      </c>
      <c r="X569" s="36">
        <f>COUNTIF(Tabla1[[#This Row],[VEHICULOS_ACCIDENTADOS]:[VEHICULOS_ACCIDENTADOS2]],"BUS")</f>
        <v>0</v>
      </c>
      <c r="Y569" s="36">
        <f>COUNTIF(Tabla1[[#This Row],[VEHICULOS_ACCIDENTADOS]:[VEHICULOS_ACCIDENTADOS2]],"BUSETA")</f>
        <v>0</v>
      </c>
      <c r="Z569" s="36">
        <f>COUNTIF(Tabla1[[#This Row],[VEHICULOS_ACCIDENTADOS]:[VEHICULOS_ACCIDENTADOS2]],"CAMION")</f>
        <v>0</v>
      </c>
      <c r="AA569" s="36">
        <f>COUNTIF(Tabla1[[#This Row],[VEHICULOS_ACCIDENTADOS]:[VEHICULOS_ACCIDENTADOS2]],"TRACTOCAMION")</f>
        <v>0</v>
      </c>
      <c r="AB569" s="36">
        <f>COUNTIF(Tabla1[[#This Row],[VEHICULOS_ACCIDENTADOS]:[VEHICULOS_ACCIDENTADOS2]],"VOLQUETA")</f>
        <v>0</v>
      </c>
      <c r="AC569" s="36">
        <f>COUNTIF(Tabla1[[#This Row],[VEHICULOS_ACCIDENTADOS]:[VEHICULOS_ACCIDENTADOS2]],"BICICLETA")</f>
        <v>0</v>
      </c>
      <c r="AD569" s="56" t="s">
        <v>471</v>
      </c>
      <c r="AE569" s="56"/>
      <c r="AF569" s="56">
        <f>COUNTIF(Tabla1[[#This Row],[GENERO_MASCULINO]:[GENERO_FEMENINO]],"MASCULINO")</f>
        <v>1</v>
      </c>
      <c r="AG569" s="36">
        <f>COUNTIF(Tabla1[[#This Row],[GENERO_MASCULINO]:[GENERO_FEMENINO]],"FEMENINO")</f>
        <v>0</v>
      </c>
      <c r="AH569" s="61">
        <v>77</v>
      </c>
      <c r="AI569" s="61"/>
      <c r="AJ569" s="61"/>
      <c r="AK569" s="61"/>
      <c r="AL569" s="61"/>
      <c r="AM569" s="36"/>
      <c r="AN569" s="61">
        <v>157</v>
      </c>
      <c r="AO569" s="36" t="str">
        <f>IFERROR(((VLOOKUP(Tabla1[[#This Row],[HIPOTESIS_1]],listas!$D$1:$E$105,2,FALSE))),"SIN INFORMACIÓN")</f>
        <v>Otra</v>
      </c>
      <c r="AP569" s="36"/>
      <c r="AQ569" s="36" t="str">
        <f>IFERROR(((VLOOKUP(Tabla1[[#This Row],[HIPOTESIS_2]],listas!$D$1:$E$105,2,FALSE))),"")</f>
        <v/>
      </c>
      <c r="AR569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570" spans="1:44" x14ac:dyDescent="0.25">
      <c r="A570" s="12">
        <v>173</v>
      </c>
      <c r="B570" s="36">
        <v>1</v>
      </c>
      <c r="C570" s="36">
        <v>0</v>
      </c>
      <c r="D570" s="60">
        <v>0</v>
      </c>
      <c r="E570" s="18" t="str">
        <f t="shared" si="32"/>
        <v>SOLO DAÑO</v>
      </c>
      <c r="F570" s="29" t="s">
        <v>1044</v>
      </c>
      <c r="G570" s="17">
        <v>5.3327833333333334</v>
      </c>
      <c r="H570" s="17">
        <v>-72.403641666666672</v>
      </c>
      <c r="I570" s="93" t="s">
        <v>697</v>
      </c>
      <c r="J570" s="36" t="s">
        <v>717</v>
      </c>
      <c r="K570" s="24" t="str">
        <f t="shared" si="33"/>
        <v>2022</v>
      </c>
      <c r="L570" s="24" t="str">
        <f t="shared" si="34"/>
        <v>MAYO</v>
      </c>
      <c r="M570" s="225">
        <v>44688</v>
      </c>
      <c r="N570" s="24" t="str">
        <f t="shared" si="35"/>
        <v>SÁBADO</v>
      </c>
      <c r="O570" s="170">
        <v>0.41597222222222202</v>
      </c>
      <c r="P570" s="53" t="s">
        <v>447</v>
      </c>
      <c r="Q570" s="53" t="s">
        <v>447</v>
      </c>
      <c r="R570" s="36">
        <f>COUNTIF(Tabla1[[#This Row],[VEHICULOS_ACCIDENTADOS]:[VEHICULOS_ACCIDENTADOS2]],"MOTOCICLETA")</f>
        <v>0</v>
      </c>
      <c r="S570" s="36">
        <f>COUNTIF(Tabla1[[#This Row],[VEHICULOS_ACCIDENTADOS]:[VEHICULOS_ACCIDENTADOS2]],"MOTOCARRO")</f>
        <v>0</v>
      </c>
      <c r="T570" s="36">
        <f>COUNTIF(Tabla1[[#This Row],[VEHICULOS_ACCIDENTADOS]:[VEHICULOS_ACCIDENTADOS2]],"AUTOMOVIL")</f>
        <v>2</v>
      </c>
      <c r="U570" s="36">
        <f>COUNTIF(Tabla1[[#This Row],[VEHICULOS_ACCIDENTADOS]:[VEHICULOS_ACCIDENTADOS2]],"CAMPERO")</f>
        <v>0</v>
      </c>
      <c r="V570" s="36">
        <f>COUNTIF(Tabla1[[#This Row],[VEHICULOS_ACCIDENTADOS]:[VEHICULOS_ACCIDENTADOS2]],"CAMIONETA")</f>
        <v>0</v>
      </c>
      <c r="W570" s="36">
        <f>COUNTIF(Tabla1[[#This Row],[VEHICULOS_ACCIDENTADOS]:[VEHICULOS_ACCIDENTADOS2]],"MICROBUS")</f>
        <v>0</v>
      </c>
      <c r="X570" s="36">
        <f>COUNTIF(Tabla1[[#This Row],[VEHICULOS_ACCIDENTADOS]:[VEHICULOS_ACCIDENTADOS2]],"BUS")</f>
        <v>0</v>
      </c>
      <c r="Y570" s="36">
        <f>COUNTIF(Tabla1[[#This Row],[VEHICULOS_ACCIDENTADOS]:[VEHICULOS_ACCIDENTADOS2]],"BUSETA")</f>
        <v>0</v>
      </c>
      <c r="Z570" s="36">
        <f>COUNTIF(Tabla1[[#This Row],[VEHICULOS_ACCIDENTADOS]:[VEHICULOS_ACCIDENTADOS2]],"CAMION")</f>
        <v>0</v>
      </c>
      <c r="AA570" s="36">
        <f>COUNTIF(Tabla1[[#This Row],[VEHICULOS_ACCIDENTADOS]:[VEHICULOS_ACCIDENTADOS2]],"TRACTOCAMION")</f>
        <v>0</v>
      </c>
      <c r="AB570" s="36">
        <f>COUNTIF(Tabla1[[#This Row],[VEHICULOS_ACCIDENTADOS]:[VEHICULOS_ACCIDENTADOS2]],"VOLQUETA")</f>
        <v>0</v>
      </c>
      <c r="AC570" s="36">
        <f>COUNTIF(Tabla1[[#This Row],[VEHICULOS_ACCIDENTADOS]:[VEHICULOS_ACCIDENTADOS2]],"BICICLETA")</f>
        <v>0</v>
      </c>
      <c r="AD570" s="56" t="s">
        <v>471</v>
      </c>
      <c r="AE570" s="56"/>
      <c r="AF570" s="56">
        <f>COUNTIF(Tabla1[[#This Row],[GENERO_MASCULINO]:[GENERO_FEMENINO]],"MASCULINO")</f>
        <v>1</v>
      </c>
      <c r="AG570" s="36">
        <f>COUNTIF(Tabla1[[#This Row],[GENERO_MASCULINO]:[GENERO_FEMENINO]],"FEMENINO")</f>
        <v>0</v>
      </c>
      <c r="AH570" s="61"/>
      <c r="AI570" s="61"/>
      <c r="AJ570" s="61"/>
      <c r="AK570" s="61"/>
      <c r="AL570" s="61"/>
      <c r="AM570" s="36"/>
      <c r="AN570" s="61">
        <v>123</v>
      </c>
      <c r="AO570" s="36" t="str">
        <f>IFERROR(((VLOOKUP(Tabla1[[#This Row],[HIPOTESIS_1]],listas!$D$1:$E$105,2,FALSE))),"SIN INFORMACIÓN")</f>
        <v>No respetar prelación de intersecciones o giros.</v>
      </c>
      <c r="AP570" s="36"/>
      <c r="AQ570" s="36" t="str">
        <f>IFERROR(((VLOOKUP(Tabla1[[#This Row],[HIPOTESIS_2]],listas!$D$1:$E$105,2,FALSE))),"")</f>
        <v/>
      </c>
      <c r="AR570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571" spans="1:44" x14ac:dyDescent="0.25">
      <c r="A571" s="12">
        <v>815</v>
      </c>
      <c r="B571" s="135">
        <v>0</v>
      </c>
      <c r="C571" s="136">
        <v>1</v>
      </c>
      <c r="D571" s="149">
        <v>0</v>
      </c>
      <c r="E571" s="18" t="str">
        <f t="shared" si="32"/>
        <v>LESIONADO</v>
      </c>
      <c r="F571" s="26" t="s">
        <v>1045</v>
      </c>
      <c r="G571" s="17">
        <v>5.3327833333333334</v>
      </c>
      <c r="H571" s="17">
        <v>-72.403641666666672</v>
      </c>
      <c r="I571" s="93" t="s">
        <v>697</v>
      </c>
      <c r="J571" s="36" t="s">
        <v>717</v>
      </c>
      <c r="K571" s="24" t="str">
        <f t="shared" si="33"/>
        <v>2024</v>
      </c>
      <c r="L571" s="24" t="str">
        <f t="shared" si="34"/>
        <v>NOVIEMBRE</v>
      </c>
      <c r="M571" s="224">
        <v>45611</v>
      </c>
      <c r="N571" s="24" t="str">
        <f t="shared" si="35"/>
        <v>VIERNES</v>
      </c>
      <c r="O571" s="104">
        <v>0.73263888888888884</v>
      </c>
      <c r="P571" s="136" t="s">
        <v>445</v>
      </c>
      <c r="Q571" s="136"/>
      <c r="R571" s="36">
        <f>COUNTIF(Tabla1[[#This Row],[VEHICULOS_ACCIDENTADOS]:[VEHICULOS_ACCIDENTADOS2]],"MOTOCICLETA")</f>
        <v>0</v>
      </c>
      <c r="S571" s="36">
        <f>COUNTIF(Tabla1[[#This Row],[VEHICULOS_ACCIDENTADOS]:[VEHICULOS_ACCIDENTADOS2]],"MOTOCARRO")</f>
        <v>0</v>
      </c>
      <c r="T571" s="36">
        <f>COUNTIF(Tabla1[[#This Row],[VEHICULOS_ACCIDENTADOS]:[VEHICULOS_ACCIDENTADOS2]],"AUTOMOVIL")</f>
        <v>0</v>
      </c>
      <c r="U571" s="36">
        <f>COUNTIF(Tabla1[[#This Row],[VEHICULOS_ACCIDENTADOS]:[VEHICULOS_ACCIDENTADOS2]],"CAMPERO")</f>
        <v>0</v>
      </c>
      <c r="V571" s="36">
        <f>COUNTIF(Tabla1[[#This Row],[VEHICULOS_ACCIDENTADOS]:[VEHICULOS_ACCIDENTADOS2]],"CAMIONETA")</f>
        <v>1</v>
      </c>
      <c r="W571" s="36">
        <f>COUNTIF(Tabla1[[#This Row],[VEHICULOS_ACCIDENTADOS]:[VEHICULOS_ACCIDENTADOS2]],"MICROBUS")</f>
        <v>0</v>
      </c>
      <c r="X571" s="36">
        <f>COUNTIF(Tabla1[[#This Row],[VEHICULOS_ACCIDENTADOS]:[VEHICULOS_ACCIDENTADOS2]],"BUS")</f>
        <v>0</v>
      </c>
      <c r="Y571" s="36">
        <f>COUNTIF(Tabla1[[#This Row],[VEHICULOS_ACCIDENTADOS]:[VEHICULOS_ACCIDENTADOS2]],"BUSETA")</f>
        <v>0</v>
      </c>
      <c r="Z571" s="36">
        <f>COUNTIF(Tabla1[[#This Row],[VEHICULOS_ACCIDENTADOS]:[VEHICULOS_ACCIDENTADOS2]],"CAMION")</f>
        <v>0</v>
      </c>
      <c r="AA571" s="36">
        <f>COUNTIF(Tabla1[[#This Row],[VEHICULOS_ACCIDENTADOS]:[VEHICULOS_ACCIDENTADOS2]],"TRACTOCAMION")</f>
        <v>0</v>
      </c>
      <c r="AB571" s="36">
        <f>COUNTIF(Tabla1[[#This Row],[VEHICULOS_ACCIDENTADOS]:[VEHICULOS_ACCIDENTADOS2]],"VOLQUETA")</f>
        <v>0</v>
      </c>
      <c r="AC571" s="36">
        <f>COUNTIF(Tabla1[[#This Row],[VEHICULOS_ACCIDENTADOS]:[VEHICULOS_ACCIDENTADOS2]],"BICICLETA")</f>
        <v>0</v>
      </c>
      <c r="AD571" s="190" t="s">
        <v>471</v>
      </c>
      <c r="AE571" s="190" t="s">
        <v>472</v>
      </c>
      <c r="AF571" s="190">
        <f>COUNTIF(Tabla1[[#This Row],[GENERO_MASCULINO]:[GENERO_FEMENINO]],"MASCULINO")</f>
        <v>1</v>
      </c>
      <c r="AG571" s="36">
        <f>COUNTIF(Tabla1[[#This Row],[GENERO_MASCULINO]:[GENERO_FEMENINO]],"FEMENINO")</f>
        <v>1</v>
      </c>
      <c r="AH571" s="85">
        <v>69</v>
      </c>
      <c r="AI571" s="85">
        <v>79</v>
      </c>
      <c r="AJ571" s="85"/>
      <c r="AK571" s="85"/>
      <c r="AL571" s="85"/>
      <c r="AM571" s="136"/>
      <c r="AN571" s="85">
        <v>157</v>
      </c>
      <c r="AO571" s="36" t="str">
        <f>IFERROR(((VLOOKUP(Tabla1[[#This Row],[HIPOTESIS_1]],listas!$D$1:$E$105,2,FALSE))),"SIN INFORMACIÓN")</f>
        <v>Otra</v>
      </c>
      <c r="AP571" s="136"/>
      <c r="AQ571" s="36" t="str">
        <f>IFERROR(((VLOOKUP(Tabla1[[#This Row],[HIPOTESIS_2]],listas!$D$1:$E$105,2,FALSE))),"")</f>
        <v/>
      </c>
      <c r="AR571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572" spans="1:44" x14ac:dyDescent="0.25">
      <c r="A572" s="12">
        <v>785</v>
      </c>
      <c r="B572" s="135">
        <v>0</v>
      </c>
      <c r="C572" s="136">
        <v>1</v>
      </c>
      <c r="D572" s="149">
        <v>0</v>
      </c>
      <c r="E572" s="18" t="str">
        <f t="shared" si="32"/>
        <v>LESIONADO</v>
      </c>
      <c r="F572" s="26" t="s">
        <v>1045</v>
      </c>
      <c r="G572" s="17">
        <v>5.3327833333333334</v>
      </c>
      <c r="H572" s="17">
        <v>-72.403641666666672</v>
      </c>
      <c r="I572" s="93" t="s">
        <v>697</v>
      </c>
      <c r="J572" s="36" t="s">
        <v>717</v>
      </c>
      <c r="K572" s="24" t="str">
        <f t="shared" si="33"/>
        <v>2024</v>
      </c>
      <c r="L572" s="24" t="str">
        <f t="shared" si="34"/>
        <v>OCTUBRE</v>
      </c>
      <c r="M572" s="224">
        <v>45568</v>
      </c>
      <c r="N572" s="24" t="str">
        <f t="shared" si="35"/>
        <v>JUEVES</v>
      </c>
      <c r="O572" s="104">
        <v>0.74305555555555547</v>
      </c>
      <c r="P572" s="178" t="s">
        <v>469</v>
      </c>
      <c r="Q572" s="178"/>
      <c r="R572" s="36">
        <f>COUNTIF(Tabla1[[#This Row],[VEHICULOS_ACCIDENTADOS]:[VEHICULOS_ACCIDENTADOS2]],"MOTOCICLETA")</f>
        <v>1</v>
      </c>
      <c r="S572" s="36">
        <f>COUNTIF(Tabla1[[#This Row],[VEHICULOS_ACCIDENTADOS]:[VEHICULOS_ACCIDENTADOS2]],"MOTOCARRO")</f>
        <v>0</v>
      </c>
      <c r="T572" s="36">
        <f>COUNTIF(Tabla1[[#This Row],[VEHICULOS_ACCIDENTADOS]:[VEHICULOS_ACCIDENTADOS2]],"AUTOMOVIL")</f>
        <v>0</v>
      </c>
      <c r="U572" s="36">
        <f>COUNTIF(Tabla1[[#This Row],[VEHICULOS_ACCIDENTADOS]:[VEHICULOS_ACCIDENTADOS2]],"CAMPERO")</f>
        <v>0</v>
      </c>
      <c r="V572" s="36">
        <f>COUNTIF(Tabla1[[#This Row],[VEHICULOS_ACCIDENTADOS]:[VEHICULOS_ACCIDENTADOS2]],"CAMIONETA")</f>
        <v>0</v>
      </c>
      <c r="W572" s="36">
        <f>COUNTIF(Tabla1[[#This Row],[VEHICULOS_ACCIDENTADOS]:[VEHICULOS_ACCIDENTADOS2]],"MICROBUS")</f>
        <v>0</v>
      </c>
      <c r="X572" s="36">
        <f>COUNTIF(Tabla1[[#This Row],[VEHICULOS_ACCIDENTADOS]:[VEHICULOS_ACCIDENTADOS2]],"BUS")</f>
        <v>0</v>
      </c>
      <c r="Y572" s="36">
        <f>COUNTIF(Tabla1[[#This Row],[VEHICULOS_ACCIDENTADOS]:[VEHICULOS_ACCIDENTADOS2]],"BUSETA")</f>
        <v>0</v>
      </c>
      <c r="Z572" s="36">
        <f>COUNTIF(Tabla1[[#This Row],[VEHICULOS_ACCIDENTADOS]:[VEHICULOS_ACCIDENTADOS2]],"CAMION")</f>
        <v>0</v>
      </c>
      <c r="AA572" s="36">
        <f>COUNTIF(Tabla1[[#This Row],[VEHICULOS_ACCIDENTADOS]:[VEHICULOS_ACCIDENTADOS2]],"TRACTOCAMION")</f>
        <v>0</v>
      </c>
      <c r="AB572" s="36">
        <f>COUNTIF(Tabla1[[#This Row],[VEHICULOS_ACCIDENTADOS]:[VEHICULOS_ACCIDENTADOS2]],"VOLQUETA")</f>
        <v>0</v>
      </c>
      <c r="AC572" s="36">
        <f>COUNTIF(Tabla1[[#This Row],[VEHICULOS_ACCIDENTADOS]:[VEHICULOS_ACCIDENTADOS2]],"BICICLETA")</f>
        <v>0</v>
      </c>
      <c r="AD572" s="190" t="s">
        <v>471</v>
      </c>
      <c r="AE572" s="190" t="s">
        <v>472</v>
      </c>
      <c r="AF572" s="190">
        <f>COUNTIF(Tabla1[[#This Row],[GENERO_MASCULINO]:[GENERO_FEMENINO]],"MASCULINO")</f>
        <v>1</v>
      </c>
      <c r="AG572" s="36">
        <f>COUNTIF(Tabla1[[#This Row],[GENERO_MASCULINO]:[GENERO_FEMENINO]],"FEMENINO")</f>
        <v>1</v>
      </c>
      <c r="AH572" s="85">
        <v>21</v>
      </c>
      <c r="AI572" s="85">
        <v>53</v>
      </c>
      <c r="AJ572" s="85"/>
      <c r="AK572" s="85"/>
      <c r="AL572" s="85"/>
      <c r="AM572" s="136"/>
      <c r="AN572" s="85">
        <v>139</v>
      </c>
      <c r="AO572" s="36" t="str">
        <f>IFERROR(((VLOOKUP(Tabla1[[#This Row],[HIPOTESIS_1]],listas!$D$1:$E$105,2,FALSE))),"SIN INFORMACIÓN")</f>
        <v>Impericia en el manejo.</v>
      </c>
      <c r="AP572" s="136"/>
      <c r="AQ572" s="36" t="str">
        <f>IFERROR(((VLOOKUP(Tabla1[[#This Row],[HIPOTESIS_2]],listas!$D$1:$E$105,2,FALSE))),"")</f>
        <v/>
      </c>
      <c r="AR572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573" spans="1:44" x14ac:dyDescent="0.25">
      <c r="A573" s="12">
        <v>783</v>
      </c>
      <c r="B573" s="135">
        <v>0</v>
      </c>
      <c r="C573" s="36">
        <v>1</v>
      </c>
      <c r="D573" s="150">
        <v>0</v>
      </c>
      <c r="E573" s="18" t="str">
        <f t="shared" si="32"/>
        <v>LESIONADO</v>
      </c>
      <c r="F573" s="29" t="s">
        <v>111</v>
      </c>
      <c r="G573" s="21">
        <v>5.3355916666666667</v>
      </c>
      <c r="H573" s="21">
        <v>-72.40440000000001</v>
      </c>
      <c r="I573" s="93" t="s">
        <v>697</v>
      </c>
      <c r="J573" s="36" t="s">
        <v>717</v>
      </c>
      <c r="K573" s="24" t="str">
        <f t="shared" si="33"/>
        <v>2024</v>
      </c>
      <c r="L573" s="24" t="str">
        <f t="shared" si="34"/>
        <v>SEPTIEMBRE</v>
      </c>
      <c r="M573" s="225">
        <v>45563</v>
      </c>
      <c r="N573" s="24" t="str">
        <f t="shared" si="35"/>
        <v>SÁBADO</v>
      </c>
      <c r="O573" s="103">
        <v>0.88541666666666663</v>
      </c>
      <c r="P573" s="57" t="s">
        <v>447</v>
      </c>
      <c r="Q573" s="57" t="s">
        <v>447</v>
      </c>
      <c r="R573" s="36">
        <f>COUNTIF(Tabla1[[#This Row],[VEHICULOS_ACCIDENTADOS]:[VEHICULOS_ACCIDENTADOS2]],"MOTOCICLETA")</f>
        <v>0</v>
      </c>
      <c r="S573" s="36">
        <f>COUNTIF(Tabla1[[#This Row],[VEHICULOS_ACCIDENTADOS]:[VEHICULOS_ACCIDENTADOS2]],"MOTOCARRO")</f>
        <v>0</v>
      </c>
      <c r="T573" s="36">
        <f>COUNTIF(Tabla1[[#This Row],[VEHICULOS_ACCIDENTADOS]:[VEHICULOS_ACCIDENTADOS2]],"AUTOMOVIL")</f>
        <v>2</v>
      </c>
      <c r="U573" s="36">
        <f>COUNTIF(Tabla1[[#This Row],[VEHICULOS_ACCIDENTADOS]:[VEHICULOS_ACCIDENTADOS2]],"CAMPERO")</f>
        <v>0</v>
      </c>
      <c r="V573" s="36">
        <f>COUNTIF(Tabla1[[#This Row],[VEHICULOS_ACCIDENTADOS]:[VEHICULOS_ACCIDENTADOS2]],"CAMIONETA")</f>
        <v>0</v>
      </c>
      <c r="W573" s="36">
        <f>COUNTIF(Tabla1[[#This Row],[VEHICULOS_ACCIDENTADOS]:[VEHICULOS_ACCIDENTADOS2]],"MICROBUS")</f>
        <v>0</v>
      </c>
      <c r="X573" s="36">
        <f>COUNTIF(Tabla1[[#This Row],[VEHICULOS_ACCIDENTADOS]:[VEHICULOS_ACCIDENTADOS2]],"BUS")</f>
        <v>0</v>
      </c>
      <c r="Y573" s="36">
        <f>COUNTIF(Tabla1[[#This Row],[VEHICULOS_ACCIDENTADOS]:[VEHICULOS_ACCIDENTADOS2]],"BUSETA")</f>
        <v>0</v>
      </c>
      <c r="Z573" s="36">
        <f>COUNTIF(Tabla1[[#This Row],[VEHICULOS_ACCIDENTADOS]:[VEHICULOS_ACCIDENTADOS2]],"CAMION")</f>
        <v>0</v>
      </c>
      <c r="AA573" s="36">
        <f>COUNTIF(Tabla1[[#This Row],[VEHICULOS_ACCIDENTADOS]:[VEHICULOS_ACCIDENTADOS2]],"TRACTOCAMION")</f>
        <v>0</v>
      </c>
      <c r="AB573" s="36">
        <f>COUNTIF(Tabla1[[#This Row],[VEHICULOS_ACCIDENTADOS]:[VEHICULOS_ACCIDENTADOS2]],"VOLQUETA")</f>
        <v>0</v>
      </c>
      <c r="AC573" s="36">
        <f>COUNTIF(Tabla1[[#This Row],[VEHICULOS_ACCIDENTADOS]:[VEHICULOS_ACCIDENTADOS2]],"BICICLETA")</f>
        <v>0</v>
      </c>
      <c r="AD573" s="56" t="s">
        <v>471</v>
      </c>
      <c r="AE573" s="56" t="s">
        <v>472</v>
      </c>
      <c r="AF573" s="56">
        <f>COUNTIF(Tabla1[[#This Row],[GENERO_MASCULINO]:[GENERO_FEMENINO]],"MASCULINO")</f>
        <v>1</v>
      </c>
      <c r="AG573" s="36">
        <f>COUNTIF(Tabla1[[#This Row],[GENERO_MASCULINO]:[GENERO_FEMENINO]],"FEMENINO")</f>
        <v>1</v>
      </c>
      <c r="AH573" s="61">
        <v>29</v>
      </c>
      <c r="AI573" s="61">
        <v>17</v>
      </c>
      <c r="AJ573" s="61"/>
      <c r="AK573" s="61"/>
      <c r="AL573" s="61"/>
      <c r="AM573" s="36"/>
      <c r="AN573" s="61">
        <v>132</v>
      </c>
      <c r="AO573" s="36" t="str">
        <f>IFERROR(((VLOOKUP(Tabla1[[#This Row],[HIPOTESIS_1]],listas!$D$1:$E$105,2,FALSE))),"SIN INFORMACIÓN")</f>
        <v>No respetar prelación.</v>
      </c>
      <c r="AP573" s="36"/>
      <c r="AQ573" s="36" t="str">
        <f>IFERROR(((VLOOKUP(Tabla1[[#This Row],[HIPOTESIS_2]],listas!$D$1:$E$105,2,FALSE))),"")</f>
        <v/>
      </c>
      <c r="AR573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574" spans="1:44" x14ac:dyDescent="0.25">
      <c r="A574" s="12">
        <v>602</v>
      </c>
      <c r="B574" s="36">
        <v>0</v>
      </c>
      <c r="C574" s="36">
        <v>2</v>
      </c>
      <c r="D574" s="60">
        <v>0</v>
      </c>
      <c r="E574" s="18" t="str">
        <f t="shared" si="32"/>
        <v>LESIONADO</v>
      </c>
      <c r="F574" s="29" t="s">
        <v>183</v>
      </c>
      <c r="G574" s="21">
        <v>5.3316808333333334</v>
      </c>
      <c r="H574" s="21">
        <v>-72.403368888888892</v>
      </c>
      <c r="I574" s="93" t="s">
        <v>697</v>
      </c>
      <c r="J574" s="36" t="s">
        <v>717</v>
      </c>
      <c r="K574" s="24" t="str">
        <f t="shared" si="33"/>
        <v>2023</v>
      </c>
      <c r="L574" s="24" t="str">
        <f t="shared" si="34"/>
        <v>NOVIEMBRE</v>
      </c>
      <c r="M574" s="225">
        <v>45241</v>
      </c>
      <c r="N574" s="24" t="str">
        <f t="shared" si="35"/>
        <v>SÁBADO</v>
      </c>
      <c r="O574" s="103">
        <v>0.4375</v>
      </c>
      <c r="P574" s="57" t="s">
        <v>469</v>
      </c>
      <c r="Q574" s="57" t="s">
        <v>469</v>
      </c>
      <c r="R574" s="36">
        <f>COUNTIF(Tabla1[[#This Row],[VEHICULOS_ACCIDENTADOS]:[VEHICULOS_ACCIDENTADOS2]],"MOTOCICLETA")</f>
        <v>2</v>
      </c>
      <c r="S574" s="36">
        <f>COUNTIF(Tabla1[[#This Row],[VEHICULOS_ACCIDENTADOS]:[VEHICULOS_ACCIDENTADOS2]],"MOTOCARRO")</f>
        <v>0</v>
      </c>
      <c r="T574" s="36">
        <f>COUNTIF(Tabla1[[#This Row],[VEHICULOS_ACCIDENTADOS]:[VEHICULOS_ACCIDENTADOS2]],"AUTOMOVIL")</f>
        <v>0</v>
      </c>
      <c r="U574" s="36">
        <f>COUNTIF(Tabla1[[#This Row],[VEHICULOS_ACCIDENTADOS]:[VEHICULOS_ACCIDENTADOS2]],"CAMPERO")</f>
        <v>0</v>
      </c>
      <c r="V574" s="36">
        <f>COUNTIF(Tabla1[[#This Row],[VEHICULOS_ACCIDENTADOS]:[VEHICULOS_ACCIDENTADOS2]],"CAMIONETA")</f>
        <v>0</v>
      </c>
      <c r="W574" s="36">
        <f>COUNTIF(Tabla1[[#This Row],[VEHICULOS_ACCIDENTADOS]:[VEHICULOS_ACCIDENTADOS2]],"MICROBUS")</f>
        <v>0</v>
      </c>
      <c r="X574" s="36">
        <f>COUNTIF(Tabla1[[#This Row],[VEHICULOS_ACCIDENTADOS]:[VEHICULOS_ACCIDENTADOS2]],"BUS")</f>
        <v>0</v>
      </c>
      <c r="Y574" s="36">
        <f>COUNTIF(Tabla1[[#This Row],[VEHICULOS_ACCIDENTADOS]:[VEHICULOS_ACCIDENTADOS2]],"BUSETA")</f>
        <v>0</v>
      </c>
      <c r="Z574" s="36">
        <f>COUNTIF(Tabla1[[#This Row],[VEHICULOS_ACCIDENTADOS]:[VEHICULOS_ACCIDENTADOS2]],"CAMION")</f>
        <v>0</v>
      </c>
      <c r="AA574" s="36">
        <f>COUNTIF(Tabla1[[#This Row],[VEHICULOS_ACCIDENTADOS]:[VEHICULOS_ACCIDENTADOS2]],"TRACTOCAMION")</f>
        <v>0</v>
      </c>
      <c r="AB574" s="36">
        <f>COUNTIF(Tabla1[[#This Row],[VEHICULOS_ACCIDENTADOS]:[VEHICULOS_ACCIDENTADOS2]],"VOLQUETA")</f>
        <v>0</v>
      </c>
      <c r="AC574" s="36">
        <f>COUNTIF(Tabla1[[#This Row],[VEHICULOS_ACCIDENTADOS]:[VEHICULOS_ACCIDENTADOS2]],"BICICLETA")</f>
        <v>0</v>
      </c>
      <c r="AD574" s="56" t="s">
        <v>471</v>
      </c>
      <c r="AE574" s="56"/>
      <c r="AF574" s="56">
        <f>COUNTIF(Tabla1[[#This Row],[GENERO_MASCULINO]:[GENERO_FEMENINO]],"MASCULINO")</f>
        <v>1</v>
      </c>
      <c r="AG574" s="36">
        <f>COUNTIF(Tabla1[[#This Row],[GENERO_MASCULINO]:[GENERO_FEMENINO]],"FEMENINO")</f>
        <v>0</v>
      </c>
      <c r="AH574" s="61">
        <v>22</v>
      </c>
      <c r="AI574" s="61">
        <v>23</v>
      </c>
      <c r="AJ574" s="61"/>
      <c r="AK574" s="61"/>
      <c r="AL574" s="61"/>
      <c r="AM574" s="36"/>
      <c r="AN574" s="61">
        <v>112</v>
      </c>
      <c r="AO574" s="36" t="str">
        <f>IFERROR(((VLOOKUP(Tabla1[[#This Row],[HIPOTESIS_1]],listas!$D$1:$E$105,2,FALSE))),"SIN INFORMACIÓN")</f>
        <v>Desobedecer señales o normas de tránsito.</v>
      </c>
      <c r="AP574" s="36"/>
      <c r="AQ574" s="36" t="str">
        <f>IFERROR(((VLOOKUP(Tabla1[[#This Row],[HIPOTESIS_2]],listas!$D$1:$E$105,2,FALSE))),"")</f>
        <v/>
      </c>
      <c r="AR574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575" spans="1:44" x14ac:dyDescent="0.25">
      <c r="A575" s="12">
        <v>624</v>
      </c>
      <c r="B575" s="36">
        <v>1</v>
      </c>
      <c r="C575" s="36">
        <v>1</v>
      </c>
      <c r="D575" s="60">
        <v>0</v>
      </c>
      <c r="E575" s="18" t="str">
        <f t="shared" si="32"/>
        <v>LESIONADO</v>
      </c>
      <c r="F575" s="29" t="s">
        <v>178</v>
      </c>
      <c r="G575" s="21">
        <v>5.3114444444444446</v>
      </c>
      <c r="H575" s="21">
        <v>-72.398855555555556</v>
      </c>
      <c r="I575" s="93" t="s">
        <v>697</v>
      </c>
      <c r="J575" s="36" t="s">
        <v>717</v>
      </c>
      <c r="K575" s="24" t="str">
        <f t="shared" si="33"/>
        <v>2023</v>
      </c>
      <c r="L575" s="24" t="str">
        <f t="shared" si="34"/>
        <v>DICIEMBRE</v>
      </c>
      <c r="M575" s="225">
        <v>45265</v>
      </c>
      <c r="N575" s="24" t="str">
        <f t="shared" si="35"/>
        <v>MARTES</v>
      </c>
      <c r="O575" s="103">
        <v>0.70833333333333337</v>
      </c>
      <c r="P575" s="57" t="s">
        <v>469</v>
      </c>
      <c r="Q575" s="57"/>
      <c r="R575" s="36">
        <f>COUNTIF(Tabla1[[#This Row],[VEHICULOS_ACCIDENTADOS]:[VEHICULOS_ACCIDENTADOS2]],"MOTOCICLETA")</f>
        <v>1</v>
      </c>
      <c r="S575" s="36">
        <f>COUNTIF(Tabla1[[#This Row],[VEHICULOS_ACCIDENTADOS]:[VEHICULOS_ACCIDENTADOS2]],"MOTOCARRO")</f>
        <v>0</v>
      </c>
      <c r="T575" s="36">
        <f>COUNTIF(Tabla1[[#This Row],[VEHICULOS_ACCIDENTADOS]:[VEHICULOS_ACCIDENTADOS2]],"AUTOMOVIL")</f>
        <v>0</v>
      </c>
      <c r="U575" s="36">
        <f>COUNTIF(Tabla1[[#This Row],[VEHICULOS_ACCIDENTADOS]:[VEHICULOS_ACCIDENTADOS2]],"CAMPERO")</f>
        <v>0</v>
      </c>
      <c r="V575" s="36">
        <f>COUNTIF(Tabla1[[#This Row],[VEHICULOS_ACCIDENTADOS]:[VEHICULOS_ACCIDENTADOS2]],"CAMIONETA")</f>
        <v>0</v>
      </c>
      <c r="W575" s="36">
        <f>COUNTIF(Tabla1[[#This Row],[VEHICULOS_ACCIDENTADOS]:[VEHICULOS_ACCIDENTADOS2]],"MICROBUS")</f>
        <v>0</v>
      </c>
      <c r="X575" s="36">
        <f>COUNTIF(Tabla1[[#This Row],[VEHICULOS_ACCIDENTADOS]:[VEHICULOS_ACCIDENTADOS2]],"BUS")</f>
        <v>0</v>
      </c>
      <c r="Y575" s="36">
        <f>COUNTIF(Tabla1[[#This Row],[VEHICULOS_ACCIDENTADOS]:[VEHICULOS_ACCIDENTADOS2]],"BUSETA")</f>
        <v>0</v>
      </c>
      <c r="Z575" s="36">
        <f>COUNTIF(Tabla1[[#This Row],[VEHICULOS_ACCIDENTADOS]:[VEHICULOS_ACCIDENTADOS2]],"CAMION")</f>
        <v>0</v>
      </c>
      <c r="AA575" s="36">
        <f>COUNTIF(Tabla1[[#This Row],[VEHICULOS_ACCIDENTADOS]:[VEHICULOS_ACCIDENTADOS2]],"TRACTOCAMION")</f>
        <v>0</v>
      </c>
      <c r="AB575" s="36">
        <f>COUNTIF(Tabla1[[#This Row],[VEHICULOS_ACCIDENTADOS]:[VEHICULOS_ACCIDENTADOS2]],"VOLQUETA")</f>
        <v>0</v>
      </c>
      <c r="AC575" s="36">
        <f>COUNTIF(Tabla1[[#This Row],[VEHICULOS_ACCIDENTADOS]:[VEHICULOS_ACCIDENTADOS2]],"BICICLETA")</f>
        <v>0</v>
      </c>
      <c r="AD575" s="56" t="s">
        <v>471</v>
      </c>
      <c r="AE575" s="56"/>
      <c r="AF575" s="56">
        <f>COUNTIF(Tabla1[[#This Row],[GENERO_MASCULINO]:[GENERO_FEMENINO]],"MASCULINO")</f>
        <v>1</v>
      </c>
      <c r="AG575" s="36">
        <f>COUNTIF(Tabla1[[#This Row],[GENERO_MASCULINO]:[GENERO_FEMENINO]],"FEMENINO")</f>
        <v>0</v>
      </c>
      <c r="AH575" s="61">
        <v>20</v>
      </c>
      <c r="AI575" s="61"/>
      <c r="AJ575" s="78"/>
      <c r="AK575" s="61"/>
      <c r="AL575" s="61"/>
      <c r="AM575" s="36"/>
      <c r="AN575" s="61">
        <v>139</v>
      </c>
      <c r="AO575" s="36" t="str">
        <f>IFERROR(((VLOOKUP(Tabla1[[#This Row],[HIPOTESIS_1]],listas!$D$1:$E$105,2,FALSE))),"SIN INFORMACIÓN")</f>
        <v>Impericia en el manejo.</v>
      </c>
      <c r="AP575" s="36"/>
      <c r="AQ575" s="36" t="str">
        <f>IFERROR(((VLOOKUP(Tabla1[[#This Row],[HIPOTESIS_2]],listas!$D$1:$E$105,2,FALSE))),"")</f>
        <v/>
      </c>
      <c r="AR575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576" spans="1:44" x14ac:dyDescent="0.25">
      <c r="A576" s="12">
        <v>883</v>
      </c>
      <c r="B576" s="135">
        <v>0</v>
      </c>
      <c r="C576" s="136">
        <v>1</v>
      </c>
      <c r="D576" s="148">
        <v>0</v>
      </c>
      <c r="E576" s="18" t="str">
        <f t="shared" si="32"/>
        <v>LESIONADO</v>
      </c>
      <c r="F576" s="26" t="s">
        <v>1046</v>
      </c>
      <c r="G576" s="21">
        <v>5.3267439999999997</v>
      </c>
      <c r="H576" s="21">
        <v>-72.401947000000007</v>
      </c>
      <c r="I576" s="93" t="s">
        <v>697</v>
      </c>
      <c r="J576" s="167" t="s">
        <v>717</v>
      </c>
      <c r="K576" s="24" t="str">
        <f t="shared" si="33"/>
        <v>2025</v>
      </c>
      <c r="L576" s="24" t="str">
        <f t="shared" si="34"/>
        <v>FEBRERO</v>
      </c>
      <c r="M576" s="224">
        <v>45711</v>
      </c>
      <c r="N576" s="24" t="str">
        <f t="shared" si="35"/>
        <v>DOMINGO</v>
      </c>
      <c r="O576" s="104">
        <v>0.125</v>
      </c>
      <c r="P576" s="178" t="s">
        <v>469</v>
      </c>
      <c r="Q576" s="178"/>
      <c r="R576" s="36">
        <f>COUNTIF(Tabla1[[#This Row],[VEHICULOS_ACCIDENTADOS]:[VEHICULOS_ACCIDENTADOS2]],"MOTOCICLETA")</f>
        <v>1</v>
      </c>
      <c r="S576" s="36">
        <f>COUNTIF(Tabla1[[#This Row],[VEHICULOS_ACCIDENTADOS]:[VEHICULOS_ACCIDENTADOS2]],"MOTOCARRO")</f>
        <v>0</v>
      </c>
      <c r="T576" s="36">
        <f>COUNTIF(Tabla1[[#This Row],[VEHICULOS_ACCIDENTADOS]:[VEHICULOS_ACCIDENTADOS2]],"AUTOMOVIL")</f>
        <v>0</v>
      </c>
      <c r="U576" s="36">
        <f>COUNTIF(Tabla1[[#This Row],[VEHICULOS_ACCIDENTADOS]:[VEHICULOS_ACCIDENTADOS2]],"CAMPERO")</f>
        <v>0</v>
      </c>
      <c r="V576" s="36">
        <f>COUNTIF(Tabla1[[#This Row],[VEHICULOS_ACCIDENTADOS]:[VEHICULOS_ACCIDENTADOS2]],"CAMIONETA")</f>
        <v>0</v>
      </c>
      <c r="W576" s="36">
        <f>COUNTIF(Tabla1[[#This Row],[VEHICULOS_ACCIDENTADOS]:[VEHICULOS_ACCIDENTADOS2]],"MICROBUS")</f>
        <v>0</v>
      </c>
      <c r="X576" s="36">
        <f>COUNTIF(Tabla1[[#This Row],[VEHICULOS_ACCIDENTADOS]:[VEHICULOS_ACCIDENTADOS2]],"BUS")</f>
        <v>0</v>
      </c>
      <c r="Y576" s="36">
        <f>COUNTIF(Tabla1[[#This Row],[VEHICULOS_ACCIDENTADOS]:[VEHICULOS_ACCIDENTADOS2]],"BUSETA")</f>
        <v>0</v>
      </c>
      <c r="Z576" s="36">
        <f>COUNTIF(Tabla1[[#This Row],[VEHICULOS_ACCIDENTADOS]:[VEHICULOS_ACCIDENTADOS2]],"CAMION")</f>
        <v>0</v>
      </c>
      <c r="AA576" s="36">
        <f>COUNTIF(Tabla1[[#This Row],[VEHICULOS_ACCIDENTADOS]:[VEHICULOS_ACCIDENTADOS2]],"TRACTOCAMION")</f>
        <v>0</v>
      </c>
      <c r="AB576" s="36">
        <f>COUNTIF(Tabla1[[#This Row],[VEHICULOS_ACCIDENTADOS]:[VEHICULOS_ACCIDENTADOS2]],"VOLQUETA")</f>
        <v>0</v>
      </c>
      <c r="AC576" s="36">
        <f>COUNTIF(Tabla1[[#This Row],[VEHICULOS_ACCIDENTADOS]:[VEHICULOS_ACCIDENTADOS2]],"BICICLETA")</f>
        <v>0</v>
      </c>
      <c r="AD576" s="190" t="s">
        <v>471</v>
      </c>
      <c r="AE576" s="190"/>
      <c r="AF576" s="190">
        <f>COUNTIF(Tabla1[[#This Row],[GENERO_MASCULINO]:[GENERO_FEMENINO]],"MASCULINO")</f>
        <v>1</v>
      </c>
      <c r="AG576" s="36">
        <f>COUNTIF(Tabla1[[#This Row],[GENERO_MASCULINO]:[GENERO_FEMENINO]],"FEMENINO")</f>
        <v>0</v>
      </c>
      <c r="AH576" s="85">
        <v>48</v>
      </c>
      <c r="AI576" s="85"/>
      <c r="AJ576" s="85"/>
      <c r="AK576" s="85"/>
      <c r="AL576" s="85"/>
      <c r="AM576" s="136"/>
      <c r="AN576" s="85">
        <v>157</v>
      </c>
      <c r="AO576" s="36" t="str">
        <f>IFERROR(((VLOOKUP(Tabla1[[#This Row],[HIPOTESIS_1]],listas!$D$1:$E$105,2,FALSE))),"SIN INFORMACIÓN")</f>
        <v>Otra</v>
      </c>
      <c r="AP576" s="136"/>
      <c r="AQ576" s="36" t="str">
        <f>IFERROR(((VLOOKUP(Tabla1[[#This Row],[HIPOTESIS_2]],listas!$D$1:$E$105,2,FALSE))),"")</f>
        <v/>
      </c>
      <c r="AR576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577" spans="1:44" x14ac:dyDescent="0.25">
      <c r="A577" s="12">
        <v>656</v>
      </c>
      <c r="B577" s="136">
        <v>0</v>
      </c>
      <c r="C577" s="136">
        <v>0</v>
      </c>
      <c r="D577" s="149">
        <v>1</v>
      </c>
      <c r="E577" s="18" t="str">
        <f t="shared" si="32"/>
        <v>FALLECIDO</v>
      </c>
      <c r="F577" s="26" t="s">
        <v>1046</v>
      </c>
      <c r="G577" s="21">
        <v>5.3275388888888884</v>
      </c>
      <c r="H577" s="21">
        <v>-72.401230555555557</v>
      </c>
      <c r="I577" s="93" t="s">
        <v>697</v>
      </c>
      <c r="J577" s="136" t="s">
        <v>717</v>
      </c>
      <c r="K577" s="24" t="str">
        <f t="shared" si="33"/>
        <v>2024</v>
      </c>
      <c r="L577" s="24" t="str">
        <f t="shared" si="34"/>
        <v>FEBRERO</v>
      </c>
      <c r="M577" s="224">
        <v>45326</v>
      </c>
      <c r="N577" s="24" t="str">
        <f t="shared" si="35"/>
        <v>DOMINGO</v>
      </c>
      <c r="O577" s="103">
        <v>0.92152777777777772</v>
      </c>
      <c r="P577" s="178" t="s">
        <v>469</v>
      </c>
      <c r="Q577" s="178" t="s">
        <v>447</v>
      </c>
      <c r="R577" s="36">
        <f>COUNTIF(Tabla1[[#This Row],[VEHICULOS_ACCIDENTADOS]:[VEHICULOS_ACCIDENTADOS2]],"MOTOCICLETA")</f>
        <v>1</v>
      </c>
      <c r="S577" s="36">
        <f>COUNTIF(Tabla1[[#This Row],[VEHICULOS_ACCIDENTADOS]:[VEHICULOS_ACCIDENTADOS2]],"MOTOCARRO")</f>
        <v>0</v>
      </c>
      <c r="T577" s="36">
        <f>COUNTIF(Tabla1[[#This Row],[VEHICULOS_ACCIDENTADOS]:[VEHICULOS_ACCIDENTADOS2]],"AUTOMOVIL")</f>
        <v>1</v>
      </c>
      <c r="U577" s="36">
        <f>COUNTIF(Tabla1[[#This Row],[VEHICULOS_ACCIDENTADOS]:[VEHICULOS_ACCIDENTADOS2]],"CAMPERO")</f>
        <v>0</v>
      </c>
      <c r="V577" s="36">
        <f>COUNTIF(Tabla1[[#This Row],[VEHICULOS_ACCIDENTADOS]:[VEHICULOS_ACCIDENTADOS2]],"CAMIONETA")</f>
        <v>0</v>
      </c>
      <c r="W577" s="36">
        <f>COUNTIF(Tabla1[[#This Row],[VEHICULOS_ACCIDENTADOS]:[VEHICULOS_ACCIDENTADOS2]],"MICROBUS")</f>
        <v>0</v>
      </c>
      <c r="X577" s="36">
        <f>COUNTIF(Tabla1[[#This Row],[VEHICULOS_ACCIDENTADOS]:[VEHICULOS_ACCIDENTADOS2]],"BUS")</f>
        <v>0</v>
      </c>
      <c r="Y577" s="36">
        <f>COUNTIF(Tabla1[[#This Row],[VEHICULOS_ACCIDENTADOS]:[VEHICULOS_ACCIDENTADOS2]],"BUSETA")</f>
        <v>0</v>
      </c>
      <c r="Z577" s="36">
        <f>COUNTIF(Tabla1[[#This Row],[VEHICULOS_ACCIDENTADOS]:[VEHICULOS_ACCIDENTADOS2]],"CAMION")</f>
        <v>0</v>
      </c>
      <c r="AA577" s="36">
        <f>COUNTIF(Tabla1[[#This Row],[VEHICULOS_ACCIDENTADOS]:[VEHICULOS_ACCIDENTADOS2]],"TRACTOCAMION")</f>
        <v>0</v>
      </c>
      <c r="AB577" s="36">
        <f>COUNTIF(Tabla1[[#This Row],[VEHICULOS_ACCIDENTADOS]:[VEHICULOS_ACCIDENTADOS2]],"VOLQUETA")</f>
        <v>0</v>
      </c>
      <c r="AC577" s="36">
        <f>COUNTIF(Tabla1[[#This Row],[VEHICULOS_ACCIDENTADOS]:[VEHICULOS_ACCIDENTADOS2]],"BICICLETA")</f>
        <v>0</v>
      </c>
      <c r="AD577" s="219" t="s">
        <v>471</v>
      </c>
      <c r="AE577" s="219"/>
      <c r="AF577" s="190">
        <f>COUNTIF(Tabla1[[#This Row],[GENERO_MASCULINO]:[GENERO_FEMENINO]],"MASCULINO")</f>
        <v>1</v>
      </c>
      <c r="AG577" s="36">
        <f>COUNTIF(Tabla1[[#This Row],[GENERO_MASCULINO]:[GENERO_FEMENINO]],"FEMENINO")</f>
        <v>0</v>
      </c>
      <c r="AH577" s="85"/>
      <c r="AI577" s="85"/>
      <c r="AJ577" s="85"/>
      <c r="AK577" s="85"/>
      <c r="AL577" s="85"/>
      <c r="AM577" s="136"/>
      <c r="AN577" s="85">
        <v>1</v>
      </c>
      <c r="AO577" s="36" t="str">
        <f>IFERROR(((VLOOKUP(Tabla1[[#This Row],[HIPOTESIS_1]],listas!$D$1:$E$105,2,FALSE))),"SIN INFORMACIÓN")</f>
        <v>SIN INFORMACIÓN</v>
      </c>
      <c r="AP577" s="136"/>
      <c r="AQ577" s="36" t="str">
        <f>IFERROR(((VLOOKUP(Tabla1[[#This Row],[HIPOTESIS_2]],listas!$D$1:$E$105,2,FALSE))),"")</f>
        <v/>
      </c>
      <c r="AR577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578" spans="1:44" x14ac:dyDescent="0.25">
      <c r="A578" s="12">
        <v>25</v>
      </c>
      <c r="B578" s="36">
        <v>0</v>
      </c>
      <c r="C578" s="36">
        <v>1</v>
      </c>
      <c r="D578" s="60">
        <v>0</v>
      </c>
      <c r="E578" s="18" t="str">
        <f t="shared" ref="E578:E641" si="36">IF(D578&gt;=1,"FALLECIDO",IF(C578&gt;=1,"LESIONADO",IF(B578&gt;=1,"SOLO DAÑO","")))</f>
        <v>LESIONADO</v>
      </c>
      <c r="F578" s="29" t="s">
        <v>1047</v>
      </c>
      <c r="G578" s="17">
        <v>5.3223722222222216</v>
      </c>
      <c r="H578" s="17">
        <v>-72.400225000000006</v>
      </c>
      <c r="I578" s="93" t="s">
        <v>697</v>
      </c>
      <c r="J578" s="36" t="s">
        <v>717</v>
      </c>
      <c r="K578" s="24" t="str">
        <f t="shared" ref="K578:K641" si="37">UPPER(TEXT(M578,"YYYY"))</f>
        <v>2022</v>
      </c>
      <c r="L578" s="24" t="str">
        <f t="shared" ref="L578:L641" si="38">UPPER(TEXT(M578,"MMMM"))</f>
        <v>ENERO</v>
      </c>
      <c r="M578" s="225">
        <v>44587</v>
      </c>
      <c r="N578" s="24" t="str">
        <f t="shared" ref="N578:N641" si="39">UPPER(TEXT(M578,"DDDD"))</f>
        <v>MIÉRCOLES</v>
      </c>
      <c r="O578" s="101">
        <v>0.58333333333333304</v>
      </c>
      <c r="P578" s="63" t="s">
        <v>469</v>
      </c>
      <c r="Q578" s="63" t="s">
        <v>469</v>
      </c>
      <c r="R578" s="36">
        <f>COUNTIF(Tabla1[[#This Row],[VEHICULOS_ACCIDENTADOS]:[VEHICULOS_ACCIDENTADOS2]],"MOTOCICLETA")</f>
        <v>2</v>
      </c>
      <c r="S578" s="36">
        <f>COUNTIF(Tabla1[[#This Row],[VEHICULOS_ACCIDENTADOS]:[VEHICULOS_ACCIDENTADOS2]],"MOTOCARRO")</f>
        <v>0</v>
      </c>
      <c r="T578" s="36">
        <f>COUNTIF(Tabla1[[#This Row],[VEHICULOS_ACCIDENTADOS]:[VEHICULOS_ACCIDENTADOS2]],"AUTOMOVIL")</f>
        <v>0</v>
      </c>
      <c r="U578" s="36">
        <f>COUNTIF(Tabla1[[#This Row],[VEHICULOS_ACCIDENTADOS]:[VEHICULOS_ACCIDENTADOS2]],"CAMPERO")</f>
        <v>0</v>
      </c>
      <c r="V578" s="36">
        <f>COUNTIF(Tabla1[[#This Row],[VEHICULOS_ACCIDENTADOS]:[VEHICULOS_ACCIDENTADOS2]],"CAMIONETA")</f>
        <v>0</v>
      </c>
      <c r="W578" s="36">
        <f>COUNTIF(Tabla1[[#This Row],[VEHICULOS_ACCIDENTADOS]:[VEHICULOS_ACCIDENTADOS2]],"MICROBUS")</f>
        <v>0</v>
      </c>
      <c r="X578" s="36">
        <f>COUNTIF(Tabla1[[#This Row],[VEHICULOS_ACCIDENTADOS]:[VEHICULOS_ACCIDENTADOS2]],"BUS")</f>
        <v>0</v>
      </c>
      <c r="Y578" s="36">
        <f>COUNTIF(Tabla1[[#This Row],[VEHICULOS_ACCIDENTADOS]:[VEHICULOS_ACCIDENTADOS2]],"BUSETA")</f>
        <v>0</v>
      </c>
      <c r="Z578" s="36">
        <f>COUNTIF(Tabla1[[#This Row],[VEHICULOS_ACCIDENTADOS]:[VEHICULOS_ACCIDENTADOS2]],"CAMION")</f>
        <v>0</v>
      </c>
      <c r="AA578" s="36">
        <f>COUNTIF(Tabla1[[#This Row],[VEHICULOS_ACCIDENTADOS]:[VEHICULOS_ACCIDENTADOS2]],"TRACTOCAMION")</f>
        <v>0</v>
      </c>
      <c r="AB578" s="36">
        <f>COUNTIF(Tabla1[[#This Row],[VEHICULOS_ACCIDENTADOS]:[VEHICULOS_ACCIDENTADOS2]],"VOLQUETA")</f>
        <v>0</v>
      </c>
      <c r="AC578" s="36">
        <f>COUNTIF(Tabla1[[#This Row],[VEHICULOS_ACCIDENTADOS]:[VEHICULOS_ACCIDENTADOS2]],"BICICLETA")</f>
        <v>0</v>
      </c>
      <c r="AD578" s="56"/>
      <c r="AE578" s="56" t="s">
        <v>472</v>
      </c>
      <c r="AF578" s="56">
        <f>COUNTIF(Tabla1[[#This Row],[GENERO_MASCULINO]:[GENERO_FEMENINO]],"MASCULINO")</f>
        <v>0</v>
      </c>
      <c r="AG578" s="36">
        <f>COUNTIF(Tabla1[[#This Row],[GENERO_MASCULINO]:[GENERO_FEMENINO]],"FEMENINO")</f>
        <v>1</v>
      </c>
      <c r="AH578" s="61">
        <v>54</v>
      </c>
      <c r="AI578" s="61"/>
      <c r="AJ578" s="61"/>
      <c r="AK578" s="61"/>
      <c r="AL578" s="61"/>
      <c r="AM578" s="36"/>
      <c r="AN578" s="61">
        <v>112</v>
      </c>
      <c r="AO578" s="36" t="str">
        <f>IFERROR(((VLOOKUP(Tabla1[[#This Row],[HIPOTESIS_1]],listas!$D$1:$E$105,2,FALSE))),"SIN INFORMACIÓN")</f>
        <v>Desobedecer señales o normas de tránsito.</v>
      </c>
      <c r="AP578" s="36"/>
      <c r="AQ578" s="36" t="str">
        <f>IFERROR(((VLOOKUP(Tabla1[[#This Row],[HIPOTESIS_2]],listas!$D$1:$E$105,2,FALSE))),"")</f>
        <v/>
      </c>
      <c r="AR578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579" spans="1:44" x14ac:dyDescent="0.25">
      <c r="A579" s="12">
        <v>159</v>
      </c>
      <c r="B579" s="36">
        <v>0</v>
      </c>
      <c r="C579" s="36">
        <v>2</v>
      </c>
      <c r="D579" s="60">
        <v>0</v>
      </c>
      <c r="E579" s="18" t="str">
        <f t="shared" si="36"/>
        <v>LESIONADO</v>
      </c>
      <c r="F579" s="29" t="s">
        <v>1047</v>
      </c>
      <c r="G579" s="17">
        <v>5.3223611111111104</v>
      </c>
      <c r="H579" s="17">
        <v>-72.40025277777778</v>
      </c>
      <c r="I579" s="93" t="s">
        <v>697</v>
      </c>
      <c r="J579" s="36" t="s">
        <v>717</v>
      </c>
      <c r="K579" s="24" t="str">
        <f t="shared" si="37"/>
        <v>2022</v>
      </c>
      <c r="L579" s="24" t="str">
        <f t="shared" si="38"/>
        <v>ABRIL</v>
      </c>
      <c r="M579" s="225">
        <v>44678</v>
      </c>
      <c r="N579" s="24" t="str">
        <f t="shared" si="39"/>
        <v>MIÉRCOLES</v>
      </c>
      <c r="O579" s="103">
        <v>0.54166666666666663</v>
      </c>
      <c r="P579" s="63" t="s">
        <v>469</v>
      </c>
      <c r="Q579" s="63" t="s">
        <v>447</v>
      </c>
      <c r="R579" s="36">
        <f>COUNTIF(Tabla1[[#This Row],[VEHICULOS_ACCIDENTADOS]:[VEHICULOS_ACCIDENTADOS2]],"MOTOCICLETA")</f>
        <v>1</v>
      </c>
      <c r="S579" s="36">
        <f>COUNTIF(Tabla1[[#This Row],[VEHICULOS_ACCIDENTADOS]:[VEHICULOS_ACCIDENTADOS2]],"MOTOCARRO")</f>
        <v>0</v>
      </c>
      <c r="T579" s="36">
        <f>COUNTIF(Tabla1[[#This Row],[VEHICULOS_ACCIDENTADOS]:[VEHICULOS_ACCIDENTADOS2]],"AUTOMOVIL")</f>
        <v>1</v>
      </c>
      <c r="U579" s="36">
        <f>COUNTIF(Tabla1[[#This Row],[VEHICULOS_ACCIDENTADOS]:[VEHICULOS_ACCIDENTADOS2]],"CAMPERO")</f>
        <v>0</v>
      </c>
      <c r="V579" s="36">
        <f>COUNTIF(Tabla1[[#This Row],[VEHICULOS_ACCIDENTADOS]:[VEHICULOS_ACCIDENTADOS2]],"CAMIONETA")</f>
        <v>0</v>
      </c>
      <c r="W579" s="36">
        <f>COUNTIF(Tabla1[[#This Row],[VEHICULOS_ACCIDENTADOS]:[VEHICULOS_ACCIDENTADOS2]],"MICROBUS")</f>
        <v>0</v>
      </c>
      <c r="X579" s="36">
        <f>COUNTIF(Tabla1[[#This Row],[VEHICULOS_ACCIDENTADOS]:[VEHICULOS_ACCIDENTADOS2]],"BUS")</f>
        <v>0</v>
      </c>
      <c r="Y579" s="36">
        <f>COUNTIF(Tabla1[[#This Row],[VEHICULOS_ACCIDENTADOS]:[VEHICULOS_ACCIDENTADOS2]],"BUSETA")</f>
        <v>0</v>
      </c>
      <c r="Z579" s="36">
        <f>COUNTIF(Tabla1[[#This Row],[VEHICULOS_ACCIDENTADOS]:[VEHICULOS_ACCIDENTADOS2]],"CAMION")</f>
        <v>0</v>
      </c>
      <c r="AA579" s="36">
        <f>COUNTIF(Tabla1[[#This Row],[VEHICULOS_ACCIDENTADOS]:[VEHICULOS_ACCIDENTADOS2]],"TRACTOCAMION")</f>
        <v>0</v>
      </c>
      <c r="AB579" s="36">
        <f>COUNTIF(Tabla1[[#This Row],[VEHICULOS_ACCIDENTADOS]:[VEHICULOS_ACCIDENTADOS2]],"VOLQUETA")</f>
        <v>0</v>
      </c>
      <c r="AC579" s="36">
        <f>COUNTIF(Tabla1[[#This Row],[VEHICULOS_ACCIDENTADOS]:[VEHICULOS_ACCIDENTADOS2]],"BICICLETA")</f>
        <v>0</v>
      </c>
      <c r="AD579" s="56"/>
      <c r="AE579" s="56" t="s">
        <v>472</v>
      </c>
      <c r="AF579" s="56">
        <f>COUNTIF(Tabla1[[#This Row],[GENERO_MASCULINO]:[GENERO_FEMENINO]],"MASCULINO")</f>
        <v>0</v>
      </c>
      <c r="AG579" s="36">
        <f>COUNTIF(Tabla1[[#This Row],[GENERO_MASCULINO]:[GENERO_FEMENINO]],"FEMENINO")</f>
        <v>1</v>
      </c>
      <c r="AH579" s="61">
        <v>29</v>
      </c>
      <c r="AI579" s="61"/>
      <c r="AJ579" s="61"/>
      <c r="AK579" s="61"/>
      <c r="AL579" s="61">
        <v>47</v>
      </c>
      <c r="AM579" s="36"/>
      <c r="AN579" s="61">
        <v>112</v>
      </c>
      <c r="AO579" s="36" t="str">
        <f>IFERROR(((VLOOKUP(Tabla1[[#This Row],[HIPOTESIS_1]],listas!$D$1:$E$105,2,FALSE))),"SIN INFORMACIÓN")</f>
        <v>Desobedecer señales o normas de tránsito.</v>
      </c>
      <c r="AP579" s="36"/>
      <c r="AQ579" s="36" t="str">
        <f>IFERROR(((VLOOKUP(Tabla1[[#This Row],[HIPOTESIS_2]],listas!$D$1:$E$105,2,FALSE))),"")</f>
        <v/>
      </c>
      <c r="AR579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580" spans="1:44" x14ac:dyDescent="0.25">
      <c r="A580" s="12">
        <v>442</v>
      </c>
      <c r="B580" s="36">
        <v>0</v>
      </c>
      <c r="C580" s="36">
        <v>2</v>
      </c>
      <c r="D580" s="60">
        <v>0</v>
      </c>
      <c r="E580" s="18" t="str">
        <f t="shared" si="36"/>
        <v>LESIONADO</v>
      </c>
      <c r="F580" s="29" t="s">
        <v>1048</v>
      </c>
      <c r="G580" s="21">
        <v>5.3173608333333329</v>
      </c>
      <c r="H580" s="21">
        <v>-72.398762222222231</v>
      </c>
      <c r="I580" s="93" t="s">
        <v>697</v>
      </c>
      <c r="J580" s="36" t="s">
        <v>717</v>
      </c>
      <c r="K580" s="24" t="str">
        <f t="shared" si="37"/>
        <v>2023</v>
      </c>
      <c r="L580" s="24" t="str">
        <f t="shared" si="38"/>
        <v>ABRIL</v>
      </c>
      <c r="M580" s="225">
        <v>45017</v>
      </c>
      <c r="N580" s="24" t="str">
        <f t="shared" si="39"/>
        <v>SÁBADO</v>
      </c>
      <c r="O580" s="103">
        <v>0.52083333333333337</v>
      </c>
      <c r="P580" s="57" t="s">
        <v>469</v>
      </c>
      <c r="Q580" s="57" t="s">
        <v>447</v>
      </c>
      <c r="R580" s="36">
        <f>COUNTIF(Tabla1[[#This Row],[VEHICULOS_ACCIDENTADOS]:[VEHICULOS_ACCIDENTADOS2]],"MOTOCICLETA")</f>
        <v>1</v>
      </c>
      <c r="S580" s="36">
        <f>COUNTIF(Tabla1[[#This Row],[VEHICULOS_ACCIDENTADOS]:[VEHICULOS_ACCIDENTADOS2]],"MOTOCARRO")</f>
        <v>0</v>
      </c>
      <c r="T580" s="36">
        <f>COUNTIF(Tabla1[[#This Row],[VEHICULOS_ACCIDENTADOS]:[VEHICULOS_ACCIDENTADOS2]],"AUTOMOVIL")</f>
        <v>1</v>
      </c>
      <c r="U580" s="36">
        <f>COUNTIF(Tabla1[[#This Row],[VEHICULOS_ACCIDENTADOS]:[VEHICULOS_ACCIDENTADOS2]],"CAMPERO")</f>
        <v>0</v>
      </c>
      <c r="V580" s="36">
        <f>COUNTIF(Tabla1[[#This Row],[VEHICULOS_ACCIDENTADOS]:[VEHICULOS_ACCIDENTADOS2]],"CAMIONETA")</f>
        <v>0</v>
      </c>
      <c r="W580" s="36">
        <f>COUNTIF(Tabla1[[#This Row],[VEHICULOS_ACCIDENTADOS]:[VEHICULOS_ACCIDENTADOS2]],"MICROBUS")</f>
        <v>0</v>
      </c>
      <c r="X580" s="36">
        <f>COUNTIF(Tabla1[[#This Row],[VEHICULOS_ACCIDENTADOS]:[VEHICULOS_ACCIDENTADOS2]],"BUS")</f>
        <v>0</v>
      </c>
      <c r="Y580" s="36">
        <f>COUNTIF(Tabla1[[#This Row],[VEHICULOS_ACCIDENTADOS]:[VEHICULOS_ACCIDENTADOS2]],"BUSETA")</f>
        <v>0</v>
      </c>
      <c r="Z580" s="36">
        <f>COUNTIF(Tabla1[[#This Row],[VEHICULOS_ACCIDENTADOS]:[VEHICULOS_ACCIDENTADOS2]],"CAMION")</f>
        <v>0</v>
      </c>
      <c r="AA580" s="36">
        <f>COUNTIF(Tabla1[[#This Row],[VEHICULOS_ACCIDENTADOS]:[VEHICULOS_ACCIDENTADOS2]],"TRACTOCAMION")</f>
        <v>0</v>
      </c>
      <c r="AB580" s="36">
        <f>COUNTIF(Tabla1[[#This Row],[VEHICULOS_ACCIDENTADOS]:[VEHICULOS_ACCIDENTADOS2]],"VOLQUETA")</f>
        <v>0</v>
      </c>
      <c r="AC580" s="36">
        <f>COUNTIF(Tabla1[[#This Row],[VEHICULOS_ACCIDENTADOS]:[VEHICULOS_ACCIDENTADOS2]],"BICICLETA")</f>
        <v>0</v>
      </c>
      <c r="AD580" s="56" t="s">
        <v>471</v>
      </c>
      <c r="AE580" s="56" t="s">
        <v>472</v>
      </c>
      <c r="AF580" s="56">
        <f>COUNTIF(Tabla1[[#This Row],[GENERO_MASCULINO]:[GENERO_FEMENINO]],"MASCULINO")</f>
        <v>1</v>
      </c>
      <c r="AG580" s="36">
        <f>COUNTIF(Tabla1[[#This Row],[GENERO_MASCULINO]:[GENERO_FEMENINO]],"FEMENINO")</f>
        <v>1</v>
      </c>
      <c r="AH580" s="61">
        <v>23</v>
      </c>
      <c r="AI580" s="61"/>
      <c r="AJ580" s="61"/>
      <c r="AK580" s="61"/>
      <c r="AL580" s="61">
        <v>16</v>
      </c>
      <c r="AM580" s="36"/>
      <c r="AN580" s="61">
        <v>157</v>
      </c>
      <c r="AO580" s="36" t="str">
        <f>IFERROR(((VLOOKUP(Tabla1[[#This Row],[HIPOTESIS_1]],listas!$D$1:$E$105,2,FALSE))),"SIN INFORMACIÓN")</f>
        <v>Otra</v>
      </c>
      <c r="AP580" s="36"/>
      <c r="AQ580" s="36" t="str">
        <f>IFERROR(((VLOOKUP(Tabla1[[#This Row],[HIPOTESIS_2]],listas!$D$1:$E$105,2,FALSE))),"")</f>
        <v/>
      </c>
      <c r="AR580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581" spans="1:44" x14ac:dyDescent="0.25">
      <c r="A581" s="12">
        <v>199</v>
      </c>
      <c r="B581" s="36">
        <v>0</v>
      </c>
      <c r="C581" s="36">
        <v>1</v>
      </c>
      <c r="D581" s="60">
        <v>0</v>
      </c>
      <c r="E581" s="18" t="str">
        <f t="shared" si="36"/>
        <v>LESIONADO</v>
      </c>
      <c r="F581" s="29" t="s">
        <v>892</v>
      </c>
      <c r="G581" s="17">
        <v>5.3331138888888887</v>
      </c>
      <c r="H581" s="17">
        <v>-72.402630555555561</v>
      </c>
      <c r="I581" s="93" t="s">
        <v>697</v>
      </c>
      <c r="J581" s="36" t="s">
        <v>717</v>
      </c>
      <c r="K581" s="24" t="str">
        <f t="shared" si="37"/>
        <v>2022</v>
      </c>
      <c r="L581" s="24" t="str">
        <f t="shared" si="38"/>
        <v>MAYO</v>
      </c>
      <c r="M581" s="225">
        <v>44709</v>
      </c>
      <c r="N581" s="24" t="str">
        <f t="shared" si="39"/>
        <v>SÁBADO</v>
      </c>
      <c r="O581" s="103">
        <v>0.82013888888888897</v>
      </c>
      <c r="P581" s="63" t="s">
        <v>447</v>
      </c>
      <c r="Q581" s="63" t="s">
        <v>446</v>
      </c>
      <c r="R581" s="36">
        <f>COUNTIF(Tabla1[[#This Row],[VEHICULOS_ACCIDENTADOS]:[VEHICULOS_ACCIDENTADOS2]],"MOTOCICLETA")</f>
        <v>0</v>
      </c>
      <c r="S581" s="36">
        <f>COUNTIF(Tabla1[[#This Row],[VEHICULOS_ACCIDENTADOS]:[VEHICULOS_ACCIDENTADOS2]],"MOTOCARRO")</f>
        <v>0</v>
      </c>
      <c r="T581" s="36">
        <f>COUNTIF(Tabla1[[#This Row],[VEHICULOS_ACCIDENTADOS]:[VEHICULOS_ACCIDENTADOS2]],"AUTOMOVIL")</f>
        <v>1</v>
      </c>
      <c r="U581" s="36">
        <f>COUNTIF(Tabla1[[#This Row],[VEHICULOS_ACCIDENTADOS]:[VEHICULOS_ACCIDENTADOS2]],"CAMPERO")</f>
        <v>1</v>
      </c>
      <c r="V581" s="36">
        <f>COUNTIF(Tabla1[[#This Row],[VEHICULOS_ACCIDENTADOS]:[VEHICULOS_ACCIDENTADOS2]],"CAMIONETA")</f>
        <v>0</v>
      </c>
      <c r="W581" s="36">
        <f>COUNTIF(Tabla1[[#This Row],[VEHICULOS_ACCIDENTADOS]:[VEHICULOS_ACCIDENTADOS2]],"MICROBUS")</f>
        <v>0</v>
      </c>
      <c r="X581" s="36">
        <f>COUNTIF(Tabla1[[#This Row],[VEHICULOS_ACCIDENTADOS]:[VEHICULOS_ACCIDENTADOS2]],"BUS")</f>
        <v>0</v>
      </c>
      <c r="Y581" s="36">
        <f>COUNTIF(Tabla1[[#This Row],[VEHICULOS_ACCIDENTADOS]:[VEHICULOS_ACCIDENTADOS2]],"BUSETA")</f>
        <v>0</v>
      </c>
      <c r="Z581" s="36">
        <f>COUNTIF(Tabla1[[#This Row],[VEHICULOS_ACCIDENTADOS]:[VEHICULOS_ACCIDENTADOS2]],"CAMION")</f>
        <v>0</v>
      </c>
      <c r="AA581" s="36">
        <f>COUNTIF(Tabla1[[#This Row],[VEHICULOS_ACCIDENTADOS]:[VEHICULOS_ACCIDENTADOS2]],"TRACTOCAMION")</f>
        <v>0</v>
      </c>
      <c r="AB581" s="36">
        <f>COUNTIF(Tabla1[[#This Row],[VEHICULOS_ACCIDENTADOS]:[VEHICULOS_ACCIDENTADOS2]],"VOLQUETA")</f>
        <v>0</v>
      </c>
      <c r="AC581" s="36">
        <f>COUNTIF(Tabla1[[#This Row],[VEHICULOS_ACCIDENTADOS]:[VEHICULOS_ACCIDENTADOS2]],"BICICLETA")</f>
        <v>0</v>
      </c>
      <c r="AD581" s="56" t="s">
        <v>471</v>
      </c>
      <c r="AE581" s="56"/>
      <c r="AF581" s="56">
        <f>COUNTIF(Tabla1[[#This Row],[GENERO_MASCULINO]:[GENERO_FEMENINO]],"MASCULINO")</f>
        <v>1</v>
      </c>
      <c r="AG581" s="36">
        <f>COUNTIF(Tabla1[[#This Row],[GENERO_MASCULINO]:[GENERO_FEMENINO]],"FEMENINO")</f>
        <v>0</v>
      </c>
      <c r="AH581" s="61">
        <v>62</v>
      </c>
      <c r="AI581" s="61"/>
      <c r="AJ581" s="61"/>
      <c r="AK581" s="61"/>
      <c r="AL581" s="61"/>
      <c r="AM581" s="36"/>
      <c r="AN581" s="61">
        <v>115</v>
      </c>
      <c r="AO581" s="36" t="str">
        <f>IFERROR(((VLOOKUP(Tabla1[[#This Row],[HIPOTESIS_1]],listas!$D$1:$E$105,2,FALSE))),"SIN INFORMACIÓN")</f>
        <v>Embriaguez o Sustancias alucinogenas</v>
      </c>
      <c r="AP581" s="36"/>
      <c r="AQ581" s="36" t="str">
        <f>IFERROR(((VLOOKUP(Tabla1[[#This Row],[HIPOTESIS_2]],listas!$D$1:$E$105,2,FALSE))),"")</f>
        <v/>
      </c>
      <c r="AR581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582" spans="1:44" x14ac:dyDescent="0.25">
      <c r="A582" s="12">
        <v>921</v>
      </c>
      <c r="B582" s="208">
        <v>0</v>
      </c>
      <c r="C582" s="36">
        <v>1</v>
      </c>
      <c r="D582" s="150">
        <v>0</v>
      </c>
      <c r="E582" s="18" t="str">
        <f t="shared" si="36"/>
        <v>LESIONADO</v>
      </c>
      <c r="F582" s="29" t="s">
        <v>893</v>
      </c>
      <c r="G582" s="17">
        <v>5.3331138888888887</v>
      </c>
      <c r="H582" s="17">
        <v>-72.402630555555561</v>
      </c>
      <c r="I582" s="93" t="s">
        <v>697</v>
      </c>
      <c r="J582" s="36" t="s">
        <v>717</v>
      </c>
      <c r="K582" s="24" t="str">
        <f t="shared" si="37"/>
        <v>2025</v>
      </c>
      <c r="L582" s="24" t="str">
        <f t="shared" si="38"/>
        <v>ABRIL</v>
      </c>
      <c r="M582" s="225">
        <v>45748</v>
      </c>
      <c r="N582" s="24" t="str">
        <f t="shared" si="39"/>
        <v>MARTES</v>
      </c>
      <c r="O582" s="103">
        <v>0.25</v>
      </c>
      <c r="P582" s="36" t="s">
        <v>469</v>
      </c>
      <c r="Q582" s="36"/>
      <c r="R582" s="36">
        <f>COUNTIF(Tabla1[[#This Row],[VEHICULOS_ACCIDENTADOS]:[VEHICULOS_ACCIDENTADOS2]],"MOTOCICLETA")</f>
        <v>1</v>
      </c>
      <c r="S582" s="36">
        <f>COUNTIF(Tabla1[[#This Row],[VEHICULOS_ACCIDENTADOS]:[VEHICULOS_ACCIDENTADOS2]],"MOTOCARRO")</f>
        <v>0</v>
      </c>
      <c r="T582" s="36">
        <f>COUNTIF(Tabla1[[#This Row],[VEHICULOS_ACCIDENTADOS]:[VEHICULOS_ACCIDENTADOS2]],"AUTOMOVIL")</f>
        <v>0</v>
      </c>
      <c r="U582" s="36">
        <f>COUNTIF(Tabla1[[#This Row],[VEHICULOS_ACCIDENTADOS]:[VEHICULOS_ACCIDENTADOS2]],"CAMPERO")</f>
        <v>0</v>
      </c>
      <c r="V582" s="36">
        <f>COUNTIF(Tabla1[[#This Row],[VEHICULOS_ACCIDENTADOS]:[VEHICULOS_ACCIDENTADOS2]],"CAMIONETA")</f>
        <v>0</v>
      </c>
      <c r="W582" s="36">
        <f>COUNTIF(Tabla1[[#This Row],[VEHICULOS_ACCIDENTADOS]:[VEHICULOS_ACCIDENTADOS2]],"MICROBUS")</f>
        <v>0</v>
      </c>
      <c r="X582" s="36">
        <f>COUNTIF(Tabla1[[#This Row],[VEHICULOS_ACCIDENTADOS]:[VEHICULOS_ACCIDENTADOS2]],"BUS")</f>
        <v>0</v>
      </c>
      <c r="Y582" s="36">
        <f>COUNTIF(Tabla1[[#This Row],[VEHICULOS_ACCIDENTADOS]:[VEHICULOS_ACCIDENTADOS2]],"BUSETA")</f>
        <v>0</v>
      </c>
      <c r="Z582" s="36">
        <f>COUNTIF(Tabla1[[#This Row],[VEHICULOS_ACCIDENTADOS]:[VEHICULOS_ACCIDENTADOS2]],"CAMION")</f>
        <v>0</v>
      </c>
      <c r="AA582" s="36">
        <f>COUNTIF(Tabla1[[#This Row],[VEHICULOS_ACCIDENTADOS]:[VEHICULOS_ACCIDENTADOS2]],"TRACTOCAMION")</f>
        <v>0</v>
      </c>
      <c r="AB582" s="36">
        <f>COUNTIF(Tabla1[[#This Row],[VEHICULOS_ACCIDENTADOS]:[VEHICULOS_ACCIDENTADOS2]],"VOLQUETA")</f>
        <v>0</v>
      </c>
      <c r="AC582" s="36">
        <f>COUNTIF(Tabla1[[#This Row],[VEHICULOS_ACCIDENTADOS]:[VEHICULOS_ACCIDENTADOS2]],"BICICLETA")</f>
        <v>0</v>
      </c>
      <c r="AD582" s="56" t="s">
        <v>472</v>
      </c>
      <c r="AE582" s="56"/>
      <c r="AF582" s="56">
        <f>COUNTIF(Tabla1[[#This Row],[GENERO_MASCULINO]:[GENERO_FEMENINO]],"MASCULINO")</f>
        <v>0</v>
      </c>
      <c r="AG582" s="36">
        <f>COUNTIF(Tabla1[[#This Row],[GENERO_MASCULINO]:[GENERO_FEMENINO]],"FEMENINO")</f>
        <v>1</v>
      </c>
      <c r="AH582" s="85">
        <v>27</v>
      </c>
      <c r="AI582" s="85"/>
      <c r="AJ582" s="85"/>
      <c r="AK582" s="78"/>
      <c r="AL582" s="78"/>
      <c r="AM582" s="59"/>
      <c r="AN582" s="61">
        <v>157</v>
      </c>
      <c r="AO582" s="36" t="str">
        <f>IFERROR(((VLOOKUP(Tabla1[[#This Row],[HIPOTESIS_1]],listas!$D$1:$E$105,2,FALSE))),"SIN INFORMACIÓN")</f>
        <v>Otra</v>
      </c>
      <c r="AP582" s="36"/>
      <c r="AQ582" s="36" t="str">
        <f>IFERROR(((VLOOKUP(Tabla1[[#This Row],[HIPOTESIS_2]],listas!$D$1:$E$105,2,FALSE))),"")</f>
        <v/>
      </c>
      <c r="AR582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583" spans="1:44" x14ac:dyDescent="0.25">
      <c r="A583" s="12">
        <v>91</v>
      </c>
      <c r="B583" s="36">
        <v>0</v>
      </c>
      <c r="C583" s="36">
        <v>2</v>
      </c>
      <c r="D583" s="60">
        <v>0</v>
      </c>
      <c r="E583" s="18" t="str">
        <f t="shared" si="36"/>
        <v>LESIONADO</v>
      </c>
      <c r="F583" s="29" t="s">
        <v>405</v>
      </c>
      <c r="G583" s="17">
        <v>5.3267194444444446</v>
      </c>
      <c r="H583" s="17">
        <v>-72.401947222222233</v>
      </c>
      <c r="I583" s="93" t="s">
        <v>697</v>
      </c>
      <c r="J583" s="36" t="s">
        <v>717</v>
      </c>
      <c r="K583" s="24" t="str">
        <f t="shared" si="37"/>
        <v>2022</v>
      </c>
      <c r="L583" s="24" t="str">
        <f t="shared" si="38"/>
        <v>MARZO</v>
      </c>
      <c r="M583" s="225">
        <v>44640</v>
      </c>
      <c r="N583" s="24" t="str">
        <f t="shared" si="39"/>
        <v>DOMINGO</v>
      </c>
      <c r="O583" s="103">
        <v>0.67361111111111105</v>
      </c>
      <c r="P583" s="63" t="s">
        <v>469</v>
      </c>
      <c r="Q583" s="63" t="s">
        <v>469</v>
      </c>
      <c r="R583" s="36">
        <f>COUNTIF(Tabla1[[#This Row],[VEHICULOS_ACCIDENTADOS]:[VEHICULOS_ACCIDENTADOS2]],"MOTOCICLETA")</f>
        <v>2</v>
      </c>
      <c r="S583" s="36">
        <f>COUNTIF(Tabla1[[#This Row],[VEHICULOS_ACCIDENTADOS]:[VEHICULOS_ACCIDENTADOS2]],"MOTOCARRO")</f>
        <v>0</v>
      </c>
      <c r="T583" s="36">
        <f>COUNTIF(Tabla1[[#This Row],[VEHICULOS_ACCIDENTADOS]:[VEHICULOS_ACCIDENTADOS2]],"AUTOMOVIL")</f>
        <v>0</v>
      </c>
      <c r="U583" s="36">
        <f>COUNTIF(Tabla1[[#This Row],[VEHICULOS_ACCIDENTADOS]:[VEHICULOS_ACCIDENTADOS2]],"CAMPERO")</f>
        <v>0</v>
      </c>
      <c r="V583" s="36">
        <f>COUNTIF(Tabla1[[#This Row],[VEHICULOS_ACCIDENTADOS]:[VEHICULOS_ACCIDENTADOS2]],"CAMIONETA")</f>
        <v>0</v>
      </c>
      <c r="W583" s="36">
        <f>COUNTIF(Tabla1[[#This Row],[VEHICULOS_ACCIDENTADOS]:[VEHICULOS_ACCIDENTADOS2]],"MICROBUS")</f>
        <v>0</v>
      </c>
      <c r="X583" s="36">
        <f>COUNTIF(Tabla1[[#This Row],[VEHICULOS_ACCIDENTADOS]:[VEHICULOS_ACCIDENTADOS2]],"BUS")</f>
        <v>0</v>
      </c>
      <c r="Y583" s="36">
        <f>COUNTIF(Tabla1[[#This Row],[VEHICULOS_ACCIDENTADOS]:[VEHICULOS_ACCIDENTADOS2]],"BUSETA")</f>
        <v>0</v>
      </c>
      <c r="Z583" s="36">
        <f>COUNTIF(Tabla1[[#This Row],[VEHICULOS_ACCIDENTADOS]:[VEHICULOS_ACCIDENTADOS2]],"CAMION")</f>
        <v>0</v>
      </c>
      <c r="AA583" s="36">
        <f>COUNTIF(Tabla1[[#This Row],[VEHICULOS_ACCIDENTADOS]:[VEHICULOS_ACCIDENTADOS2]],"TRACTOCAMION")</f>
        <v>0</v>
      </c>
      <c r="AB583" s="36">
        <f>COUNTIF(Tabla1[[#This Row],[VEHICULOS_ACCIDENTADOS]:[VEHICULOS_ACCIDENTADOS2]],"VOLQUETA")</f>
        <v>0</v>
      </c>
      <c r="AC583" s="36">
        <f>COUNTIF(Tabla1[[#This Row],[VEHICULOS_ACCIDENTADOS]:[VEHICULOS_ACCIDENTADOS2]],"BICICLETA")</f>
        <v>0</v>
      </c>
      <c r="AD583" s="56" t="s">
        <v>471</v>
      </c>
      <c r="AE583" s="56"/>
      <c r="AF583" s="56">
        <f>COUNTIF(Tabla1[[#This Row],[GENERO_MASCULINO]:[GENERO_FEMENINO]],"MASCULINO")</f>
        <v>1</v>
      </c>
      <c r="AG583" s="36">
        <f>COUNTIF(Tabla1[[#This Row],[GENERO_MASCULINO]:[GENERO_FEMENINO]],"FEMENINO")</f>
        <v>0</v>
      </c>
      <c r="AH583" s="61">
        <v>20</v>
      </c>
      <c r="AI583" s="61">
        <v>18</v>
      </c>
      <c r="AJ583" s="61"/>
      <c r="AK583" s="61"/>
      <c r="AL583" s="61"/>
      <c r="AM583" s="36"/>
      <c r="AN583" s="61">
        <v>139</v>
      </c>
      <c r="AO583" s="36" t="str">
        <f>IFERROR(((VLOOKUP(Tabla1[[#This Row],[HIPOTESIS_1]],listas!$D$1:$E$105,2,FALSE))),"SIN INFORMACIÓN")</f>
        <v>Impericia en el manejo.</v>
      </c>
      <c r="AP583" s="36"/>
      <c r="AQ583" s="36" t="str">
        <f>IFERROR(((VLOOKUP(Tabla1[[#This Row],[HIPOTESIS_2]],listas!$D$1:$E$105,2,FALSE))),"")</f>
        <v/>
      </c>
      <c r="AR583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584" spans="1:44" x14ac:dyDescent="0.25">
      <c r="A584" s="12">
        <v>559</v>
      </c>
      <c r="B584" s="36">
        <v>1</v>
      </c>
      <c r="C584" s="36">
        <v>0</v>
      </c>
      <c r="D584" s="60">
        <v>0</v>
      </c>
      <c r="E584" s="18" t="str">
        <f t="shared" si="36"/>
        <v>SOLO DAÑO</v>
      </c>
      <c r="F584" s="29" t="s">
        <v>204</v>
      </c>
      <c r="G584" s="21">
        <v>5.3195386111111107</v>
      </c>
      <c r="H584" s="21">
        <v>-72.399218333333337</v>
      </c>
      <c r="I584" s="93" t="s">
        <v>697</v>
      </c>
      <c r="J584" s="36" t="s">
        <v>717</v>
      </c>
      <c r="K584" s="24" t="str">
        <f t="shared" si="37"/>
        <v>2023</v>
      </c>
      <c r="L584" s="24" t="str">
        <f t="shared" si="38"/>
        <v>SEPTIEMBRE</v>
      </c>
      <c r="M584" s="225">
        <v>45191</v>
      </c>
      <c r="N584" s="24" t="str">
        <f t="shared" si="39"/>
        <v>VIERNES</v>
      </c>
      <c r="O584" s="103">
        <v>0.71527777777777779</v>
      </c>
      <c r="P584" s="57" t="s">
        <v>469</v>
      </c>
      <c r="Q584" s="57" t="s">
        <v>447</v>
      </c>
      <c r="R584" s="36">
        <f>COUNTIF(Tabla1[[#This Row],[VEHICULOS_ACCIDENTADOS]:[VEHICULOS_ACCIDENTADOS2]],"MOTOCICLETA")</f>
        <v>1</v>
      </c>
      <c r="S584" s="36">
        <f>COUNTIF(Tabla1[[#This Row],[VEHICULOS_ACCIDENTADOS]:[VEHICULOS_ACCIDENTADOS2]],"MOTOCARRO")</f>
        <v>0</v>
      </c>
      <c r="T584" s="36">
        <f>COUNTIF(Tabla1[[#This Row],[VEHICULOS_ACCIDENTADOS]:[VEHICULOS_ACCIDENTADOS2]],"AUTOMOVIL")</f>
        <v>1</v>
      </c>
      <c r="U584" s="36">
        <f>COUNTIF(Tabla1[[#This Row],[VEHICULOS_ACCIDENTADOS]:[VEHICULOS_ACCIDENTADOS2]],"CAMPERO")</f>
        <v>0</v>
      </c>
      <c r="V584" s="36">
        <f>COUNTIF(Tabla1[[#This Row],[VEHICULOS_ACCIDENTADOS]:[VEHICULOS_ACCIDENTADOS2]],"CAMIONETA")</f>
        <v>0</v>
      </c>
      <c r="W584" s="36">
        <f>COUNTIF(Tabla1[[#This Row],[VEHICULOS_ACCIDENTADOS]:[VEHICULOS_ACCIDENTADOS2]],"MICROBUS")</f>
        <v>0</v>
      </c>
      <c r="X584" s="36">
        <f>COUNTIF(Tabla1[[#This Row],[VEHICULOS_ACCIDENTADOS]:[VEHICULOS_ACCIDENTADOS2]],"BUS")</f>
        <v>0</v>
      </c>
      <c r="Y584" s="36">
        <f>COUNTIF(Tabla1[[#This Row],[VEHICULOS_ACCIDENTADOS]:[VEHICULOS_ACCIDENTADOS2]],"BUSETA")</f>
        <v>0</v>
      </c>
      <c r="Z584" s="36">
        <f>COUNTIF(Tabla1[[#This Row],[VEHICULOS_ACCIDENTADOS]:[VEHICULOS_ACCIDENTADOS2]],"CAMION")</f>
        <v>0</v>
      </c>
      <c r="AA584" s="36">
        <f>COUNTIF(Tabla1[[#This Row],[VEHICULOS_ACCIDENTADOS]:[VEHICULOS_ACCIDENTADOS2]],"TRACTOCAMION")</f>
        <v>0</v>
      </c>
      <c r="AB584" s="36">
        <f>COUNTIF(Tabla1[[#This Row],[VEHICULOS_ACCIDENTADOS]:[VEHICULOS_ACCIDENTADOS2]],"VOLQUETA")</f>
        <v>0</v>
      </c>
      <c r="AC584" s="36">
        <f>COUNTIF(Tabla1[[#This Row],[VEHICULOS_ACCIDENTADOS]:[VEHICULOS_ACCIDENTADOS2]],"BICICLETA")</f>
        <v>0</v>
      </c>
      <c r="AD584" s="56"/>
      <c r="AE584" s="56" t="s">
        <v>472</v>
      </c>
      <c r="AF584" s="56">
        <f>COUNTIF(Tabla1[[#This Row],[GENERO_MASCULINO]:[GENERO_FEMENINO]],"MASCULINO")</f>
        <v>0</v>
      </c>
      <c r="AG584" s="36">
        <f>COUNTIF(Tabla1[[#This Row],[GENERO_MASCULINO]:[GENERO_FEMENINO]],"FEMENINO")</f>
        <v>1</v>
      </c>
      <c r="AH584" s="61"/>
      <c r="AI584" s="61"/>
      <c r="AJ584" s="61"/>
      <c r="AK584" s="61"/>
      <c r="AL584" s="61"/>
      <c r="AM584" s="36"/>
      <c r="AN584" s="61">
        <v>115</v>
      </c>
      <c r="AO584" s="36" t="str">
        <f>IFERROR(((VLOOKUP(Tabla1[[#This Row],[HIPOTESIS_1]],listas!$D$1:$E$105,2,FALSE))),"SIN INFORMACIÓN")</f>
        <v>Embriaguez o Sustancias alucinogenas</v>
      </c>
      <c r="AP584" s="36"/>
      <c r="AQ584" s="36" t="str">
        <f>IFERROR(((VLOOKUP(Tabla1[[#This Row],[HIPOTESIS_2]],listas!$D$1:$E$105,2,FALSE))),"")</f>
        <v/>
      </c>
      <c r="AR584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585" spans="1:44" x14ac:dyDescent="0.25">
      <c r="A585" s="12">
        <v>45</v>
      </c>
      <c r="B585" s="36">
        <v>1</v>
      </c>
      <c r="C585" s="36">
        <v>0</v>
      </c>
      <c r="D585" s="60">
        <v>0</v>
      </c>
      <c r="E585" s="18" t="str">
        <f t="shared" si="36"/>
        <v>SOLO DAÑO</v>
      </c>
      <c r="F585" s="29" t="s">
        <v>424</v>
      </c>
      <c r="G585" s="17">
        <v>5.3119833333333331</v>
      </c>
      <c r="H585" s="17">
        <v>-72.398205555555563</v>
      </c>
      <c r="I585" s="93" t="s">
        <v>697</v>
      </c>
      <c r="J585" s="36" t="s">
        <v>717</v>
      </c>
      <c r="K585" s="24" t="str">
        <f t="shared" si="37"/>
        <v>2022</v>
      </c>
      <c r="L585" s="24" t="str">
        <f t="shared" si="38"/>
        <v>FEBRERO</v>
      </c>
      <c r="M585" s="225">
        <v>44600</v>
      </c>
      <c r="N585" s="24" t="str">
        <f t="shared" si="39"/>
        <v>MARTES</v>
      </c>
      <c r="O585" s="103">
        <v>0.52083333333333304</v>
      </c>
      <c r="P585" s="63" t="s">
        <v>447</v>
      </c>
      <c r="Q585" s="63" t="s">
        <v>447</v>
      </c>
      <c r="R585" s="36">
        <f>COUNTIF(Tabla1[[#This Row],[VEHICULOS_ACCIDENTADOS]:[VEHICULOS_ACCIDENTADOS2]],"MOTOCICLETA")</f>
        <v>0</v>
      </c>
      <c r="S585" s="36">
        <f>COUNTIF(Tabla1[[#This Row],[VEHICULOS_ACCIDENTADOS]:[VEHICULOS_ACCIDENTADOS2]],"MOTOCARRO")</f>
        <v>0</v>
      </c>
      <c r="T585" s="36">
        <f>COUNTIF(Tabla1[[#This Row],[VEHICULOS_ACCIDENTADOS]:[VEHICULOS_ACCIDENTADOS2]],"AUTOMOVIL")</f>
        <v>2</v>
      </c>
      <c r="U585" s="36">
        <f>COUNTIF(Tabla1[[#This Row],[VEHICULOS_ACCIDENTADOS]:[VEHICULOS_ACCIDENTADOS2]],"CAMPERO")</f>
        <v>0</v>
      </c>
      <c r="V585" s="36">
        <f>COUNTIF(Tabla1[[#This Row],[VEHICULOS_ACCIDENTADOS]:[VEHICULOS_ACCIDENTADOS2]],"CAMIONETA")</f>
        <v>0</v>
      </c>
      <c r="W585" s="36">
        <f>COUNTIF(Tabla1[[#This Row],[VEHICULOS_ACCIDENTADOS]:[VEHICULOS_ACCIDENTADOS2]],"MICROBUS")</f>
        <v>0</v>
      </c>
      <c r="X585" s="36">
        <f>COUNTIF(Tabla1[[#This Row],[VEHICULOS_ACCIDENTADOS]:[VEHICULOS_ACCIDENTADOS2]],"BUS")</f>
        <v>0</v>
      </c>
      <c r="Y585" s="36">
        <f>COUNTIF(Tabla1[[#This Row],[VEHICULOS_ACCIDENTADOS]:[VEHICULOS_ACCIDENTADOS2]],"BUSETA")</f>
        <v>0</v>
      </c>
      <c r="Z585" s="36">
        <f>COUNTIF(Tabla1[[#This Row],[VEHICULOS_ACCIDENTADOS]:[VEHICULOS_ACCIDENTADOS2]],"CAMION")</f>
        <v>0</v>
      </c>
      <c r="AA585" s="36">
        <f>COUNTIF(Tabla1[[#This Row],[VEHICULOS_ACCIDENTADOS]:[VEHICULOS_ACCIDENTADOS2]],"TRACTOCAMION")</f>
        <v>0</v>
      </c>
      <c r="AB585" s="36">
        <f>COUNTIF(Tabla1[[#This Row],[VEHICULOS_ACCIDENTADOS]:[VEHICULOS_ACCIDENTADOS2]],"VOLQUETA")</f>
        <v>0</v>
      </c>
      <c r="AC585" s="36">
        <f>COUNTIF(Tabla1[[#This Row],[VEHICULOS_ACCIDENTADOS]:[VEHICULOS_ACCIDENTADOS2]],"BICICLETA")</f>
        <v>0</v>
      </c>
      <c r="AD585" s="56"/>
      <c r="AE585" s="56" t="s">
        <v>472</v>
      </c>
      <c r="AF585" s="56">
        <f>COUNTIF(Tabla1[[#This Row],[GENERO_MASCULINO]:[GENERO_FEMENINO]],"MASCULINO")</f>
        <v>0</v>
      </c>
      <c r="AG585" s="36">
        <f>COUNTIF(Tabla1[[#This Row],[GENERO_MASCULINO]:[GENERO_FEMENINO]],"FEMENINO")</f>
        <v>1</v>
      </c>
      <c r="AH585" s="61"/>
      <c r="AI585" s="61"/>
      <c r="AJ585" s="78"/>
      <c r="AK585" s="61"/>
      <c r="AL585" s="61"/>
      <c r="AM585" s="36"/>
      <c r="AN585" s="61">
        <v>132</v>
      </c>
      <c r="AO585" s="36" t="str">
        <f>IFERROR(((VLOOKUP(Tabla1[[#This Row],[HIPOTESIS_1]],listas!$D$1:$E$105,2,FALSE))),"SIN INFORMACIÓN")</f>
        <v>No respetar prelación.</v>
      </c>
      <c r="AP585" s="36"/>
      <c r="AQ585" s="36" t="str">
        <f>IFERROR(((VLOOKUP(Tabla1[[#This Row],[HIPOTESIS_2]],listas!$D$1:$E$105,2,FALSE))),"")</f>
        <v/>
      </c>
      <c r="AR585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586" spans="1:44" x14ac:dyDescent="0.25">
      <c r="A586" s="12">
        <v>640</v>
      </c>
      <c r="B586" s="36">
        <v>0</v>
      </c>
      <c r="C586" s="36">
        <v>1</v>
      </c>
      <c r="D586" s="60">
        <v>0</v>
      </c>
      <c r="E586" s="18" t="str">
        <f t="shared" si="36"/>
        <v>LESIONADO</v>
      </c>
      <c r="F586" s="29" t="s">
        <v>93</v>
      </c>
      <c r="G586" s="17">
        <v>5.3117694444444439</v>
      </c>
      <c r="H586" s="17">
        <v>-72.398197222222223</v>
      </c>
      <c r="I586" s="93" t="s">
        <v>697</v>
      </c>
      <c r="J586" s="36" t="s">
        <v>717</v>
      </c>
      <c r="K586" s="24" t="str">
        <f t="shared" si="37"/>
        <v>2023</v>
      </c>
      <c r="L586" s="24" t="str">
        <f t="shared" si="38"/>
        <v>DICIEMBRE</v>
      </c>
      <c r="M586" s="225">
        <v>45285</v>
      </c>
      <c r="N586" s="24" t="str">
        <f t="shared" si="39"/>
        <v>LUNES</v>
      </c>
      <c r="O586" s="103">
        <v>0.54166666666666663</v>
      </c>
      <c r="P586" s="57" t="s">
        <v>469</v>
      </c>
      <c r="Q586" s="57"/>
      <c r="R586" s="36">
        <f>COUNTIF(Tabla1[[#This Row],[VEHICULOS_ACCIDENTADOS]:[VEHICULOS_ACCIDENTADOS2]],"MOTOCICLETA")</f>
        <v>1</v>
      </c>
      <c r="S586" s="36">
        <f>COUNTIF(Tabla1[[#This Row],[VEHICULOS_ACCIDENTADOS]:[VEHICULOS_ACCIDENTADOS2]],"MOTOCARRO")</f>
        <v>0</v>
      </c>
      <c r="T586" s="36">
        <f>COUNTIF(Tabla1[[#This Row],[VEHICULOS_ACCIDENTADOS]:[VEHICULOS_ACCIDENTADOS2]],"AUTOMOVIL")</f>
        <v>0</v>
      </c>
      <c r="U586" s="36">
        <f>COUNTIF(Tabla1[[#This Row],[VEHICULOS_ACCIDENTADOS]:[VEHICULOS_ACCIDENTADOS2]],"CAMPERO")</f>
        <v>0</v>
      </c>
      <c r="V586" s="36">
        <f>COUNTIF(Tabla1[[#This Row],[VEHICULOS_ACCIDENTADOS]:[VEHICULOS_ACCIDENTADOS2]],"CAMIONETA")</f>
        <v>0</v>
      </c>
      <c r="W586" s="36">
        <f>COUNTIF(Tabla1[[#This Row],[VEHICULOS_ACCIDENTADOS]:[VEHICULOS_ACCIDENTADOS2]],"MICROBUS")</f>
        <v>0</v>
      </c>
      <c r="X586" s="36">
        <f>COUNTIF(Tabla1[[#This Row],[VEHICULOS_ACCIDENTADOS]:[VEHICULOS_ACCIDENTADOS2]],"BUS")</f>
        <v>0</v>
      </c>
      <c r="Y586" s="36">
        <f>COUNTIF(Tabla1[[#This Row],[VEHICULOS_ACCIDENTADOS]:[VEHICULOS_ACCIDENTADOS2]],"BUSETA")</f>
        <v>0</v>
      </c>
      <c r="Z586" s="36">
        <f>COUNTIF(Tabla1[[#This Row],[VEHICULOS_ACCIDENTADOS]:[VEHICULOS_ACCIDENTADOS2]],"CAMION")</f>
        <v>0</v>
      </c>
      <c r="AA586" s="36">
        <f>COUNTIF(Tabla1[[#This Row],[VEHICULOS_ACCIDENTADOS]:[VEHICULOS_ACCIDENTADOS2]],"TRACTOCAMION")</f>
        <v>0</v>
      </c>
      <c r="AB586" s="36">
        <f>COUNTIF(Tabla1[[#This Row],[VEHICULOS_ACCIDENTADOS]:[VEHICULOS_ACCIDENTADOS2]],"VOLQUETA")</f>
        <v>0</v>
      </c>
      <c r="AC586" s="36">
        <f>COUNTIF(Tabla1[[#This Row],[VEHICULOS_ACCIDENTADOS]:[VEHICULOS_ACCIDENTADOS2]],"BICICLETA")</f>
        <v>0</v>
      </c>
      <c r="AD586" s="56" t="s">
        <v>471</v>
      </c>
      <c r="AE586" s="56"/>
      <c r="AF586" s="56">
        <f>COUNTIF(Tabla1[[#This Row],[GENERO_MASCULINO]:[GENERO_FEMENINO]],"MASCULINO")</f>
        <v>1</v>
      </c>
      <c r="AG586" s="36">
        <f>COUNTIF(Tabla1[[#This Row],[GENERO_MASCULINO]:[GENERO_FEMENINO]],"FEMENINO")</f>
        <v>0</v>
      </c>
      <c r="AH586" s="61"/>
      <c r="AI586" s="61"/>
      <c r="AJ586" s="61"/>
      <c r="AK586" s="61">
        <v>66</v>
      </c>
      <c r="AL586" s="61"/>
      <c r="AM586" s="36"/>
      <c r="AN586" s="61">
        <v>410</v>
      </c>
      <c r="AO586" s="36" t="str">
        <f>IFERROR(((VLOOKUP(Tabla1[[#This Row],[HIPOTESIS_1]],listas!$D$1:$E$105,2,FALSE))),"SIN INFORMACIÓN")</f>
        <v>Cruzar en estado de embriaguez.</v>
      </c>
      <c r="AP586" s="36"/>
      <c r="AQ586" s="36" t="str">
        <f>IFERROR(((VLOOKUP(Tabla1[[#This Row],[HIPOTESIS_2]],listas!$D$1:$E$105,2,FALSE))),"")</f>
        <v/>
      </c>
      <c r="AR586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587" spans="1:44" x14ac:dyDescent="0.25">
      <c r="A587" s="12">
        <v>35</v>
      </c>
      <c r="B587" s="36">
        <v>1</v>
      </c>
      <c r="C587" s="36">
        <v>0</v>
      </c>
      <c r="D587" s="60">
        <v>0</v>
      </c>
      <c r="E587" s="18" t="str">
        <f t="shared" si="36"/>
        <v>SOLO DAÑO</v>
      </c>
      <c r="F587" s="29" t="s">
        <v>894</v>
      </c>
      <c r="G587" s="17">
        <v>5.3276777777777777</v>
      </c>
      <c r="H587" s="17">
        <v>-72.400816666666671</v>
      </c>
      <c r="I587" s="93" t="s">
        <v>697</v>
      </c>
      <c r="J587" s="36" t="s">
        <v>717</v>
      </c>
      <c r="K587" s="24" t="str">
        <f t="shared" si="37"/>
        <v>2022</v>
      </c>
      <c r="L587" s="24" t="str">
        <f t="shared" si="38"/>
        <v>ENERO</v>
      </c>
      <c r="M587" s="225">
        <v>44590</v>
      </c>
      <c r="N587" s="24" t="str">
        <f t="shared" si="39"/>
        <v>SÁBADO</v>
      </c>
      <c r="O587" s="103">
        <v>0.35416666666666702</v>
      </c>
      <c r="P587" s="63" t="s">
        <v>445</v>
      </c>
      <c r="Q587" s="63"/>
      <c r="R587" s="36">
        <f>COUNTIF(Tabla1[[#This Row],[VEHICULOS_ACCIDENTADOS]:[VEHICULOS_ACCIDENTADOS2]],"MOTOCICLETA")</f>
        <v>0</v>
      </c>
      <c r="S587" s="36">
        <f>COUNTIF(Tabla1[[#This Row],[VEHICULOS_ACCIDENTADOS]:[VEHICULOS_ACCIDENTADOS2]],"MOTOCARRO")</f>
        <v>0</v>
      </c>
      <c r="T587" s="36">
        <f>COUNTIF(Tabla1[[#This Row],[VEHICULOS_ACCIDENTADOS]:[VEHICULOS_ACCIDENTADOS2]],"AUTOMOVIL")</f>
        <v>0</v>
      </c>
      <c r="U587" s="36">
        <f>COUNTIF(Tabla1[[#This Row],[VEHICULOS_ACCIDENTADOS]:[VEHICULOS_ACCIDENTADOS2]],"CAMPERO")</f>
        <v>0</v>
      </c>
      <c r="V587" s="36">
        <f>COUNTIF(Tabla1[[#This Row],[VEHICULOS_ACCIDENTADOS]:[VEHICULOS_ACCIDENTADOS2]],"CAMIONETA")</f>
        <v>1</v>
      </c>
      <c r="W587" s="36">
        <f>COUNTIF(Tabla1[[#This Row],[VEHICULOS_ACCIDENTADOS]:[VEHICULOS_ACCIDENTADOS2]],"MICROBUS")</f>
        <v>0</v>
      </c>
      <c r="X587" s="36">
        <f>COUNTIF(Tabla1[[#This Row],[VEHICULOS_ACCIDENTADOS]:[VEHICULOS_ACCIDENTADOS2]],"BUS")</f>
        <v>0</v>
      </c>
      <c r="Y587" s="36">
        <f>COUNTIF(Tabla1[[#This Row],[VEHICULOS_ACCIDENTADOS]:[VEHICULOS_ACCIDENTADOS2]],"BUSETA")</f>
        <v>0</v>
      </c>
      <c r="Z587" s="36">
        <f>COUNTIF(Tabla1[[#This Row],[VEHICULOS_ACCIDENTADOS]:[VEHICULOS_ACCIDENTADOS2]],"CAMION")</f>
        <v>0</v>
      </c>
      <c r="AA587" s="36">
        <f>COUNTIF(Tabla1[[#This Row],[VEHICULOS_ACCIDENTADOS]:[VEHICULOS_ACCIDENTADOS2]],"TRACTOCAMION")</f>
        <v>0</v>
      </c>
      <c r="AB587" s="36">
        <f>COUNTIF(Tabla1[[#This Row],[VEHICULOS_ACCIDENTADOS]:[VEHICULOS_ACCIDENTADOS2]],"VOLQUETA")</f>
        <v>0</v>
      </c>
      <c r="AC587" s="36">
        <f>COUNTIF(Tabla1[[#This Row],[VEHICULOS_ACCIDENTADOS]:[VEHICULOS_ACCIDENTADOS2]],"BICICLETA")</f>
        <v>0</v>
      </c>
      <c r="AD587" s="56" t="s">
        <v>471</v>
      </c>
      <c r="AE587" s="56"/>
      <c r="AF587" s="56">
        <f>COUNTIF(Tabla1[[#This Row],[GENERO_MASCULINO]:[GENERO_FEMENINO]],"MASCULINO")</f>
        <v>1</v>
      </c>
      <c r="AG587" s="36">
        <f>COUNTIF(Tabla1[[#This Row],[GENERO_MASCULINO]:[GENERO_FEMENINO]],"FEMENINO")</f>
        <v>0</v>
      </c>
      <c r="AH587" s="61"/>
      <c r="AI587" s="61"/>
      <c r="AJ587" s="61"/>
      <c r="AK587" s="61"/>
      <c r="AL587" s="61"/>
      <c r="AM587" s="36"/>
      <c r="AN587" s="61">
        <v>157</v>
      </c>
      <c r="AO587" s="36" t="str">
        <f>IFERROR(((VLOOKUP(Tabla1[[#This Row],[HIPOTESIS_1]],listas!$D$1:$E$105,2,FALSE))),"SIN INFORMACIÓN")</f>
        <v>Otra</v>
      </c>
      <c r="AP587" s="36"/>
      <c r="AQ587" s="36" t="str">
        <f>IFERROR(((VLOOKUP(Tabla1[[#This Row],[HIPOTESIS_2]],listas!$D$1:$E$105,2,FALSE))),"")</f>
        <v/>
      </c>
      <c r="AR587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588" spans="1:44" x14ac:dyDescent="0.25">
      <c r="A588" s="12">
        <v>766</v>
      </c>
      <c r="B588" s="135">
        <v>0</v>
      </c>
      <c r="C588" s="136">
        <v>2</v>
      </c>
      <c r="D588" s="148">
        <v>0</v>
      </c>
      <c r="E588" s="18" t="str">
        <f t="shared" si="36"/>
        <v>LESIONADO</v>
      </c>
      <c r="F588" s="26" t="s">
        <v>1052</v>
      </c>
      <c r="G588" s="17">
        <v>5.3499786111111112</v>
      </c>
      <c r="H588" s="17">
        <v>-72.391285000000011</v>
      </c>
      <c r="I588" s="93" t="s">
        <v>697</v>
      </c>
      <c r="J588" s="136" t="s">
        <v>717</v>
      </c>
      <c r="K588" s="24" t="str">
        <f t="shared" si="37"/>
        <v>2024</v>
      </c>
      <c r="L588" s="24" t="str">
        <f t="shared" si="38"/>
        <v>AGOSTO</v>
      </c>
      <c r="M588" s="224">
        <v>45524</v>
      </c>
      <c r="N588" s="24" t="str">
        <f t="shared" si="39"/>
        <v>MARTES</v>
      </c>
      <c r="O588" s="104">
        <v>0.875</v>
      </c>
      <c r="P588" s="178" t="s">
        <v>469</v>
      </c>
      <c r="Q588" s="178" t="s">
        <v>469</v>
      </c>
      <c r="R588" s="36">
        <f>COUNTIF(Tabla1[[#This Row],[VEHICULOS_ACCIDENTADOS]:[VEHICULOS_ACCIDENTADOS2]],"MOTOCICLETA")</f>
        <v>2</v>
      </c>
      <c r="S588" s="36">
        <f>COUNTIF(Tabla1[[#This Row],[VEHICULOS_ACCIDENTADOS]:[VEHICULOS_ACCIDENTADOS2]],"MOTOCARRO")</f>
        <v>0</v>
      </c>
      <c r="T588" s="36">
        <f>COUNTIF(Tabla1[[#This Row],[VEHICULOS_ACCIDENTADOS]:[VEHICULOS_ACCIDENTADOS2]],"AUTOMOVIL")</f>
        <v>0</v>
      </c>
      <c r="U588" s="36">
        <f>COUNTIF(Tabla1[[#This Row],[VEHICULOS_ACCIDENTADOS]:[VEHICULOS_ACCIDENTADOS2]],"CAMPERO")</f>
        <v>0</v>
      </c>
      <c r="V588" s="36">
        <f>COUNTIF(Tabla1[[#This Row],[VEHICULOS_ACCIDENTADOS]:[VEHICULOS_ACCIDENTADOS2]],"CAMIONETA")</f>
        <v>0</v>
      </c>
      <c r="W588" s="36">
        <f>COUNTIF(Tabla1[[#This Row],[VEHICULOS_ACCIDENTADOS]:[VEHICULOS_ACCIDENTADOS2]],"MICROBUS")</f>
        <v>0</v>
      </c>
      <c r="X588" s="36">
        <f>COUNTIF(Tabla1[[#This Row],[VEHICULOS_ACCIDENTADOS]:[VEHICULOS_ACCIDENTADOS2]],"BUS")</f>
        <v>0</v>
      </c>
      <c r="Y588" s="36">
        <f>COUNTIF(Tabla1[[#This Row],[VEHICULOS_ACCIDENTADOS]:[VEHICULOS_ACCIDENTADOS2]],"BUSETA")</f>
        <v>0</v>
      </c>
      <c r="Z588" s="36">
        <f>COUNTIF(Tabla1[[#This Row],[VEHICULOS_ACCIDENTADOS]:[VEHICULOS_ACCIDENTADOS2]],"CAMION")</f>
        <v>0</v>
      </c>
      <c r="AA588" s="36">
        <f>COUNTIF(Tabla1[[#This Row],[VEHICULOS_ACCIDENTADOS]:[VEHICULOS_ACCIDENTADOS2]],"TRACTOCAMION")</f>
        <v>0</v>
      </c>
      <c r="AB588" s="36">
        <f>COUNTIF(Tabla1[[#This Row],[VEHICULOS_ACCIDENTADOS]:[VEHICULOS_ACCIDENTADOS2]],"VOLQUETA")</f>
        <v>0</v>
      </c>
      <c r="AC588" s="36">
        <f>COUNTIF(Tabla1[[#This Row],[VEHICULOS_ACCIDENTADOS]:[VEHICULOS_ACCIDENTADOS2]],"BICICLETA")</f>
        <v>0</v>
      </c>
      <c r="AD588" s="190" t="s">
        <v>471</v>
      </c>
      <c r="AE588" s="190" t="s">
        <v>472</v>
      </c>
      <c r="AF588" s="190">
        <f>COUNTIF(Tabla1[[#This Row],[GENERO_MASCULINO]:[GENERO_FEMENINO]],"MASCULINO")</f>
        <v>1</v>
      </c>
      <c r="AG588" s="36">
        <f>COUNTIF(Tabla1[[#This Row],[GENERO_MASCULINO]:[GENERO_FEMENINO]],"FEMENINO")</f>
        <v>1</v>
      </c>
      <c r="AH588" s="85">
        <v>23</v>
      </c>
      <c r="AI588" s="85">
        <v>21</v>
      </c>
      <c r="AJ588" s="85">
        <v>22</v>
      </c>
      <c r="AK588" s="85"/>
      <c r="AL588" s="85"/>
      <c r="AM588" s="136"/>
      <c r="AN588" s="85">
        <v>139</v>
      </c>
      <c r="AO588" s="36" t="str">
        <f>IFERROR(((VLOOKUP(Tabla1[[#This Row],[HIPOTESIS_1]],listas!$D$1:$E$105,2,FALSE))),"SIN INFORMACIÓN")</f>
        <v>Impericia en el manejo.</v>
      </c>
      <c r="AP588" s="136"/>
      <c r="AQ588" s="36" t="str">
        <f>IFERROR(((VLOOKUP(Tabla1[[#This Row],[HIPOTESIS_2]],listas!$D$1:$E$105,2,FALSE))),"")</f>
        <v/>
      </c>
      <c r="AR588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589" spans="1:44" x14ac:dyDescent="0.25">
      <c r="A589" s="12">
        <v>530</v>
      </c>
      <c r="B589" s="36">
        <v>0</v>
      </c>
      <c r="C589" s="36">
        <v>1</v>
      </c>
      <c r="D589" s="60">
        <v>0</v>
      </c>
      <c r="E589" s="18" t="str">
        <f t="shared" si="36"/>
        <v>LESIONADO</v>
      </c>
      <c r="F589" s="29" t="s">
        <v>1052</v>
      </c>
      <c r="G589" s="17">
        <v>5.3499786111111112</v>
      </c>
      <c r="H589" s="17">
        <v>-72.391285000000011</v>
      </c>
      <c r="I589" s="93" t="s">
        <v>697</v>
      </c>
      <c r="J589" s="36" t="s">
        <v>717</v>
      </c>
      <c r="K589" s="24" t="str">
        <f t="shared" si="37"/>
        <v>2023</v>
      </c>
      <c r="L589" s="24" t="str">
        <f t="shared" si="38"/>
        <v>AGOSTO</v>
      </c>
      <c r="M589" s="225">
        <v>45150</v>
      </c>
      <c r="N589" s="24" t="str">
        <f t="shared" si="39"/>
        <v>SÁBADO</v>
      </c>
      <c r="O589" s="103">
        <v>0.63194444444444442</v>
      </c>
      <c r="P589" s="57" t="s">
        <v>469</v>
      </c>
      <c r="Q589" s="57" t="s">
        <v>445</v>
      </c>
      <c r="R589" s="36">
        <f>COUNTIF(Tabla1[[#This Row],[VEHICULOS_ACCIDENTADOS]:[VEHICULOS_ACCIDENTADOS2]],"MOTOCICLETA")</f>
        <v>1</v>
      </c>
      <c r="S589" s="36">
        <f>COUNTIF(Tabla1[[#This Row],[VEHICULOS_ACCIDENTADOS]:[VEHICULOS_ACCIDENTADOS2]],"MOTOCARRO")</f>
        <v>0</v>
      </c>
      <c r="T589" s="36">
        <f>COUNTIF(Tabla1[[#This Row],[VEHICULOS_ACCIDENTADOS]:[VEHICULOS_ACCIDENTADOS2]],"AUTOMOVIL")</f>
        <v>0</v>
      </c>
      <c r="U589" s="36">
        <f>COUNTIF(Tabla1[[#This Row],[VEHICULOS_ACCIDENTADOS]:[VEHICULOS_ACCIDENTADOS2]],"CAMPERO")</f>
        <v>0</v>
      </c>
      <c r="V589" s="36">
        <f>COUNTIF(Tabla1[[#This Row],[VEHICULOS_ACCIDENTADOS]:[VEHICULOS_ACCIDENTADOS2]],"CAMIONETA")</f>
        <v>1</v>
      </c>
      <c r="W589" s="36">
        <f>COUNTIF(Tabla1[[#This Row],[VEHICULOS_ACCIDENTADOS]:[VEHICULOS_ACCIDENTADOS2]],"MICROBUS")</f>
        <v>0</v>
      </c>
      <c r="X589" s="36">
        <f>COUNTIF(Tabla1[[#This Row],[VEHICULOS_ACCIDENTADOS]:[VEHICULOS_ACCIDENTADOS2]],"BUS")</f>
        <v>0</v>
      </c>
      <c r="Y589" s="36">
        <f>COUNTIF(Tabla1[[#This Row],[VEHICULOS_ACCIDENTADOS]:[VEHICULOS_ACCIDENTADOS2]],"BUSETA")</f>
        <v>0</v>
      </c>
      <c r="Z589" s="36">
        <f>COUNTIF(Tabla1[[#This Row],[VEHICULOS_ACCIDENTADOS]:[VEHICULOS_ACCIDENTADOS2]],"CAMION")</f>
        <v>0</v>
      </c>
      <c r="AA589" s="36">
        <f>COUNTIF(Tabla1[[#This Row],[VEHICULOS_ACCIDENTADOS]:[VEHICULOS_ACCIDENTADOS2]],"TRACTOCAMION")</f>
        <v>0</v>
      </c>
      <c r="AB589" s="36">
        <f>COUNTIF(Tabla1[[#This Row],[VEHICULOS_ACCIDENTADOS]:[VEHICULOS_ACCIDENTADOS2]],"VOLQUETA")</f>
        <v>0</v>
      </c>
      <c r="AC589" s="36">
        <f>COUNTIF(Tabla1[[#This Row],[VEHICULOS_ACCIDENTADOS]:[VEHICULOS_ACCIDENTADOS2]],"BICICLETA")</f>
        <v>0</v>
      </c>
      <c r="AD589" s="56" t="s">
        <v>471</v>
      </c>
      <c r="AE589" s="56"/>
      <c r="AF589" s="56">
        <f>COUNTIF(Tabla1[[#This Row],[GENERO_MASCULINO]:[GENERO_FEMENINO]],"MASCULINO")</f>
        <v>1</v>
      </c>
      <c r="AG589" s="36">
        <f>COUNTIF(Tabla1[[#This Row],[GENERO_MASCULINO]:[GENERO_FEMENINO]],"FEMENINO")</f>
        <v>0</v>
      </c>
      <c r="AH589" s="61"/>
      <c r="AI589" s="61"/>
      <c r="AJ589" s="61"/>
      <c r="AK589" s="61"/>
      <c r="AL589" s="61">
        <v>24</v>
      </c>
      <c r="AM589" s="36"/>
      <c r="AN589" s="61">
        <v>122</v>
      </c>
      <c r="AO589" s="36" t="str">
        <f>IFERROR(((VLOOKUP(Tabla1[[#This Row],[HIPOTESIS_1]],listas!$D$1:$E$105,2,FALSE))),"SIN INFORMACIÓN")</f>
        <v>Girar bruscamente.</v>
      </c>
      <c r="AP589" s="36"/>
      <c r="AQ589" s="36" t="str">
        <f>IFERROR(((VLOOKUP(Tabla1[[#This Row],[HIPOTESIS_2]],listas!$D$1:$E$105,2,FALSE))),"")</f>
        <v/>
      </c>
      <c r="AR589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590" spans="1:44" x14ac:dyDescent="0.25">
      <c r="A590" s="12">
        <v>1087</v>
      </c>
      <c r="B590" s="137">
        <v>0</v>
      </c>
      <c r="C590" s="137">
        <v>1</v>
      </c>
      <c r="D590" s="146">
        <v>0</v>
      </c>
      <c r="E590" s="24" t="str">
        <f t="shared" si="36"/>
        <v>LESIONADO</v>
      </c>
      <c r="F590" s="152" t="s">
        <v>896</v>
      </c>
      <c r="G590" s="30">
        <v>5.3152433333333304</v>
      </c>
      <c r="H590" s="30">
        <v>-72.3964583333333</v>
      </c>
      <c r="I590" s="165" t="s">
        <v>697</v>
      </c>
      <c r="J590" s="36" t="s">
        <v>717</v>
      </c>
      <c r="K590" s="24" t="str">
        <f t="shared" si="37"/>
        <v>2025</v>
      </c>
      <c r="L590" s="24" t="str">
        <f t="shared" si="38"/>
        <v>SEPTIEMBRE</v>
      </c>
      <c r="M590" s="225">
        <v>45916</v>
      </c>
      <c r="N590" s="24" t="str">
        <f t="shared" si="39"/>
        <v>MARTES</v>
      </c>
      <c r="O590" s="103">
        <v>0.73055555555555551</v>
      </c>
      <c r="P590" s="63" t="s">
        <v>469</v>
      </c>
      <c r="Q590" s="63" t="s">
        <v>469</v>
      </c>
      <c r="R590" s="36">
        <f>COUNTIF(Tabla1[[#This Row],[VEHICULOS_ACCIDENTADOS]:[VEHICULOS_ACCIDENTADOS2]],"MOTOCICLETA")</f>
        <v>2</v>
      </c>
      <c r="S590" s="36">
        <f>COUNTIF(Tabla1[[#This Row],[VEHICULOS_ACCIDENTADOS]:[VEHICULOS_ACCIDENTADOS2]],"MOTOCARRO")</f>
        <v>0</v>
      </c>
      <c r="T590" s="36">
        <f>COUNTIF(Tabla1[[#This Row],[VEHICULOS_ACCIDENTADOS]:[VEHICULOS_ACCIDENTADOS2]],"AUTOMOVIL")</f>
        <v>0</v>
      </c>
      <c r="U590" s="36">
        <f>COUNTIF(Tabla1[[#This Row],[VEHICULOS_ACCIDENTADOS]:[VEHICULOS_ACCIDENTADOS2]],"CAMPERO")</f>
        <v>0</v>
      </c>
      <c r="V590" s="36">
        <f>COUNTIF(Tabla1[[#This Row],[VEHICULOS_ACCIDENTADOS]:[VEHICULOS_ACCIDENTADOS2]],"CAMIONETA")</f>
        <v>0</v>
      </c>
      <c r="W590" s="36">
        <f>COUNTIF(Tabla1[[#This Row],[VEHICULOS_ACCIDENTADOS]:[VEHICULOS_ACCIDENTADOS2]],"MICROBUS")</f>
        <v>0</v>
      </c>
      <c r="X590" s="36">
        <f>COUNTIF(Tabla1[[#This Row],[VEHICULOS_ACCIDENTADOS]:[VEHICULOS_ACCIDENTADOS2]],"BUS")</f>
        <v>0</v>
      </c>
      <c r="Y590" s="36">
        <f>COUNTIF(Tabla1[[#This Row],[VEHICULOS_ACCIDENTADOS]:[VEHICULOS_ACCIDENTADOS2]],"BUSETA")</f>
        <v>0</v>
      </c>
      <c r="Z590" s="36">
        <f>COUNTIF(Tabla1[[#This Row],[VEHICULOS_ACCIDENTADOS]:[VEHICULOS_ACCIDENTADOS2]],"CAMION")</f>
        <v>0</v>
      </c>
      <c r="AA590" s="36">
        <f>COUNTIF(Tabla1[[#This Row],[VEHICULOS_ACCIDENTADOS]:[VEHICULOS_ACCIDENTADOS2]],"TRACTOCAMION")</f>
        <v>0</v>
      </c>
      <c r="AB590" s="36">
        <f>COUNTIF(Tabla1[[#This Row],[VEHICULOS_ACCIDENTADOS]:[VEHICULOS_ACCIDENTADOS2]],"VOLQUETA")</f>
        <v>0</v>
      </c>
      <c r="AC590" s="36">
        <f>COUNTIF(Tabla1[[#This Row],[VEHICULOS_ACCIDENTADOS]:[VEHICULOS_ACCIDENTADOS2]],"BICICLETA")</f>
        <v>0</v>
      </c>
      <c r="AD590" s="188" t="s">
        <v>472</v>
      </c>
      <c r="AE590" s="188"/>
      <c r="AF590" s="56">
        <f>COUNTIF(Tabla1[[#This Row],[GENERO_MASCULINO]:[GENERO_FEMENINO]],"MASCULINO")</f>
        <v>0</v>
      </c>
      <c r="AG590" s="36">
        <f>COUNTIF(Tabla1[[#This Row],[GENERO_MASCULINO]:[GENERO_FEMENINO]],"FEMENINO")</f>
        <v>1</v>
      </c>
      <c r="AH590" s="85">
        <v>25</v>
      </c>
      <c r="AI590" s="85"/>
      <c r="AJ590" s="85"/>
      <c r="AK590" s="78"/>
      <c r="AL590" s="78"/>
      <c r="AM590" s="59"/>
      <c r="AN590" s="61">
        <v>157</v>
      </c>
      <c r="AO590" s="59" t="str">
        <f>IFERROR(((VLOOKUP(Tabla1[[#This Row],[HIPOTESIS_1]],listas!$D$1:$E$105,2,FALSE))),"SIN INFORMACIÓN")</f>
        <v>Otra</v>
      </c>
      <c r="AP590" s="36"/>
      <c r="AQ590" s="36" t="str">
        <f>IFERROR(((VLOOKUP(Tabla1[[#This Row],[HIPOTESIS_2]],listas!$D$1:$E$105,2,FALSE))),"")</f>
        <v/>
      </c>
      <c r="AR590" s="2" t="str">
        <f>IF(HOUR(Tabla1[[#This Row],[HORA_ACCIDENTE]])&lt;6,"MAÑANA",
 IF(HOUR(Tabla1[[#This Row],[HORA_ACCIDENTE]])&lt;12,"MAÑANA",
 IF(HOUR(Tabla1[[#This Row],[HORA_ACCIDENTE]])&lt;18,"TARDE","NOCHE")))</f>
        <v>TARDE</v>
      </c>
    </row>
    <row r="591" spans="1:44" x14ac:dyDescent="0.25">
      <c r="A591" s="12">
        <v>919</v>
      </c>
      <c r="B591" s="135">
        <v>0</v>
      </c>
      <c r="C591" s="36">
        <v>2</v>
      </c>
      <c r="D591" s="148">
        <v>0</v>
      </c>
      <c r="E591" s="18" t="str">
        <f t="shared" si="36"/>
        <v>LESIONADO</v>
      </c>
      <c r="F591" s="29" t="s">
        <v>51</v>
      </c>
      <c r="G591" s="37">
        <v>5.3340550000000002</v>
      </c>
      <c r="H591" s="37">
        <v>-72.401527999999999</v>
      </c>
      <c r="I591" s="93" t="s">
        <v>697</v>
      </c>
      <c r="J591" s="168" t="s">
        <v>717</v>
      </c>
      <c r="K591" s="24" t="str">
        <f t="shared" si="37"/>
        <v>2025</v>
      </c>
      <c r="L591" s="24" t="str">
        <f t="shared" si="38"/>
        <v>MARZO</v>
      </c>
      <c r="M591" s="225">
        <v>45747</v>
      </c>
      <c r="N591" s="24" t="str">
        <f t="shared" si="39"/>
        <v>LUNES</v>
      </c>
      <c r="O591" s="103">
        <v>0.68055555555555547</v>
      </c>
      <c r="P591" s="57" t="s">
        <v>445</v>
      </c>
      <c r="Q591" s="57" t="s">
        <v>469</v>
      </c>
      <c r="R591" s="36">
        <f>COUNTIF(Tabla1[[#This Row],[VEHICULOS_ACCIDENTADOS]:[VEHICULOS_ACCIDENTADOS2]],"MOTOCICLETA")</f>
        <v>1</v>
      </c>
      <c r="S591" s="36">
        <f>COUNTIF(Tabla1[[#This Row],[VEHICULOS_ACCIDENTADOS]:[VEHICULOS_ACCIDENTADOS2]],"MOTOCARRO")</f>
        <v>0</v>
      </c>
      <c r="T591" s="36">
        <f>COUNTIF(Tabla1[[#This Row],[VEHICULOS_ACCIDENTADOS]:[VEHICULOS_ACCIDENTADOS2]],"AUTOMOVIL")</f>
        <v>0</v>
      </c>
      <c r="U591" s="36">
        <f>COUNTIF(Tabla1[[#This Row],[VEHICULOS_ACCIDENTADOS]:[VEHICULOS_ACCIDENTADOS2]],"CAMPERO")</f>
        <v>0</v>
      </c>
      <c r="V591" s="36">
        <f>COUNTIF(Tabla1[[#This Row],[VEHICULOS_ACCIDENTADOS]:[VEHICULOS_ACCIDENTADOS2]],"CAMIONETA")</f>
        <v>1</v>
      </c>
      <c r="W591" s="36">
        <f>COUNTIF(Tabla1[[#This Row],[VEHICULOS_ACCIDENTADOS]:[VEHICULOS_ACCIDENTADOS2]],"MICROBUS")</f>
        <v>0</v>
      </c>
      <c r="X591" s="36">
        <f>COUNTIF(Tabla1[[#This Row],[VEHICULOS_ACCIDENTADOS]:[VEHICULOS_ACCIDENTADOS2]],"BUS")</f>
        <v>0</v>
      </c>
      <c r="Y591" s="36">
        <f>COUNTIF(Tabla1[[#This Row],[VEHICULOS_ACCIDENTADOS]:[VEHICULOS_ACCIDENTADOS2]],"BUSETA")</f>
        <v>0</v>
      </c>
      <c r="Z591" s="36">
        <f>COUNTIF(Tabla1[[#This Row],[VEHICULOS_ACCIDENTADOS]:[VEHICULOS_ACCIDENTADOS2]],"CAMION")</f>
        <v>0</v>
      </c>
      <c r="AA591" s="36">
        <f>COUNTIF(Tabla1[[#This Row],[VEHICULOS_ACCIDENTADOS]:[VEHICULOS_ACCIDENTADOS2]],"TRACTOCAMION")</f>
        <v>0</v>
      </c>
      <c r="AB591" s="36">
        <f>COUNTIF(Tabla1[[#This Row],[VEHICULOS_ACCIDENTADOS]:[VEHICULOS_ACCIDENTADOS2]],"VOLQUETA")</f>
        <v>0</v>
      </c>
      <c r="AC591" s="36">
        <f>COUNTIF(Tabla1[[#This Row],[VEHICULOS_ACCIDENTADOS]:[VEHICULOS_ACCIDENTADOS2]],"BICICLETA")</f>
        <v>0</v>
      </c>
      <c r="AD591" s="56" t="s">
        <v>471</v>
      </c>
      <c r="AE591" s="56" t="s">
        <v>471</v>
      </c>
      <c r="AF591" s="56">
        <f>COUNTIF(Tabla1[[#This Row],[GENERO_MASCULINO]:[GENERO_FEMENINO]],"MASCULINO")</f>
        <v>2</v>
      </c>
      <c r="AG591" s="36">
        <f>COUNTIF(Tabla1[[#This Row],[GENERO_MASCULINO]:[GENERO_FEMENINO]],"FEMENINO")</f>
        <v>0</v>
      </c>
      <c r="AH591" s="85">
        <v>60</v>
      </c>
      <c r="AI591" s="85">
        <v>20</v>
      </c>
      <c r="AJ591" s="85">
        <v>21</v>
      </c>
      <c r="AK591" s="61"/>
      <c r="AL591" s="61"/>
      <c r="AM591" s="36"/>
      <c r="AN591" s="61">
        <v>123</v>
      </c>
      <c r="AO591" s="36" t="str">
        <f>IFERROR(((VLOOKUP(Tabla1[[#This Row],[HIPOTESIS_1]],listas!$D$1:$E$105,2,FALSE))),"SIN INFORMACIÓN")</f>
        <v>No respetar prelación de intersecciones o giros.</v>
      </c>
      <c r="AP591" s="36"/>
      <c r="AQ591" s="36" t="str">
        <f>IFERROR(((VLOOKUP(Tabla1[[#This Row],[HIPOTESIS_2]],listas!$D$1:$E$105,2,FALSE))),"")</f>
        <v/>
      </c>
      <c r="AR591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592" spans="1:44" x14ac:dyDescent="0.25">
      <c r="A592" s="12">
        <v>157</v>
      </c>
      <c r="B592" s="36">
        <v>0</v>
      </c>
      <c r="C592" s="36">
        <v>1</v>
      </c>
      <c r="D592" s="60">
        <v>0</v>
      </c>
      <c r="E592" s="18" t="str">
        <f t="shared" si="36"/>
        <v>LESIONADO</v>
      </c>
      <c r="F592" s="29" t="s">
        <v>377</v>
      </c>
      <c r="G592" s="17">
        <v>5.3285277777777775</v>
      </c>
      <c r="H592" s="17">
        <v>-72.400308333333342</v>
      </c>
      <c r="I592" s="93" t="s">
        <v>697</v>
      </c>
      <c r="J592" s="36" t="s">
        <v>717</v>
      </c>
      <c r="K592" s="24" t="str">
        <f t="shared" si="37"/>
        <v>2022</v>
      </c>
      <c r="L592" s="24" t="str">
        <f t="shared" si="38"/>
        <v>ABRIL</v>
      </c>
      <c r="M592" s="225">
        <v>44679</v>
      </c>
      <c r="N592" s="24" t="str">
        <f t="shared" si="39"/>
        <v>JUEVES</v>
      </c>
      <c r="O592" s="103">
        <v>0.89583333333333304</v>
      </c>
      <c r="P592" s="63" t="s">
        <v>469</v>
      </c>
      <c r="Q592" s="63" t="s">
        <v>469</v>
      </c>
      <c r="R592" s="36">
        <f>COUNTIF(Tabla1[[#This Row],[VEHICULOS_ACCIDENTADOS]:[VEHICULOS_ACCIDENTADOS2]],"MOTOCICLETA")</f>
        <v>2</v>
      </c>
      <c r="S592" s="36">
        <f>COUNTIF(Tabla1[[#This Row],[VEHICULOS_ACCIDENTADOS]:[VEHICULOS_ACCIDENTADOS2]],"MOTOCARRO")</f>
        <v>0</v>
      </c>
      <c r="T592" s="36">
        <f>COUNTIF(Tabla1[[#This Row],[VEHICULOS_ACCIDENTADOS]:[VEHICULOS_ACCIDENTADOS2]],"AUTOMOVIL")</f>
        <v>0</v>
      </c>
      <c r="U592" s="36">
        <f>COUNTIF(Tabla1[[#This Row],[VEHICULOS_ACCIDENTADOS]:[VEHICULOS_ACCIDENTADOS2]],"CAMPERO")</f>
        <v>0</v>
      </c>
      <c r="V592" s="36">
        <f>COUNTIF(Tabla1[[#This Row],[VEHICULOS_ACCIDENTADOS]:[VEHICULOS_ACCIDENTADOS2]],"CAMIONETA")</f>
        <v>0</v>
      </c>
      <c r="W592" s="36">
        <f>COUNTIF(Tabla1[[#This Row],[VEHICULOS_ACCIDENTADOS]:[VEHICULOS_ACCIDENTADOS2]],"MICROBUS")</f>
        <v>0</v>
      </c>
      <c r="X592" s="36">
        <f>COUNTIF(Tabla1[[#This Row],[VEHICULOS_ACCIDENTADOS]:[VEHICULOS_ACCIDENTADOS2]],"BUS")</f>
        <v>0</v>
      </c>
      <c r="Y592" s="36">
        <f>COUNTIF(Tabla1[[#This Row],[VEHICULOS_ACCIDENTADOS]:[VEHICULOS_ACCIDENTADOS2]],"BUSETA")</f>
        <v>0</v>
      </c>
      <c r="Z592" s="36">
        <f>COUNTIF(Tabla1[[#This Row],[VEHICULOS_ACCIDENTADOS]:[VEHICULOS_ACCIDENTADOS2]],"CAMION")</f>
        <v>0</v>
      </c>
      <c r="AA592" s="36">
        <f>COUNTIF(Tabla1[[#This Row],[VEHICULOS_ACCIDENTADOS]:[VEHICULOS_ACCIDENTADOS2]],"TRACTOCAMION")</f>
        <v>0</v>
      </c>
      <c r="AB592" s="36">
        <f>COUNTIF(Tabla1[[#This Row],[VEHICULOS_ACCIDENTADOS]:[VEHICULOS_ACCIDENTADOS2]],"VOLQUETA")</f>
        <v>0</v>
      </c>
      <c r="AC592" s="36">
        <f>COUNTIF(Tabla1[[#This Row],[VEHICULOS_ACCIDENTADOS]:[VEHICULOS_ACCIDENTADOS2]],"BICICLETA")</f>
        <v>0</v>
      </c>
      <c r="AD592" s="56"/>
      <c r="AE592" s="56" t="s">
        <v>472</v>
      </c>
      <c r="AF592" s="56">
        <f>COUNTIF(Tabla1[[#This Row],[GENERO_MASCULINO]:[GENERO_FEMENINO]],"MASCULINO")</f>
        <v>0</v>
      </c>
      <c r="AG592" s="36">
        <f>COUNTIF(Tabla1[[#This Row],[GENERO_MASCULINO]:[GENERO_FEMENINO]],"FEMENINO")</f>
        <v>1</v>
      </c>
      <c r="AH592" s="61">
        <v>23</v>
      </c>
      <c r="AI592" s="61"/>
      <c r="AJ592" s="61"/>
      <c r="AK592" s="61"/>
      <c r="AL592" s="61"/>
      <c r="AM592" s="36"/>
      <c r="AN592" s="61">
        <v>139</v>
      </c>
      <c r="AO592" s="36" t="str">
        <f>IFERROR(((VLOOKUP(Tabla1[[#This Row],[HIPOTESIS_1]],listas!$D$1:$E$105,2,FALSE))),"SIN INFORMACIÓN")</f>
        <v>Impericia en el manejo.</v>
      </c>
      <c r="AP592" s="36"/>
      <c r="AQ592" s="36" t="str">
        <f>IFERROR(((VLOOKUP(Tabla1[[#This Row],[HIPOTESIS_2]],listas!$D$1:$E$105,2,FALSE))),"")</f>
        <v/>
      </c>
      <c r="AR592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593" spans="1:44" x14ac:dyDescent="0.25">
      <c r="A593" s="12">
        <v>969</v>
      </c>
      <c r="B593" s="136">
        <v>1</v>
      </c>
      <c r="C593" s="136">
        <v>0</v>
      </c>
      <c r="D593" s="149">
        <v>0</v>
      </c>
      <c r="E593" s="18" t="str">
        <f t="shared" si="36"/>
        <v>SOLO DAÑO</v>
      </c>
      <c r="F593" s="26" t="s">
        <v>22</v>
      </c>
      <c r="G593" s="20">
        <v>5.3239944444444438</v>
      </c>
      <c r="H593" s="20">
        <v>-72.399191666666667</v>
      </c>
      <c r="I593" s="93" t="s">
        <v>697</v>
      </c>
      <c r="J593" s="135" t="s">
        <v>717</v>
      </c>
      <c r="K593" s="24" t="str">
        <f t="shared" si="37"/>
        <v>2025</v>
      </c>
      <c r="L593" s="24" t="str">
        <f t="shared" si="38"/>
        <v>MAYO</v>
      </c>
      <c r="M593" s="224">
        <v>45791</v>
      </c>
      <c r="N593" s="24" t="str">
        <f t="shared" si="39"/>
        <v>MIÉRCOLES</v>
      </c>
      <c r="O593" s="171">
        <v>0.49652777777777773</v>
      </c>
      <c r="P593" s="63" t="s">
        <v>444</v>
      </c>
      <c r="Q593" s="63" t="s">
        <v>445</v>
      </c>
      <c r="R593" s="36">
        <f>COUNTIF(Tabla1[[#This Row],[VEHICULOS_ACCIDENTADOS]:[VEHICULOS_ACCIDENTADOS2]],"MOTOCICLETA")</f>
        <v>0</v>
      </c>
      <c r="S593" s="36">
        <f>COUNTIF(Tabla1[[#This Row],[VEHICULOS_ACCIDENTADOS]:[VEHICULOS_ACCIDENTADOS2]],"MOTOCARRO")</f>
        <v>0</v>
      </c>
      <c r="T593" s="36">
        <f>COUNTIF(Tabla1[[#This Row],[VEHICULOS_ACCIDENTADOS]:[VEHICULOS_ACCIDENTADOS2]],"AUTOMOVIL")</f>
        <v>0</v>
      </c>
      <c r="U593" s="36">
        <f>COUNTIF(Tabla1[[#This Row],[VEHICULOS_ACCIDENTADOS]:[VEHICULOS_ACCIDENTADOS2]],"CAMPERO")</f>
        <v>0</v>
      </c>
      <c r="V593" s="36">
        <f>COUNTIF(Tabla1[[#This Row],[VEHICULOS_ACCIDENTADOS]:[VEHICULOS_ACCIDENTADOS2]],"CAMIONETA")</f>
        <v>1</v>
      </c>
      <c r="W593" s="36">
        <f>COUNTIF(Tabla1[[#This Row],[VEHICULOS_ACCIDENTADOS]:[VEHICULOS_ACCIDENTADOS2]],"MICROBUS")</f>
        <v>1</v>
      </c>
      <c r="X593" s="36">
        <f>COUNTIF(Tabla1[[#This Row],[VEHICULOS_ACCIDENTADOS]:[VEHICULOS_ACCIDENTADOS2]],"BUS")</f>
        <v>0</v>
      </c>
      <c r="Y593" s="36">
        <f>COUNTIF(Tabla1[[#This Row],[VEHICULOS_ACCIDENTADOS]:[VEHICULOS_ACCIDENTADOS2]],"BUSETA")</f>
        <v>0</v>
      </c>
      <c r="Z593" s="36">
        <f>COUNTIF(Tabla1[[#This Row],[VEHICULOS_ACCIDENTADOS]:[VEHICULOS_ACCIDENTADOS2]],"CAMION")</f>
        <v>0</v>
      </c>
      <c r="AA593" s="36">
        <f>COUNTIF(Tabla1[[#This Row],[VEHICULOS_ACCIDENTADOS]:[VEHICULOS_ACCIDENTADOS2]],"TRACTOCAMION")</f>
        <v>0</v>
      </c>
      <c r="AB593" s="36">
        <f>COUNTIF(Tabla1[[#This Row],[VEHICULOS_ACCIDENTADOS]:[VEHICULOS_ACCIDENTADOS2]],"VOLQUETA")</f>
        <v>0</v>
      </c>
      <c r="AC593" s="36">
        <f>COUNTIF(Tabla1[[#This Row],[VEHICULOS_ACCIDENTADOS]:[VEHICULOS_ACCIDENTADOS2]],"BICICLETA")</f>
        <v>0</v>
      </c>
      <c r="AD593" s="56" t="s">
        <v>472</v>
      </c>
      <c r="AE593" s="56" t="s">
        <v>471</v>
      </c>
      <c r="AF593" s="56">
        <f>COUNTIF(Tabla1[[#This Row],[GENERO_MASCULINO]:[GENERO_FEMENINO]],"MASCULINO")</f>
        <v>1</v>
      </c>
      <c r="AG593" s="36">
        <f>COUNTIF(Tabla1[[#This Row],[GENERO_MASCULINO]:[GENERO_FEMENINO]],"FEMENINO")</f>
        <v>1</v>
      </c>
      <c r="AH593" s="85">
        <v>36</v>
      </c>
      <c r="AI593" s="85">
        <v>25</v>
      </c>
      <c r="AJ593" s="85"/>
      <c r="AK593" s="85"/>
      <c r="AL593" s="78"/>
      <c r="AM593" s="59"/>
      <c r="AN593" s="85">
        <v>112</v>
      </c>
      <c r="AO593" s="36" t="str">
        <f>IFERROR(((VLOOKUP(Tabla1[[#This Row],[HIPOTESIS_1]],listas!$D$1:$E$105,2,FALSE))),"SIN INFORMACIÓN")</f>
        <v>Desobedecer señales o normas de tránsito.</v>
      </c>
      <c r="AP593" s="36"/>
      <c r="AQ593" s="36" t="str">
        <f>IFERROR(((VLOOKUP(Tabla1[[#This Row],[HIPOTESIS_2]],listas!$D$1:$E$105,2,FALSE))),"")</f>
        <v/>
      </c>
      <c r="AR593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594" spans="1:44" x14ac:dyDescent="0.25">
      <c r="A594" s="12">
        <v>630</v>
      </c>
      <c r="B594" s="36">
        <v>0</v>
      </c>
      <c r="C594" s="36">
        <v>3</v>
      </c>
      <c r="D594" s="60">
        <v>0</v>
      </c>
      <c r="E594" s="18" t="str">
        <f t="shared" si="36"/>
        <v>LESIONADO</v>
      </c>
      <c r="F594" s="29" t="s">
        <v>175</v>
      </c>
      <c r="G594" s="21">
        <v>5.3239944444444438</v>
      </c>
      <c r="H594" s="21">
        <v>-72.399191666666667</v>
      </c>
      <c r="I594" s="93" t="s">
        <v>697</v>
      </c>
      <c r="J594" s="36" t="s">
        <v>717</v>
      </c>
      <c r="K594" s="24" t="str">
        <f t="shared" si="37"/>
        <v>2023</v>
      </c>
      <c r="L594" s="24" t="str">
        <f t="shared" si="38"/>
        <v>DICIEMBRE</v>
      </c>
      <c r="M594" s="225">
        <v>45272</v>
      </c>
      <c r="N594" s="24" t="str">
        <f t="shared" si="39"/>
        <v>MARTES</v>
      </c>
      <c r="O594" s="101">
        <v>0.39583333333333331</v>
      </c>
      <c r="P594" s="57" t="s">
        <v>447</v>
      </c>
      <c r="Q594" s="57" t="s">
        <v>445</v>
      </c>
      <c r="R594" s="36">
        <f>COUNTIF(Tabla1[[#This Row],[VEHICULOS_ACCIDENTADOS]:[VEHICULOS_ACCIDENTADOS2]],"MOTOCICLETA")</f>
        <v>0</v>
      </c>
      <c r="S594" s="36">
        <f>COUNTIF(Tabla1[[#This Row],[VEHICULOS_ACCIDENTADOS]:[VEHICULOS_ACCIDENTADOS2]],"MOTOCARRO")</f>
        <v>0</v>
      </c>
      <c r="T594" s="36">
        <f>COUNTIF(Tabla1[[#This Row],[VEHICULOS_ACCIDENTADOS]:[VEHICULOS_ACCIDENTADOS2]],"AUTOMOVIL")</f>
        <v>1</v>
      </c>
      <c r="U594" s="36">
        <f>COUNTIF(Tabla1[[#This Row],[VEHICULOS_ACCIDENTADOS]:[VEHICULOS_ACCIDENTADOS2]],"CAMPERO")</f>
        <v>0</v>
      </c>
      <c r="V594" s="36">
        <f>COUNTIF(Tabla1[[#This Row],[VEHICULOS_ACCIDENTADOS]:[VEHICULOS_ACCIDENTADOS2]],"CAMIONETA")</f>
        <v>1</v>
      </c>
      <c r="W594" s="36">
        <f>COUNTIF(Tabla1[[#This Row],[VEHICULOS_ACCIDENTADOS]:[VEHICULOS_ACCIDENTADOS2]],"MICROBUS")</f>
        <v>0</v>
      </c>
      <c r="X594" s="36">
        <f>COUNTIF(Tabla1[[#This Row],[VEHICULOS_ACCIDENTADOS]:[VEHICULOS_ACCIDENTADOS2]],"BUS")</f>
        <v>0</v>
      </c>
      <c r="Y594" s="36">
        <f>COUNTIF(Tabla1[[#This Row],[VEHICULOS_ACCIDENTADOS]:[VEHICULOS_ACCIDENTADOS2]],"BUSETA")</f>
        <v>0</v>
      </c>
      <c r="Z594" s="36">
        <f>COUNTIF(Tabla1[[#This Row],[VEHICULOS_ACCIDENTADOS]:[VEHICULOS_ACCIDENTADOS2]],"CAMION")</f>
        <v>0</v>
      </c>
      <c r="AA594" s="36">
        <f>COUNTIF(Tabla1[[#This Row],[VEHICULOS_ACCIDENTADOS]:[VEHICULOS_ACCIDENTADOS2]],"TRACTOCAMION")</f>
        <v>0</v>
      </c>
      <c r="AB594" s="36">
        <f>COUNTIF(Tabla1[[#This Row],[VEHICULOS_ACCIDENTADOS]:[VEHICULOS_ACCIDENTADOS2]],"VOLQUETA")</f>
        <v>0</v>
      </c>
      <c r="AC594" s="36">
        <f>COUNTIF(Tabla1[[#This Row],[VEHICULOS_ACCIDENTADOS]:[VEHICULOS_ACCIDENTADOS2]],"BICICLETA")</f>
        <v>0</v>
      </c>
      <c r="AD594" s="56" t="s">
        <v>471</v>
      </c>
      <c r="AE594" s="56" t="s">
        <v>472</v>
      </c>
      <c r="AF594" s="56">
        <f>COUNTIF(Tabla1[[#This Row],[GENERO_MASCULINO]:[GENERO_FEMENINO]],"MASCULINO")</f>
        <v>1</v>
      </c>
      <c r="AG594" s="36">
        <f>COUNTIF(Tabla1[[#This Row],[GENERO_MASCULINO]:[GENERO_FEMENINO]],"FEMENINO")</f>
        <v>1</v>
      </c>
      <c r="AH594" s="61">
        <v>24</v>
      </c>
      <c r="AI594" s="61">
        <v>22</v>
      </c>
      <c r="AJ594" s="61"/>
      <c r="AK594" s="61"/>
      <c r="AL594" s="61">
        <v>33</v>
      </c>
      <c r="AM594" s="36"/>
      <c r="AN594" s="61">
        <v>112</v>
      </c>
      <c r="AO594" s="36" t="str">
        <f>IFERROR(((VLOOKUP(Tabla1[[#This Row],[HIPOTESIS_1]],listas!$D$1:$E$105,2,FALSE))),"SIN INFORMACIÓN")</f>
        <v>Desobedecer señales o normas de tránsito.</v>
      </c>
      <c r="AP594" s="36"/>
      <c r="AQ594" s="36" t="str">
        <f>IFERROR(((VLOOKUP(Tabla1[[#This Row],[HIPOTESIS_2]],listas!$D$1:$E$105,2,FALSE))),"")</f>
        <v/>
      </c>
      <c r="AR594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595" spans="1:44" x14ac:dyDescent="0.25">
      <c r="A595" s="12">
        <v>147</v>
      </c>
      <c r="B595" s="36">
        <v>0</v>
      </c>
      <c r="C595" s="36">
        <v>1</v>
      </c>
      <c r="D595" s="60">
        <v>0</v>
      </c>
      <c r="E595" s="18" t="str">
        <f t="shared" si="36"/>
        <v>LESIONADO</v>
      </c>
      <c r="F595" s="29" t="s">
        <v>382</v>
      </c>
      <c r="G595" s="17">
        <v>5.3231611111111112</v>
      </c>
      <c r="H595" s="17">
        <v>-72.398761111111114</v>
      </c>
      <c r="I595" s="93" t="s">
        <v>697</v>
      </c>
      <c r="J595" s="36" t="s">
        <v>717</v>
      </c>
      <c r="K595" s="24" t="str">
        <f t="shared" si="37"/>
        <v>2022</v>
      </c>
      <c r="L595" s="24" t="str">
        <f t="shared" si="38"/>
        <v>ABRIL</v>
      </c>
      <c r="M595" s="225">
        <v>44673</v>
      </c>
      <c r="N595" s="24" t="str">
        <f t="shared" si="39"/>
        <v>VIERNES</v>
      </c>
      <c r="O595" s="103">
        <v>0.85416666666666696</v>
      </c>
      <c r="P595" s="63" t="s">
        <v>469</v>
      </c>
      <c r="Q595" s="63" t="s">
        <v>445</v>
      </c>
      <c r="R595" s="36">
        <f>COUNTIF(Tabla1[[#This Row],[VEHICULOS_ACCIDENTADOS]:[VEHICULOS_ACCIDENTADOS2]],"MOTOCICLETA")</f>
        <v>1</v>
      </c>
      <c r="S595" s="36">
        <f>COUNTIF(Tabla1[[#This Row],[VEHICULOS_ACCIDENTADOS]:[VEHICULOS_ACCIDENTADOS2]],"MOTOCARRO")</f>
        <v>0</v>
      </c>
      <c r="T595" s="36">
        <f>COUNTIF(Tabla1[[#This Row],[VEHICULOS_ACCIDENTADOS]:[VEHICULOS_ACCIDENTADOS2]],"AUTOMOVIL")</f>
        <v>0</v>
      </c>
      <c r="U595" s="36">
        <f>COUNTIF(Tabla1[[#This Row],[VEHICULOS_ACCIDENTADOS]:[VEHICULOS_ACCIDENTADOS2]],"CAMPERO")</f>
        <v>0</v>
      </c>
      <c r="V595" s="36">
        <f>COUNTIF(Tabla1[[#This Row],[VEHICULOS_ACCIDENTADOS]:[VEHICULOS_ACCIDENTADOS2]],"CAMIONETA")</f>
        <v>1</v>
      </c>
      <c r="W595" s="36">
        <f>COUNTIF(Tabla1[[#This Row],[VEHICULOS_ACCIDENTADOS]:[VEHICULOS_ACCIDENTADOS2]],"MICROBUS")</f>
        <v>0</v>
      </c>
      <c r="X595" s="36">
        <f>COUNTIF(Tabla1[[#This Row],[VEHICULOS_ACCIDENTADOS]:[VEHICULOS_ACCIDENTADOS2]],"BUS")</f>
        <v>0</v>
      </c>
      <c r="Y595" s="36">
        <f>COUNTIF(Tabla1[[#This Row],[VEHICULOS_ACCIDENTADOS]:[VEHICULOS_ACCIDENTADOS2]],"BUSETA")</f>
        <v>0</v>
      </c>
      <c r="Z595" s="36">
        <f>COUNTIF(Tabla1[[#This Row],[VEHICULOS_ACCIDENTADOS]:[VEHICULOS_ACCIDENTADOS2]],"CAMION")</f>
        <v>0</v>
      </c>
      <c r="AA595" s="36">
        <f>COUNTIF(Tabla1[[#This Row],[VEHICULOS_ACCIDENTADOS]:[VEHICULOS_ACCIDENTADOS2]],"TRACTOCAMION")</f>
        <v>0</v>
      </c>
      <c r="AB595" s="36">
        <f>COUNTIF(Tabla1[[#This Row],[VEHICULOS_ACCIDENTADOS]:[VEHICULOS_ACCIDENTADOS2]],"VOLQUETA")</f>
        <v>0</v>
      </c>
      <c r="AC595" s="36">
        <f>COUNTIF(Tabla1[[#This Row],[VEHICULOS_ACCIDENTADOS]:[VEHICULOS_ACCIDENTADOS2]],"BICICLETA")</f>
        <v>0</v>
      </c>
      <c r="AD595" s="56"/>
      <c r="AE595" s="56" t="s">
        <v>472</v>
      </c>
      <c r="AF595" s="56">
        <f>COUNTIF(Tabla1[[#This Row],[GENERO_MASCULINO]:[GENERO_FEMENINO]],"MASCULINO")</f>
        <v>0</v>
      </c>
      <c r="AG595" s="36">
        <f>COUNTIF(Tabla1[[#This Row],[GENERO_MASCULINO]:[GENERO_FEMENINO]],"FEMENINO")</f>
        <v>1</v>
      </c>
      <c r="AH595" s="61">
        <v>27</v>
      </c>
      <c r="AI595" s="61"/>
      <c r="AJ595" s="61"/>
      <c r="AK595" s="61"/>
      <c r="AL595" s="61"/>
      <c r="AM595" s="36"/>
      <c r="AN595" s="61">
        <v>112</v>
      </c>
      <c r="AO595" s="36" t="str">
        <f>IFERROR(((VLOOKUP(Tabla1[[#This Row],[HIPOTESIS_1]],listas!$D$1:$E$105,2,FALSE))),"SIN INFORMACIÓN")</f>
        <v>Desobedecer señales o normas de tránsito.</v>
      </c>
      <c r="AP595" s="36"/>
      <c r="AQ595" s="36" t="str">
        <f>IFERROR(((VLOOKUP(Tabla1[[#This Row],[HIPOTESIS_2]],listas!$D$1:$E$105,2,FALSE))),"")</f>
        <v/>
      </c>
      <c r="AR595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596" spans="1:44" x14ac:dyDescent="0.25">
      <c r="A596" s="12">
        <v>840</v>
      </c>
      <c r="B596" s="135">
        <v>0</v>
      </c>
      <c r="C596" s="136">
        <v>2</v>
      </c>
      <c r="D596" s="149">
        <v>0</v>
      </c>
      <c r="E596" s="18" t="str">
        <f t="shared" si="36"/>
        <v>LESIONADO</v>
      </c>
      <c r="F596" s="26" t="s">
        <v>91</v>
      </c>
      <c r="G596" s="21">
        <v>5.320924166666666</v>
      </c>
      <c r="H596" s="21">
        <v>-72.398382222222224</v>
      </c>
      <c r="I596" s="93" t="s">
        <v>697</v>
      </c>
      <c r="J596" s="36" t="s">
        <v>717</v>
      </c>
      <c r="K596" s="24" t="str">
        <f t="shared" si="37"/>
        <v>2024</v>
      </c>
      <c r="L596" s="24" t="str">
        <f t="shared" si="38"/>
        <v>DICIEMBRE</v>
      </c>
      <c r="M596" s="224">
        <v>45647</v>
      </c>
      <c r="N596" s="24" t="str">
        <f t="shared" si="39"/>
        <v>SÁBADO</v>
      </c>
      <c r="O596" s="104">
        <v>0.31805555555555554</v>
      </c>
      <c r="P596" s="178" t="s">
        <v>469</v>
      </c>
      <c r="Q596" s="178"/>
      <c r="R596" s="36">
        <f>COUNTIF(Tabla1[[#This Row],[VEHICULOS_ACCIDENTADOS]:[VEHICULOS_ACCIDENTADOS2]],"MOTOCICLETA")</f>
        <v>1</v>
      </c>
      <c r="S596" s="36">
        <f>COUNTIF(Tabla1[[#This Row],[VEHICULOS_ACCIDENTADOS]:[VEHICULOS_ACCIDENTADOS2]],"MOTOCARRO")</f>
        <v>0</v>
      </c>
      <c r="T596" s="36">
        <f>COUNTIF(Tabla1[[#This Row],[VEHICULOS_ACCIDENTADOS]:[VEHICULOS_ACCIDENTADOS2]],"AUTOMOVIL")</f>
        <v>0</v>
      </c>
      <c r="U596" s="36">
        <f>COUNTIF(Tabla1[[#This Row],[VEHICULOS_ACCIDENTADOS]:[VEHICULOS_ACCIDENTADOS2]],"CAMPERO")</f>
        <v>0</v>
      </c>
      <c r="V596" s="36">
        <f>COUNTIF(Tabla1[[#This Row],[VEHICULOS_ACCIDENTADOS]:[VEHICULOS_ACCIDENTADOS2]],"CAMIONETA")</f>
        <v>0</v>
      </c>
      <c r="W596" s="36">
        <f>COUNTIF(Tabla1[[#This Row],[VEHICULOS_ACCIDENTADOS]:[VEHICULOS_ACCIDENTADOS2]],"MICROBUS")</f>
        <v>0</v>
      </c>
      <c r="X596" s="36">
        <f>COUNTIF(Tabla1[[#This Row],[VEHICULOS_ACCIDENTADOS]:[VEHICULOS_ACCIDENTADOS2]],"BUS")</f>
        <v>0</v>
      </c>
      <c r="Y596" s="36">
        <f>COUNTIF(Tabla1[[#This Row],[VEHICULOS_ACCIDENTADOS]:[VEHICULOS_ACCIDENTADOS2]],"BUSETA")</f>
        <v>0</v>
      </c>
      <c r="Z596" s="36">
        <f>COUNTIF(Tabla1[[#This Row],[VEHICULOS_ACCIDENTADOS]:[VEHICULOS_ACCIDENTADOS2]],"CAMION")</f>
        <v>0</v>
      </c>
      <c r="AA596" s="36">
        <f>COUNTIF(Tabla1[[#This Row],[VEHICULOS_ACCIDENTADOS]:[VEHICULOS_ACCIDENTADOS2]],"TRACTOCAMION")</f>
        <v>0</v>
      </c>
      <c r="AB596" s="36">
        <f>COUNTIF(Tabla1[[#This Row],[VEHICULOS_ACCIDENTADOS]:[VEHICULOS_ACCIDENTADOS2]],"VOLQUETA")</f>
        <v>0</v>
      </c>
      <c r="AC596" s="36">
        <f>COUNTIF(Tabla1[[#This Row],[VEHICULOS_ACCIDENTADOS]:[VEHICULOS_ACCIDENTADOS2]],"BICICLETA")</f>
        <v>0</v>
      </c>
      <c r="AD596" s="190" t="s">
        <v>471</v>
      </c>
      <c r="AE596" s="190"/>
      <c r="AF596" s="190">
        <f>COUNTIF(Tabla1[[#This Row],[GENERO_MASCULINO]:[GENERO_FEMENINO]],"MASCULINO")</f>
        <v>1</v>
      </c>
      <c r="AG596" s="36">
        <f>COUNTIF(Tabla1[[#This Row],[GENERO_MASCULINO]:[GENERO_FEMENINO]],"FEMENINO")</f>
        <v>0</v>
      </c>
      <c r="AH596" s="85">
        <v>22</v>
      </c>
      <c r="AI596" s="85">
        <v>40</v>
      </c>
      <c r="AJ596" s="85"/>
      <c r="AK596" s="85"/>
      <c r="AL596" s="85"/>
      <c r="AM596" s="136"/>
      <c r="AN596" s="85">
        <v>116</v>
      </c>
      <c r="AO596" s="36" t="str">
        <f>IFERROR(((VLOOKUP(Tabla1[[#This Row],[HIPOTESIS_1]],listas!$D$1:$E$105,2,FALSE))),"SIN INFORMACIÓN")</f>
        <v>Exceso de velocidad</v>
      </c>
      <c r="AP596" s="136"/>
      <c r="AQ596" s="36" t="str">
        <f>IFERROR(((VLOOKUP(Tabla1[[#This Row],[HIPOTESIS_2]],listas!$D$1:$E$105,2,FALSE))),"")</f>
        <v/>
      </c>
      <c r="AR596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597" spans="1:44" ht="13.8" customHeight="1" x14ac:dyDescent="0.25">
      <c r="A597" s="12">
        <v>317</v>
      </c>
      <c r="B597" s="36">
        <v>1</v>
      </c>
      <c r="C597" s="36">
        <v>0</v>
      </c>
      <c r="D597" s="60">
        <v>0</v>
      </c>
      <c r="E597" s="18" t="str">
        <f t="shared" si="36"/>
        <v>SOLO DAÑO</v>
      </c>
      <c r="F597" s="29" t="s">
        <v>317</v>
      </c>
      <c r="G597" s="17">
        <v>5.318985555555555</v>
      </c>
      <c r="H597" s="17">
        <v>-72.39789027777779</v>
      </c>
      <c r="I597" s="93" t="s">
        <v>697</v>
      </c>
      <c r="J597" s="36" t="s">
        <v>717</v>
      </c>
      <c r="K597" s="24" t="str">
        <f t="shared" si="37"/>
        <v>2022</v>
      </c>
      <c r="L597" s="24" t="str">
        <f t="shared" si="38"/>
        <v>SEPTIEMBRE</v>
      </c>
      <c r="M597" s="225">
        <v>44830</v>
      </c>
      <c r="N597" s="24" t="str">
        <f t="shared" si="39"/>
        <v>LUNES</v>
      </c>
      <c r="O597" s="170">
        <v>0.66666666666666696</v>
      </c>
      <c r="P597" s="53" t="s">
        <v>469</v>
      </c>
      <c r="Q597" s="53" t="s">
        <v>445</v>
      </c>
      <c r="R597" s="36">
        <f>COUNTIF(Tabla1[[#This Row],[VEHICULOS_ACCIDENTADOS]:[VEHICULOS_ACCIDENTADOS2]],"MOTOCICLETA")</f>
        <v>1</v>
      </c>
      <c r="S597" s="36">
        <f>COUNTIF(Tabla1[[#This Row],[VEHICULOS_ACCIDENTADOS]:[VEHICULOS_ACCIDENTADOS2]],"MOTOCARRO")</f>
        <v>0</v>
      </c>
      <c r="T597" s="36">
        <f>COUNTIF(Tabla1[[#This Row],[VEHICULOS_ACCIDENTADOS]:[VEHICULOS_ACCIDENTADOS2]],"AUTOMOVIL")</f>
        <v>0</v>
      </c>
      <c r="U597" s="36">
        <f>COUNTIF(Tabla1[[#This Row],[VEHICULOS_ACCIDENTADOS]:[VEHICULOS_ACCIDENTADOS2]],"CAMPERO")</f>
        <v>0</v>
      </c>
      <c r="V597" s="36">
        <f>COUNTIF(Tabla1[[#This Row],[VEHICULOS_ACCIDENTADOS]:[VEHICULOS_ACCIDENTADOS2]],"CAMIONETA")</f>
        <v>1</v>
      </c>
      <c r="W597" s="36">
        <f>COUNTIF(Tabla1[[#This Row],[VEHICULOS_ACCIDENTADOS]:[VEHICULOS_ACCIDENTADOS2]],"MICROBUS")</f>
        <v>0</v>
      </c>
      <c r="X597" s="36">
        <f>COUNTIF(Tabla1[[#This Row],[VEHICULOS_ACCIDENTADOS]:[VEHICULOS_ACCIDENTADOS2]],"BUS")</f>
        <v>0</v>
      </c>
      <c r="Y597" s="36">
        <f>COUNTIF(Tabla1[[#This Row],[VEHICULOS_ACCIDENTADOS]:[VEHICULOS_ACCIDENTADOS2]],"BUSETA")</f>
        <v>0</v>
      </c>
      <c r="Z597" s="36">
        <f>COUNTIF(Tabla1[[#This Row],[VEHICULOS_ACCIDENTADOS]:[VEHICULOS_ACCIDENTADOS2]],"CAMION")</f>
        <v>0</v>
      </c>
      <c r="AA597" s="36">
        <f>COUNTIF(Tabla1[[#This Row],[VEHICULOS_ACCIDENTADOS]:[VEHICULOS_ACCIDENTADOS2]],"TRACTOCAMION")</f>
        <v>0</v>
      </c>
      <c r="AB597" s="36">
        <f>COUNTIF(Tabla1[[#This Row],[VEHICULOS_ACCIDENTADOS]:[VEHICULOS_ACCIDENTADOS2]],"VOLQUETA")</f>
        <v>0</v>
      </c>
      <c r="AC597" s="36">
        <f>COUNTIF(Tabla1[[#This Row],[VEHICULOS_ACCIDENTADOS]:[VEHICULOS_ACCIDENTADOS2]],"BICICLETA")</f>
        <v>0</v>
      </c>
      <c r="AD597" s="56"/>
      <c r="AE597" s="56" t="s">
        <v>472</v>
      </c>
      <c r="AF597" s="56">
        <f>COUNTIF(Tabla1[[#This Row],[GENERO_MASCULINO]:[GENERO_FEMENINO]],"MASCULINO")</f>
        <v>0</v>
      </c>
      <c r="AG597" s="36">
        <f>COUNTIF(Tabla1[[#This Row],[GENERO_MASCULINO]:[GENERO_FEMENINO]],"FEMENINO")</f>
        <v>1</v>
      </c>
      <c r="AH597" s="61"/>
      <c r="AI597" s="61"/>
      <c r="AJ597" s="78"/>
      <c r="AK597" s="61"/>
      <c r="AL597" s="61"/>
      <c r="AM597" s="36"/>
      <c r="AN597" s="61">
        <v>114</v>
      </c>
      <c r="AO597" s="36" t="str">
        <f>IFERROR(((VLOOKUP(Tabla1[[#This Row],[HIPOTESIS_1]],listas!$D$1:$E$105,2,FALSE))),"SIN INFORMACIÓN")</f>
        <v>Embriaguez aparente.</v>
      </c>
      <c r="AP597" s="36"/>
      <c r="AQ597" s="36" t="str">
        <f>IFERROR(((VLOOKUP(Tabla1[[#This Row],[HIPOTESIS_2]],listas!$D$1:$E$105,2,FALSE))),"")</f>
        <v/>
      </c>
      <c r="AR597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598" spans="1:44" x14ac:dyDescent="0.25">
      <c r="A598" s="12">
        <v>121</v>
      </c>
      <c r="B598" s="36">
        <v>1</v>
      </c>
      <c r="C598" s="36">
        <v>0</v>
      </c>
      <c r="D598" s="60">
        <v>0</v>
      </c>
      <c r="E598" s="18" t="str">
        <f t="shared" si="36"/>
        <v>SOLO DAÑO</v>
      </c>
      <c r="F598" s="29" t="s">
        <v>391</v>
      </c>
      <c r="G598" s="17">
        <v>5.3087805555555549</v>
      </c>
      <c r="H598" s="17">
        <v>-72.3974388888889</v>
      </c>
      <c r="I598" s="93" t="s">
        <v>697</v>
      </c>
      <c r="J598" s="36" t="s">
        <v>717</v>
      </c>
      <c r="K598" s="24" t="str">
        <f t="shared" si="37"/>
        <v>2022</v>
      </c>
      <c r="L598" s="24" t="str">
        <f t="shared" si="38"/>
        <v>ABRIL</v>
      </c>
      <c r="M598" s="225">
        <v>44658</v>
      </c>
      <c r="N598" s="24" t="str">
        <f t="shared" si="39"/>
        <v>JUEVES</v>
      </c>
      <c r="O598" s="103">
        <v>0.75694444444444497</v>
      </c>
      <c r="P598" s="63" t="s">
        <v>469</v>
      </c>
      <c r="Q598" s="63" t="s">
        <v>447</v>
      </c>
      <c r="R598" s="36">
        <f>COUNTIF(Tabla1[[#This Row],[VEHICULOS_ACCIDENTADOS]:[VEHICULOS_ACCIDENTADOS2]],"MOTOCICLETA")</f>
        <v>1</v>
      </c>
      <c r="S598" s="36">
        <f>COUNTIF(Tabla1[[#This Row],[VEHICULOS_ACCIDENTADOS]:[VEHICULOS_ACCIDENTADOS2]],"MOTOCARRO")</f>
        <v>0</v>
      </c>
      <c r="T598" s="36">
        <f>COUNTIF(Tabla1[[#This Row],[VEHICULOS_ACCIDENTADOS]:[VEHICULOS_ACCIDENTADOS2]],"AUTOMOVIL")</f>
        <v>1</v>
      </c>
      <c r="U598" s="36">
        <f>COUNTIF(Tabla1[[#This Row],[VEHICULOS_ACCIDENTADOS]:[VEHICULOS_ACCIDENTADOS2]],"CAMPERO")</f>
        <v>0</v>
      </c>
      <c r="V598" s="36">
        <f>COUNTIF(Tabla1[[#This Row],[VEHICULOS_ACCIDENTADOS]:[VEHICULOS_ACCIDENTADOS2]],"CAMIONETA")</f>
        <v>0</v>
      </c>
      <c r="W598" s="36">
        <f>COUNTIF(Tabla1[[#This Row],[VEHICULOS_ACCIDENTADOS]:[VEHICULOS_ACCIDENTADOS2]],"MICROBUS")</f>
        <v>0</v>
      </c>
      <c r="X598" s="36">
        <f>COUNTIF(Tabla1[[#This Row],[VEHICULOS_ACCIDENTADOS]:[VEHICULOS_ACCIDENTADOS2]],"BUS")</f>
        <v>0</v>
      </c>
      <c r="Y598" s="36">
        <f>COUNTIF(Tabla1[[#This Row],[VEHICULOS_ACCIDENTADOS]:[VEHICULOS_ACCIDENTADOS2]],"BUSETA")</f>
        <v>0</v>
      </c>
      <c r="Z598" s="36">
        <f>COUNTIF(Tabla1[[#This Row],[VEHICULOS_ACCIDENTADOS]:[VEHICULOS_ACCIDENTADOS2]],"CAMION")</f>
        <v>0</v>
      </c>
      <c r="AA598" s="36">
        <f>COUNTIF(Tabla1[[#This Row],[VEHICULOS_ACCIDENTADOS]:[VEHICULOS_ACCIDENTADOS2]],"TRACTOCAMION")</f>
        <v>0</v>
      </c>
      <c r="AB598" s="36">
        <f>COUNTIF(Tabla1[[#This Row],[VEHICULOS_ACCIDENTADOS]:[VEHICULOS_ACCIDENTADOS2]],"VOLQUETA")</f>
        <v>0</v>
      </c>
      <c r="AC598" s="36">
        <f>COUNTIF(Tabla1[[#This Row],[VEHICULOS_ACCIDENTADOS]:[VEHICULOS_ACCIDENTADOS2]],"BICICLETA")</f>
        <v>0</v>
      </c>
      <c r="AD598" s="56" t="s">
        <v>471</v>
      </c>
      <c r="AE598" s="56"/>
      <c r="AF598" s="56">
        <f>COUNTIF(Tabla1[[#This Row],[GENERO_MASCULINO]:[GENERO_FEMENINO]],"MASCULINO")</f>
        <v>1</v>
      </c>
      <c r="AG598" s="36">
        <f>COUNTIF(Tabla1[[#This Row],[GENERO_MASCULINO]:[GENERO_FEMENINO]],"FEMENINO")</f>
        <v>0</v>
      </c>
      <c r="AH598" s="79"/>
      <c r="AI598" s="79"/>
      <c r="AJ598" s="80"/>
      <c r="AK598" s="79"/>
      <c r="AL598" s="79"/>
      <c r="AM598" s="55"/>
      <c r="AN598" s="79">
        <v>134</v>
      </c>
      <c r="AO598" s="36" t="str">
        <f>IFERROR(((VLOOKUP(Tabla1[[#This Row],[HIPOTESIS_1]],listas!$D$1:$E$105,2,FALSE))),"SIN INFORMACIÓN")</f>
        <v>Reverso imprudente.</v>
      </c>
      <c r="AP598" s="55"/>
      <c r="AQ598" s="36" t="str">
        <f>IFERROR(((VLOOKUP(Tabla1[[#This Row],[HIPOTESIS_2]],listas!$D$1:$E$105,2,FALSE))),"")</f>
        <v/>
      </c>
      <c r="AR598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599" spans="1:44" x14ac:dyDescent="0.25">
      <c r="A599" s="12">
        <v>639</v>
      </c>
      <c r="B599" s="36">
        <v>0</v>
      </c>
      <c r="C599" s="36">
        <v>1</v>
      </c>
      <c r="D599" s="60">
        <v>0</v>
      </c>
      <c r="E599" s="18" t="str">
        <f t="shared" si="36"/>
        <v>LESIONADO</v>
      </c>
      <c r="F599" s="29" t="s">
        <v>172</v>
      </c>
      <c r="G599" s="21">
        <v>5.3118833333333333</v>
      </c>
      <c r="H599" s="21">
        <v>-72.397727777777789</v>
      </c>
      <c r="I599" s="93" t="s">
        <v>697</v>
      </c>
      <c r="J599" s="36" t="s">
        <v>717</v>
      </c>
      <c r="K599" s="24" t="str">
        <f t="shared" si="37"/>
        <v>2023</v>
      </c>
      <c r="L599" s="24" t="str">
        <f t="shared" si="38"/>
        <v>DICIEMBRE</v>
      </c>
      <c r="M599" s="225">
        <v>45283</v>
      </c>
      <c r="N599" s="24" t="str">
        <f t="shared" si="39"/>
        <v>SÁBADO</v>
      </c>
      <c r="O599" s="103">
        <v>0.77777777777777779</v>
      </c>
      <c r="P599" s="57" t="s">
        <v>469</v>
      </c>
      <c r="Q599" s="57"/>
      <c r="R599" s="36">
        <f>COUNTIF(Tabla1[[#This Row],[VEHICULOS_ACCIDENTADOS]:[VEHICULOS_ACCIDENTADOS2]],"MOTOCICLETA")</f>
        <v>1</v>
      </c>
      <c r="S599" s="36">
        <f>COUNTIF(Tabla1[[#This Row],[VEHICULOS_ACCIDENTADOS]:[VEHICULOS_ACCIDENTADOS2]],"MOTOCARRO")</f>
        <v>0</v>
      </c>
      <c r="T599" s="36">
        <f>COUNTIF(Tabla1[[#This Row],[VEHICULOS_ACCIDENTADOS]:[VEHICULOS_ACCIDENTADOS2]],"AUTOMOVIL")</f>
        <v>0</v>
      </c>
      <c r="U599" s="36">
        <f>COUNTIF(Tabla1[[#This Row],[VEHICULOS_ACCIDENTADOS]:[VEHICULOS_ACCIDENTADOS2]],"CAMPERO")</f>
        <v>0</v>
      </c>
      <c r="V599" s="36">
        <f>COUNTIF(Tabla1[[#This Row],[VEHICULOS_ACCIDENTADOS]:[VEHICULOS_ACCIDENTADOS2]],"CAMIONETA")</f>
        <v>0</v>
      </c>
      <c r="W599" s="36">
        <f>COUNTIF(Tabla1[[#This Row],[VEHICULOS_ACCIDENTADOS]:[VEHICULOS_ACCIDENTADOS2]],"MICROBUS")</f>
        <v>0</v>
      </c>
      <c r="X599" s="36">
        <f>COUNTIF(Tabla1[[#This Row],[VEHICULOS_ACCIDENTADOS]:[VEHICULOS_ACCIDENTADOS2]],"BUS")</f>
        <v>0</v>
      </c>
      <c r="Y599" s="36">
        <f>COUNTIF(Tabla1[[#This Row],[VEHICULOS_ACCIDENTADOS]:[VEHICULOS_ACCIDENTADOS2]],"BUSETA")</f>
        <v>0</v>
      </c>
      <c r="Z599" s="36">
        <f>COUNTIF(Tabla1[[#This Row],[VEHICULOS_ACCIDENTADOS]:[VEHICULOS_ACCIDENTADOS2]],"CAMION")</f>
        <v>0</v>
      </c>
      <c r="AA599" s="36">
        <f>COUNTIF(Tabla1[[#This Row],[VEHICULOS_ACCIDENTADOS]:[VEHICULOS_ACCIDENTADOS2]],"TRACTOCAMION")</f>
        <v>0</v>
      </c>
      <c r="AB599" s="36">
        <f>COUNTIF(Tabla1[[#This Row],[VEHICULOS_ACCIDENTADOS]:[VEHICULOS_ACCIDENTADOS2]],"VOLQUETA")</f>
        <v>0</v>
      </c>
      <c r="AC599" s="36">
        <f>COUNTIF(Tabla1[[#This Row],[VEHICULOS_ACCIDENTADOS]:[VEHICULOS_ACCIDENTADOS2]],"BICICLETA")</f>
        <v>0</v>
      </c>
      <c r="AD599" s="56" t="s">
        <v>471</v>
      </c>
      <c r="AE599" s="56"/>
      <c r="AF599" s="56">
        <f>COUNTIF(Tabla1[[#This Row],[GENERO_MASCULINO]:[GENERO_FEMENINO]],"MASCULINO")</f>
        <v>1</v>
      </c>
      <c r="AG599" s="36">
        <f>COUNTIF(Tabla1[[#This Row],[GENERO_MASCULINO]:[GENERO_FEMENINO]],"FEMENINO")</f>
        <v>0</v>
      </c>
      <c r="AH599" s="61">
        <v>28</v>
      </c>
      <c r="AI599" s="61"/>
      <c r="AJ599" s="61"/>
      <c r="AK599" s="61"/>
      <c r="AL599" s="61"/>
      <c r="AM599" s="36"/>
      <c r="AN599" s="61">
        <v>114</v>
      </c>
      <c r="AO599" s="36" t="str">
        <f>IFERROR(((VLOOKUP(Tabla1[[#This Row],[HIPOTESIS_1]],listas!$D$1:$E$105,2,FALSE))),"SIN INFORMACIÓN")</f>
        <v>Embriaguez aparente.</v>
      </c>
      <c r="AP599" s="36"/>
      <c r="AQ599" s="36" t="str">
        <f>IFERROR(((VLOOKUP(Tabla1[[#This Row],[HIPOTESIS_2]],listas!$D$1:$E$105,2,FALSE))),"")</f>
        <v/>
      </c>
      <c r="AR599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600" spans="1:44" x14ac:dyDescent="0.25">
      <c r="A600" s="12">
        <v>527</v>
      </c>
      <c r="B600" s="36">
        <v>0</v>
      </c>
      <c r="C600" s="36">
        <v>2</v>
      </c>
      <c r="D600" s="60">
        <v>0</v>
      </c>
      <c r="E600" s="18" t="str">
        <f t="shared" si="36"/>
        <v>LESIONADO</v>
      </c>
      <c r="F600" s="29" t="s">
        <v>219</v>
      </c>
      <c r="G600" s="21">
        <v>5.3154722222222217</v>
      </c>
      <c r="H600" s="21">
        <v>-72.396538888888898</v>
      </c>
      <c r="I600" s="93" t="s">
        <v>697</v>
      </c>
      <c r="J600" s="36" t="s">
        <v>717</v>
      </c>
      <c r="K600" s="24" t="str">
        <f t="shared" si="37"/>
        <v>2023</v>
      </c>
      <c r="L600" s="24" t="str">
        <f t="shared" si="38"/>
        <v>JULIO</v>
      </c>
      <c r="M600" s="225">
        <v>45138</v>
      </c>
      <c r="N600" s="24" t="str">
        <f t="shared" si="39"/>
        <v>LUNES</v>
      </c>
      <c r="O600" s="103">
        <v>0.41666666666666669</v>
      </c>
      <c r="P600" s="57" t="s">
        <v>469</v>
      </c>
      <c r="Q600" s="57" t="s">
        <v>447</v>
      </c>
      <c r="R600" s="36">
        <f>COUNTIF(Tabla1[[#This Row],[VEHICULOS_ACCIDENTADOS]:[VEHICULOS_ACCIDENTADOS2]],"MOTOCICLETA")</f>
        <v>1</v>
      </c>
      <c r="S600" s="36">
        <f>COUNTIF(Tabla1[[#This Row],[VEHICULOS_ACCIDENTADOS]:[VEHICULOS_ACCIDENTADOS2]],"MOTOCARRO")</f>
        <v>0</v>
      </c>
      <c r="T600" s="36">
        <f>COUNTIF(Tabla1[[#This Row],[VEHICULOS_ACCIDENTADOS]:[VEHICULOS_ACCIDENTADOS2]],"AUTOMOVIL")</f>
        <v>1</v>
      </c>
      <c r="U600" s="36">
        <f>COUNTIF(Tabla1[[#This Row],[VEHICULOS_ACCIDENTADOS]:[VEHICULOS_ACCIDENTADOS2]],"CAMPERO")</f>
        <v>0</v>
      </c>
      <c r="V600" s="36">
        <f>COUNTIF(Tabla1[[#This Row],[VEHICULOS_ACCIDENTADOS]:[VEHICULOS_ACCIDENTADOS2]],"CAMIONETA")</f>
        <v>0</v>
      </c>
      <c r="W600" s="36">
        <f>COUNTIF(Tabla1[[#This Row],[VEHICULOS_ACCIDENTADOS]:[VEHICULOS_ACCIDENTADOS2]],"MICROBUS")</f>
        <v>0</v>
      </c>
      <c r="X600" s="36">
        <f>COUNTIF(Tabla1[[#This Row],[VEHICULOS_ACCIDENTADOS]:[VEHICULOS_ACCIDENTADOS2]],"BUS")</f>
        <v>0</v>
      </c>
      <c r="Y600" s="36">
        <f>COUNTIF(Tabla1[[#This Row],[VEHICULOS_ACCIDENTADOS]:[VEHICULOS_ACCIDENTADOS2]],"BUSETA")</f>
        <v>0</v>
      </c>
      <c r="Z600" s="36">
        <f>COUNTIF(Tabla1[[#This Row],[VEHICULOS_ACCIDENTADOS]:[VEHICULOS_ACCIDENTADOS2]],"CAMION")</f>
        <v>0</v>
      </c>
      <c r="AA600" s="36">
        <f>COUNTIF(Tabla1[[#This Row],[VEHICULOS_ACCIDENTADOS]:[VEHICULOS_ACCIDENTADOS2]],"TRACTOCAMION")</f>
        <v>0</v>
      </c>
      <c r="AB600" s="36">
        <f>COUNTIF(Tabla1[[#This Row],[VEHICULOS_ACCIDENTADOS]:[VEHICULOS_ACCIDENTADOS2]],"VOLQUETA")</f>
        <v>0</v>
      </c>
      <c r="AC600" s="36">
        <f>COUNTIF(Tabla1[[#This Row],[VEHICULOS_ACCIDENTADOS]:[VEHICULOS_ACCIDENTADOS2]],"BICICLETA")</f>
        <v>0</v>
      </c>
      <c r="AD600" s="56"/>
      <c r="AE600" s="56" t="s">
        <v>472</v>
      </c>
      <c r="AF600" s="56">
        <f>COUNTIF(Tabla1[[#This Row],[GENERO_MASCULINO]:[GENERO_FEMENINO]],"MASCULINO")</f>
        <v>0</v>
      </c>
      <c r="AG600" s="36">
        <f>COUNTIF(Tabla1[[#This Row],[GENERO_MASCULINO]:[GENERO_FEMENINO]],"FEMENINO")</f>
        <v>1</v>
      </c>
      <c r="AH600" s="61">
        <v>22</v>
      </c>
      <c r="AI600" s="61"/>
      <c r="AJ600" s="61"/>
      <c r="AK600" s="61"/>
      <c r="AL600" s="61">
        <v>48</v>
      </c>
      <c r="AM600" s="36"/>
      <c r="AN600" s="61">
        <v>127</v>
      </c>
      <c r="AO600" s="36" t="str">
        <f>IFERROR(((VLOOKUP(Tabla1[[#This Row],[HIPOTESIS_1]],listas!$D$1:$E$105,2,FALSE))),"SIN INFORMACIÓN")</f>
        <v>Transitar en contravía.</v>
      </c>
      <c r="AP600" s="36"/>
      <c r="AQ600" s="36" t="str">
        <f>IFERROR(((VLOOKUP(Tabla1[[#This Row],[HIPOTESIS_2]],listas!$D$1:$E$105,2,FALSE))),"")</f>
        <v/>
      </c>
      <c r="AR600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601" spans="1:44" x14ac:dyDescent="0.25">
      <c r="A601" s="12">
        <v>927</v>
      </c>
      <c r="B601" s="135">
        <v>0</v>
      </c>
      <c r="C601" s="136">
        <v>1</v>
      </c>
      <c r="D601" s="148">
        <v>0</v>
      </c>
      <c r="E601" s="18" t="str">
        <f t="shared" si="36"/>
        <v>LESIONADO</v>
      </c>
      <c r="F601" s="26" t="s">
        <v>48</v>
      </c>
      <c r="G601" s="20">
        <v>5.3359940000000003</v>
      </c>
      <c r="H601" s="20">
        <v>-72.401473999999993</v>
      </c>
      <c r="I601" s="93" t="s">
        <v>697</v>
      </c>
      <c r="J601" s="136" t="s">
        <v>717</v>
      </c>
      <c r="K601" s="24" t="str">
        <f t="shared" si="37"/>
        <v>2025</v>
      </c>
      <c r="L601" s="24" t="str">
        <f t="shared" si="38"/>
        <v>ABRIL</v>
      </c>
      <c r="M601" s="224">
        <v>45750</v>
      </c>
      <c r="N601" s="24" t="str">
        <f t="shared" si="39"/>
        <v>JUEVES</v>
      </c>
      <c r="O601" s="104">
        <v>0.47222222222222227</v>
      </c>
      <c r="P601" s="136" t="s">
        <v>447</v>
      </c>
      <c r="Q601" s="136" t="s">
        <v>469</v>
      </c>
      <c r="R601" s="36">
        <f>COUNTIF(Tabla1[[#This Row],[VEHICULOS_ACCIDENTADOS]:[VEHICULOS_ACCIDENTADOS2]],"MOTOCICLETA")</f>
        <v>1</v>
      </c>
      <c r="S601" s="36">
        <f>COUNTIF(Tabla1[[#This Row],[VEHICULOS_ACCIDENTADOS]:[VEHICULOS_ACCIDENTADOS2]],"MOTOCARRO")</f>
        <v>0</v>
      </c>
      <c r="T601" s="36">
        <f>COUNTIF(Tabla1[[#This Row],[VEHICULOS_ACCIDENTADOS]:[VEHICULOS_ACCIDENTADOS2]],"AUTOMOVIL")</f>
        <v>1</v>
      </c>
      <c r="U601" s="36">
        <f>COUNTIF(Tabla1[[#This Row],[VEHICULOS_ACCIDENTADOS]:[VEHICULOS_ACCIDENTADOS2]],"CAMPERO")</f>
        <v>0</v>
      </c>
      <c r="V601" s="36">
        <f>COUNTIF(Tabla1[[#This Row],[VEHICULOS_ACCIDENTADOS]:[VEHICULOS_ACCIDENTADOS2]],"CAMIONETA")</f>
        <v>0</v>
      </c>
      <c r="W601" s="36">
        <f>COUNTIF(Tabla1[[#This Row],[VEHICULOS_ACCIDENTADOS]:[VEHICULOS_ACCIDENTADOS2]],"MICROBUS")</f>
        <v>0</v>
      </c>
      <c r="X601" s="36">
        <f>COUNTIF(Tabla1[[#This Row],[VEHICULOS_ACCIDENTADOS]:[VEHICULOS_ACCIDENTADOS2]],"BUS")</f>
        <v>0</v>
      </c>
      <c r="Y601" s="36">
        <f>COUNTIF(Tabla1[[#This Row],[VEHICULOS_ACCIDENTADOS]:[VEHICULOS_ACCIDENTADOS2]],"BUSETA")</f>
        <v>0</v>
      </c>
      <c r="Z601" s="36">
        <f>COUNTIF(Tabla1[[#This Row],[VEHICULOS_ACCIDENTADOS]:[VEHICULOS_ACCIDENTADOS2]],"CAMION")</f>
        <v>0</v>
      </c>
      <c r="AA601" s="36">
        <f>COUNTIF(Tabla1[[#This Row],[VEHICULOS_ACCIDENTADOS]:[VEHICULOS_ACCIDENTADOS2]],"TRACTOCAMION")</f>
        <v>0</v>
      </c>
      <c r="AB601" s="36">
        <f>COUNTIF(Tabla1[[#This Row],[VEHICULOS_ACCIDENTADOS]:[VEHICULOS_ACCIDENTADOS2]],"VOLQUETA")</f>
        <v>0</v>
      </c>
      <c r="AC601" s="36">
        <f>COUNTIF(Tabla1[[#This Row],[VEHICULOS_ACCIDENTADOS]:[VEHICULOS_ACCIDENTADOS2]],"BICICLETA")</f>
        <v>0</v>
      </c>
      <c r="AD601" s="190" t="s">
        <v>471</v>
      </c>
      <c r="AE601" s="190" t="s">
        <v>471</v>
      </c>
      <c r="AF601" s="190">
        <f>COUNTIF(Tabla1[[#This Row],[GENERO_MASCULINO]:[GENERO_FEMENINO]],"MASCULINO")</f>
        <v>2</v>
      </c>
      <c r="AG601" s="36">
        <f>COUNTIF(Tabla1[[#This Row],[GENERO_MASCULINO]:[GENERO_FEMENINO]],"FEMENINO")</f>
        <v>0</v>
      </c>
      <c r="AH601" s="85">
        <v>43</v>
      </c>
      <c r="AI601" s="85">
        <v>25</v>
      </c>
      <c r="AJ601" s="85"/>
      <c r="AK601" s="78"/>
      <c r="AL601" s="78"/>
      <c r="AM601" s="59"/>
      <c r="AN601" s="85">
        <v>132</v>
      </c>
      <c r="AO601" s="36" t="str">
        <f>IFERROR(((VLOOKUP(Tabla1[[#This Row],[HIPOTESIS_1]],listas!$D$1:$E$105,2,FALSE))),"SIN INFORMACIÓN")</f>
        <v>No respetar prelación.</v>
      </c>
      <c r="AP601" s="36"/>
      <c r="AQ601" s="36" t="str">
        <f>IFERROR(((VLOOKUP(Tabla1[[#This Row],[HIPOTESIS_2]],listas!$D$1:$E$105,2,FALSE))),"")</f>
        <v/>
      </c>
      <c r="AR601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602" spans="1:44" x14ac:dyDescent="0.25">
      <c r="A602" s="12">
        <v>124</v>
      </c>
      <c r="B602" s="36">
        <v>0</v>
      </c>
      <c r="C602" s="36">
        <v>3</v>
      </c>
      <c r="D602" s="60">
        <v>0</v>
      </c>
      <c r="E602" s="18" t="str">
        <f t="shared" si="36"/>
        <v>LESIONADO</v>
      </c>
      <c r="F602" s="29" t="s">
        <v>390</v>
      </c>
      <c r="G602" s="17">
        <v>5.3230805555555554</v>
      </c>
      <c r="H602" s="17">
        <v>-72.397816666666671</v>
      </c>
      <c r="I602" s="93" t="s">
        <v>697</v>
      </c>
      <c r="J602" s="36" t="s">
        <v>717</v>
      </c>
      <c r="K602" s="24" t="str">
        <f t="shared" si="37"/>
        <v>2022</v>
      </c>
      <c r="L602" s="24" t="str">
        <f t="shared" si="38"/>
        <v>ABRIL</v>
      </c>
      <c r="M602" s="225">
        <v>44660</v>
      </c>
      <c r="N602" s="24" t="str">
        <f t="shared" si="39"/>
        <v>SÁBADO</v>
      </c>
      <c r="O602" s="103">
        <v>0.92361111111111116</v>
      </c>
      <c r="P602" s="63" t="s">
        <v>469</v>
      </c>
      <c r="Q602" s="63"/>
      <c r="R602" s="36">
        <f>COUNTIF(Tabla1[[#This Row],[VEHICULOS_ACCIDENTADOS]:[VEHICULOS_ACCIDENTADOS2]],"MOTOCICLETA")</f>
        <v>1</v>
      </c>
      <c r="S602" s="36">
        <f>COUNTIF(Tabla1[[#This Row],[VEHICULOS_ACCIDENTADOS]:[VEHICULOS_ACCIDENTADOS2]],"MOTOCARRO")</f>
        <v>0</v>
      </c>
      <c r="T602" s="36">
        <f>COUNTIF(Tabla1[[#This Row],[VEHICULOS_ACCIDENTADOS]:[VEHICULOS_ACCIDENTADOS2]],"AUTOMOVIL")</f>
        <v>0</v>
      </c>
      <c r="U602" s="36">
        <f>COUNTIF(Tabla1[[#This Row],[VEHICULOS_ACCIDENTADOS]:[VEHICULOS_ACCIDENTADOS2]],"CAMPERO")</f>
        <v>0</v>
      </c>
      <c r="V602" s="36">
        <f>COUNTIF(Tabla1[[#This Row],[VEHICULOS_ACCIDENTADOS]:[VEHICULOS_ACCIDENTADOS2]],"CAMIONETA")</f>
        <v>0</v>
      </c>
      <c r="W602" s="36">
        <f>COUNTIF(Tabla1[[#This Row],[VEHICULOS_ACCIDENTADOS]:[VEHICULOS_ACCIDENTADOS2]],"MICROBUS")</f>
        <v>0</v>
      </c>
      <c r="X602" s="36">
        <f>COUNTIF(Tabla1[[#This Row],[VEHICULOS_ACCIDENTADOS]:[VEHICULOS_ACCIDENTADOS2]],"BUS")</f>
        <v>0</v>
      </c>
      <c r="Y602" s="36">
        <f>COUNTIF(Tabla1[[#This Row],[VEHICULOS_ACCIDENTADOS]:[VEHICULOS_ACCIDENTADOS2]],"BUSETA")</f>
        <v>0</v>
      </c>
      <c r="Z602" s="36">
        <f>COUNTIF(Tabla1[[#This Row],[VEHICULOS_ACCIDENTADOS]:[VEHICULOS_ACCIDENTADOS2]],"CAMION")</f>
        <v>0</v>
      </c>
      <c r="AA602" s="36">
        <f>COUNTIF(Tabla1[[#This Row],[VEHICULOS_ACCIDENTADOS]:[VEHICULOS_ACCIDENTADOS2]],"TRACTOCAMION")</f>
        <v>0</v>
      </c>
      <c r="AB602" s="36">
        <f>COUNTIF(Tabla1[[#This Row],[VEHICULOS_ACCIDENTADOS]:[VEHICULOS_ACCIDENTADOS2]],"VOLQUETA")</f>
        <v>0</v>
      </c>
      <c r="AC602" s="36">
        <f>COUNTIF(Tabla1[[#This Row],[VEHICULOS_ACCIDENTADOS]:[VEHICULOS_ACCIDENTADOS2]],"BICICLETA")</f>
        <v>0</v>
      </c>
      <c r="AD602" s="56" t="s">
        <v>471</v>
      </c>
      <c r="AE602" s="56" t="s">
        <v>472</v>
      </c>
      <c r="AF602" s="56">
        <f>COUNTIF(Tabla1[[#This Row],[GENERO_MASCULINO]:[GENERO_FEMENINO]],"MASCULINO")</f>
        <v>1</v>
      </c>
      <c r="AG602" s="36">
        <f>COUNTIF(Tabla1[[#This Row],[GENERO_MASCULINO]:[GENERO_FEMENINO]],"FEMENINO")</f>
        <v>1</v>
      </c>
      <c r="AH602" s="79">
        <v>47</v>
      </c>
      <c r="AI602" s="79">
        <v>27</v>
      </c>
      <c r="AJ602" s="80"/>
      <c r="AK602" s="79"/>
      <c r="AL602" s="79">
        <v>49</v>
      </c>
      <c r="AM602" s="55"/>
      <c r="AN602" s="79">
        <v>104</v>
      </c>
      <c r="AO602" s="36" t="str">
        <f>IFERROR(((VLOOKUP(Tabla1[[#This Row],[HIPOTESIS_1]],listas!$D$1:$E$105,2,FALSE))),"SIN INFORMACIÓN")</f>
        <v>Adelantar invadiendo carril de sentido contrario.</v>
      </c>
      <c r="AP602" s="55"/>
      <c r="AQ602" s="36" t="str">
        <f>IFERROR(((VLOOKUP(Tabla1[[#This Row],[HIPOTESIS_2]],listas!$D$1:$E$105,2,FALSE))),"")</f>
        <v/>
      </c>
      <c r="AR602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603" spans="1:44" x14ac:dyDescent="0.25">
      <c r="A603" s="12">
        <v>1056</v>
      </c>
      <c r="B603" s="137">
        <v>0</v>
      </c>
      <c r="C603" s="137">
        <v>1</v>
      </c>
      <c r="D603" s="146">
        <v>0</v>
      </c>
      <c r="E603" s="24" t="str">
        <f t="shared" si="36"/>
        <v>LESIONADO</v>
      </c>
      <c r="F603" s="152" t="s">
        <v>714</v>
      </c>
      <c r="G603" s="30">
        <v>5.3256690000000004</v>
      </c>
      <c r="H603" s="30">
        <v>-72.398450999999994</v>
      </c>
      <c r="I603" s="165" t="s">
        <v>697</v>
      </c>
      <c r="J603" s="36" t="s">
        <v>717</v>
      </c>
      <c r="K603" s="24" t="str">
        <f t="shared" si="37"/>
        <v>2025</v>
      </c>
      <c r="L603" s="24" t="str">
        <f t="shared" si="38"/>
        <v>AGOSTO</v>
      </c>
      <c r="M603" s="225">
        <v>45899</v>
      </c>
      <c r="N603" s="24" t="str">
        <f t="shared" si="39"/>
        <v>SÁBADO</v>
      </c>
      <c r="O603" s="103">
        <v>0.27083333333333331</v>
      </c>
      <c r="P603" s="63" t="s">
        <v>469</v>
      </c>
      <c r="Q603" s="63"/>
      <c r="R603" s="36">
        <f>COUNTIF(Tabla1[[#This Row],[VEHICULOS_ACCIDENTADOS]:[VEHICULOS_ACCIDENTADOS2]],"MOTOCICLETA")</f>
        <v>1</v>
      </c>
      <c r="S603" s="36">
        <f>COUNTIF(Tabla1[[#This Row],[VEHICULOS_ACCIDENTADOS]:[VEHICULOS_ACCIDENTADOS2]],"MOTOCARRO")</f>
        <v>0</v>
      </c>
      <c r="T603" s="36">
        <f>COUNTIF(Tabla1[[#This Row],[VEHICULOS_ACCIDENTADOS]:[VEHICULOS_ACCIDENTADOS2]],"AUTOMOVIL")</f>
        <v>0</v>
      </c>
      <c r="U603" s="36">
        <f>COUNTIF(Tabla1[[#This Row],[VEHICULOS_ACCIDENTADOS]:[VEHICULOS_ACCIDENTADOS2]],"CAMPERO")</f>
        <v>0</v>
      </c>
      <c r="V603" s="36">
        <f>COUNTIF(Tabla1[[#This Row],[VEHICULOS_ACCIDENTADOS]:[VEHICULOS_ACCIDENTADOS2]],"CAMIONETA")</f>
        <v>0</v>
      </c>
      <c r="W603" s="36">
        <f>COUNTIF(Tabla1[[#This Row],[VEHICULOS_ACCIDENTADOS]:[VEHICULOS_ACCIDENTADOS2]],"MICROBUS")</f>
        <v>0</v>
      </c>
      <c r="X603" s="36">
        <f>COUNTIF(Tabla1[[#This Row],[VEHICULOS_ACCIDENTADOS]:[VEHICULOS_ACCIDENTADOS2]],"BUS")</f>
        <v>0</v>
      </c>
      <c r="Y603" s="36">
        <f>COUNTIF(Tabla1[[#This Row],[VEHICULOS_ACCIDENTADOS]:[VEHICULOS_ACCIDENTADOS2]],"BUSETA")</f>
        <v>0</v>
      </c>
      <c r="Z603" s="36">
        <f>COUNTIF(Tabla1[[#This Row],[VEHICULOS_ACCIDENTADOS]:[VEHICULOS_ACCIDENTADOS2]],"CAMION")</f>
        <v>0</v>
      </c>
      <c r="AA603" s="36">
        <f>COUNTIF(Tabla1[[#This Row],[VEHICULOS_ACCIDENTADOS]:[VEHICULOS_ACCIDENTADOS2]],"TRACTOCAMION")</f>
        <v>0</v>
      </c>
      <c r="AB603" s="36">
        <f>COUNTIF(Tabla1[[#This Row],[VEHICULOS_ACCIDENTADOS]:[VEHICULOS_ACCIDENTADOS2]],"VOLQUETA")</f>
        <v>0</v>
      </c>
      <c r="AC603" s="36">
        <f>COUNTIF(Tabla1[[#This Row],[VEHICULOS_ACCIDENTADOS]:[VEHICULOS_ACCIDENTADOS2]],"BICICLETA")</f>
        <v>0</v>
      </c>
      <c r="AD603" s="188" t="s">
        <v>471</v>
      </c>
      <c r="AE603" s="188" t="s">
        <v>472</v>
      </c>
      <c r="AF603" s="56">
        <f>COUNTIF(Tabla1[[#This Row],[GENERO_MASCULINO]:[GENERO_FEMENINO]],"MASCULINO")</f>
        <v>1</v>
      </c>
      <c r="AG603" s="36">
        <f>COUNTIF(Tabla1[[#This Row],[GENERO_MASCULINO]:[GENERO_FEMENINO]],"FEMENINO")</f>
        <v>1</v>
      </c>
      <c r="AH603" s="85">
        <v>19</v>
      </c>
      <c r="AI603" s="85">
        <v>28</v>
      </c>
      <c r="AJ603" s="85"/>
      <c r="AK603" s="78"/>
      <c r="AL603" s="78"/>
      <c r="AM603" s="59"/>
      <c r="AN603" s="61">
        <v>139</v>
      </c>
      <c r="AO603" s="59" t="str">
        <f>IFERROR(((VLOOKUP(Tabla1[[#This Row],[HIPOTESIS_1]],listas!$D$1:$E$105,2,FALSE))),"SIN INFORMACIÓN")</f>
        <v>Impericia en el manejo.</v>
      </c>
      <c r="AP603" s="36"/>
      <c r="AQ603" s="36" t="str">
        <f>IFERROR(((VLOOKUP(Tabla1[[#This Row],[HIPOTESIS_2]],listas!$D$1:$E$105,2,FALSE))),"")</f>
        <v/>
      </c>
      <c r="AR603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604" spans="1:44" x14ac:dyDescent="0.25">
      <c r="A604" s="12">
        <v>100</v>
      </c>
      <c r="B604" s="36">
        <v>1</v>
      </c>
      <c r="C604" s="36">
        <v>0</v>
      </c>
      <c r="D604" s="60">
        <v>0</v>
      </c>
      <c r="E604" s="18" t="str">
        <f t="shared" si="36"/>
        <v>SOLO DAÑO</v>
      </c>
      <c r="F604" s="29" t="s">
        <v>898</v>
      </c>
      <c r="G604" s="17">
        <v>5.3334111111111104</v>
      </c>
      <c r="H604" s="17">
        <v>-72.399258333333336</v>
      </c>
      <c r="I604" s="93" t="s">
        <v>697</v>
      </c>
      <c r="J604" s="36" t="s">
        <v>717</v>
      </c>
      <c r="K604" s="24" t="str">
        <f t="shared" si="37"/>
        <v>2022</v>
      </c>
      <c r="L604" s="24" t="str">
        <f t="shared" si="38"/>
        <v>MARZO</v>
      </c>
      <c r="M604" s="225">
        <v>44646</v>
      </c>
      <c r="N604" s="24" t="str">
        <f t="shared" si="39"/>
        <v>SÁBADO</v>
      </c>
      <c r="O604" s="103">
        <v>0.67708333333333337</v>
      </c>
      <c r="P604" s="63" t="s">
        <v>447</v>
      </c>
      <c r="Q604" s="63" t="s">
        <v>447</v>
      </c>
      <c r="R604" s="36">
        <f>COUNTIF(Tabla1[[#This Row],[VEHICULOS_ACCIDENTADOS]:[VEHICULOS_ACCIDENTADOS2]],"MOTOCICLETA")</f>
        <v>0</v>
      </c>
      <c r="S604" s="36">
        <f>COUNTIF(Tabla1[[#This Row],[VEHICULOS_ACCIDENTADOS]:[VEHICULOS_ACCIDENTADOS2]],"MOTOCARRO")</f>
        <v>0</v>
      </c>
      <c r="T604" s="36">
        <f>COUNTIF(Tabla1[[#This Row],[VEHICULOS_ACCIDENTADOS]:[VEHICULOS_ACCIDENTADOS2]],"AUTOMOVIL")</f>
        <v>2</v>
      </c>
      <c r="U604" s="36">
        <f>COUNTIF(Tabla1[[#This Row],[VEHICULOS_ACCIDENTADOS]:[VEHICULOS_ACCIDENTADOS2]],"CAMPERO")</f>
        <v>0</v>
      </c>
      <c r="V604" s="36">
        <f>COUNTIF(Tabla1[[#This Row],[VEHICULOS_ACCIDENTADOS]:[VEHICULOS_ACCIDENTADOS2]],"CAMIONETA")</f>
        <v>0</v>
      </c>
      <c r="W604" s="36">
        <f>COUNTIF(Tabla1[[#This Row],[VEHICULOS_ACCIDENTADOS]:[VEHICULOS_ACCIDENTADOS2]],"MICROBUS")</f>
        <v>0</v>
      </c>
      <c r="X604" s="36">
        <f>COUNTIF(Tabla1[[#This Row],[VEHICULOS_ACCIDENTADOS]:[VEHICULOS_ACCIDENTADOS2]],"BUS")</f>
        <v>0</v>
      </c>
      <c r="Y604" s="36">
        <f>COUNTIF(Tabla1[[#This Row],[VEHICULOS_ACCIDENTADOS]:[VEHICULOS_ACCIDENTADOS2]],"BUSETA")</f>
        <v>0</v>
      </c>
      <c r="Z604" s="36">
        <f>COUNTIF(Tabla1[[#This Row],[VEHICULOS_ACCIDENTADOS]:[VEHICULOS_ACCIDENTADOS2]],"CAMION")</f>
        <v>0</v>
      </c>
      <c r="AA604" s="36">
        <f>COUNTIF(Tabla1[[#This Row],[VEHICULOS_ACCIDENTADOS]:[VEHICULOS_ACCIDENTADOS2]],"TRACTOCAMION")</f>
        <v>0</v>
      </c>
      <c r="AB604" s="36">
        <f>COUNTIF(Tabla1[[#This Row],[VEHICULOS_ACCIDENTADOS]:[VEHICULOS_ACCIDENTADOS2]],"VOLQUETA")</f>
        <v>0</v>
      </c>
      <c r="AC604" s="36">
        <f>COUNTIF(Tabla1[[#This Row],[VEHICULOS_ACCIDENTADOS]:[VEHICULOS_ACCIDENTADOS2]],"BICICLETA")</f>
        <v>0</v>
      </c>
      <c r="AD604" s="56"/>
      <c r="AE604" s="56" t="s">
        <v>472</v>
      </c>
      <c r="AF604" s="56">
        <f>COUNTIF(Tabla1[[#This Row],[GENERO_MASCULINO]:[GENERO_FEMENINO]],"MASCULINO")</f>
        <v>0</v>
      </c>
      <c r="AG604" s="36">
        <f>COUNTIF(Tabla1[[#This Row],[GENERO_MASCULINO]:[GENERO_FEMENINO]],"FEMENINO")</f>
        <v>1</v>
      </c>
      <c r="AH604" s="61"/>
      <c r="AI604" s="61"/>
      <c r="AJ604" s="78"/>
      <c r="AK604" s="78"/>
      <c r="AL604" s="78"/>
      <c r="AM604" s="36"/>
      <c r="AN604" s="61">
        <v>106</v>
      </c>
      <c r="AO604" s="36" t="str">
        <f>IFERROR(((VLOOKUP(Tabla1[[#This Row],[HIPOTESIS_1]],listas!$D$1:$E$105,2,FALSE))),"SIN INFORMACIÓN")</f>
        <v>Adelantar invadiendo carril del mismo sentido en ZigZag</v>
      </c>
      <c r="AP604" s="36"/>
      <c r="AQ604" s="36" t="str">
        <f>IFERROR(((VLOOKUP(Tabla1[[#This Row],[HIPOTESIS_2]],listas!$D$1:$E$105,2,FALSE))),"")</f>
        <v/>
      </c>
      <c r="AR604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605" spans="1:44" x14ac:dyDescent="0.25">
      <c r="A605" s="12">
        <v>402</v>
      </c>
      <c r="B605" s="36">
        <v>0</v>
      </c>
      <c r="C605" s="36">
        <v>1</v>
      </c>
      <c r="D605" s="60">
        <v>0</v>
      </c>
      <c r="E605" s="18" t="str">
        <f t="shared" si="36"/>
        <v>LESIONADO</v>
      </c>
      <c r="F605" s="29" t="s">
        <v>1050</v>
      </c>
      <c r="G605" s="21">
        <v>5.333882222222222</v>
      </c>
      <c r="H605" s="21">
        <v>-72.399435833333342</v>
      </c>
      <c r="I605" s="93" t="s">
        <v>697</v>
      </c>
      <c r="J605" s="36" t="s">
        <v>717</v>
      </c>
      <c r="K605" s="24" t="str">
        <f t="shared" si="37"/>
        <v>2023</v>
      </c>
      <c r="L605" s="24" t="str">
        <f t="shared" si="38"/>
        <v>FEBRERO</v>
      </c>
      <c r="M605" s="225">
        <v>44962</v>
      </c>
      <c r="N605" s="24" t="str">
        <f t="shared" si="39"/>
        <v>DOMINGO</v>
      </c>
      <c r="O605" s="103">
        <v>0.90972222222222199</v>
      </c>
      <c r="P605" s="57" t="s">
        <v>469</v>
      </c>
      <c r="Q605" s="57" t="s">
        <v>447</v>
      </c>
      <c r="R605" s="36">
        <f>COUNTIF(Tabla1[[#This Row],[VEHICULOS_ACCIDENTADOS]:[VEHICULOS_ACCIDENTADOS2]],"MOTOCICLETA")</f>
        <v>1</v>
      </c>
      <c r="S605" s="36">
        <f>COUNTIF(Tabla1[[#This Row],[VEHICULOS_ACCIDENTADOS]:[VEHICULOS_ACCIDENTADOS2]],"MOTOCARRO")</f>
        <v>0</v>
      </c>
      <c r="T605" s="36">
        <f>COUNTIF(Tabla1[[#This Row],[VEHICULOS_ACCIDENTADOS]:[VEHICULOS_ACCIDENTADOS2]],"AUTOMOVIL")</f>
        <v>1</v>
      </c>
      <c r="U605" s="36">
        <f>COUNTIF(Tabla1[[#This Row],[VEHICULOS_ACCIDENTADOS]:[VEHICULOS_ACCIDENTADOS2]],"CAMPERO")</f>
        <v>0</v>
      </c>
      <c r="V605" s="36">
        <f>COUNTIF(Tabla1[[#This Row],[VEHICULOS_ACCIDENTADOS]:[VEHICULOS_ACCIDENTADOS2]],"CAMIONETA")</f>
        <v>0</v>
      </c>
      <c r="W605" s="36">
        <f>COUNTIF(Tabla1[[#This Row],[VEHICULOS_ACCIDENTADOS]:[VEHICULOS_ACCIDENTADOS2]],"MICROBUS")</f>
        <v>0</v>
      </c>
      <c r="X605" s="36">
        <f>COUNTIF(Tabla1[[#This Row],[VEHICULOS_ACCIDENTADOS]:[VEHICULOS_ACCIDENTADOS2]],"BUS")</f>
        <v>0</v>
      </c>
      <c r="Y605" s="36">
        <f>COUNTIF(Tabla1[[#This Row],[VEHICULOS_ACCIDENTADOS]:[VEHICULOS_ACCIDENTADOS2]],"BUSETA")</f>
        <v>0</v>
      </c>
      <c r="Z605" s="36">
        <f>COUNTIF(Tabla1[[#This Row],[VEHICULOS_ACCIDENTADOS]:[VEHICULOS_ACCIDENTADOS2]],"CAMION")</f>
        <v>0</v>
      </c>
      <c r="AA605" s="36">
        <f>COUNTIF(Tabla1[[#This Row],[VEHICULOS_ACCIDENTADOS]:[VEHICULOS_ACCIDENTADOS2]],"TRACTOCAMION")</f>
        <v>0</v>
      </c>
      <c r="AB605" s="36">
        <f>COUNTIF(Tabla1[[#This Row],[VEHICULOS_ACCIDENTADOS]:[VEHICULOS_ACCIDENTADOS2]],"VOLQUETA")</f>
        <v>0</v>
      </c>
      <c r="AC605" s="36">
        <f>COUNTIF(Tabla1[[#This Row],[VEHICULOS_ACCIDENTADOS]:[VEHICULOS_ACCIDENTADOS2]],"BICICLETA")</f>
        <v>0</v>
      </c>
      <c r="AD605" s="56"/>
      <c r="AE605" s="56" t="s">
        <v>472</v>
      </c>
      <c r="AF605" s="56">
        <f>COUNTIF(Tabla1[[#This Row],[GENERO_MASCULINO]:[GENERO_FEMENINO]],"MASCULINO")</f>
        <v>0</v>
      </c>
      <c r="AG605" s="36">
        <f>COUNTIF(Tabla1[[#This Row],[GENERO_MASCULINO]:[GENERO_FEMENINO]],"FEMENINO")</f>
        <v>1</v>
      </c>
      <c r="AH605" s="61">
        <v>17</v>
      </c>
      <c r="AI605" s="61"/>
      <c r="AJ605" s="61"/>
      <c r="AK605" s="61"/>
      <c r="AL605" s="61"/>
      <c r="AM605" s="36"/>
      <c r="AN605" s="61">
        <v>122</v>
      </c>
      <c r="AO605" s="36" t="str">
        <f>IFERROR(((VLOOKUP(Tabla1[[#This Row],[HIPOTESIS_1]],listas!$D$1:$E$105,2,FALSE))),"SIN INFORMACIÓN")</f>
        <v>Girar bruscamente.</v>
      </c>
      <c r="AP605" s="36"/>
      <c r="AQ605" s="36" t="str">
        <f>IFERROR(((VLOOKUP(Tabla1[[#This Row],[HIPOTESIS_2]],listas!$D$1:$E$105,2,FALSE))),"")</f>
        <v/>
      </c>
      <c r="AR605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606" spans="1:44" x14ac:dyDescent="0.25">
      <c r="A606" s="12">
        <v>851</v>
      </c>
      <c r="B606" s="136">
        <v>1</v>
      </c>
      <c r="C606" s="136">
        <v>0</v>
      </c>
      <c r="D606" s="149">
        <v>0</v>
      </c>
      <c r="E606" s="18" t="str">
        <f t="shared" si="36"/>
        <v>SOLO DAÑO</v>
      </c>
      <c r="F606" s="26" t="s">
        <v>1053</v>
      </c>
      <c r="G606" s="17">
        <v>5.3440349999999999</v>
      </c>
      <c r="H606" s="17">
        <v>-72.397409999999994</v>
      </c>
      <c r="I606" s="93" t="s">
        <v>697</v>
      </c>
      <c r="J606" s="36" t="s">
        <v>717</v>
      </c>
      <c r="K606" s="24" t="str">
        <f t="shared" si="37"/>
        <v>2024</v>
      </c>
      <c r="L606" s="24" t="str">
        <f t="shared" si="38"/>
        <v>DICIEMBRE</v>
      </c>
      <c r="M606" s="224">
        <v>45653</v>
      </c>
      <c r="N606" s="24" t="str">
        <f t="shared" si="39"/>
        <v>VIERNES</v>
      </c>
      <c r="O606" s="104">
        <v>7.6388888888888895E-2</v>
      </c>
      <c r="P606" s="178" t="s">
        <v>447</v>
      </c>
      <c r="Q606" s="178" t="s">
        <v>447</v>
      </c>
      <c r="R606" s="36">
        <f>COUNTIF(Tabla1[[#This Row],[VEHICULOS_ACCIDENTADOS]:[VEHICULOS_ACCIDENTADOS2]],"MOTOCICLETA")</f>
        <v>0</v>
      </c>
      <c r="S606" s="36">
        <f>COUNTIF(Tabla1[[#This Row],[VEHICULOS_ACCIDENTADOS]:[VEHICULOS_ACCIDENTADOS2]],"MOTOCARRO")</f>
        <v>0</v>
      </c>
      <c r="T606" s="36">
        <f>COUNTIF(Tabla1[[#This Row],[VEHICULOS_ACCIDENTADOS]:[VEHICULOS_ACCIDENTADOS2]],"AUTOMOVIL")</f>
        <v>2</v>
      </c>
      <c r="U606" s="36">
        <f>COUNTIF(Tabla1[[#This Row],[VEHICULOS_ACCIDENTADOS]:[VEHICULOS_ACCIDENTADOS2]],"CAMPERO")</f>
        <v>0</v>
      </c>
      <c r="V606" s="36">
        <f>COUNTIF(Tabla1[[#This Row],[VEHICULOS_ACCIDENTADOS]:[VEHICULOS_ACCIDENTADOS2]],"CAMIONETA")</f>
        <v>0</v>
      </c>
      <c r="W606" s="36">
        <f>COUNTIF(Tabla1[[#This Row],[VEHICULOS_ACCIDENTADOS]:[VEHICULOS_ACCIDENTADOS2]],"MICROBUS")</f>
        <v>0</v>
      </c>
      <c r="X606" s="36">
        <f>COUNTIF(Tabla1[[#This Row],[VEHICULOS_ACCIDENTADOS]:[VEHICULOS_ACCIDENTADOS2]],"BUS")</f>
        <v>0</v>
      </c>
      <c r="Y606" s="36">
        <f>COUNTIF(Tabla1[[#This Row],[VEHICULOS_ACCIDENTADOS]:[VEHICULOS_ACCIDENTADOS2]],"BUSETA")</f>
        <v>0</v>
      </c>
      <c r="Z606" s="36">
        <f>COUNTIF(Tabla1[[#This Row],[VEHICULOS_ACCIDENTADOS]:[VEHICULOS_ACCIDENTADOS2]],"CAMION")</f>
        <v>0</v>
      </c>
      <c r="AA606" s="36">
        <f>COUNTIF(Tabla1[[#This Row],[VEHICULOS_ACCIDENTADOS]:[VEHICULOS_ACCIDENTADOS2]],"TRACTOCAMION")</f>
        <v>0</v>
      </c>
      <c r="AB606" s="36">
        <f>COUNTIF(Tabla1[[#This Row],[VEHICULOS_ACCIDENTADOS]:[VEHICULOS_ACCIDENTADOS2]],"VOLQUETA")</f>
        <v>0</v>
      </c>
      <c r="AC606" s="36">
        <f>COUNTIF(Tabla1[[#This Row],[VEHICULOS_ACCIDENTADOS]:[VEHICULOS_ACCIDENTADOS2]],"BICICLETA")</f>
        <v>0</v>
      </c>
      <c r="AD606" s="190" t="s">
        <v>471</v>
      </c>
      <c r="AE606" s="190" t="s">
        <v>472</v>
      </c>
      <c r="AF606" s="190">
        <f>COUNTIF(Tabla1[[#This Row],[GENERO_MASCULINO]:[GENERO_FEMENINO]],"MASCULINO")</f>
        <v>1</v>
      </c>
      <c r="AG606" s="36">
        <f>COUNTIF(Tabla1[[#This Row],[GENERO_MASCULINO]:[GENERO_FEMENINO]],"FEMENINO")</f>
        <v>1</v>
      </c>
      <c r="AH606" s="85">
        <v>35</v>
      </c>
      <c r="AI606" s="85">
        <v>33</v>
      </c>
      <c r="AJ606" s="85"/>
      <c r="AK606" s="85"/>
      <c r="AL606" s="85"/>
      <c r="AM606" s="136"/>
      <c r="AN606" s="85">
        <v>157</v>
      </c>
      <c r="AO606" s="36" t="str">
        <f>IFERROR(((VLOOKUP(Tabla1[[#This Row],[HIPOTESIS_1]],listas!$D$1:$E$105,2,FALSE))),"SIN INFORMACIÓN")</f>
        <v>Otra</v>
      </c>
      <c r="AP606" s="136"/>
      <c r="AQ606" s="36" t="str">
        <f>IFERROR(((VLOOKUP(Tabla1[[#This Row],[HIPOTESIS_2]],listas!$D$1:$E$105,2,FALSE))),"")</f>
        <v/>
      </c>
      <c r="AR606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607" spans="1:44" x14ac:dyDescent="0.25">
      <c r="A607" s="12">
        <v>657</v>
      </c>
      <c r="B607" s="135">
        <v>0</v>
      </c>
      <c r="C607" s="136">
        <v>2</v>
      </c>
      <c r="D607" s="148">
        <v>0</v>
      </c>
      <c r="E607" s="18" t="str">
        <f t="shared" si="36"/>
        <v>LESIONADO</v>
      </c>
      <c r="F607" s="26" t="s">
        <v>1053</v>
      </c>
      <c r="G607" s="17">
        <v>5.3440349999999999</v>
      </c>
      <c r="H607" s="17">
        <v>-72.397409999999994</v>
      </c>
      <c r="I607" s="93" t="s">
        <v>697</v>
      </c>
      <c r="J607" s="136" t="s">
        <v>717</v>
      </c>
      <c r="K607" s="24" t="str">
        <f t="shared" si="37"/>
        <v>2024</v>
      </c>
      <c r="L607" s="24" t="str">
        <f t="shared" si="38"/>
        <v>FEBRERO</v>
      </c>
      <c r="M607" s="224">
        <v>45328</v>
      </c>
      <c r="N607" s="24" t="str">
        <f t="shared" si="39"/>
        <v>MARTES</v>
      </c>
      <c r="O607" s="104">
        <v>0.75</v>
      </c>
      <c r="P607" s="178" t="s">
        <v>469</v>
      </c>
      <c r="Q607" s="178" t="s">
        <v>469</v>
      </c>
      <c r="R607" s="36">
        <f>COUNTIF(Tabla1[[#This Row],[VEHICULOS_ACCIDENTADOS]:[VEHICULOS_ACCIDENTADOS2]],"MOTOCICLETA")</f>
        <v>2</v>
      </c>
      <c r="S607" s="36">
        <f>COUNTIF(Tabla1[[#This Row],[VEHICULOS_ACCIDENTADOS]:[VEHICULOS_ACCIDENTADOS2]],"MOTOCARRO")</f>
        <v>0</v>
      </c>
      <c r="T607" s="36">
        <f>COUNTIF(Tabla1[[#This Row],[VEHICULOS_ACCIDENTADOS]:[VEHICULOS_ACCIDENTADOS2]],"AUTOMOVIL")</f>
        <v>0</v>
      </c>
      <c r="U607" s="36">
        <f>COUNTIF(Tabla1[[#This Row],[VEHICULOS_ACCIDENTADOS]:[VEHICULOS_ACCIDENTADOS2]],"CAMPERO")</f>
        <v>0</v>
      </c>
      <c r="V607" s="36">
        <f>COUNTIF(Tabla1[[#This Row],[VEHICULOS_ACCIDENTADOS]:[VEHICULOS_ACCIDENTADOS2]],"CAMIONETA")</f>
        <v>0</v>
      </c>
      <c r="W607" s="36">
        <f>COUNTIF(Tabla1[[#This Row],[VEHICULOS_ACCIDENTADOS]:[VEHICULOS_ACCIDENTADOS2]],"MICROBUS")</f>
        <v>0</v>
      </c>
      <c r="X607" s="36">
        <f>COUNTIF(Tabla1[[#This Row],[VEHICULOS_ACCIDENTADOS]:[VEHICULOS_ACCIDENTADOS2]],"BUS")</f>
        <v>0</v>
      </c>
      <c r="Y607" s="36">
        <f>COUNTIF(Tabla1[[#This Row],[VEHICULOS_ACCIDENTADOS]:[VEHICULOS_ACCIDENTADOS2]],"BUSETA")</f>
        <v>0</v>
      </c>
      <c r="Z607" s="36">
        <f>COUNTIF(Tabla1[[#This Row],[VEHICULOS_ACCIDENTADOS]:[VEHICULOS_ACCIDENTADOS2]],"CAMION")</f>
        <v>0</v>
      </c>
      <c r="AA607" s="36">
        <f>COUNTIF(Tabla1[[#This Row],[VEHICULOS_ACCIDENTADOS]:[VEHICULOS_ACCIDENTADOS2]],"TRACTOCAMION")</f>
        <v>0</v>
      </c>
      <c r="AB607" s="36">
        <f>COUNTIF(Tabla1[[#This Row],[VEHICULOS_ACCIDENTADOS]:[VEHICULOS_ACCIDENTADOS2]],"VOLQUETA")</f>
        <v>0</v>
      </c>
      <c r="AC607" s="36">
        <f>COUNTIF(Tabla1[[#This Row],[VEHICULOS_ACCIDENTADOS]:[VEHICULOS_ACCIDENTADOS2]],"BICICLETA")</f>
        <v>0</v>
      </c>
      <c r="AD607" s="190" t="s">
        <v>471</v>
      </c>
      <c r="AE607" s="190" t="s">
        <v>472</v>
      </c>
      <c r="AF607" s="190">
        <f>COUNTIF(Tabla1[[#This Row],[GENERO_MASCULINO]:[GENERO_FEMENINO]],"MASCULINO")</f>
        <v>1</v>
      </c>
      <c r="AG607" s="36">
        <f>COUNTIF(Tabla1[[#This Row],[GENERO_MASCULINO]:[GENERO_FEMENINO]],"FEMENINO")</f>
        <v>1</v>
      </c>
      <c r="AH607" s="85">
        <v>24</v>
      </c>
      <c r="AI607" s="85">
        <v>0</v>
      </c>
      <c r="AJ607" s="85"/>
      <c r="AK607" s="85"/>
      <c r="AL607" s="85"/>
      <c r="AM607" s="136"/>
      <c r="AN607" s="85">
        <v>121</v>
      </c>
      <c r="AO607" s="36" t="str">
        <f>IFERROR(((VLOOKUP(Tabla1[[#This Row],[HIPOTESIS_1]],listas!$D$1:$E$105,2,FALSE))),"SIN INFORMACIÓN")</f>
        <v>No mantener distancia de seguridad.</v>
      </c>
      <c r="AP607" s="136"/>
      <c r="AQ607" s="36" t="str">
        <f>IFERROR(((VLOOKUP(Tabla1[[#This Row],[HIPOTESIS_2]],listas!$D$1:$E$105,2,FALSE))),"")</f>
        <v/>
      </c>
      <c r="AR607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608" spans="1:44" x14ac:dyDescent="0.25">
      <c r="A608" s="12">
        <v>188</v>
      </c>
      <c r="B608" s="36">
        <v>0</v>
      </c>
      <c r="C608" s="36">
        <v>1</v>
      </c>
      <c r="D608" s="60">
        <v>0</v>
      </c>
      <c r="E608" s="18" t="str">
        <f t="shared" si="36"/>
        <v>LESIONADO</v>
      </c>
      <c r="F608" s="29" t="s">
        <v>1054</v>
      </c>
      <c r="G608" s="17">
        <v>5.3282472222222221</v>
      </c>
      <c r="H608" s="17">
        <v>-72.398072222222225</v>
      </c>
      <c r="I608" s="93" t="s">
        <v>697</v>
      </c>
      <c r="J608" s="36" t="s">
        <v>717</v>
      </c>
      <c r="K608" s="24" t="str">
        <f t="shared" si="37"/>
        <v>2022</v>
      </c>
      <c r="L608" s="24" t="str">
        <f t="shared" si="38"/>
        <v>MAYO</v>
      </c>
      <c r="M608" s="225">
        <v>44700</v>
      </c>
      <c r="N608" s="24" t="str">
        <f t="shared" si="39"/>
        <v>JUEVES</v>
      </c>
      <c r="O608" s="170">
        <v>0.64583333333333304</v>
      </c>
      <c r="P608" s="53" t="s">
        <v>469</v>
      </c>
      <c r="Q608" s="53" t="s">
        <v>447</v>
      </c>
      <c r="R608" s="36">
        <f>COUNTIF(Tabla1[[#This Row],[VEHICULOS_ACCIDENTADOS]:[VEHICULOS_ACCIDENTADOS2]],"MOTOCICLETA")</f>
        <v>1</v>
      </c>
      <c r="S608" s="36">
        <f>COUNTIF(Tabla1[[#This Row],[VEHICULOS_ACCIDENTADOS]:[VEHICULOS_ACCIDENTADOS2]],"MOTOCARRO")</f>
        <v>0</v>
      </c>
      <c r="T608" s="36">
        <f>COUNTIF(Tabla1[[#This Row],[VEHICULOS_ACCIDENTADOS]:[VEHICULOS_ACCIDENTADOS2]],"AUTOMOVIL")</f>
        <v>1</v>
      </c>
      <c r="U608" s="36">
        <f>COUNTIF(Tabla1[[#This Row],[VEHICULOS_ACCIDENTADOS]:[VEHICULOS_ACCIDENTADOS2]],"CAMPERO")</f>
        <v>0</v>
      </c>
      <c r="V608" s="36">
        <f>COUNTIF(Tabla1[[#This Row],[VEHICULOS_ACCIDENTADOS]:[VEHICULOS_ACCIDENTADOS2]],"CAMIONETA")</f>
        <v>0</v>
      </c>
      <c r="W608" s="36">
        <f>COUNTIF(Tabla1[[#This Row],[VEHICULOS_ACCIDENTADOS]:[VEHICULOS_ACCIDENTADOS2]],"MICROBUS")</f>
        <v>0</v>
      </c>
      <c r="X608" s="36">
        <f>COUNTIF(Tabla1[[#This Row],[VEHICULOS_ACCIDENTADOS]:[VEHICULOS_ACCIDENTADOS2]],"BUS")</f>
        <v>0</v>
      </c>
      <c r="Y608" s="36">
        <f>COUNTIF(Tabla1[[#This Row],[VEHICULOS_ACCIDENTADOS]:[VEHICULOS_ACCIDENTADOS2]],"BUSETA")</f>
        <v>0</v>
      </c>
      <c r="Z608" s="36">
        <f>COUNTIF(Tabla1[[#This Row],[VEHICULOS_ACCIDENTADOS]:[VEHICULOS_ACCIDENTADOS2]],"CAMION")</f>
        <v>0</v>
      </c>
      <c r="AA608" s="36">
        <f>COUNTIF(Tabla1[[#This Row],[VEHICULOS_ACCIDENTADOS]:[VEHICULOS_ACCIDENTADOS2]],"TRACTOCAMION")</f>
        <v>0</v>
      </c>
      <c r="AB608" s="36">
        <f>COUNTIF(Tabla1[[#This Row],[VEHICULOS_ACCIDENTADOS]:[VEHICULOS_ACCIDENTADOS2]],"VOLQUETA")</f>
        <v>0</v>
      </c>
      <c r="AC608" s="36">
        <f>COUNTIF(Tabla1[[#This Row],[VEHICULOS_ACCIDENTADOS]:[VEHICULOS_ACCIDENTADOS2]],"BICICLETA")</f>
        <v>0</v>
      </c>
      <c r="AD608" s="56" t="s">
        <v>471</v>
      </c>
      <c r="AE608" s="56"/>
      <c r="AF608" s="56">
        <f>COUNTIF(Tabla1[[#This Row],[GENERO_MASCULINO]:[GENERO_FEMENINO]],"MASCULINO")</f>
        <v>1</v>
      </c>
      <c r="AG608" s="36">
        <f>COUNTIF(Tabla1[[#This Row],[GENERO_MASCULINO]:[GENERO_FEMENINO]],"FEMENINO")</f>
        <v>0</v>
      </c>
      <c r="AH608" s="61">
        <v>20</v>
      </c>
      <c r="AI608" s="61"/>
      <c r="AJ608" s="61"/>
      <c r="AK608" s="61"/>
      <c r="AL608" s="61"/>
      <c r="AM608" s="36"/>
      <c r="AN608" s="61">
        <v>157</v>
      </c>
      <c r="AO608" s="36" t="str">
        <f>IFERROR(((VLOOKUP(Tabla1[[#This Row],[HIPOTESIS_1]],listas!$D$1:$E$105,2,FALSE))),"SIN INFORMACIÓN")</f>
        <v>Otra</v>
      </c>
      <c r="AP608" s="36"/>
      <c r="AQ608" s="36" t="str">
        <f>IFERROR(((VLOOKUP(Tabla1[[#This Row],[HIPOTESIS_2]],listas!$D$1:$E$105,2,FALSE))),"")</f>
        <v/>
      </c>
      <c r="AR608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609" spans="1:44" x14ac:dyDescent="0.25">
      <c r="A609" s="12">
        <v>249</v>
      </c>
      <c r="B609" s="36">
        <v>0</v>
      </c>
      <c r="C609" s="36">
        <v>1</v>
      </c>
      <c r="D609" s="60">
        <v>0</v>
      </c>
      <c r="E609" s="18" t="str">
        <f t="shared" si="36"/>
        <v>LESIONADO</v>
      </c>
      <c r="F609" s="29" t="s">
        <v>1054</v>
      </c>
      <c r="G609" s="17">
        <v>5.3282472222222221</v>
      </c>
      <c r="H609" s="17">
        <v>-72.398072222222225</v>
      </c>
      <c r="I609" s="93" t="s">
        <v>697</v>
      </c>
      <c r="J609" s="36" t="s">
        <v>717</v>
      </c>
      <c r="K609" s="24" t="str">
        <f t="shared" si="37"/>
        <v>2022</v>
      </c>
      <c r="L609" s="24" t="str">
        <f t="shared" si="38"/>
        <v>JULIO</v>
      </c>
      <c r="M609" s="225">
        <v>44754</v>
      </c>
      <c r="N609" s="24" t="str">
        <f t="shared" si="39"/>
        <v>MARTES</v>
      </c>
      <c r="O609" s="170">
        <v>0.54861111111111105</v>
      </c>
      <c r="P609" s="53" t="s">
        <v>447</v>
      </c>
      <c r="Q609" s="53"/>
      <c r="R609" s="36">
        <f>COUNTIF(Tabla1[[#This Row],[VEHICULOS_ACCIDENTADOS]:[VEHICULOS_ACCIDENTADOS2]],"MOTOCICLETA")</f>
        <v>0</v>
      </c>
      <c r="S609" s="36">
        <f>COUNTIF(Tabla1[[#This Row],[VEHICULOS_ACCIDENTADOS]:[VEHICULOS_ACCIDENTADOS2]],"MOTOCARRO")</f>
        <v>0</v>
      </c>
      <c r="T609" s="36">
        <f>COUNTIF(Tabla1[[#This Row],[VEHICULOS_ACCIDENTADOS]:[VEHICULOS_ACCIDENTADOS2]],"AUTOMOVIL")</f>
        <v>1</v>
      </c>
      <c r="U609" s="36">
        <f>COUNTIF(Tabla1[[#This Row],[VEHICULOS_ACCIDENTADOS]:[VEHICULOS_ACCIDENTADOS2]],"CAMPERO")</f>
        <v>0</v>
      </c>
      <c r="V609" s="36">
        <f>COUNTIF(Tabla1[[#This Row],[VEHICULOS_ACCIDENTADOS]:[VEHICULOS_ACCIDENTADOS2]],"CAMIONETA")</f>
        <v>0</v>
      </c>
      <c r="W609" s="36">
        <f>COUNTIF(Tabla1[[#This Row],[VEHICULOS_ACCIDENTADOS]:[VEHICULOS_ACCIDENTADOS2]],"MICROBUS")</f>
        <v>0</v>
      </c>
      <c r="X609" s="36">
        <f>COUNTIF(Tabla1[[#This Row],[VEHICULOS_ACCIDENTADOS]:[VEHICULOS_ACCIDENTADOS2]],"BUS")</f>
        <v>0</v>
      </c>
      <c r="Y609" s="36">
        <f>COUNTIF(Tabla1[[#This Row],[VEHICULOS_ACCIDENTADOS]:[VEHICULOS_ACCIDENTADOS2]],"BUSETA")</f>
        <v>0</v>
      </c>
      <c r="Z609" s="36">
        <f>COUNTIF(Tabla1[[#This Row],[VEHICULOS_ACCIDENTADOS]:[VEHICULOS_ACCIDENTADOS2]],"CAMION")</f>
        <v>0</v>
      </c>
      <c r="AA609" s="36">
        <f>COUNTIF(Tabla1[[#This Row],[VEHICULOS_ACCIDENTADOS]:[VEHICULOS_ACCIDENTADOS2]],"TRACTOCAMION")</f>
        <v>0</v>
      </c>
      <c r="AB609" s="36">
        <f>COUNTIF(Tabla1[[#This Row],[VEHICULOS_ACCIDENTADOS]:[VEHICULOS_ACCIDENTADOS2]],"VOLQUETA")</f>
        <v>0</v>
      </c>
      <c r="AC609" s="36">
        <f>COUNTIF(Tabla1[[#This Row],[VEHICULOS_ACCIDENTADOS]:[VEHICULOS_ACCIDENTADOS2]],"BICICLETA")</f>
        <v>0</v>
      </c>
      <c r="AD609" s="56" t="s">
        <v>471</v>
      </c>
      <c r="AE609" s="56"/>
      <c r="AF609" s="56">
        <f>COUNTIF(Tabla1[[#This Row],[GENERO_MASCULINO]:[GENERO_FEMENINO]],"MASCULINO")</f>
        <v>1</v>
      </c>
      <c r="AG609" s="36">
        <f>COUNTIF(Tabla1[[#This Row],[GENERO_MASCULINO]:[GENERO_FEMENINO]],"FEMENINO")</f>
        <v>0</v>
      </c>
      <c r="AH609" s="61"/>
      <c r="AI609" s="61"/>
      <c r="AJ609" s="78"/>
      <c r="AK609" s="61"/>
      <c r="AL609" s="61"/>
      <c r="AM609" s="36"/>
      <c r="AN609" s="61">
        <v>157</v>
      </c>
      <c r="AO609" s="36" t="str">
        <f>IFERROR(((VLOOKUP(Tabla1[[#This Row],[HIPOTESIS_1]],listas!$D$1:$E$105,2,FALSE))),"SIN INFORMACIÓN")</f>
        <v>Otra</v>
      </c>
      <c r="AP609" s="36"/>
      <c r="AQ609" s="36" t="str">
        <f>IFERROR(((VLOOKUP(Tabla1[[#This Row],[HIPOTESIS_2]],listas!$D$1:$E$105,2,FALSE))),"")</f>
        <v/>
      </c>
      <c r="AR609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610" spans="1:44" x14ac:dyDescent="0.25">
      <c r="A610" s="12">
        <v>232</v>
      </c>
      <c r="B610" s="36">
        <v>0</v>
      </c>
      <c r="C610" s="36">
        <v>1</v>
      </c>
      <c r="D610" s="60">
        <v>0</v>
      </c>
      <c r="E610" s="18" t="str">
        <f t="shared" si="36"/>
        <v>LESIONADO</v>
      </c>
      <c r="F610" s="29" t="s">
        <v>1055</v>
      </c>
      <c r="G610" s="17">
        <v>5.3187705555555551</v>
      </c>
      <c r="H610" s="17">
        <v>-72.395789722222233</v>
      </c>
      <c r="I610" s="93" t="s">
        <v>697</v>
      </c>
      <c r="J610" s="36" t="s">
        <v>717</v>
      </c>
      <c r="K610" s="24" t="str">
        <f t="shared" si="37"/>
        <v>2022</v>
      </c>
      <c r="L610" s="24" t="str">
        <f t="shared" si="38"/>
        <v>JUNIO</v>
      </c>
      <c r="M610" s="225">
        <v>44736</v>
      </c>
      <c r="N610" s="24" t="str">
        <f t="shared" si="39"/>
        <v>VIERNES</v>
      </c>
      <c r="O610" s="170">
        <v>0.95833333333333337</v>
      </c>
      <c r="P610" s="53" t="s">
        <v>447</v>
      </c>
      <c r="Q610" s="53"/>
      <c r="R610" s="36">
        <f>COUNTIF(Tabla1[[#This Row],[VEHICULOS_ACCIDENTADOS]:[VEHICULOS_ACCIDENTADOS2]],"MOTOCICLETA")</f>
        <v>0</v>
      </c>
      <c r="S610" s="36">
        <f>COUNTIF(Tabla1[[#This Row],[VEHICULOS_ACCIDENTADOS]:[VEHICULOS_ACCIDENTADOS2]],"MOTOCARRO")</f>
        <v>0</v>
      </c>
      <c r="T610" s="36">
        <f>COUNTIF(Tabla1[[#This Row],[VEHICULOS_ACCIDENTADOS]:[VEHICULOS_ACCIDENTADOS2]],"AUTOMOVIL")</f>
        <v>1</v>
      </c>
      <c r="U610" s="36">
        <f>COUNTIF(Tabla1[[#This Row],[VEHICULOS_ACCIDENTADOS]:[VEHICULOS_ACCIDENTADOS2]],"CAMPERO")</f>
        <v>0</v>
      </c>
      <c r="V610" s="36">
        <f>COUNTIF(Tabla1[[#This Row],[VEHICULOS_ACCIDENTADOS]:[VEHICULOS_ACCIDENTADOS2]],"CAMIONETA")</f>
        <v>0</v>
      </c>
      <c r="W610" s="36">
        <f>COUNTIF(Tabla1[[#This Row],[VEHICULOS_ACCIDENTADOS]:[VEHICULOS_ACCIDENTADOS2]],"MICROBUS")</f>
        <v>0</v>
      </c>
      <c r="X610" s="36">
        <f>COUNTIF(Tabla1[[#This Row],[VEHICULOS_ACCIDENTADOS]:[VEHICULOS_ACCIDENTADOS2]],"BUS")</f>
        <v>0</v>
      </c>
      <c r="Y610" s="36">
        <f>COUNTIF(Tabla1[[#This Row],[VEHICULOS_ACCIDENTADOS]:[VEHICULOS_ACCIDENTADOS2]],"BUSETA")</f>
        <v>0</v>
      </c>
      <c r="Z610" s="36">
        <f>COUNTIF(Tabla1[[#This Row],[VEHICULOS_ACCIDENTADOS]:[VEHICULOS_ACCIDENTADOS2]],"CAMION")</f>
        <v>0</v>
      </c>
      <c r="AA610" s="36">
        <f>COUNTIF(Tabla1[[#This Row],[VEHICULOS_ACCIDENTADOS]:[VEHICULOS_ACCIDENTADOS2]],"TRACTOCAMION")</f>
        <v>0</v>
      </c>
      <c r="AB610" s="36">
        <f>COUNTIF(Tabla1[[#This Row],[VEHICULOS_ACCIDENTADOS]:[VEHICULOS_ACCIDENTADOS2]],"VOLQUETA")</f>
        <v>0</v>
      </c>
      <c r="AC610" s="36">
        <f>COUNTIF(Tabla1[[#This Row],[VEHICULOS_ACCIDENTADOS]:[VEHICULOS_ACCIDENTADOS2]],"BICICLETA")</f>
        <v>0</v>
      </c>
      <c r="AD610" s="56" t="s">
        <v>471</v>
      </c>
      <c r="AE610" s="56"/>
      <c r="AF610" s="56">
        <f>COUNTIF(Tabla1[[#This Row],[GENERO_MASCULINO]:[GENERO_FEMENINO]],"MASCULINO")</f>
        <v>1</v>
      </c>
      <c r="AG610" s="36">
        <f>COUNTIF(Tabla1[[#This Row],[GENERO_MASCULINO]:[GENERO_FEMENINO]],"FEMENINO")</f>
        <v>0</v>
      </c>
      <c r="AH610" s="61">
        <v>26</v>
      </c>
      <c r="AI610" s="61"/>
      <c r="AJ610" s="61"/>
      <c r="AK610" s="61"/>
      <c r="AL610" s="61"/>
      <c r="AM610" s="36"/>
      <c r="AN610" s="61">
        <v>409</v>
      </c>
      <c r="AO610" s="36" t="str">
        <f>IFERROR(((VLOOKUP(Tabla1[[#This Row],[HIPOTESIS_1]],listas!$D$1:$E$105,2,FALSE))),"SIN INFORMACIÓN")</f>
        <v>Cruzar sin observar.</v>
      </c>
      <c r="AP610" s="36"/>
      <c r="AQ610" s="36" t="str">
        <f>IFERROR(((VLOOKUP(Tabla1[[#This Row],[HIPOTESIS_2]],listas!$D$1:$E$105,2,FALSE))),"")</f>
        <v/>
      </c>
      <c r="AR610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611" spans="1:44" x14ac:dyDescent="0.25">
      <c r="A611" s="12">
        <v>939</v>
      </c>
      <c r="B611" s="135">
        <v>1</v>
      </c>
      <c r="C611" s="136">
        <v>0</v>
      </c>
      <c r="D611" s="149">
        <v>0</v>
      </c>
      <c r="E611" s="18" t="str">
        <f t="shared" si="36"/>
        <v>SOLO DAÑO</v>
      </c>
      <c r="F611" s="26" t="s">
        <v>42</v>
      </c>
      <c r="G611" s="20">
        <v>5.3204250000000002</v>
      </c>
      <c r="H611" s="20">
        <v>-72.395482000000001</v>
      </c>
      <c r="I611" s="93" t="s">
        <v>697</v>
      </c>
      <c r="J611" s="136" t="s">
        <v>717</v>
      </c>
      <c r="K611" s="24" t="str">
        <f t="shared" si="37"/>
        <v>2025</v>
      </c>
      <c r="L611" s="24" t="str">
        <f t="shared" si="38"/>
        <v>ABRIL</v>
      </c>
      <c r="M611" s="224">
        <v>45763</v>
      </c>
      <c r="N611" s="24" t="str">
        <f t="shared" si="39"/>
        <v>MIÉRCOLES</v>
      </c>
      <c r="O611" s="104">
        <v>0.15277777777777776</v>
      </c>
      <c r="P611" s="136" t="s">
        <v>469</v>
      </c>
      <c r="Q611" s="136" t="s">
        <v>469</v>
      </c>
      <c r="R611" s="36">
        <f>COUNTIF(Tabla1[[#This Row],[VEHICULOS_ACCIDENTADOS]:[VEHICULOS_ACCIDENTADOS2]],"MOTOCICLETA")</f>
        <v>2</v>
      </c>
      <c r="S611" s="36">
        <f>COUNTIF(Tabla1[[#This Row],[VEHICULOS_ACCIDENTADOS]:[VEHICULOS_ACCIDENTADOS2]],"MOTOCARRO")</f>
        <v>0</v>
      </c>
      <c r="T611" s="36">
        <f>COUNTIF(Tabla1[[#This Row],[VEHICULOS_ACCIDENTADOS]:[VEHICULOS_ACCIDENTADOS2]],"AUTOMOVIL")</f>
        <v>0</v>
      </c>
      <c r="U611" s="36">
        <f>COUNTIF(Tabla1[[#This Row],[VEHICULOS_ACCIDENTADOS]:[VEHICULOS_ACCIDENTADOS2]],"CAMPERO")</f>
        <v>0</v>
      </c>
      <c r="V611" s="36">
        <f>COUNTIF(Tabla1[[#This Row],[VEHICULOS_ACCIDENTADOS]:[VEHICULOS_ACCIDENTADOS2]],"CAMIONETA")</f>
        <v>0</v>
      </c>
      <c r="W611" s="36">
        <f>COUNTIF(Tabla1[[#This Row],[VEHICULOS_ACCIDENTADOS]:[VEHICULOS_ACCIDENTADOS2]],"MICROBUS")</f>
        <v>0</v>
      </c>
      <c r="X611" s="36">
        <f>COUNTIF(Tabla1[[#This Row],[VEHICULOS_ACCIDENTADOS]:[VEHICULOS_ACCIDENTADOS2]],"BUS")</f>
        <v>0</v>
      </c>
      <c r="Y611" s="36">
        <f>COUNTIF(Tabla1[[#This Row],[VEHICULOS_ACCIDENTADOS]:[VEHICULOS_ACCIDENTADOS2]],"BUSETA")</f>
        <v>0</v>
      </c>
      <c r="Z611" s="36">
        <f>COUNTIF(Tabla1[[#This Row],[VEHICULOS_ACCIDENTADOS]:[VEHICULOS_ACCIDENTADOS2]],"CAMION")</f>
        <v>0</v>
      </c>
      <c r="AA611" s="36">
        <f>COUNTIF(Tabla1[[#This Row],[VEHICULOS_ACCIDENTADOS]:[VEHICULOS_ACCIDENTADOS2]],"TRACTOCAMION")</f>
        <v>0</v>
      </c>
      <c r="AB611" s="36">
        <f>COUNTIF(Tabla1[[#This Row],[VEHICULOS_ACCIDENTADOS]:[VEHICULOS_ACCIDENTADOS2]],"VOLQUETA")</f>
        <v>0</v>
      </c>
      <c r="AC611" s="36">
        <f>COUNTIF(Tabla1[[#This Row],[VEHICULOS_ACCIDENTADOS]:[VEHICULOS_ACCIDENTADOS2]],"BICICLETA")</f>
        <v>0</v>
      </c>
      <c r="AD611" s="190" t="s">
        <v>471</v>
      </c>
      <c r="AE611" s="190" t="s">
        <v>471</v>
      </c>
      <c r="AF611" s="190">
        <f>COUNTIF(Tabla1[[#This Row],[GENERO_MASCULINO]:[GENERO_FEMENINO]],"MASCULINO")</f>
        <v>2</v>
      </c>
      <c r="AG611" s="36">
        <f>COUNTIF(Tabla1[[#This Row],[GENERO_MASCULINO]:[GENERO_FEMENINO]],"FEMENINO")</f>
        <v>0</v>
      </c>
      <c r="AH611" s="85">
        <v>36</v>
      </c>
      <c r="AI611" s="85"/>
      <c r="AJ611" s="85"/>
      <c r="AK611" s="78"/>
      <c r="AL611" s="78"/>
      <c r="AM611" s="59"/>
      <c r="AN611" s="85">
        <v>139</v>
      </c>
      <c r="AO611" s="36" t="str">
        <f>IFERROR(((VLOOKUP(Tabla1[[#This Row],[HIPOTESIS_1]],listas!$D$1:$E$105,2,FALSE))),"SIN INFORMACIÓN")</f>
        <v>Impericia en el manejo.</v>
      </c>
      <c r="AP611" s="36"/>
      <c r="AQ611" s="36" t="str">
        <f>IFERROR(((VLOOKUP(Tabla1[[#This Row],[HIPOTESIS_2]],listas!$D$1:$E$105,2,FALSE))),"")</f>
        <v/>
      </c>
      <c r="AR611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612" spans="1:44" x14ac:dyDescent="0.25">
      <c r="A612" s="12">
        <v>957</v>
      </c>
      <c r="B612" s="136">
        <v>0</v>
      </c>
      <c r="C612" s="136">
        <v>2</v>
      </c>
      <c r="D612" s="148">
        <v>0</v>
      </c>
      <c r="E612" s="18" t="str">
        <f t="shared" si="36"/>
        <v>LESIONADO</v>
      </c>
      <c r="F612" s="26" t="s">
        <v>29</v>
      </c>
      <c r="G612" s="25">
        <v>5.3380450000000002</v>
      </c>
      <c r="H612" s="25">
        <v>-72.401452000000006</v>
      </c>
      <c r="I612" s="93" t="s">
        <v>697</v>
      </c>
      <c r="J612" s="135" t="s">
        <v>717</v>
      </c>
      <c r="K612" s="24" t="str">
        <f t="shared" si="37"/>
        <v>2025</v>
      </c>
      <c r="L612" s="24" t="str">
        <f t="shared" si="38"/>
        <v>MAYO</v>
      </c>
      <c r="M612" s="224">
        <v>45782</v>
      </c>
      <c r="N612" s="24" t="str">
        <f t="shared" si="39"/>
        <v>LUNES</v>
      </c>
      <c r="O612" s="104">
        <v>0.78472222222222221</v>
      </c>
      <c r="P612" s="63" t="s">
        <v>469</v>
      </c>
      <c r="Q612" s="63" t="s">
        <v>445</v>
      </c>
      <c r="R612" s="36">
        <f>COUNTIF(Tabla1[[#This Row],[VEHICULOS_ACCIDENTADOS]:[VEHICULOS_ACCIDENTADOS2]],"MOTOCICLETA")</f>
        <v>1</v>
      </c>
      <c r="S612" s="36">
        <f>COUNTIF(Tabla1[[#This Row],[VEHICULOS_ACCIDENTADOS]:[VEHICULOS_ACCIDENTADOS2]],"MOTOCARRO")</f>
        <v>0</v>
      </c>
      <c r="T612" s="36">
        <f>COUNTIF(Tabla1[[#This Row],[VEHICULOS_ACCIDENTADOS]:[VEHICULOS_ACCIDENTADOS2]],"AUTOMOVIL")</f>
        <v>0</v>
      </c>
      <c r="U612" s="36">
        <f>COUNTIF(Tabla1[[#This Row],[VEHICULOS_ACCIDENTADOS]:[VEHICULOS_ACCIDENTADOS2]],"CAMPERO")</f>
        <v>0</v>
      </c>
      <c r="V612" s="36">
        <f>COUNTIF(Tabla1[[#This Row],[VEHICULOS_ACCIDENTADOS]:[VEHICULOS_ACCIDENTADOS2]],"CAMIONETA")</f>
        <v>1</v>
      </c>
      <c r="W612" s="36">
        <f>COUNTIF(Tabla1[[#This Row],[VEHICULOS_ACCIDENTADOS]:[VEHICULOS_ACCIDENTADOS2]],"MICROBUS")</f>
        <v>0</v>
      </c>
      <c r="X612" s="36">
        <f>COUNTIF(Tabla1[[#This Row],[VEHICULOS_ACCIDENTADOS]:[VEHICULOS_ACCIDENTADOS2]],"BUS")</f>
        <v>0</v>
      </c>
      <c r="Y612" s="36">
        <f>COUNTIF(Tabla1[[#This Row],[VEHICULOS_ACCIDENTADOS]:[VEHICULOS_ACCIDENTADOS2]],"BUSETA")</f>
        <v>0</v>
      </c>
      <c r="Z612" s="36">
        <f>COUNTIF(Tabla1[[#This Row],[VEHICULOS_ACCIDENTADOS]:[VEHICULOS_ACCIDENTADOS2]],"CAMION")</f>
        <v>0</v>
      </c>
      <c r="AA612" s="36">
        <f>COUNTIF(Tabla1[[#This Row],[VEHICULOS_ACCIDENTADOS]:[VEHICULOS_ACCIDENTADOS2]],"TRACTOCAMION")</f>
        <v>0</v>
      </c>
      <c r="AB612" s="36">
        <f>COUNTIF(Tabla1[[#This Row],[VEHICULOS_ACCIDENTADOS]:[VEHICULOS_ACCIDENTADOS2]],"VOLQUETA")</f>
        <v>0</v>
      </c>
      <c r="AC612" s="36">
        <f>COUNTIF(Tabla1[[#This Row],[VEHICULOS_ACCIDENTADOS]:[VEHICULOS_ACCIDENTADOS2]],"BICICLETA")</f>
        <v>0</v>
      </c>
      <c r="AD612" s="56" t="s">
        <v>472</v>
      </c>
      <c r="AE612" s="56" t="s">
        <v>471</v>
      </c>
      <c r="AF612" s="56">
        <f>COUNTIF(Tabla1[[#This Row],[GENERO_MASCULINO]:[GENERO_FEMENINO]],"MASCULINO")</f>
        <v>1</v>
      </c>
      <c r="AG612" s="36">
        <f>COUNTIF(Tabla1[[#This Row],[GENERO_MASCULINO]:[GENERO_FEMENINO]],"FEMENINO")</f>
        <v>1</v>
      </c>
      <c r="AH612" s="85">
        <v>24</v>
      </c>
      <c r="AI612" s="85">
        <v>51</v>
      </c>
      <c r="AJ612" s="85">
        <v>25</v>
      </c>
      <c r="AK612" s="85"/>
      <c r="AL612" s="78"/>
      <c r="AM612" s="59"/>
      <c r="AN612" s="85">
        <v>112</v>
      </c>
      <c r="AO612" s="36" t="str">
        <f>IFERROR(((VLOOKUP(Tabla1[[#This Row],[HIPOTESIS_1]],listas!$D$1:$E$105,2,FALSE))),"SIN INFORMACIÓN")</f>
        <v>Desobedecer señales o normas de tránsito.</v>
      </c>
      <c r="AP612" s="36"/>
      <c r="AQ612" s="36" t="str">
        <f>IFERROR(((VLOOKUP(Tabla1[[#This Row],[HIPOTESIS_2]],listas!$D$1:$E$105,2,FALSE))),"")</f>
        <v/>
      </c>
      <c r="AR612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613" spans="1:44" x14ac:dyDescent="0.25">
      <c r="A613" s="12">
        <v>979</v>
      </c>
      <c r="B613" s="137">
        <v>0</v>
      </c>
      <c r="C613" s="137">
        <v>2</v>
      </c>
      <c r="D613" s="146">
        <v>0</v>
      </c>
      <c r="E613" s="18" t="str">
        <f t="shared" si="36"/>
        <v>LESIONADO</v>
      </c>
      <c r="F613" s="152" t="s">
        <v>17</v>
      </c>
      <c r="G613" s="30">
        <v>5.3306310000000003</v>
      </c>
      <c r="H613" s="30">
        <v>-72.398572000000001</v>
      </c>
      <c r="I613" s="93" t="s">
        <v>697</v>
      </c>
      <c r="J613" s="36" t="s">
        <v>717</v>
      </c>
      <c r="K613" s="24" t="str">
        <f t="shared" si="37"/>
        <v>2025</v>
      </c>
      <c r="L613" s="24" t="str">
        <f t="shared" si="38"/>
        <v>JUNIO</v>
      </c>
      <c r="M613" s="228">
        <v>45813</v>
      </c>
      <c r="N613" s="24" t="str">
        <f t="shared" si="39"/>
        <v>JUEVES</v>
      </c>
      <c r="O613" s="103">
        <v>0.85416666666666663</v>
      </c>
      <c r="P613" s="63" t="s">
        <v>469</v>
      </c>
      <c r="Q613" s="63" t="s">
        <v>438</v>
      </c>
      <c r="R613" s="36">
        <f>COUNTIF(Tabla1[[#This Row],[VEHICULOS_ACCIDENTADOS]:[VEHICULOS_ACCIDENTADOS2]],"MOTOCICLETA")</f>
        <v>1</v>
      </c>
      <c r="S613" s="36">
        <f>COUNTIF(Tabla1[[#This Row],[VEHICULOS_ACCIDENTADOS]:[VEHICULOS_ACCIDENTADOS2]],"MOTOCARRO")</f>
        <v>0</v>
      </c>
      <c r="T613" s="36">
        <f>COUNTIF(Tabla1[[#This Row],[VEHICULOS_ACCIDENTADOS]:[VEHICULOS_ACCIDENTADOS2]],"AUTOMOVIL")</f>
        <v>0</v>
      </c>
      <c r="U613" s="36">
        <f>COUNTIF(Tabla1[[#This Row],[VEHICULOS_ACCIDENTADOS]:[VEHICULOS_ACCIDENTADOS2]],"CAMPERO")</f>
        <v>0</v>
      </c>
      <c r="V613" s="36">
        <f>COUNTIF(Tabla1[[#This Row],[VEHICULOS_ACCIDENTADOS]:[VEHICULOS_ACCIDENTADOS2]],"CAMIONETA")</f>
        <v>0</v>
      </c>
      <c r="W613" s="36">
        <f>COUNTIF(Tabla1[[#This Row],[VEHICULOS_ACCIDENTADOS]:[VEHICULOS_ACCIDENTADOS2]],"MICROBUS")</f>
        <v>0</v>
      </c>
      <c r="X613" s="36">
        <f>COUNTIF(Tabla1[[#This Row],[VEHICULOS_ACCIDENTADOS]:[VEHICULOS_ACCIDENTADOS2]],"BUS")</f>
        <v>0</v>
      </c>
      <c r="Y613" s="36">
        <f>COUNTIF(Tabla1[[#This Row],[VEHICULOS_ACCIDENTADOS]:[VEHICULOS_ACCIDENTADOS2]],"BUSETA")</f>
        <v>0</v>
      </c>
      <c r="Z613" s="36">
        <f>COUNTIF(Tabla1[[#This Row],[VEHICULOS_ACCIDENTADOS]:[VEHICULOS_ACCIDENTADOS2]],"CAMION")</f>
        <v>0</v>
      </c>
      <c r="AA613" s="36">
        <f>COUNTIF(Tabla1[[#This Row],[VEHICULOS_ACCIDENTADOS]:[VEHICULOS_ACCIDENTADOS2]],"TRACTOCAMION")</f>
        <v>0</v>
      </c>
      <c r="AB613" s="36">
        <f>COUNTIF(Tabla1[[#This Row],[VEHICULOS_ACCIDENTADOS]:[VEHICULOS_ACCIDENTADOS2]],"VOLQUETA")</f>
        <v>0</v>
      </c>
      <c r="AC613" s="36">
        <f>COUNTIF(Tabla1[[#This Row],[VEHICULOS_ACCIDENTADOS]:[VEHICULOS_ACCIDENTADOS2]],"BICICLETA")</f>
        <v>1</v>
      </c>
      <c r="AD613" s="56" t="s">
        <v>471</v>
      </c>
      <c r="AE613" s="56" t="s">
        <v>471</v>
      </c>
      <c r="AF613" s="56">
        <f>COUNTIF(Tabla1[[#This Row],[GENERO_MASCULINO]:[GENERO_FEMENINO]],"MASCULINO")</f>
        <v>2</v>
      </c>
      <c r="AG613" s="36">
        <f>COUNTIF(Tabla1[[#This Row],[GENERO_MASCULINO]:[GENERO_FEMENINO]],"FEMENINO")</f>
        <v>0</v>
      </c>
      <c r="AH613" s="85">
        <v>23</v>
      </c>
      <c r="AI613" s="85">
        <v>58</v>
      </c>
      <c r="AJ613" s="85"/>
      <c r="AK613" s="78"/>
      <c r="AL613" s="78"/>
      <c r="AM613" s="59"/>
      <c r="AN613" s="61">
        <v>112</v>
      </c>
      <c r="AO613" s="36" t="str">
        <f>IFERROR(((VLOOKUP(Tabla1[[#This Row],[HIPOTESIS_1]],listas!$D$1:$E$105,2,FALSE))),"SIN INFORMACIÓN")</f>
        <v>Desobedecer señales o normas de tránsito.</v>
      </c>
      <c r="AP613" s="36"/>
      <c r="AQ613" s="36" t="str">
        <f>IFERROR(((VLOOKUP(Tabla1[[#This Row],[HIPOTESIS_2]],listas!$D$1:$E$105,2,FALSE))),"")</f>
        <v/>
      </c>
      <c r="AR613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614" spans="1:44" x14ac:dyDescent="0.25">
      <c r="A614" s="12">
        <v>218</v>
      </c>
      <c r="B614" s="36">
        <v>1</v>
      </c>
      <c r="C614" s="36">
        <v>0</v>
      </c>
      <c r="D614" s="60">
        <v>0</v>
      </c>
      <c r="E614" s="18" t="str">
        <f t="shared" si="36"/>
        <v>SOLO DAÑO</v>
      </c>
      <c r="F614" s="29" t="s">
        <v>355</v>
      </c>
      <c r="G614" s="17">
        <v>5.3249527777777779</v>
      </c>
      <c r="H614" s="17">
        <v>-72.397247222222234</v>
      </c>
      <c r="I614" s="93" t="s">
        <v>697</v>
      </c>
      <c r="J614" s="36" t="s">
        <v>717</v>
      </c>
      <c r="K614" s="24" t="str">
        <f t="shared" si="37"/>
        <v>2022</v>
      </c>
      <c r="L614" s="24" t="str">
        <f t="shared" si="38"/>
        <v>JUNIO</v>
      </c>
      <c r="M614" s="225">
        <v>44728</v>
      </c>
      <c r="N614" s="24" t="str">
        <f t="shared" si="39"/>
        <v>JUEVES</v>
      </c>
      <c r="O614" s="170">
        <v>0.44444444444444442</v>
      </c>
      <c r="P614" s="53" t="s">
        <v>469</v>
      </c>
      <c r="Q614" s="53" t="s">
        <v>447</v>
      </c>
      <c r="R614" s="36">
        <f>COUNTIF(Tabla1[[#This Row],[VEHICULOS_ACCIDENTADOS]:[VEHICULOS_ACCIDENTADOS2]],"MOTOCICLETA")</f>
        <v>1</v>
      </c>
      <c r="S614" s="36">
        <f>COUNTIF(Tabla1[[#This Row],[VEHICULOS_ACCIDENTADOS]:[VEHICULOS_ACCIDENTADOS2]],"MOTOCARRO")</f>
        <v>0</v>
      </c>
      <c r="T614" s="36">
        <f>COUNTIF(Tabla1[[#This Row],[VEHICULOS_ACCIDENTADOS]:[VEHICULOS_ACCIDENTADOS2]],"AUTOMOVIL")</f>
        <v>1</v>
      </c>
      <c r="U614" s="36">
        <f>COUNTIF(Tabla1[[#This Row],[VEHICULOS_ACCIDENTADOS]:[VEHICULOS_ACCIDENTADOS2]],"CAMPERO")</f>
        <v>0</v>
      </c>
      <c r="V614" s="36">
        <f>COUNTIF(Tabla1[[#This Row],[VEHICULOS_ACCIDENTADOS]:[VEHICULOS_ACCIDENTADOS2]],"CAMIONETA")</f>
        <v>0</v>
      </c>
      <c r="W614" s="36">
        <f>COUNTIF(Tabla1[[#This Row],[VEHICULOS_ACCIDENTADOS]:[VEHICULOS_ACCIDENTADOS2]],"MICROBUS")</f>
        <v>0</v>
      </c>
      <c r="X614" s="36">
        <f>COUNTIF(Tabla1[[#This Row],[VEHICULOS_ACCIDENTADOS]:[VEHICULOS_ACCIDENTADOS2]],"BUS")</f>
        <v>0</v>
      </c>
      <c r="Y614" s="36">
        <f>COUNTIF(Tabla1[[#This Row],[VEHICULOS_ACCIDENTADOS]:[VEHICULOS_ACCIDENTADOS2]],"BUSETA")</f>
        <v>0</v>
      </c>
      <c r="Z614" s="36">
        <f>COUNTIF(Tabla1[[#This Row],[VEHICULOS_ACCIDENTADOS]:[VEHICULOS_ACCIDENTADOS2]],"CAMION")</f>
        <v>0</v>
      </c>
      <c r="AA614" s="36">
        <f>COUNTIF(Tabla1[[#This Row],[VEHICULOS_ACCIDENTADOS]:[VEHICULOS_ACCIDENTADOS2]],"TRACTOCAMION")</f>
        <v>0</v>
      </c>
      <c r="AB614" s="36">
        <f>COUNTIF(Tabla1[[#This Row],[VEHICULOS_ACCIDENTADOS]:[VEHICULOS_ACCIDENTADOS2]],"VOLQUETA")</f>
        <v>0</v>
      </c>
      <c r="AC614" s="36">
        <f>COUNTIF(Tabla1[[#This Row],[VEHICULOS_ACCIDENTADOS]:[VEHICULOS_ACCIDENTADOS2]],"BICICLETA")</f>
        <v>0</v>
      </c>
      <c r="AD614" s="56" t="s">
        <v>471</v>
      </c>
      <c r="AE614" s="56"/>
      <c r="AF614" s="56">
        <f>COUNTIF(Tabla1[[#This Row],[GENERO_MASCULINO]:[GENERO_FEMENINO]],"MASCULINO")</f>
        <v>1</v>
      </c>
      <c r="AG614" s="36">
        <f>COUNTIF(Tabla1[[#This Row],[GENERO_MASCULINO]:[GENERO_FEMENINO]],"FEMENINO")</f>
        <v>0</v>
      </c>
      <c r="AH614" s="61"/>
      <c r="AI614" s="61"/>
      <c r="AJ614" s="61"/>
      <c r="AK614" s="61"/>
      <c r="AL614" s="61"/>
      <c r="AM614" s="36"/>
      <c r="AN614" s="61">
        <v>121</v>
      </c>
      <c r="AO614" s="36" t="str">
        <f>IFERROR(((VLOOKUP(Tabla1[[#This Row],[HIPOTESIS_1]],listas!$D$1:$E$105,2,FALSE))),"SIN INFORMACIÓN")</f>
        <v>No mantener distancia de seguridad.</v>
      </c>
      <c r="AP614" s="36"/>
      <c r="AQ614" s="36" t="str">
        <f>IFERROR(((VLOOKUP(Tabla1[[#This Row],[HIPOTESIS_2]],listas!$D$1:$E$105,2,FALSE))),"")</f>
        <v/>
      </c>
      <c r="AR614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615" spans="1:44" ht="15" x14ac:dyDescent="0.25">
      <c r="A615" s="12">
        <v>85</v>
      </c>
      <c r="B615" s="36">
        <v>0</v>
      </c>
      <c r="C615" s="36">
        <v>0</v>
      </c>
      <c r="D615" s="60">
        <v>1</v>
      </c>
      <c r="E615" s="18" t="str">
        <f t="shared" si="36"/>
        <v>FALLECIDO</v>
      </c>
      <c r="F615" s="29" t="s">
        <v>409</v>
      </c>
      <c r="G615" s="17">
        <v>5.3396363888888887</v>
      </c>
      <c r="H615" s="17">
        <v>-72.392344444444447</v>
      </c>
      <c r="I615" s="93" t="s">
        <v>697</v>
      </c>
      <c r="J615" s="36" t="s">
        <v>717</v>
      </c>
      <c r="K615" s="24" t="str">
        <f t="shared" si="37"/>
        <v>2022</v>
      </c>
      <c r="L615" s="24" t="str">
        <f t="shared" si="38"/>
        <v>MARZO</v>
      </c>
      <c r="M615" s="225">
        <v>44633</v>
      </c>
      <c r="N615" s="24" t="str">
        <f t="shared" si="39"/>
        <v>DOMINGO</v>
      </c>
      <c r="O615" s="103">
        <v>0.54861111111111105</v>
      </c>
      <c r="P615" s="63" t="s">
        <v>447</v>
      </c>
      <c r="Q615" s="63" t="s">
        <v>438</v>
      </c>
      <c r="R615" s="36">
        <f>COUNTIF(Tabla1[[#This Row],[VEHICULOS_ACCIDENTADOS]:[VEHICULOS_ACCIDENTADOS2]],"MOTOCICLETA")</f>
        <v>0</v>
      </c>
      <c r="S615" s="36">
        <f>COUNTIF(Tabla1[[#This Row],[VEHICULOS_ACCIDENTADOS]:[VEHICULOS_ACCIDENTADOS2]],"MOTOCARRO")</f>
        <v>0</v>
      </c>
      <c r="T615" s="36">
        <f>COUNTIF(Tabla1[[#This Row],[VEHICULOS_ACCIDENTADOS]:[VEHICULOS_ACCIDENTADOS2]],"AUTOMOVIL")</f>
        <v>1</v>
      </c>
      <c r="U615" s="36">
        <f>COUNTIF(Tabla1[[#This Row],[VEHICULOS_ACCIDENTADOS]:[VEHICULOS_ACCIDENTADOS2]],"CAMPERO")</f>
        <v>0</v>
      </c>
      <c r="V615" s="36">
        <f>COUNTIF(Tabla1[[#This Row],[VEHICULOS_ACCIDENTADOS]:[VEHICULOS_ACCIDENTADOS2]],"CAMIONETA")</f>
        <v>0</v>
      </c>
      <c r="W615" s="36">
        <f>COUNTIF(Tabla1[[#This Row],[VEHICULOS_ACCIDENTADOS]:[VEHICULOS_ACCIDENTADOS2]],"MICROBUS")</f>
        <v>0</v>
      </c>
      <c r="X615" s="36">
        <f>COUNTIF(Tabla1[[#This Row],[VEHICULOS_ACCIDENTADOS]:[VEHICULOS_ACCIDENTADOS2]],"BUS")</f>
        <v>0</v>
      </c>
      <c r="Y615" s="36">
        <f>COUNTIF(Tabla1[[#This Row],[VEHICULOS_ACCIDENTADOS]:[VEHICULOS_ACCIDENTADOS2]],"BUSETA")</f>
        <v>0</v>
      </c>
      <c r="Z615" s="36">
        <f>COUNTIF(Tabla1[[#This Row],[VEHICULOS_ACCIDENTADOS]:[VEHICULOS_ACCIDENTADOS2]],"CAMION")</f>
        <v>0</v>
      </c>
      <c r="AA615" s="36">
        <f>COUNTIF(Tabla1[[#This Row],[VEHICULOS_ACCIDENTADOS]:[VEHICULOS_ACCIDENTADOS2]],"TRACTOCAMION")</f>
        <v>0</v>
      </c>
      <c r="AB615" s="36">
        <f>COUNTIF(Tabla1[[#This Row],[VEHICULOS_ACCIDENTADOS]:[VEHICULOS_ACCIDENTADOS2]],"VOLQUETA")</f>
        <v>0</v>
      </c>
      <c r="AC615" s="36">
        <f>COUNTIF(Tabla1[[#This Row],[VEHICULOS_ACCIDENTADOS]:[VEHICULOS_ACCIDENTADOS2]],"BICICLETA")</f>
        <v>1</v>
      </c>
      <c r="AD615" s="56" t="s">
        <v>471</v>
      </c>
      <c r="AE615" s="56" t="s">
        <v>472</v>
      </c>
      <c r="AF615" s="56">
        <f>COUNTIF(Tabla1[[#This Row],[GENERO_MASCULINO]:[GENERO_FEMENINO]],"MASCULINO")</f>
        <v>1</v>
      </c>
      <c r="AG615" s="36">
        <f>COUNTIF(Tabla1[[#This Row],[GENERO_MASCULINO]:[GENERO_FEMENINO]],"FEMENINO")</f>
        <v>1</v>
      </c>
      <c r="AH615" s="61"/>
      <c r="AI615" s="61"/>
      <c r="AJ615" s="61"/>
      <c r="AK615" s="61"/>
      <c r="AL615" s="61"/>
      <c r="AM615" s="68">
        <v>59</v>
      </c>
      <c r="AN615" s="61">
        <v>104</v>
      </c>
      <c r="AO615" s="36" t="str">
        <f>IFERROR(((VLOOKUP(Tabla1[[#This Row],[HIPOTESIS_1]],listas!$D$1:$E$105,2,FALSE))),"SIN INFORMACIÓN")</f>
        <v>Adelantar invadiendo carril de sentido contrario.</v>
      </c>
      <c r="AP615" s="36"/>
      <c r="AQ615" s="36" t="str">
        <f>IFERROR(((VLOOKUP(Tabla1[[#This Row],[HIPOTESIS_2]],listas!$D$1:$E$105,2,FALSE))),"")</f>
        <v/>
      </c>
      <c r="AR615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616" spans="1:44" x14ac:dyDescent="0.25">
      <c r="A616" s="12">
        <v>631</v>
      </c>
      <c r="B616" s="36">
        <v>1</v>
      </c>
      <c r="C616" s="36">
        <v>0</v>
      </c>
      <c r="D616" s="60">
        <v>0</v>
      </c>
      <c r="E616" s="18" t="str">
        <f t="shared" si="36"/>
        <v>SOLO DAÑO</v>
      </c>
      <c r="F616" s="29" t="s">
        <v>900</v>
      </c>
      <c r="G616" s="21">
        <v>5.3340861111111106</v>
      </c>
      <c r="H616" s="21">
        <v>-72.398258333333345</v>
      </c>
      <c r="I616" s="93" t="s">
        <v>697</v>
      </c>
      <c r="J616" s="36" t="s">
        <v>717</v>
      </c>
      <c r="K616" s="24" t="str">
        <f t="shared" si="37"/>
        <v>2023</v>
      </c>
      <c r="L616" s="24" t="str">
        <f t="shared" si="38"/>
        <v>DICIEMBRE</v>
      </c>
      <c r="M616" s="225">
        <v>45271</v>
      </c>
      <c r="N616" s="24" t="str">
        <f t="shared" si="39"/>
        <v>LUNES</v>
      </c>
      <c r="O616" s="170">
        <v>5.1388888888888887E-2</v>
      </c>
      <c r="P616" s="57" t="s">
        <v>447</v>
      </c>
      <c r="Q616" s="57" t="s">
        <v>445</v>
      </c>
      <c r="R616" s="36">
        <f>COUNTIF(Tabla1[[#This Row],[VEHICULOS_ACCIDENTADOS]:[VEHICULOS_ACCIDENTADOS2]],"MOTOCICLETA")</f>
        <v>0</v>
      </c>
      <c r="S616" s="36">
        <f>COUNTIF(Tabla1[[#This Row],[VEHICULOS_ACCIDENTADOS]:[VEHICULOS_ACCIDENTADOS2]],"MOTOCARRO")</f>
        <v>0</v>
      </c>
      <c r="T616" s="36">
        <f>COUNTIF(Tabla1[[#This Row],[VEHICULOS_ACCIDENTADOS]:[VEHICULOS_ACCIDENTADOS2]],"AUTOMOVIL")</f>
        <v>1</v>
      </c>
      <c r="U616" s="36">
        <f>COUNTIF(Tabla1[[#This Row],[VEHICULOS_ACCIDENTADOS]:[VEHICULOS_ACCIDENTADOS2]],"CAMPERO")</f>
        <v>0</v>
      </c>
      <c r="V616" s="36">
        <f>COUNTIF(Tabla1[[#This Row],[VEHICULOS_ACCIDENTADOS]:[VEHICULOS_ACCIDENTADOS2]],"CAMIONETA")</f>
        <v>1</v>
      </c>
      <c r="W616" s="36">
        <f>COUNTIF(Tabla1[[#This Row],[VEHICULOS_ACCIDENTADOS]:[VEHICULOS_ACCIDENTADOS2]],"MICROBUS")</f>
        <v>0</v>
      </c>
      <c r="X616" s="36">
        <f>COUNTIF(Tabla1[[#This Row],[VEHICULOS_ACCIDENTADOS]:[VEHICULOS_ACCIDENTADOS2]],"BUS")</f>
        <v>0</v>
      </c>
      <c r="Y616" s="36">
        <f>COUNTIF(Tabla1[[#This Row],[VEHICULOS_ACCIDENTADOS]:[VEHICULOS_ACCIDENTADOS2]],"BUSETA")</f>
        <v>0</v>
      </c>
      <c r="Z616" s="36">
        <f>COUNTIF(Tabla1[[#This Row],[VEHICULOS_ACCIDENTADOS]:[VEHICULOS_ACCIDENTADOS2]],"CAMION")</f>
        <v>0</v>
      </c>
      <c r="AA616" s="36">
        <f>COUNTIF(Tabla1[[#This Row],[VEHICULOS_ACCIDENTADOS]:[VEHICULOS_ACCIDENTADOS2]],"TRACTOCAMION")</f>
        <v>0</v>
      </c>
      <c r="AB616" s="36">
        <f>COUNTIF(Tabla1[[#This Row],[VEHICULOS_ACCIDENTADOS]:[VEHICULOS_ACCIDENTADOS2]],"VOLQUETA")</f>
        <v>0</v>
      </c>
      <c r="AC616" s="36">
        <f>COUNTIF(Tabla1[[#This Row],[VEHICULOS_ACCIDENTADOS]:[VEHICULOS_ACCIDENTADOS2]],"BICICLETA")</f>
        <v>0</v>
      </c>
      <c r="AD616" s="56"/>
      <c r="AE616" s="56" t="s">
        <v>472</v>
      </c>
      <c r="AF616" s="56">
        <f>COUNTIF(Tabla1[[#This Row],[GENERO_MASCULINO]:[GENERO_FEMENINO]],"MASCULINO")</f>
        <v>0</v>
      </c>
      <c r="AG616" s="36">
        <f>COUNTIF(Tabla1[[#This Row],[GENERO_MASCULINO]:[GENERO_FEMENINO]],"FEMENINO")</f>
        <v>1</v>
      </c>
      <c r="AH616" s="61"/>
      <c r="AI616" s="61"/>
      <c r="AJ616" s="61"/>
      <c r="AK616" s="61"/>
      <c r="AL616" s="61"/>
      <c r="AM616" s="36"/>
      <c r="AN616" s="61">
        <v>121</v>
      </c>
      <c r="AO616" s="36" t="str">
        <f>IFERROR(((VLOOKUP(Tabla1[[#This Row],[HIPOTESIS_1]],listas!$D$1:$E$105,2,FALSE))),"SIN INFORMACIÓN")</f>
        <v>No mantener distancia de seguridad.</v>
      </c>
      <c r="AP616" s="36"/>
      <c r="AQ616" s="36" t="str">
        <f>IFERROR(((VLOOKUP(Tabla1[[#This Row],[HIPOTESIS_2]],listas!$D$1:$E$105,2,FALSE))),"")</f>
        <v/>
      </c>
      <c r="AR616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617" spans="1:44" x14ac:dyDescent="0.25">
      <c r="A617" s="12">
        <v>391</v>
      </c>
      <c r="B617" s="36">
        <v>0</v>
      </c>
      <c r="C617" s="36">
        <v>1</v>
      </c>
      <c r="D617" s="60">
        <v>0</v>
      </c>
      <c r="E617" s="18" t="str">
        <f t="shared" si="36"/>
        <v>LESIONADO</v>
      </c>
      <c r="F617" s="29" t="s">
        <v>290</v>
      </c>
      <c r="G617" s="21">
        <v>5.338496666666666</v>
      </c>
      <c r="H617" s="21">
        <v>-72.400572777777782</v>
      </c>
      <c r="I617" s="93" t="s">
        <v>697</v>
      </c>
      <c r="J617" s="36" t="s">
        <v>717</v>
      </c>
      <c r="K617" s="24" t="str">
        <f t="shared" si="37"/>
        <v>2023</v>
      </c>
      <c r="L617" s="24" t="str">
        <f t="shared" si="38"/>
        <v>ENERO</v>
      </c>
      <c r="M617" s="225">
        <v>44946</v>
      </c>
      <c r="N617" s="24" t="str">
        <f t="shared" si="39"/>
        <v>VIERNES</v>
      </c>
      <c r="O617" s="103">
        <v>0.3125</v>
      </c>
      <c r="P617" s="57" t="s">
        <v>469</v>
      </c>
      <c r="Q617" s="57" t="s">
        <v>469</v>
      </c>
      <c r="R617" s="36">
        <f>COUNTIF(Tabla1[[#This Row],[VEHICULOS_ACCIDENTADOS]:[VEHICULOS_ACCIDENTADOS2]],"MOTOCICLETA")</f>
        <v>2</v>
      </c>
      <c r="S617" s="36">
        <f>COUNTIF(Tabla1[[#This Row],[VEHICULOS_ACCIDENTADOS]:[VEHICULOS_ACCIDENTADOS2]],"MOTOCARRO")</f>
        <v>0</v>
      </c>
      <c r="T617" s="36">
        <f>COUNTIF(Tabla1[[#This Row],[VEHICULOS_ACCIDENTADOS]:[VEHICULOS_ACCIDENTADOS2]],"AUTOMOVIL")</f>
        <v>0</v>
      </c>
      <c r="U617" s="36">
        <f>COUNTIF(Tabla1[[#This Row],[VEHICULOS_ACCIDENTADOS]:[VEHICULOS_ACCIDENTADOS2]],"CAMPERO")</f>
        <v>0</v>
      </c>
      <c r="V617" s="36">
        <f>COUNTIF(Tabla1[[#This Row],[VEHICULOS_ACCIDENTADOS]:[VEHICULOS_ACCIDENTADOS2]],"CAMIONETA")</f>
        <v>0</v>
      </c>
      <c r="W617" s="36">
        <f>COUNTIF(Tabla1[[#This Row],[VEHICULOS_ACCIDENTADOS]:[VEHICULOS_ACCIDENTADOS2]],"MICROBUS")</f>
        <v>0</v>
      </c>
      <c r="X617" s="36">
        <f>COUNTIF(Tabla1[[#This Row],[VEHICULOS_ACCIDENTADOS]:[VEHICULOS_ACCIDENTADOS2]],"BUS")</f>
        <v>0</v>
      </c>
      <c r="Y617" s="36">
        <f>COUNTIF(Tabla1[[#This Row],[VEHICULOS_ACCIDENTADOS]:[VEHICULOS_ACCIDENTADOS2]],"BUSETA")</f>
        <v>0</v>
      </c>
      <c r="Z617" s="36">
        <f>COUNTIF(Tabla1[[#This Row],[VEHICULOS_ACCIDENTADOS]:[VEHICULOS_ACCIDENTADOS2]],"CAMION")</f>
        <v>0</v>
      </c>
      <c r="AA617" s="36">
        <f>COUNTIF(Tabla1[[#This Row],[VEHICULOS_ACCIDENTADOS]:[VEHICULOS_ACCIDENTADOS2]],"TRACTOCAMION")</f>
        <v>0</v>
      </c>
      <c r="AB617" s="36">
        <f>COUNTIF(Tabla1[[#This Row],[VEHICULOS_ACCIDENTADOS]:[VEHICULOS_ACCIDENTADOS2]],"VOLQUETA")</f>
        <v>0</v>
      </c>
      <c r="AC617" s="36">
        <f>COUNTIF(Tabla1[[#This Row],[VEHICULOS_ACCIDENTADOS]:[VEHICULOS_ACCIDENTADOS2]],"BICICLETA")</f>
        <v>0</v>
      </c>
      <c r="AD617" s="56" t="s">
        <v>471</v>
      </c>
      <c r="AE617" s="56" t="s">
        <v>472</v>
      </c>
      <c r="AF617" s="56">
        <f>COUNTIF(Tabla1[[#This Row],[GENERO_MASCULINO]:[GENERO_FEMENINO]],"MASCULINO")</f>
        <v>1</v>
      </c>
      <c r="AG617" s="36">
        <f>COUNTIF(Tabla1[[#This Row],[GENERO_MASCULINO]:[GENERO_FEMENINO]],"FEMENINO")</f>
        <v>1</v>
      </c>
      <c r="AH617" s="61">
        <v>31</v>
      </c>
      <c r="AI617" s="61">
        <v>33</v>
      </c>
      <c r="AJ617" s="61"/>
      <c r="AK617" s="61"/>
      <c r="AL617" s="61"/>
      <c r="AM617" s="36"/>
      <c r="AN617" s="61">
        <v>123</v>
      </c>
      <c r="AO617" s="36" t="str">
        <f>IFERROR(((VLOOKUP(Tabla1[[#This Row],[HIPOTESIS_1]],listas!$D$1:$E$105,2,FALSE))),"SIN INFORMACIÓN")</f>
        <v>No respetar prelación de intersecciones o giros.</v>
      </c>
      <c r="AP617" s="36"/>
      <c r="AQ617" s="36" t="str">
        <f>IFERROR(((VLOOKUP(Tabla1[[#This Row],[HIPOTESIS_2]],listas!$D$1:$E$105,2,FALSE))),"")</f>
        <v/>
      </c>
      <c r="AR617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618" spans="1:44" x14ac:dyDescent="0.25">
      <c r="A618" s="12">
        <v>282</v>
      </c>
      <c r="B618" s="36">
        <v>0</v>
      </c>
      <c r="C618" s="36">
        <v>1</v>
      </c>
      <c r="D618" s="60">
        <v>0</v>
      </c>
      <c r="E618" s="18" t="str">
        <f t="shared" si="36"/>
        <v>LESIONADO</v>
      </c>
      <c r="F618" s="29" t="s">
        <v>108</v>
      </c>
      <c r="G618" s="21">
        <v>5.315063888888889</v>
      </c>
      <c r="H618" s="21">
        <v>-72.393892777777779</v>
      </c>
      <c r="I618" s="93" t="s">
        <v>697</v>
      </c>
      <c r="J618" s="36" t="s">
        <v>717</v>
      </c>
      <c r="K618" s="24" t="str">
        <f t="shared" si="37"/>
        <v>2022</v>
      </c>
      <c r="L618" s="24" t="str">
        <f t="shared" si="38"/>
        <v>AGOSTO</v>
      </c>
      <c r="M618" s="225">
        <v>44790</v>
      </c>
      <c r="N618" s="24" t="str">
        <f t="shared" si="39"/>
        <v>MIÉRCOLES</v>
      </c>
      <c r="O618" s="170">
        <v>0.58333333333333304</v>
      </c>
      <c r="P618" s="53" t="s">
        <v>469</v>
      </c>
      <c r="Q618" s="53"/>
      <c r="R618" s="36">
        <f>COUNTIF(Tabla1[[#This Row],[VEHICULOS_ACCIDENTADOS]:[VEHICULOS_ACCIDENTADOS2]],"MOTOCICLETA")</f>
        <v>1</v>
      </c>
      <c r="S618" s="36">
        <f>COUNTIF(Tabla1[[#This Row],[VEHICULOS_ACCIDENTADOS]:[VEHICULOS_ACCIDENTADOS2]],"MOTOCARRO")</f>
        <v>0</v>
      </c>
      <c r="T618" s="36">
        <f>COUNTIF(Tabla1[[#This Row],[VEHICULOS_ACCIDENTADOS]:[VEHICULOS_ACCIDENTADOS2]],"AUTOMOVIL")</f>
        <v>0</v>
      </c>
      <c r="U618" s="36">
        <f>COUNTIF(Tabla1[[#This Row],[VEHICULOS_ACCIDENTADOS]:[VEHICULOS_ACCIDENTADOS2]],"CAMPERO")</f>
        <v>0</v>
      </c>
      <c r="V618" s="36">
        <f>COUNTIF(Tabla1[[#This Row],[VEHICULOS_ACCIDENTADOS]:[VEHICULOS_ACCIDENTADOS2]],"CAMIONETA")</f>
        <v>0</v>
      </c>
      <c r="W618" s="36">
        <f>COUNTIF(Tabla1[[#This Row],[VEHICULOS_ACCIDENTADOS]:[VEHICULOS_ACCIDENTADOS2]],"MICROBUS")</f>
        <v>0</v>
      </c>
      <c r="X618" s="36">
        <f>COUNTIF(Tabla1[[#This Row],[VEHICULOS_ACCIDENTADOS]:[VEHICULOS_ACCIDENTADOS2]],"BUS")</f>
        <v>0</v>
      </c>
      <c r="Y618" s="36">
        <f>COUNTIF(Tabla1[[#This Row],[VEHICULOS_ACCIDENTADOS]:[VEHICULOS_ACCIDENTADOS2]],"BUSETA")</f>
        <v>0</v>
      </c>
      <c r="Z618" s="36">
        <f>COUNTIF(Tabla1[[#This Row],[VEHICULOS_ACCIDENTADOS]:[VEHICULOS_ACCIDENTADOS2]],"CAMION")</f>
        <v>0</v>
      </c>
      <c r="AA618" s="36">
        <f>COUNTIF(Tabla1[[#This Row],[VEHICULOS_ACCIDENTADOS]:[VEHICULOS_ACCIDENTADOS2]],"TRACTOCAMION")</f>
        <v>0</v>
      </c>
      <c r="AB618" s="36">
        <f>COUNTIF(Tabla1[[#This Row],[VEHICULOS_ACCIDENTADOS]:[VEHICULOS_ACCIDENTADOS2]],"VOLQUETA")</f>
        <v>0</v>
      </c>
      <c r="AC618" s="36">
        <f>COUNTIF(Tabla1[[#This Row],[VEHICULOS_ACCIDENTADOS]:[VEHICULOS_ACCIDENTADOS2]],"BICICLETA")</f>
        <v>0</v>
      </c>
      <c r="AD618" s="56" t="s">
        <v>471</v>
      </c>
      <c r="AE618" s="56"/>
      <c r="AF618" s="56">
        <f>COUNTIF(Tabla1[[#This Row],[GENERO_MASCULINO]:[GENERO_FEMENINO]],"MASCULINO")</f>
        <v>1</v>
      </c>
      <c r="AG618" s="36">
        <f>COUNTIF(Tabla1[[#This Row],[GENERO_MASCULINO]:[GENERO_FEMENINO]],"FEMENINO")</f>
        <v>0</v>
      </c>
      <c r="AH618" s="61"/>
      <c r="AI618" s="61"/>
      <c r="AJ618" s="61"/>
      <c r="AK618" s="61">
        <v>35</v>
      </c>
      <c r="AL618" s="61"/>
      <c r="AM618" s="36"/>
      <c r="AN618" s="61">
        <v>404</v>
      </c>
      <c r="AO618" s="36" t="str">
        <f>IFERROR(((VLOOKUP(Tabla1[[#This Row],[HIPOTESIS_1]],listas!$D$1:$E$105,2,FALSE))),"SIN INFORMACIÓN")</f>
        <v>Transitar por la calzada.</v>
      </c>
      <c r="AP618" s="36"/>
      <c r="AQ618" s="36" t="str">
        <f>IFERROR(((VLOOKUP(Tabla1[[#This Row],[HIPOTESIS_2]],listas!$D$1:$E$105,2,FALSE))),"")</f>
        <v/>
      </c>
      <c r="AR618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619" spans="1:44" x14ac:dyDescent="0.25">
      <c r="A619" s="12">
        <v>709</v>
      </c>
      <c r="B619" s="135">
        <v>0</v>
      </c>
      <c r="C619" s="36">
        <v>2</v>
      </c>
      <c r="D619" s="60">
        <v>0</v>
      </c>
      <c r="E619" s="18" t="str">
        <f t="shared" si="36"/>
        <v>LESIONADO</v>
      </c>
      <c r="F619" s="29" t="s">
        <v>108</v>
      </c>
      <c r="G619" s="21">
        <v>5.315063888888889</v>
      </c>
      <c r="H619" s="21">
        <v>-72.393892777777779</v>
      </c>
      <c r="I619" s="93" t="s">
        <v>697</v>
      </c>
      <c r="J619" s="136" t="s">
        <v>717</v>
      </c>
      <c r="K619" s="24" t="str">
        <f t="shared" si="37"/>
        <v>2024</v>
      </c>
      <c r="L619" s="24" t="str">
        <f t="shared" si="38"/>
        <v>MAYO</v>
      </c>
      <c r="M619" s="225">
        <v>45425</v>
      </c>
      <c r="N619" s="24" t="str">
        <f t="shared" si="39"/>
        <v>LUNES</v>
      </c>
      <c r="O619" s="103">
        <v>0.72916666666666663</v>
      </c>
      <c r="P619" s="57" t="s">
        <v>469</v>
      </c>
      <c r="Q619" s="57" t="s">
        <v>441</v>
      </c>
      <c r="R619" s="36">
        <f>COUNTIF(Tabla1[[#This Row],[VEHICULOS_ACCIDENTADOS]:[VEHICULOS_ACCIDENTADOS2]],"MOTOCICLETA")</f>
        <v>1</v>
      </c>
      <c r="S619" s="36">
        <f>COUNTIF(Tabla1[[#This Row],[VEHICULOS_ACCIDENTADOS]:[VEHICULOS_ACCIDENTADOS2]],"MOTOCARRO")</f>
        <v>0</v>
      </c>
      <c r="T619" s="36">
        <f>COUNTIF(Tabla1[[#This Row],[VEHICULOS_ACCIDENTADOS]:[VEHICULOS_ACCIDENTADOS2]],"AUTOMOVIL")</f>
        <v>0</v>
      </c>
      <c r="U619" s="36">
        <f>COUNTIF(Tabla1[[#This Row],[VEHICULOS_ACCIDENTADOS]:[VEHICULOS_ACCIDENTADOS2]],"CAMPERO")</f>
        <v>0</v>
      </c>
      <c r="V619" s="36">
        <f>COUNTIF(Tabla1[[#This Row],[VEHICULOS_ACCIDENTADOS]:[VEHICULOS_ACCIDENTADOS2]],"CAMIONETA")</f>
        <v>0</v>
      </c>
      <c r="W619" s="36">
        <f>COUNTIF(Tabla1[[#This Row],[VEHICULOS_ACCIDENTADOS]:[VEHICULOS_ACCIDENTADOS2]],"MICROBUS")</f>
        <v>0</v>
      </c>
      <c r="X619" s="36">
        <f>COUNTIF(Tabla1[[#This Row],[VEHICULOS_ACCIDENTADOS]:[VEHICULOS_ACCIDENTADOS2]],"BUS")</f>
        <v>0</v>
      </c>
      <c r="Y619" s="36">
        <f>COUNTIF(Tabla1[[#This Row],[VEHICULOS_ACCIDENTADOS]:[VEHICULOS_ACCIDENTADOS2]],"BUSETA")</f>
        <v>0</v>
      </c>
      <c r="Z619" s="36">
        <f>COUNTIF(Tabla1[[#This Row],[VEHICULOS_ACCIDENTADOS]:[VEHICULOS_ACCIDENTADOS2]],"CAMION")</f>
        <v>1</v>
      </c>
      <c r="AA619" s="36">
        <f>COUNTIF(Tabla1[[#This Row],[VEHICULOS_ACCIDENTADOS]:[VEHICULOS_ACCIDENTADOS2]],"TRACTOCAMION")</f>
        <v>0</v>
      </c>
      <c r="AB619" s="36">
        <f>COUNTIF(Tabla1[[#This Row],[VEHICULOS_ACCIDENTADOS]:[VEHICULOS_ACCIDENTADOS2]],"VOLQUETA")</f>
        <v>0</v>
      </c>
      <c r="AC619" s="36">
        <f>COUNTIF(Tabla1[[#This Row],[VEHICULOS_ACCIDENTADOS]:[VEHICULOS_ACCIDENTADOS2]],"BICICLETA")</f>
        <v>0</v>
      </c>
      <c r="AD619" s="56" t="s">
        <v>471</v>
      </c>
      <c r="AE619" s="56" t="s">
        <v>472</v>
      </c>
      <c r="AF619" s="56">
        <f>COUNTIF(Tabla1[[#This Row],[GENERO_MASCULINO]:[GENERO_FEMENINO]],"MASCULINO")</f>
        <v>1</v>
      </c>
      <c r="AG619" s="36">
        <f>COUNTIF(Tabla1[[#This Row],[GENERO_MASCULINO]:[GENERO_FEMENINO]],"FEMENINO")</f>
        <v>1</v>
      </c>
      <c r="AH619" s="61">
        <v>42</v>
      </c>
      <c r="AI619" s="61">
        <v>24</v>
      </c>
      <c r="AJ619" s="61">
        <v>10</v>
      </c>
      <c r="AK619" s="61"/>
      <c r="AL619" s="61"/>
      <c r="AM619" s="36"/>
      <c r="AN619" s="61">
        <v>141</v>
      </c>
      <c r="AO619" s="36" t="str">
        <f>IFERROR(((VLOOKUP(Tabla1[[#This Row],[HIPOTESIS_1]],listas!$D$1:$E$105,2,FALSE))),"SIN INFORMACIÓN")</f>
        <v>Vehículo mal estacionado.</v>
      </c>
      <c r="AP619" s="36"/>
      <c r="AQ619" s="36" t="str">
        <f>IFERROR(((VLOOKUP(Tabla1[[#This Row],[HIPOTESIS_2]],listas!$D$1:$E$105,2,FALSE))),"")</f>
        <v/>
      </c>
      <c r="AR619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620" spans="1:44" x14ac:dyDescent="0.25">
      <c r="A620" s="12">
        <v>454</v>
      </c>
      <c r="B620" s="36">
        <v>0</v>
      </c>
      <c r="C620" s="36">
        <v>2</v>
      </c>
      <c r="D620" s="60">
        <v>0</v>
      </c>
      <c r="E620" s="18" t="str">
        <f t="shared" si="36"/>
        <v>LESIONADO</v>
      </c>
      <c r="F620" s="29" t="s">
        <v>108</v>
      </c>
      <c r="G620" s="21">
        <v>5.315063888888889</v>
      </c>
      <c r="H620" s="21">
        <v>-72.393892777777779</v>
      </c>
      <c r="I620" s="93" t="s">
        <v>697</v>
      </c>
      <c r="J620" s="36" t="s">
        <v>717</v>
      </c>
      <c r="K620" s="24" t="str">
        <f t="shared" si="37"/>
        <v>2023</v>
      </c>
      <c r="L620" s="24" t="str">
        <f t="shared" si="38"/>
        <v>ABRIL</v>
      </c>
      <c r="M620" s="225">
        <v>45036</v>
      </c>
      <c r="N620" s="24" t="str">
        <f t="shared" si="39"/>
        <v>JUEVES</v>
      </c>
      <c r="O620" s="103">
        <v>0.78472222222222221</v>
      </c>
      <c r="P620" s="57" t="s">
        <v>469</v>
      </c>
      <c r="Q620" s="57" t="s">
        <v>469</v>
      </c>
      <c r="R620" s="36">
        <f>COUNTIF(Tabla1[[#This Row],[VEHICULOS_ACCIDENTADOS]:[VEHICULOS_ACCIDENTADOS2]],"MOTOCICLETA")</f>
        <v>2</v>
      </c>
      <c r="S620" s="36">
        <f>COUNTIF(Tabla1[[#This Row],[VEHICULOS_ACCIDENTADOS]:[VEHICULOS_ACCIDENTADOS2]],"MOTOCARRO")</f>
        <v>0</v>
      </c>
      <c r="T620" s="36">
        <f>COUNTIF(Tabla1[[#This Row],[VEHICULOS_ACCIDENTADOS]:[VEHICULOS_ACCIDENTADOS2]],"AUTOMOVIL")</f>
        <v>0</v>
      </c>
      <c r="U620" s="36">
        <f>COUNTIF(Tabla1[[#This Row],[VEHICULOS_ACCIDENTADOS]:[VEHICULOS_ACCIDENTADOS2]],"CAMPERO")</f>
        <v>0</v>
      </c>
      <c r="V620" s="36">
        <f>COUNTIF(Tabla1[[#This Row],[VEHICULOS_ACCIDENTADOS]:[VEHICULOS_ACCIDENTADOS2]],"CAMIONETA")</f>
        <v>0</v>
      </c>
      <c r="W620" s="36">
        <f>COUNTIF(Tabla1[[#This Row],[VEHICULOS_ACCIDENTADOS]:[VEHICULOS_ACCIDENTADOS2]],"MICROBUS")</f>
        <v>0</v>
      </c>
      <c r="X620" s="36">
        <f>COUNTIF(Tabla1[[#This Row],[VEHICULOS_ACCIDENTADOS]:[VEHICULOS_ACCIDENTADOS2]],"BUS")</f>
        <v>0</v>
      </c>
      <c r="Y620" s="36">
        <f>COUNTIF(Tabla1[[#This Row],[VEHICULOS_ACCIDENTADOS]:[VEHICULOS_ACCIDENTADOS2]],"BUSETA")</f>
        <v>0</v>
      </c>
      <c r="Z620" s="36">
        <f>COUNTIF(Tabla1[[#This Row],[VEHICULOS_ACCIDENTADOS]:[VEHICULOS_ACCIDENTADOS2]],"CAMION")</f>
        <v>0</v>
      </c>
      <c r="AA620" s="36">
        <f>COUNTIF(Tabla1[[#This Row],[VEHICULOS_ACCIDENTADOS]:[VEHICULOS_ACCIDENTADOS2]],"TRACTOCAMION")</f>
        <v>0</v>
      </c>
      <c r="AB620" s="36">
        <f>COUNTIF(Tabla1[[#This Row],[VEHICULOS_ACCIDENTADOS]:[VEHICULOS_ACCIDENTADOS2]],"VOLQUETA")</f>
        <v>0</v>
      </c>
      <c r="AC620" s="36">
        <f>COUNTIF(Tabla1[[#This Row],[VEHICULOS_ACCIDENTADOS]:[VEHICULOS_ACCIDENTADOS2]],"BICICLETA")</f>
        <v>0</v>
      </c>
      <c r="AD620" s="56" t="s">
        <v>471</v>
      </c>
      <c r="AE620" s="56"/>
      <c r="AF620" s="56">
        <f>COUNTIF(Tabla1[[#This Row],[GENERO_MASCULINO]:[GENERO_FEMENINO]],"MASCULINO")</f>
        <v>1</v>
      </c>
      <c r="AG620" s="36">
        <f>COUNTIF(Tabla1[[#This Row],[GENERO_MASCULINO]:[GENERO_FEMENINO]],"FEMENINO")</f>
        <v>0</v>
      </c>
      <c r="AH620" s="61">
        <v>24</v>
      </c>
      <c r="AI620" s="61">
        <v>55</v>
      </c>
      <c r="AJ620" s="61"/>
      <c r="AK620" s="61"/>
      <c r="AL620" s="61"/>
      <c r="AM620" s="36"/>
      <c r="AN620" s="61">
        <v>139</v>
      </c>
      <c r="AO620" s="36" t="str">
        <f>IFERROR(((VLOOKUP(Tabla1[[#This Row],[HIPOTESIS_1]],listas!$D$1:$E$105,2,FALSE))),"SIN INFORMACIÓN")</f>
        <v>Impericia en el manejo.</v>
      </c>
      <c r="AP620" s="36"/>
      <c r="AQ620" s="36" t="str">
        <f>IFERROR(((VLOOKUP(Tabla1[[#This Row],[HIPOTESIS_2]],listas!$D$1:$E$105,2,FALSE))),"")</f>
        <v/>
      </c>
      <c r="AR620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621" spans="1:44" x14ac:dyDescent="0.25">
      <c r="A621" s="12">
        <v>627</v>
      </c>
      <c r="B621" s="36">
        <v>0</v>
      </c>
      <c r="C621" s="36">
        <v>1</v>
      </c>
      <c r="D621" s="60">
        <v>0</v>
      </c>
      <c r="E621" s="18" t="str">
        <f t="shared" si="36"/>
        <v>LESIONADO</v>
      </c>
      <c r="F621" s="29" t="s">
        <v>177</v>
      </c>
      <c r="G621" s="21">
        <v>5.3240547222222219</v>
      </c>
      <c r="H621" s="21">
        <v>-72.392741388888894</v>
      </c>
      <c r="I621" s="93" t="s">
        <v>697</v>
      </c>
      <c r="J621" s="36" t="s">
        <v>717</v>
      </c>
      <c r="K621" s="24" t="str">
        <f t="shared" si="37"/>
        <v>2023</v>
      </c>
      <c r="L621" s="24" t="str">
        <f t="shared" si="38"/>
        <v>DICIEMBRE</v>
      </c>
      <c r="M621" s="225">
        <v>45270</v>
      </c>
      <c r="N621" s="24" t="str">
        <f t="shared" si="39"/>
        <v>DOMINGO</v>
      </c>
      <c r="O621" s="103">
        <v>0.22916666666666666</v>
      </c>
      <c r="P621" s="57" t="s">
        <v>469</v>
      </c>
      <c r="Q621" s="57" t="s">
        <v>445</v>
      </c>
      <c r="R621" s="36">
        <f>COUNTIF(Tabla1[[#This Row],[VEHICULOS_ACCIDENTADOS]:[VEHICULOS_ACCIDENTADOS2]],"MOTOCICLETA")</f>
        <v>1</v>
      </c>
      <c r="S621" s="36">
        <f>COUNTIF(Tabla1[[#This Row],[VEHICULOS_ACCIDENTADOS]:[VEHICULOS_ACCIDENTADOS2]],"MOTOCARRO")</f>
        <v>0</v>
      </c>
      <c r="T621" s="36">
        <f>COUNTIF(Tabla1[[#This Row],[VEHICULOS_ACCIDENTADOS]:[VEHICULOS_ACCIDENTADOS2]],"AUTOMOVIL")</f>
        <v>0</v>
      </c>
      <c r="U621" s="36">
        <f>COUNTIF(Tabla1[[#This Row],[VEHICULOS_ACCIDENTADOS]:[VEHICULOS_ACCIDENTADOS2]],"CAMPERO")</f>
        <v>0</v>
      </c>
      <c r="V621" s="36">
        <f>COUNTIF(Tabla1[[#This Row],[VEHICULOS_ACCIDENTADOS]:[VEHICULOS_ACCIDENTADOS2]],"CAMIONETA")</f>
        <v>1</v>
      </c>
      <c r="W621" s="36">
        <f>COUNTIF(Tabla1[[#This Row],[VEHICULOS_ACCIDENTADOS]:[VEHICULOS_ACCIDENTADOS2]],"MICROBUS")</f>
        <v>0</v>
      </c>
      <c r="X621" s="36">
        <f>COUNTIF(Tabla1[[#This Row],[VEHICULOS_ACCIDENTADOS]:[VEHICULOS_ACCIDENTADOS2]],"BUS")</f>
        <v>0</v>
      </c>
      <c r="Y621" s="36">
        <f>COUNTIF(Tabla1[[#This Row],[VEHICULOS_ACCIDENTADOS]:[VEHICULOS_ACCIDENTADOS2]],"BUSETA")</f>
        <v>0</v>
      </c>
      <c r="Z621" s="36">
        <f>COUNTIF(Tabla1[[#This Row],[VEHICULOS_ACCIDENTADOS]:[VEHICULOS_ACCIDENTADOS2]],"CAMION")</f>
        <v>0</v>
      </c>
      <c r="AA621" s="36">
        <f>COUNTIF(Tabla1[[#This Row],[VEHICULOS_ACCIDENTADOS]:[VEHICULOS_ACCIDENTADOS2]],"TRACTOCAMION")</f>
        <v>0</v>
      </c>
      <c r="AB621" s="36">
        <f>COUNTIF(Tabla1[[#This Row],[VEHICULOS_ACCIDENTADOS]:[VEHICULOS_ACCIDENTADOS2]],"VOLQUETA")</f>
        <v>0</v>
      </c>
      <c r="AC621" s="36">
        <f>COUNTIF(Tabla1[[#This Row],[VEHICULOS_ACCIDENTADOS]:[VEHICULOS_ACCIDENTADOS2]],"BICICLETA")</f>
        <v>0</v>
      </c>
      <c r="AD621" s="56"/>
      <c r="AE621" s="56" t="s">
        <v>472</v>
      </c>
      <c r="AF621" s="56">
        <f>COUNTIF(Tabla1[[#This Row],[GENERO_MASCULINO]:[GENERO_FEMENINO]],"MASCULINO")</f>
        <v>0</v>
      </c>
      <c r="AG621" s="36">
        <f>COUNTIF(Tabla1[[#This Row],[GENERO_MASCULINO]:[GENERO_FEMENINO]],"FEMENINO")</f>
        <v>1</v>
      </c>
      <c r="AH621" s="61">
        <v>34</v>
      </c>
      <c r="AI621" s="61"/>
      <c r="AJ621" s="61"/>
      <c r="AK621" s="61"/>
      <c r="AL621" s="61"/>
      <c r="AM621" s="36"/>
      <c r="AN621" s="61">
        <v>157</v>
      </c>
      <c r="AO621" s="36" t="str">
        <f>IFERROR(((VLOOKUP(Tabla1[[#This Row],[HIPOTESIS_1]],listas!$D$1:$E$105,2,FALSE))),"SIN INFORMACIÓN")</f>
        <v>Otra</v>
      </c>
      <c r="AP621" s="36"/>
      <c r="AQ621" s="36" t="str">
        <f>IFERROR(((VLOOKUP(Tabla1[[#This Row],[HIPOTESIS_2]],listas!$D$1:$E$105,2,FALSE))),"")</f>
        <v/>
      </c>
      <c r="AR621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622" spans="1:44" x14ac:dyDescent="0.25">
      <c r="A622" s="12">
        <v>991</v>
      </c>
      <c r="B622" s="137">
        <v>0</v>
      </c>
      <c r="C622" s="137">
        <v>2</v>
      </c>
      <c r="D622" s="146">
        <v>0</v>
      </c>
      <c r="E622" s="18" t="str">
        <f t="shared" si="36"/>
        <v>LESIONADO</v>
      </c>
      <c r="F622" s="152" t="s">
        <v>9</v>
      </c>
      <c r="G622" s="30">
        <v>5.3298909999999999</v>
      </c>
      <c r="H622" s="30">
        <v>-72.395865000000001</v>
      </c>
      <c r="I622" s="93" t="s">
        <v>697</v>
      </c>
      <c r="J622" s="36" t="s">
        <v>717</v>
      </c>
      <c r="K622" s="24" t="str">
        <f t="shared" si="37"/>
        <v>2025</v>
      </c>
      <c r="L622" s="24" t="str">
        <f t="shared" si="38"/>
        <v>JUNIO</v>
      </c>
      <c r="M622" s="227">
        <v>45823</v>
      </c>
      <c r="N622" s="24" t="str">
        <f t="shared" si="39"/>
        <v>DOMINGO</v>
      </c>
      <c r="O622" s="103">
        <v>0.72916666666666663</v>
      </c>
      <c r="P622" s="63" t="s">
        <v>469</v>
      </c>
      <c r="Q622" s="63" t="s">
        <v>469</v>
      </c>
      <c r="R622" s="36">
        <f>COUNTIF(Tabla1[[#This Row],[VEHICULOS_ACCIDENTADOS]:[VEHICULOS_ACCIDENTADOS2]],"MOTOCICLETA")</f>
        <v>2</v>
      </c>
      <c r="S622" s="36">
        <f>COUNTIF(Tabla1[[#This Row],[VEHICULOS_ACCIDENTADOS]:[VEHICULOS_ACCIDENTADOS2]],"MOTOCARRO")</f>
        <v>0</v>
      </c>
      <c r="T622" s="36">
        <f>COUNTIF(Tabla1[[#This Row],[VEHICULOS_ACCIDENTADOS]:[VEHICULOS_ACCIDENTADOS2]],"AUTOMOVIL")</f>
        <v>0</v>
      </c>
      <c r="U622" s="36">
        <f>COUNTIF(Tabla1[[#This Row],[VEHICULOS_ACCIDENTADOS]:[VEHICULOS_ACCIDENTADOS2]],"CAMPERO")</f>
        <v>0</v>
      </c>
      <c r="V622" s="36">
        <f>COUNTIF(Tabla1[[#This Row],[VEHICULOS_ACCIDENTADOS]:[VEHICULOS_ACCIDENTADOS2]],"CAMIONETA")</f>
        <v>0</v>
      </c>
      <c r="W622" s="36">
        <f>COUNTIF(Tabla1[[#This Row],[VEHICULOS_ACCIDENTADOS]:[VEHICULOS_ACCIDENTADOS2]],"MICROBUS")</f>
        <v>0</v>
      </c>
      <c r="X622" s="36">
        <f>COUNTIF(Tabla1[[#This Row],[VEHICULOS_ACCIDENTADOS]:[VEHICULOS_ACCIDENTADOS2]],"BUS")</f>
        <v>0</v>
      </c>
      <c r="Y622" s="36">
        <f>COUNTIF(Tabla1[[#This Row],[VEHICULOS_ACCIDENTADOS]:[VEHICULOS_ACCIDENTADOS2]],"BUSETA")</f>
        <v>0</v>
      </c>
      <c r="Z622" s="36">
        <f>COUNTIF(Tabla1[[#This Row],[VEHICULOS_ACCIDENTADOS]:[VEHICULOS_ACCIDENTADOS2]],"CAMION")</f>
        <v>0</v>
      </c>
      <c r="AA622" s="36">
        <f>COUNTIF(Tabla1[[#This Row],[VEHICULOS_ACCIDENTADOS]:[VEHICULOS_ACCIDENTADOS2]],"TRACTOCAMION")</f>
        <v>0</v>
      </c>
      <c r="AB622" s="36">
        <f>COUNTIF(Tabla1[[#This Row],[VEHICULOS_ACCIDENTADOS]:[VEHICULOS_ACCIDENTADOS2]],"VOLQUETA")</f>
        <v>0</v>
      </c>
      <c r="AC622" s="36">
        <f>COUNTIF(Tabla1[[#This Row],[VEHICULOS_ACCIDENTADOS]:[VEHICULOS_ACCIDENTADOS2]],"BICICLETA")</f>
        <v>0</v>
      </c>
      <c r="AD622" s="56" t="s">
        <v>472</v>
      </c>
      <c r="AE622" s="56" t="s">
        <v>471</v>
      </c>
      <c r="AF622" s="56">
        <f>COUNTIF(Tabla1[[#This Row],[GENERO_MASCULINO]:[GENERO_FEMENINO]],"MASCULINO")</f>
        <v>1</v>
      </c>
      <c r="AG622" s="36">
        <f>COUNTIF(Tabla1[[#This Row],[GENERO_MASCULINO]:[GENERO_FEMENINO]],"FEMENINO")</f>
        <v>1</v>
      </c>
      <c r="AH622" s="85">
        <v>30</v>
      </c>
      <c r="AI622" s="85">
        <v>28</v>
      </c>
      <c r="AJ622" s="85"/>
      <c r="AK622" s="78"/>
      <c r="AL622" s="78"/>
      <c r="AM622" s="59"/>
      <c r="AN622" s="61">
        <v>139</v>
      </c>
      <c r="AO622" s="36" t="str">
        <f>IFERROR(((VLOOKUP(Tabla1[[#This Row],[HIPOTESIS_1]],listas!$D$1:$E$105,2,FALSE))),"SIN INFORMACIÓN")</f>
        <v>Impericia en el manejo.</v>
      </c>
      <c r="AP622" s="36"/>
      <c r="AQ622" s="36" t="str">
        <f>IFERROR(((VLOOKUP(Tabla1[[#This Row],[HIPOTESIS_2]],listas!$D$1:$E$105,2,FALSE))),"")</f>
        <v/>
      </c>
      <c r="AR622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623" spans="1:44" x14ac:dyDescent="0.25">
      <c r="A623" s="12">
        <v>951</v>
      </c>
      <c r="B623" s="135">
        <v>0</v>
      </c>
      <c r="C623" s="135">
        <v>2</v>
      </c>
      <c r="D623" s="148">
        <v>0</v>
      </c>
      <c r="E623" s="18" t="str">
        <f t="shared" si="36"/>
        <v>LESIONADO</v>
      </c>
      <c r="F623" s="28" t="s">
        <v>34</v>
      </c>
      <c r="G623" s="27">
        <v>5.3347170000000004</v>
      </c>
      <c r="H623" s="27">
        <v>-72.397724999999994</v>
      </c>
      <c r="I623" s="93" t="s">
        <v>697</v>
      </c>
      <c r="J623" s="135" t="s">
        <v>717</v>
      </c>
      <c r="K623" s="24" t="str">
        <f t="shared" si="37"/>
        <v>2025</v>
      </c>
      <c r="L623" s="24" t="str">
        <f t="shared" si="38"/>
        <v>ABRIL</v>
      </c>
      <c r="M623" s="226">
        <v>45774</v>
      </c>
      <c r="N623" s="24" t="str">
        <f t="shared" si="39"/>
        <v>DOMINGO</v>
      </c>
      <c r="O623" s="176">
        <v>0.83333333333333337</v>
      </c>
      <c r="P623" s="135" t="s">
        <v>469</v>
      </c>
      <c r="Q623" s="135" t="s">
        <v>469</v>
      </c>
      <c r="R623" s="36">
        <f>COUNTIF(Tabla1[[#This Row],[VEHICULOS_ACCIDENTADOS]:[VEHICULOS_ACCIDENTADOS2]],"MOTOCICLETA")</f>
        <v>2</v>
      </c>
      <c r="S623" s="36">
        <f>COUNTIF(Tabla1[[#This Row],[VEHICULOS_ACCIDENTADOS]:[VEHICULOS_ACCIDENTADOS2]],"MOTOCARRO")</f>
        <v>0</v>
      </c>
      <c r="T623" s="36">
        <f>COUNTIF(Tabla1[[#This Row],[VEHICULOS_ACCIDENTADOS]:[VEHICULOS_ACCIDENTADOS2]],"AUTOMOVIL")</f>
        <v>0</v>
      </c>
      <c r="U623" s="36">
        <f>COUNTIF(Tabla1[[#This Row],[VEHICULOS_ACCIDENTADOS]:[VEHICULOS_ACCIDENTADOS2]],"CAMPERO")</f>
        <v>0</v>
      </c>
      <c r="V623" s="36">
        <f>COUNTIF(Tabla1[[#This Row],[VEHICULOS_ACCIDENTADOS]:[VEHICULOS_ACCIDENTADOS2]],"CAMIONETA")</f>
        <v>0</v>
      </c>
      <c r="W623" s="36">
        <f>COUNTIF(Tabla1[[#This Row],[VEHICULOS_ACCIDENTADOS]:[VEHICULOS_ACCIDENTADOS2]],"MICROBUS")</f>
        <v>0</v>
      </c>
      <c r="X623" s="36">
        <f>COUNTIF(Tabla1[[#This Row],[VEHICULOS_ACCIDENTADOS]:[VEHICULOS_ACCIDENTADOS2]],"BUS")</f>
        <v>0</v>
      </c>
      <c r="Y623" s="36">
        <f>COUNTIF(Tabla1[[#This Row],[VEHICULOS_ACCIDENTADOS]:[VEHICULOS_ACCIDENTADOS2]],"BUSETA")</f>
        <v>0</v>
      </c>
      <c r="Z623" s="36">
        <f>COUNTIF(Tabla1[[#This Row],[VEHICULOS_ACCIDENTADOS]:[VEHICULOS_ACCIDENTADOS2]],"CAMION")</f>
        <v>0</v>
      </c>
      <c r="AA623" s="36">
        <f>COUNTIF(Tabla1[[#This Row],[VEHICULOS_ACCIDENTADOS]:[VEHICULOS_ACCIDENTADOS2]],"TRACTOCAMION")</f>
        <v>0</v>
      </c>
      <c r="AB623" s="36">
        <f>COUNTIF(Tabla1[[#This Row],[VEHICULOS_ACCIDENTADOS]:[VEHICULOS_ACCIDENTADOS2]],"VOLQUETA")</f>
        <v>0</v>
      </c>
      <c r="AC623" s="36">
        <f>COUNTIF(Tabla1[[#This Row],[VEHICULOS_ACCIDENTADOS]:[VEHICULOS_ACCIDENTADOS2]],"BICICLETA")</f>
        <v>0</v>
      </c>
      <c r="AD623" s="191" t="s">
        <v>472</v>
      </c>
      <c r="AE623" s="191" t="s">
        <v>472</v>
      </c>
      <c r="AF623" s="191">
        <f>COUNTIF(Tabla1[[#This Row],[GENERO_MASCULINO]:[GENERO_FEMENINO]],"MASCULINO")</f>
        <v>0</v>
      </c>
      <c r="AG623" s="36">
        <f>COUNTIF(Tabla1[[#This Row],[GENERO_MASCULINO]:[GENERO_FEMENINO]],"FEMENINO")</f>
        <v>2</v>
      </c>
      <c r="AH623" s="197">
        <v>48</v>
      </c>
      <c r="AI623" s="197">
        <v>20</v>
      </c>
      <c r="AJ623" s="85"/>
      <c r="AK623" s="78"/>
      <c r="AL623" s="78"/>
      <c r="AM623" s="59"/>
      <c r="AN623" s="197">
        <v>127</v>
      </c>
      <c r="AO623" s="36" t="str">
        <f>IFERROR(((VLOOKUP(Tabla1[[#This Row],[HIPOTESIS_1]],listas!$D$1:$E$105,2,FALSE))),"SIN INFORMACIÓN")</f>
        <v>Transitar en contravía.</v>
      </c>
      <c r="AP623" s="36"/>
      <c r="AQ623" s="36" t="str">
        <f>IFERROR(((VLOOKUP(Tabla1[[#This Row],[HIPOTESIS_2]],listas!$D$1:$E$105,2,FALSE))),"")</f>
        <v/>
      </c>
      <c r="AR623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624" spans="1:44" x14ac:dyDescent="0.25">
      <c r="A624" s="12">
        <v>152</v>
      </c>
      <c r="B624" s="36">
        <v>1</v>
      </c>
      <c r="C624" s="36">
        <v>0</v>
      </c>
      <c r="D624" s="60">
        <v>0</v>
      </c>
      <c r="E624" s="18" t="str">
        <f t="shared" si="36"/>
        <v>SOLO DAÑO</v>
      </c>
      <c r="F624" s="29" t="s">
        <v>379</v>
      </c>
      <c r="G624" s="17">
        <v>5.3207972222222217</v>
      </c>
      <c r="H624" s="17">
        <v>-72.394088888888902</v>
      </c>
      <c r="I624" s="93" t="s">
        <v>697</v>
      </c>
      <c r="J624" s="36" t="s">
        <v>717</v>
      </c>
      <c r="K624" s="24" t="str">
        <f t="shared" si="37"/>
        <v>2022</v>
      </c>
      <c r="L624" s="24" t="str">
        <f t="shared" si="38"/>
        <v>ABRIL</v>
      </c>
      <c r="M624" s="225">
        <v>44672</v>
      </c>
      <c r="N624" s="24" t="str">
        <f t="shared" si="39"/>
        <v>JUEVES</v>
      </c>
      <c r="O624" s="103">
        <v>0.63194444444444398</v>
      </c>
      <c r="P624" s="63" t="s">
        <v>469</v>
      </c>
      <c r="Q624" s="63" t="s">
        <v>469</v>
      </c>
      <c r="R624" s="36">
        <f>COUNTIF(Tabla1[[#This Row],[VEHICULOS_ACCIDENTADOS]:[VEHICULOS_ACCIDENTADOS2]],"MOTOCICLETA")</f>
        <v>2</v>
      </c>
      <c r="S624" s="36">
        <f>COUNTIF(Tabla1[[#This Row],[VEHICULOS_ACCIDENTADOS]:[VEHICULOS_ACCIDENTADOS2]],"MOTOCARRO")</f>
        <v>0</v>
      </c>
      <c r="T624" s="36">
        <f>COUNTIF(Tabla1[[#This Row],[VEHICULOS_ACCIDENTADOS]:[VEHICULOS_ACCIDENTADOS2]],"AUTOMOVIL")</f>
        <v>0</v>
      </c>
      <c r="U624" s="36">
        <f>COUNTIF(Tabla1[[#This Row],[VEHICULOS_ACCIDENTADOS]:[VEHICULOS_ACCIDENTADOS2]],"CAMPERO")</f>
        <v>0</v>
      </c>
      <c r="V624" s="36">
        <f>COUNTIF(Tabla1[[#This Row],[VEHICULOS_ACCIDENTADOS]:[VEHICULOS_ACCIDENTADOS2]],"CAMIONETA")</f>
        <v>0</v>
      </c>
      <c r="W624" s="36">
        <f>COUNTIF(Tabla1[[#This Row],[VEHICULOS_ACCIDENTADOS]:[VEHICULOS_ACCIDENTADOS2]],"MICROBUS")</f>
        <v>0</v>
      </c>
      <c r="X624" s="36">
        <f>COUNTIF(Tabla1[[#This Row],[VEHICULOS_ACCIDENTADOS]:[VEHICULOS_ACCIDENTADOS2]],"BUS")</f>
        <v>0</v>
      </c>
      <c r="Y624" s="36">
        <f>COUNTIF(Tabla1[[#This Row],[VEHICULOS_ACCIDENTADOS]:[VEHICULOS_ACCIDENTADOS2]],"BUSETA")</f>
        <v>0</v>
      </c>
      <c r="Z624" s="36">
        <f>COUNTIF(Tabla1[[#This Row],[VEHICULOS_ACCIDENTADOS]:[VEHICULOS_ACCIDENTADOS2]],"CAMION")</f>
        <v>0</v>
      </c>
      <c r="AA624" s="36">
        <f>COUNTIF(Tabla1[[#This Row],[VEHICULOS_ACCIDENTADOS]:[VEHICULOS_ACCIDENTADOS2]],"TRACTOCAMION")</f>
        <v>0</v>
      </c>
      <c r="AB624" s="36">
        <f>COUNTIF(Tabla1[[#This Row],[VEHICULOS_ACCIDENTADOS]:[VEHICULOS_ACCIDENTADOS2]],"VOLQUETA")</f>
        <v>0</v>
      </c>
      <c r="AC624" s="36">
        <f>COUNTIF(Tabla1[[#This Row],[VEHICULOS_ACCIDENTADOS]:[VEHICULOS_ACCIDENTADOS2]],"BICICLETA")</f>
        <v>0</v>
      </c>
      <c r="AD624" s="56" t="s">
        <v>471</v>
      </c>
      <c r="AE624" s="56"/>
      <c r="AF624" s="56">
        <f>COUNTIF(Tabla1[[#This Row],[GENERO_MASCULINO]:[GENERO_FEMENINO]],"MASCULINO")</f>
        <v>1</v>
      </c>
      <c r="AG624" s="36">
        <f>COUNTIF(Tabla1[[#This Row],[GENERO_MASCULINO]:[GENERO_FEMENINO]],"FEMENINO")</f>
        <v>0</v>
      </c>
      <c r="AH624" s="61"/>
      <c r="AI624" s="61"/>
      <c r="AJ624" s="61"/>
      <c r="AK624" s="61"/>
      <c r="AL624" s="61"/>
      <c r="AM624" s="36"/>
      <c r="AN624" s="61">
        <v>157</v>
      </c>
      <c r="AO624" s="36" t="str">
        <f>IFERROR(((VLOOKUP(Tabla1[[#This Row],[HIPOTESIS_1]],listas!$D$1:$E$105,2,FALSE))),"SIN INFORMACIÓN")</f>
        <v>Otra</v>
      </c>
      <c r="AP624" s="36"/>
      <c r="AQ624" s="36" t="str">
        <f>IFERROR(((VLOOKUP(Tabla1[[#This Row],[HIPOTESIS_2]],listas!$D$1:$E$105,2,FALSE))),"")</f>
        <v/>
      </c>
      <c r="AR624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625" spans="1:44" x14ac:dyDescent="0.25">
      <c r="A625" s="12">
        <v>1003</v>
      </c>
      <c r="B625" s="137">
        <v>0</v>
      </c>
      <c r="C625" s="137">
        <v>3</v>
      </c>
      <c r="D625" s="146">
        <v>0</v>
      </c>
      <c r="E625" s="18" t="str">
        <f t="shared" si="36"/>
        <v>LESIONADO</v>
      </c>
      <c r="F625" s="152" t="s">
        <v>3</v>
      </c>
      <c r="G625" s="30">
        <v>5.309348</v>
      </c>
      <c r="H625" s="30">
        <v>-72.390827999999999</v>
      </c>
      <c r="I625" s="93" t="s">
        <v>697</v>
      </c>
      <c r="J625" s="36" t="s">
        <v>717</v>
      </c>
      <c r="K625" s="24" t="str">
        <f t="shared" si="37"/>
        <v>2025</v>
      </c>
      <c r="L625" s="24" t="str">
        <f t="shared" si="38"/>
        <v>JUNIO</v>
      </c>
      <c r="M625" s="228">
        <v>45831</v>
      </c>
      <c r="N625" s="24" t="str">
        <f t="shared" si="39"/>
        <v>LUNES</v>
      </c>
      <c r="O625" s="103">
        <v>0.7729166666666667</v>
      </c>
      <c r="P625" s="63" t="s">
        <v>469</v>
      </c>
      <c r="Q625" s="63" t="s">
        <v>469</v>
      </c>
      <c r="R625" s="36">
        <f>COUNTIF(Tabla1[[#This Row],[VEHICULOS_ACCIDENTADOS]:[VEHICULOS_ACCIDENTADOS2]],"MOTOCICLETA")</f>
        <v>2</v>
      </c>
      <c r="S625" s="36">
        <f>COUNTIF(Tabla1[[#This Row],[VEHICULOS_ACCIDENTADOS]:[VEHICULOS_ACCIDENTADOS2]],"MOTOCARRO")</f>
        <v>0</v>
      </c>
      <c r="T625" s="36">
        <f>COUNTIF(Tabla1[[#This Row],[VEHICULOS_ACCIDENTADOS]:[VEHICULOS_ACCIDENTADOS2]],"AUTOMOVIL")</f>
        <v>0</v>
      </c>
      <c r="U625" s="36">
        <f>COUNTIF(Tabla1[[#This Row],[VEHICULOS_ACCIDENTADOS]:[VEHICULOS_ACCIDENTADOS2]],"CAMPERO")</f>
        <v>0</v>
      </c>
      <c r="V625" s="36">
        <f>COUNTIF(Tabla1[[#This Row],[VEHICULOS_ACCIDENTADOS]:[VEHICULOS_ACCIDENTADOS2]],"CAMIONETA")</f>
        <v>0</v>
      </c>
      <c r="W625" s="36">
        <f>COUNTIF(Tabla1[[#This Row],[VEHICULOS_ACCIDENTADOS]:[VEHICULOS_ACCIDENTADOS2]],"MICROBUS")</f>
        <v>0</v>
      </c>
      <c r="X625" s="36">
        <f>COUNTIF(Tabla1[[#This Row],[VEHICULOS_ACCIDENTADOS]:[VEHICULOS_ACCIDENTADOS2]],"BUS")</f>
        <v>0</v>
      </c>
      <c r="Y625" s="36">
        <f>COUNTIF(Tabla1[[#This Row],[VEHICULOS_ACCIDENTADOS]:[VEHICULOS_ACCIDENTADOS2]],"BUSETA")</f>
        <v>0</v>
      </c>
      <c r="Z625" s="36">
        <f>COUNTIF(Tabla1[[#This Row],[VEHICULOS_ACCIDENTADOS]:[VEHICULOS_ACCIDENTADOS2]],"CAMION")</f>
        <v>0</v>
      </c>
      <c r="AA625" s="36">
        <f>COUNTIF(Tabla1[[#This Row],[VEHICULOS_ACCIDENTADOS]:[VEHICULOS_ACCIDENTADOS2]],"TRACTOCAMION")</f>
        <v>0</v>
      </c>
      <c r="AB625" s="36">
        <f>COUNTIF(Tabla1[[#This Row],[VEHICULOS_ACCIDENTADOS]:[VEHICULOS_ACCIDENTADOS2]],"VOLQUETA")</f>
        <v>0</v>
      </c>
      <c r="AC625" s="36">
        <f>COUNTIF(Tabla1[[#This Row],[VEHICULOS_ACCIDENTADOS]:[VEHICULOS_ACCIDENTADOS2]],"BICICLETA")</f>
        <v>0</v>
      </c>
      <c r="AD625" s="56" t="s">
        <v>471</v>
      </c>
      <c r="AE625" s="56" t="s">
        <v>471</v>
      </c>
      <c r="AF625" s="56">
        <f>COUNTIF(Tabla1[[#This Row],[GENERO_MASCULINO]:[GENERO_FEMENINO]],"MASCULINO")</f>
        <v>2</v>
      </c>
      <c r="AG625" s="36">
        <f>COUNTIF(Tabla1[[#This Row],[GENERO_MASCULINO]:[GENERO_FEMENINO]],"FEMENINO")</f>
        <v>0</v>
      </c>
      <c r="AH625" s="85">
        <v>53</v>
      </c>
      <c r="AI625" s="85">
        <v>35</v>
      </c>
      <c r="AJ625" s="85">
        <v>18</v>
      </c>
      <c r="AK625" s="78"/>
      <c r="AL625" s="78"/>
      <c r="AM625" s="59"/>
      <c r="AN625" s="61">
        <v>139</v>
      </c>
      <c r="AO625" s="36" t="str">
        <f>IFERROR(((VLOOKUP(Tabla1[[#This Row],[HIPOTESIS_1]],listas!$D$1:$E$105,2,FALSE))),"SIN INFORMACIÓN")</f>
        <v>Impericia en el manejo.</v>
      </c>
      <c r="AP625" s="36"/>
      <c r="AQ625" s="36" t="str">
        <f>IFERROR(((VLOOKUP(Tabla1[[#This Row],[HIPOTESIS_2]],listas!$D$1:$E$105,2,FALSE))),"")</f>
        <v/>
      </c>
      <c r="AR625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626" spans="1:44" x14ac:dyDescent="0.25">
      <c r="A626" s="12">
        <v>517</v>
      </c>
      <c r="B626" s="36">
        <v>1</v>
      </c>
      <c r="C626" s="36">
        <v>0</v>
      </c>
      <c r="D626" s="60">
        <v>0</v>
      </c>
      <c r="E626" s="18" t="str">
        <f t="shared" si="36"/>
        <v>SOLO DAÑO</v>
      </c>
      <c r="F626" s="29" t="s">
        <v>902</v>
      </c>
      <c r="G626" s="21">
        <v>5.3440833333333329</v>
      </c>
      <c r="H626" s="21">
        <v>-72.40173611111112</v>
      </c>
      <c r="I626" s="93" t="s">
        <v>697</v>
      </c>
      <c r="J626" s="36" t="s">
        <v>717</v>
      </c>
      <c r="K626" s="24" t="str">
        <f t="shared" si="37"/>
        <v>2023</v>
      </c>
      <c r="L626" s="24" t="str">
        <f t="shared" si="38"/>
        <v>JULIO</v>
      </c>
      <c r="M626" s="225">
        <v>45117</v>
      </c>
      <c r="N626" s="24" t="str">
        <f t="shared" si="39"/>
        <v>LUNES</v>
      </c>
      <c r="O626" s="103">
        <v>0.47916666666666669</v>
      </c>
      <c r="P626" s="57" t="s">
        <v>447</v>
      </c>
      <c r="Q626" s="57"/>
      <c r="R626" s="36">
        <f>COUNTIF(Tabla1[[#This Row],[VEHICULOS_ACCIDENTADOS]:[VEHICULOS_ACCIDENTADOS2]],"MOTOCICLETA")</f>
        <v>0</v>
      </c>
      <c r="S626" s="36">
        <f>COUNTIF(Tabla1[[#This Row],[VEHICULOS_ACCIDENTADOS]:[VEHICULOS_ACCIDENTADOS2]],"MOTOCARRO")</f>
        <v>0</v>
      </c>
      <c r="T626" s="36">
        <f>COUNTIF(Tabla1[[#This Row],[VEHICULOS_ACCIDENTADOS]:[VEHICULOS_ACCIDENTADOS2]],"AUTOMOVIL")</f>
        <v>1</v>
      </c>
      <c r="U626" s="36">
        <f>COUNTIF(Tabla1[[#This Row],[VEHICULOS_ACCIDENTADOS]:[VEHICULOS_ACCIDENTADOS2]],"CAMPERO")</f>
        <v>0</v>
      </c>
      <c r="V626" s="36">
        <f>COUNTIF(Tabla1[[#This Row],[VEHICULOS_ACCIDENTADOS]:[VEHICULOS_ACCIDENTADOS2]],"CAMIONETA")</f>
        <v>0</v>
      </c>
      <c r="W626" s="36">
        <f>COUNTIF(Tabla1[[#This Row],[VEHICULOS_ACCIDENTADOS]:[VEHICULOS_ACCIDENTADOS2]],"MICROBUS")</f>
        <v>0</v>
      </c>
      <c r="X626" s="36">
        <f>COUNTIF(Tabla1[[#This Row],[VEHICULOS_ACCIDENTADOS]:[VEHICULOS_ACCIDENTADOS2]],"BUS")</f>
        <v>0</v>
      </c>
      <c r="Y626" s="36">
        <f>COUNTIF(Tabla1[[#This Row],[VEHICULOS_ACCIDENTADOS]:[VEHICULOS_ACCIDENTADOS2]],"BUSETA")</f>
        <v>0</v>
      </c>
      <c r="Z626" s="36">
        <f>COUNTIF(Tabla1[[#This Row],[VEHICULOS_ACCIDENTADOS]:[VEHICULOS_ACCIDENTADOS2]],"CAMION")</f>
        <v>0</v>
      </c>
      <c r="AA626" s="36">
        <f>COUNTIF(Tabla1[[#This Row],[VEHICULOS_ACCIDENTADOS]:[VEHICULOS_ACCIDENTADOS2]],"TRACTOCAMION")</f>
        <v>0</v>
      </c>
      <c r="AB626" s="36">
        <f>COUNTIF(Tabla1[[#This Row],[VEHICULOS_ACCIDENTADOS]:[VEHICULOS_ACCIDENTADOS2]],"VOLQUETA")</f>
        <v>0</v>
      </c>
      <c r="AC626" s="36">
        <f>COUNTIF(Tabla1[[#This Row],[VEHICULOS_ACCIDENTADOS]:[VEHICULOS_ACCIDENTADOS2]],"BICICLETA")</f>
        <v>0</v>
      </c>
      <c r="AD626" s="56"/>
      <c r="AE626" s="56" t="s">
        <v>472</v>
      </c>
      <c r="AF626" s="56">
        <f>COUNTIF(Tabla1[[#This Row],[GENERO_MASCULINO]:[GENERO_FEMENINO]],"MASCULINO")</f>
        <v>0</v>
      </c>
      <c r="AG626" s="36">
        <f>COUNTIF(Tabla1[[#This Row],[GENERO_MASCULINO]:[GENERO_FEMENINO]],"FEMENINO")</f>
        <v>1</v>
      </c>
      <c r="AH626" s="61"/>
      <c r="AI626" s="61"/>
      <c r="AJ626" s="78"/>
      <c r="AK626" s="61"/>
      <c r="AL626" s="61"/>
      <c r="AM626" s="36"/>
      <c r="AN626" s="61">
        <v>1</v>
      </c>
      <c r="AO626" s="36" t="str">
        <f>IFERROR(((VLOOKUP(Tabla1[[#This Row],[HIPOTESIS_1]],listas!$D$1:$E$105,2,FALSE))),"SIN INFORMACIÓN")</f>
        <v>SIN INFORMACIÓN</v>
      </c>
      <c r="AP626" s="36"/>
      <c r="AQ626" s="36" t="str">
        <f>IFERROR(((VLOOKUP(Tabla1[[#This Row],[HIPOTESIS_2]],listas!$D$1:$E$105,2,FALSE))),"")</f>
        <v/>
      </c>
      <c r="AR626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627" spans="1:44" x14ac:dyDescent="0.25">
      <c r="A627" s="12">
        <v>818</v>
      </c>
      <c r="B627" s="136">
        <v>1</v>
      </c>
      <c r="C627" s="136">
        <v>0</v>
      </c>
      <c r="D627" s="149">
        <v>0</v>
      </c>
      <c r="E627" s="18" t="str">
        <f t="shared" si="36"/>
        <v>SOLO DAÑO</v>
      </c>
      <c r="F627" s="26" t="s">
        <v>1059</v>
      </c>
      <c r="G627" s="21">
        <v>5.3392783333333327</v>
      </c>
      <c r="H627" s="21">
        <v>-72.398980555555568</v>
      </c>
      <c r="I627" s="93" t="s">
        <v>697</v>
      </c>
      <c r="J627" s="36" t="s">
        <v>717</v>
      </c>
      <c r="K627" s="24" t="str">
        <f t="shared" si="37"/>
        <v>2024</v>
      </c>
      <c r="L627" s="24" t="str">
        <f t="shared" si="38"/>
        <v>NOVIEMBRE</v>
      </c>
      <c r="M627" s="224">
        <v>45615</v>
      </c>
      <c r="N627" s="24" t="str">
        <f t="shared" si="39"/>
        <v>MARTES</v>
      </c>
      <c r="O627" s="104">
        <v>0.6333333333333333</v>
      </c>
      <c r="P627" s="178" t="s">
        <v>469</v>
      </c>
      <c r="Q627" s="178" t="s">
        <v>447</v>
      </c>
      <c r="R627" s="36">
        <f>COUNTIF(Tabla1[[#This Row],[VEHICULOS_ACCIDENTADOS]:[VEHICULOS_ACCIDENTADOS2]],"MOTOCICLETA")</f>
        <v>1</v>
      </c>
      <c r="S627" s="36">
        <f>COUNTIF(Tabla1[[#This Row],[VEHICULOS_ACCIDENTADOS]:[VEHICULOS_ACCIDENTADOS2]],"MOTOCARRO")</f>
        <v>0</v>
      </c>
      <c r="T627" s="36">
        <f>COUNTIF(Tabla1[[#This Row],[VEHICULOS_ACCIDENTADOS]:[VEHICULOS_ACCIDENTADOS2]],"AUTOMOVIL")</f>
        <v>1</v>
      </c>
      <c r="U627" s="36">
        <f>COUNTIF(Tabla1[[#This Row],[VEHICULOS_ACCIDENTADOS]:[VEHICULOS_ACCIDENTADOS2]],"CAMPERO")</f>
        <v>0</v>
      </c>
      <c r="V627" s="36">
        <f>COUNTIF(Tabla1[[#This Row],[VEHICULOS_ACCIDENTADOS]:[VEHICULOS_ACCIDENTADOS2]],"CAMIONETA")</f>
        <v>0</v>
      </c>
      <c r="W627" s="36">
        <f>COUNTIF(Tabla1[[#This Row],[VEHICULOS_ACCIDENTADOS]:[VEHICULOS_ACCIDENTADOS2]],"MICROBUS")</f>
        <v>0</v>
      </c>
      <c r="X627" s="36">
        <f>COUNTIF(Tabla1[[#This Row],[VEHICULOS_ACCIDENTADOS]:[VEHICULOS_ACCIDENTADOS2]],"BUS")</f>
        <v>0</v>
      </c>
      <c r="Y627" s="36">
        <f>COUNTIF(Tabla1[[#This Row],[VEHICULOS_ACCIDENTADOS]:[VEHICULOS_ACCIDENTADOS2]],"BUSETA")</f>
        <v>0</v>
      </c>
      <c r="Z627" s="36">
        <f>COUNTIF(Tabla1[[#This Row],[VEHICULOS_ACCIDENTADOS]:[VEHICULOS_ACCIDENTADOS2]],"CAMION")</f>
        <v>0</v>
      </c>
      <c r="AA627" s="36">
        <f>COUNTIF(Tabla1[[#This Row],[VEHICULOS_ACCIDENTADOS]:[VEHICULOS_ACCIDENTADOS2]],"TRACTOCAMION")</f>
        <v>0</v>
      </c>
      <c r="AB627" s="36">
        <f>COUNTIF(Tabla1[[#This Row],[VEHICULOS_ACCIDENTADOS]:[VEHICULOS_ACCIDENTADOS2]],"VOLQUETA")</f>
        <v>0</v>
      </c>
      <c r="AC627" s="36">
        <f>COUNTIF(Tabla1[[#This Row],[VEHICULOS_ACCIDENTADOS]:[VEHICULOS_ACCIDENTADOS2]],"BICICLETA")</f>
        <v>0</v>
      </c>
      <c r="AD627" s="190" t="s">
        <v>471</v>
      </c>
      <c r="AE627" s="190"/>
      <c r="AF627" s="190">
        <f>COUNTIF(Tabla1[[#This Row],[GENERO_MASCULINO]:[GENERO_FEMENINO]],"MASCULINO")</f>
        <v>1</v>
      </c>
      <c r="AG627" s="36">
        <f>COUNTIF(Tabla1[[#This Row],[GENERO_MASCULINO]:[GENERO_FEMENINO]],"FEMENINO")</f>
        <v>0</v>
      </c>
      <c r="AH627" s="85">
        <v>40</v>
      </c>
      <c r="AI627" s="85">
        <v>20</v>
      </c>
      <c r="AJ627" s="85"/>
      <c r="AK627" s="85"/>
      <c r="AL627" s="85"/>
      <c r="AM627" s="136"/>
      <c r="AN627" s="85">
        <v>157</v>
      </c>
      <c r="AO627" s="36" t="str">
        <f>IFERROR(((VLOOKUP(Tabla1[[#This Row],[HIPOTESIS_1]],listas!$D$1:$E$105,2,FALSE))),"SIN INFORMACIÓN")</f>
        <v>Otra</v>
      </c>
      <c r="AP627" s="136"/>
      <c r="AQ627" s="36" t="str">
        <f>IFERROR(((VLOOKUP(Tabla1[[#This Row],[HIPOTESIS_2]],listas!$D$1:$E$105,2,FALSE))),"")</f>
        <v/>
      </c>
      <c r="AR627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628" spans="1:44" x14ac:dyDescent="0.25">
      <c r="A628" s="12">
        <v>506</v>
      </c>
      <c r="B628" s="36">
        <v>0</v>
      </c>
      <c r="C628" s="36">
        <v>1</v>
      </c>
      <c r="D628" s="60">
        <v>0</v>
      </c>
      <c r="E628" s="18" t="str">
        <f t="shared" si="36"/>
        <v>LESIONADO</v>
      </c>
      <c r="F628" s="29" t="s">
        <v>1059</v>
      </c>
      <c r="G628" s="21">
        <v>5.3392783333333327</v>
      </c>
      <c r="H628" s="21">
        <v>-72.398980555555568</v>
      </c>
      <c r="I628" s="93" t="s">
        <v>697</v>
      </c>
      <c r="J628" s="36" t="s">
        <v>717</v>
      </c>
      <c r="K628" s="24" t="str">
        <f t="shared" si="37"/>
        <v>2023</v>
      </c>
      <c r="L628" s="24" t="str">
        <f t="shared" si="38"/>
        <v>JUNIO</v>
      </c>
      <c r="M628" s="225">
        <v>45090</v>
      </c>
      <c r="N628" s="24" t="str">
        <f t="shared" si="39"/>
        <v>MARTES</v>
      </c>
      <c r="O628" s="103">
        <v>0.54861111111111105</v>
      </c>
      <c r="P628" s="57" t="s">
        <v>469</v>
      </c>
      <c r="Q628" s="57" t="s">
        <v>447</v>
      </c>
      <c r="R628" s="36">
        <f>COUNTIF(Tabla1[[#This Row],[VEHICULOS_ACCIDENTADOS]:[VEHICULOS_ACCIDENTADOS2]],"MOTOCICLETA")</f>
        <v>1</v>
      </c>
      <c r="S628" s="36">
        <f>COUNTIF(Tabla1[[#This Row],[VEHICULOS_ACCIDENTADOS]:[VEHICULOS_ACCIDENTADOS2]],"MOTOCARRO")</f>
        <v>0</v>
      </c>
      <c r="T628" s="36">
        <f>COUNTIF(Tabla1[[#This Row],[VEHICULOS_ACCIDENTADOS]:[VEHICULOS_ACCIDENTADOS2]],"AUTOMOVIL")</f>
        <v>1</v>
      </c>
      <c r="U628" s="36">
        <f>COUNTIF(Tabla1[[#This Row],[VEHICULOS_ACCIDENTADOS]:[VEHICULOS_ACCIDENTADOS2]],"CAMPERO")</f>
        <v>0</v>
      </c>
      <c r="V628" s="36">
        <f>COUNTIF(Tabla1[[#This Row],[VEHICULOS_ACCIDENTADOS]:[VEHICULOS_ACCIDENTADOS2]],"CAMIONETA")</f>
        <v>0</v>
      </c>
      <c r="W628" s="36">
        <f>COUNTIF(Tabla1[[#This Row],[VEHICULOS_ACCIDENTADOS]:[VEHICULOS_ACCIDENTADOS2]],"MICROBUS")</f>
        <v>0</v>
      </c>
      <c r="X628" s="36">
        <f>COUNTIF(Tabla1[[#This Row],[VEHICULOS_ACCIDENTADOS]:[VEHICULOS_ACCIDENTADOS2]],"BUS")</f>
        <v>0</v>
      </c>
      <c r="Y628" s="36">
        <f>COUNTIF(Tabla1[[#This Row],[VEHICULOS_ACCIDENTADOS]:[VEHICULOS_ACCIDENTADOS2]],"BUSETA")</f>
        <v>0</v>
      </c>
      <c r="Z628" s="36">
        <f>COUNTIF(Tabla1[[#This Row],[VEHICULOS_ACCIDENTADOS]:[VEHICULOS_ACCIDENTADOS2]],"CAMION")</f>
        <v>0</v>
      </c>
      <c r="AA628" s="36">
        <f>COUNTIF(Tabla1[[#This Row],[VEHICULOS_ACCIDENTADOS]:[VEHICULOS_ACCIDENTADOS2]],"TRACTOCAMION")</f>
        <v>0</v>
      </c>
      <c r="AB628" s="36">
        <f>COUNTIF(Tabla1[[#This Row],[VEHICULOS_ACCIDENTADOS]:[VEHICULOS_ACCIDENTADOS2]],"VOLQUETA")</f>
        <v>0</v>
      </c>
      <c r="AC628" s="36">
        <f>COUNTIF(Tabla1[[#This Row],[VEHICULOS_ACCIDENTADOS]:[VEHICULOS_ACCIDENTADOS2]],"BICICLETA")</f>
        <v>0</v>
      </c>
      <c r="AD628" s="56"/>
      <c r="AE628" s="56" t="s">
        <v>472</v>
      </c>
      <c r="AF628" s="56">
        <f>COUNTIF(Tabla1[[#This Row],[GENERO_MASCULINO]:[GENERO_FEMENINO]],"MASCULINO")</f>
        <v>0</v>
      </c>
      <c r="AG628" s="36">
        <f>COUNTIF(Tabla1[[#This Row],[GENERO_MASCULINO]:[GENERO_FEMENINO]],"FEMENINO")</f>
        <v>1</v>
      </c>
      <c r="AH628" s="61">
        <v>26</v>
      </c>
      <c r="AI628" s="61"/>
      <c r="AJ628" s="61"/>
      <c r="AK628" s="61"/>
      <c r="AL628" s="61"/>
      <c r="AM628" s="36"/>
      <c r="AN628" s="61">
        <v>132</v>
      </c>
      <c r="AO628" s="36" t="str">
        <f>IFERROR(((VLOOKUP(Tabla1[[#This Row],[HIPOTESIS_1]],listas!$D$1:$E$105,2,FALSE))),"SIN INFORMACIÓN")</f>
        <v>No respetar prelación.</v>
      </c>
      <c r="AP628" s="36"/>
      <c r="AQ628" s="36" t="str">
        <f>IFERROR(((VLOOKUP(Tabla1[[#This Row],[HIPOTESIS_2]],listas!$D$1:$E$105,2,FALSE))),"")</f>
        <v/>
      </c>
      <c r="AR628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629" spans="1:44" x14ac:dyDescent="0.25">
      <c r="A629" s="12">
        <v>1099</v>
      </c>
      <c r="B629" s="137">
        <v>0</v>
      </c>
      <c r="C629" s="137">
        <v>2</v>
      </c>
      <c r="D629" s="146">
        <v>0</v>
      </c>
      <c r="E629" s="24" t="str">
        <f t="shared" si="36"/>
        <v>LESIONADO</v>
      </c>
      <c r="F629" s="152" t="s">
        <v>905</v>
      </c>
      <c r="G629" s="30">
        <v>5.3384430457970096</v>
      </c>
      <c r="H629" s="30">
        <v>-72.398547945187005</v>
      </c>
      <c r="I629" s="165" t="s">
        <v>697</v>
      </c>
      <c r="J629" s="36" t="s">
        <v>717</v>
      </c>
      <c r="K629" s="24" t="str">
        <f t="shared" si="37"/>
        <v>2025</v>
      </c>
      <c r="L629" s="24" t="str">
        <f t="shared" si="38"/>
        <v>SEPTIEMBRE</v>
      </c>
      <c r="M629" s="225">
        <v>45930</v>
      </c>
      <c r="N629" s="24" t="str">
        <f t="shared" si="39"/>
        <v>MARTES</v>
      </c>
      <c r="O629" s="103">
        <v>0.33333333333333331</v>
      </c>
      <c r="P629" s="63" t="s">
        <v>447</v>
      </c>
      <c r="Q629" s="63" t="s">
        <v>445</v>
      </c>
      <c r="R629" s="36">
        <f>COUNTIF(Tabla1[[#This Row],[VEHICULOS_ACCIDENTADOS]:[VEHICULOS_ACCIDENTADOS2]],"MOTOCICLETA")</f>
        <v>0</v>
      </c>
      <c r="S629" s="36">
        <f>COUNTIF(Tabla1[[#This Row],[VEHICULOS_ACCIDENTADOS]:[VEHICULOS_ACCIDENTADOS2]],"MOTOCARRO")</f>
        <v>0</v>
      </c>
      <c r="T629" s="36">
        <f>COUNTIF(Tabla1[[#This Row],[VEHICULOS_ACCIDENTADOS]:[VEHICULOS_ACCIDENTADOS2]],"AUTOMOVIL")</f>
        <v>1</v>
      </c>
      <c r="U629" s="36">
        <f>COUNTIF(Tabla1[[#This Row],[VEHICULOS_ACCIDENTADOS]:[VEHICULOS_ACCIDENTADOS2]],"CAMPERO")</f>
        <v>0</v>
      </c>
      <c r="V629" s="36">
        <f>COUNTIF(Tabla1[[#This Row],[VEHICULOS_ACCIDENTADOS]:[VEHICULOS_ACCIDENTADOS2]],"CAMIONETA")</f>
        <v>1</v>
      </c>
      <c r="W629" s="36">
        <f>COUNTIF(Tabla1[[#This Row],[VEHICULOS_ACCIDENTADOS]:[VEHICULOS_ACCIDENTADOS2]],"MICROBUS")</f>
        <v>0</v>
      </c>
      <c r="X629" s="36">
        <f>COUNTIF(Tabla1[[#This Row],[VEHICULOS_ACCIDENTADOS]:[VEHICULOS_ACCIDENTADOS2]],"BUS")</f>
        <v>0</v>
      </c>
      <c r="Y629" s="36">
        <f>COUNTIF(Tabla1[[#This Row],[VEHICULOS_ACCIDENTADOS]:[VEHICULOS_ACCIDENTADOS2]],"BUSETA")</f>
        <v>0</v>
      </c>
      <c r="Z629" s="36">
        <f>COUNTIF(Tabla1[[#This Row],[VEHICULOS_ACCIDENTADOS]:[VEHICULOS_ACCIDENTADOS2]],"CAMION")</f>
        <v>0</v>
      </c>
      <c r="AA629" s="36">
        <f>COUNTIF(Tabla1[[#This Row],[VEHICULOS_ACCIDENTADOS]:[VEHICULOS_ACCIDENTADOS2]],"TRACTOCAMION")</f>
        <v>0</v>
      </c>
      <c r="AB629" s="36">
        <f>COUNTIF(Tabla1[[#This Row],[VEHICULOS_ACCIDENTADOS]:[VEHICULOS_ACCIDENTADOS2]],"VOLQUETA")</f>
        <v>0</v>
      </c>
      <c r="AC629" s="36">
        <f>COUNTIF(Tabla1[[#This Row],[VEHICULOS_ACCIDENTADOS]:[VEHICULOS_ACCIDENTADOS2]],"BICICLETA")</f>
        <v>0</v>
      </c>
      <c r="AD629" s="188" t="s">
        <v>472</v>
      </c>
      <c r="AE629" s="188" t="s">
        <v>472</v>
      </c>
      <c r="AF629" s="56">
        <f>COUNTIF(Tabla1[[#This Row],[GENERO_MASCULINO]:[GENERO_FEMENINO]],"MASCULINO")</f>
        <v>0</v>
      </c>
      <c r="AG629" s="36">
        <f>COUNTIF(Tabla1[[#This Row],[GENERO_MASCULINO]:[GENERO_FEMENINO]],"FEMENINO")</f>
        <v>2</v>
      </c>
      <c r="AH629" s="85">
        <v>42</v>
      </c>
      <c r="AI629" s="85">
        <v>25</v>
      </c>
      <c r="AJ629" s="85"/>
      <c r="AK629" s="78"/>
      <c r="AL629" s="78"/>
      <c r="AM629" s="59"/>
      <c r="AN629" s="61">
        <v>112</v>
      </c>
      <c r="AO629" s="59" t="str">
        <f>IFERROR(((VLOOKUP(Tabla1[[#This Row],[HIPOTESIS_1]],listas!$D$1:$E$105,2,FALSE))),"SIN INFORMACIÓN")</f>
        <v>Desobedecer señales o normas de tránsito.</v>
      </c>
      <c r="AP629" s="36"/>
      <c r="AQ629" s="36" t="str">
        <f>IFERROR(((VLOOKUP(Tabla1[[#This Row],[HIPOTESIS_2]],listas!$D$1:$E$105,2,FALSE))),"")</f>
        <v/>
      </c>
      <c r="AR629" s="2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630" spans="1:44" x14ac:dyDescent="0.25">
      <c r="A630" s="12">
        <v>1019</v>
      </c>
      <c r="B630" s="137">
        <v>1</v>
      </c>
      <c r="C630" s="137">
        <v>0</v>
      </c>
      <c r="D630" s="146">
        <v>0</v>
      </c>
      <c r="E630" s="18" t="str">
        <f t="shared" si="36"/>
        <v>SOLO DAÑO</v>
      </c>
      <c r="F630" s="152" t="s">
        <v>904</v>
      </c>
      <c r="G630" s="30">
        <v>5.3369929999999997</v>
      </c>
      <c r="H630" s="30">
        <v>-72.397463000000002</v>
      </c>
      <c r="I630" s="93" t="s">
        <v>697</v>
      </c>
      <c r="J630" s="36" t="s">
        <v>717</v>
      </c>
      <c r="K630" s="24" t="str">
        <f t="shared" si="37"/>
        <v>2025</v>
      </c>
      <c r="L630" s="24" t="str">
        <f t="shared" si="38"/>
        <v>JULIO</v>
      </c>
      <c r="M630" s="225">
        <v>45862</v>
      </c>
      <c r="N630" s="24" t="str">
        <f t="shared" si="39"/>
        <v>JUEVES</v>
      </c>
      <c r="O630" s="103">
        <v>0.6875</v>
      </c>
      <c r="P630" s="63" t="s">
        <v>445</v>
      </c>
      <c r="Q630" s="63" t="s">
        <v>469</v>
      </c>
      <c r="R630" s="36">
        <f>COUNTIF(Tabla1[[#This Row],[VEHICULOS_ACCIDENTADOS]:[VEHICULOS_ACCIDENTADOS2]],"MOTOCICLETA")</f>
        <v>1</v>
      </c>
      <c r="S630" s="36">
        <f>COUNTIF(Tabla1[[#This Row],[VEHICULOS_ACCIDENTADOS]:[VEHICULOS_ACCIDENTADOS2]],"MOTOCARRO")</f>
        <v>0</v>
      </c>
      <c r="T630" s="36">
        <f>COUNTIF(Tabla1[[#This Row],[VEHICULOS_ACCIDENTADOS]:[VEHICULOS_ACCIDENTADOS2]],"AUTOMOVIL")</f>
        <v>0</v>
      </c>
      <c r="U630" s="36">
        <f>COUNTIF(Tabla1[[#This Row],[VEHICULOS_ACCIDENTADOS]:[VEHICULOS_ACCIDENTADOS2]],"CAMPERO")</f>
        <v>0</v>
      </c>
      <c r="V630" s="36">
        <f>COUNTIF(Tabla1[[#This Row],[VEHICULOS_ACCIDENTADOS]:[VEHICULOS_ACCIDENTADOS2]],"CAMIONETA")</f>
        <v>1</v>
      </c>
      <c r="W630" s="36">
        <f>COUNTIF(Tabla1[[#This Row],[VEHICULOS_ACCIDENTADOS]:[VEHICULOS_ACCIDENTADOS2]],"MICROBUS")</f>
        <v>0</v>
      </c>
      <c r="X630" s="36">
        <f>COUNTIF(Tabla1[[#This Row],[VEHICULOS_ACCIDENTADOS]:[VEHICULOS_ACCIDENTADOS2]],"BUS")</f>
        <v>0</v>
      </c>
      <c r="Y630" s="36">
        <f>COUNTIF(Tabla1[[#This Row],[VEHICULOS_ACCIDENTADOS]:[VEHICULOS_ACCIDENTADOS2]],"BUSETA")</f>
        <v>0</v>
      </c>
      <c r="Z630" s="36">
        <f>COUNTIF(Tabla1[[#This Row],[VEHICULOS_ACCIDENTADOS]:[VEHICULOS_ACCIDENTADOS2]],"CAMION")</f>
        <v>0</v>
      </c>
      <c r="AA630" s="36">
        <f>COUNTIF(Tabla1[[#This Row],[VEHICULOS_ACCIDENTADOS]:[VEHICULOS_ACCIDENTADOS2]],"TRACTOCAMION")</f>
        <v>0</v>
      </c>
      <c r="AB630" s="36">
        <f>COUNTIF(Tabla1[[#This Row],[VEHICULOS_ACCIDENTADOS]:[VEHICULOS_ACCIDENTADOS2]],"VOLQUETA")</f>
        <v>0</v>
      </c>
      <c r="AC630" s="36">
        <f>COUNTIF(Tabla1[[#This Row],[VEHICULOS_ACCIDENTADOS]:[VEHICULOS_ACCIDENTADOS2]],"BICICLETA")</f>
        <v>0</v>
      </c>
      <c r="AD630" s="56" t="s">
        <v>471</v>
      </c>
      <c r="AE630" s="56" t="s">
        <v>471</v>
      </c>
      <c r="AF630" s="56">
        <f>COUNTIF(Tabla1[[#This Row],[GENERO_MASCULINO]:[GENERO_FEMENINO]],"MASCULINO")</f>
        <v>2</v>
      </c>
      <c r="AG630" s="36">
        <f>COUNTIF(Tabla1[[#This Row],[GENERO_MASCULINO]:[GENERO_FEMENINO]],"FEMENINO")</f>
        <v>0</v>
      </c>
      <c r="AH630" s="85">
        <v>48</v>
      </c>
      <c r="AI630" s="85">
        <v>29</v>
      </c>
      <c r="AJ630" s="85"/>
      <c r="AK630" s="78"/>
      <c r="AL630" s="78"/>
      <c r="AM630" s="59"/>
      <c r="AN630" s="61">
        <v>112</v>
      </c>
      <c r="AO630" s="36" t="str">
        <f>IFERROR(((VLOOKUP(Tabla1[[#This Row],[HIPOTESIS_1]],listas!$D$1:$E$105,2,FALSE))),"SIN INFORMACIÓN")</f>
        <v>Desobedecer señales o normas de tránsito.</v>
      </c>
      <c r="AP630" s="36"/>
      <c r="AQ630" s="36" t="str">
        <f>IFERROR(((VLOOKUP(Tabla1[[#This Row],[HIPOTESIS_2]],listas!$D$1:$E$105,2,FALSE))),"")</f>
        <v/>
      </c>
      <c r="AR630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631" spans="1:44" x14ac:dyDescent="0.25">
      <c r="A631" s="12">
        <v>583</v>
      </c>
      <c r="B631" s="36">
        <v>0</v>
      </c>
      <c r="C631" s="36">
        <v>1</v>
      </c>
      <c r="D631" s="60">
        <v>0</v>
      </c>
      <c r="E631" s="18" t="str">
        <f t="shared" si="36"/>
        <v>LESIONADO</v>
      </c>
      <c r="F631" s="29" t="s">
        <v>192</v>
      </c>
      <c r="G631" s="21">
        <v>5.3361944444444438</v>
      </c>
      <c r="H631" s="21">
        <v>-72.396727777777784</v>
      </c>
      <c r="I631" s="93" t="s">
        <v>697</v>
      </c>
      <c r="J631" s="36" t="s">
        <v>717</v>
      </c>
      <c r="K631" s="24" t="str">
        <f t="shared" si="37"/>
        <v>2023</v>
      </c>
      <c r="L631" s="24" t="str">
        <f t="shared" si="38"/>
        <v>OCTUBRE</v>
      </c>
      <c r="M631" s="225">
        <v>45225</v>
      </c>
      <c r="N631" s="24" t="str">
        <f t="shared" si="39"/>
        <v>JUEVES</v>
      </c>
      <c r="O631" s="103">
        <v>0.33333333333333331</v>
      </c>
      <c r="P631" s="57" t="s">
        <v>665</v>
      </c>
      <c r="Q631" s="57"/>
      <c r="R631" s="36">
        <f>COUNTIF(Tabla1[[#This Row],[VEHICULOS_ACCIDENTADOS]:[VEHICULOS_ACCIDENTADOS2]],"MOTOCICLETA")</f>
        <v>0</v>
      </c>
      <c r="S631" s="36">
        <f>COUNTIF(Tabla1[[#This Row],[VEHICULOS_ACCIDENTADOS]:[VEHICULOS_ACCIDENTADOS2]],"MOTOCARRO")</f>
        <v>0</v>
      </c>
      <c r="T631" s="36">
        <f>COUNTIF(Tabla1[[#This Row],[VEHICULOS_ACCIDENTADOS]:[VEHICULOS_ACCIDENTADOS2]],"AUTOMOVIL")</f>
        <v>0</v>
      </c>
      <c r="U631" s="36">
        <f>COUNTIF(Tabla1[[#This Row],[VEHICULOS_ACCIDENTADOS]:[VEHICULOS_ACCIDENTADOS2]],"CAMPERO")</f>
        <v>0</v>
      </c>
      <c r="V631" s="36">
        <f>COUNTIF(Tabla1[[#This Row],[VEHICULOS_ACCIDENTADOS]:[VEHICULOS_ACCIDENTADOS2]],"CAMIONETA")</f>
        <v>0</v>
      </c>
      <c r="W631" s="36">
        <f>COUNTIF(Tabla1[[#This Row],[VEHICULOS_ACCIDENTADOS]:[VEHICULOS_ACCIDENTADOS2]],"MICROBUS")</f>
        <v>0</v>
      </c>
      <c r="X631" s="36">
        <f>COUNTIF(Tabla1[[#This Row],[VEHICULOS_ACCIDENTADOS]:[VEHICULOS_ACCIDENTADOS2]],"BUS")</f>
        <v>0</v>
      </c>
      <c r="Y631" s="36">
        <f>COUNTIF(Tabla1[[#This Row],[VEHICULOS_ACCIDENTADOS]:[VEHICULOS_ACCIDENTADOS2]],"BUSETA")</f>
        <v>0</v>
      </c>
      <c r="Z631" s="36">
        <f>COUNTIF(Tabla1[[#This Row],[VEHICULOS_ACCIDENTADOS]:[VEHICULOS_ACCIDENTADOS2]],"CAMION")</f>
        <v>0</v>
      </c>
      <c r="AA631" s="36">
        <f>COUNTIF(Tabla1[[#This Row],[VEHICULOS_ACCIDENTADOS]:[VEHICULOS_ACCIDENTADOS2]],"TRACTOCAMION")</f>
        <v>0</v>
      </c>
      <c r="AB631" s="36">
        <f>COUNTIF(Tabla1[[#This Row],[VEHICULOS_ACCIDENTADOS]:[VEHICULOS_ACCIDENTADOS2]],"VOLQUETA")</f>
        <v>0</v>
      </c>
      <c r="AC631" s="36">
        <f>COUNTIF(Tabla1[[#This Row],[VEHICULOS_ACCIDENTADOS]:[VEHICULOS_ACCIDENTADOS2]],"BICICLETA")</f>
        <v>0</v>
      </c>
      <c r="AD631" s="56" t="s">
        <v>471</v>
      </c>
      <c r="AE631" s="56"/>
      <c r="AF631" s="56">
        <f>COUNTIF(Tabla1[[#This Row],[GENERO_MASCULINO]:[GENERO_FEMENINO]],"MASCULINO")</f>
        <v>1</v>
      </c>
      <c r="AG631" s="36">
        <f>COUNTIF(Tabla1[[#This Row],[GENERO_MASCULINO]:[GENERO_FEMENINO]],"FEMENINO")</f>
        <v>0</v>
      </c>
      <c r="AH631" s="61">
        <v>70</v>
      </c>
      <c r="AI631" s="61"/>
      <c r="AJ631" s="61"/>
      <c r="AK631" s="61"/>
      <c r="AL631" s="61"/>
      <c r="AM631" s="36"/>
      <c r="AN631" s="61">
        <v>112</v>
      </c>
      <c r="AO631" s="36" t="str">
        <f>IFERROR(((VLOOKUP(Tabla1[[#This Row],[HIPOTESIS_1]],listas!$D$1:$E$105,2,FALSE))),"SIN INFORMACIÓN")</f>
        <v>Desobedecer señales o normas de tránsito.</v>
      </c>
      <c r="AP631" s="36"/>
      <c r="AQ631" s="36" t="str">
        <f>IFERROR(((VLOOKUP(Tabla1[[#This Row],[HIPOTESIS_2]],listas!$D$1:$E$105,2,FALSE))),"")</f>
        <v/>
      </c>
      <c r="AR631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632" spans="1:44" x14ac:dyDescent="0.25">
      <c r="A632" s="12">
        <v>691</v>
      </c>
      <c r="B632" s="135">
        <v>0</v>
      </c>
      <c r="C632" s="136">
        <v>2</v>
      </c>
      <c r="D632" s="148">
        <v>0</v>
      </c>
      <c r="E632" s="18" t="str">
        <f t="shared" si="36"/>
        <v>LESIONADO</v>
      </c>
      <c r="F632" s="26" t="s">
        <v>151</v>
      </c>
      <c r="G632" s="21">
        <v>5.3430777777777774</v>
      </c>
      <c r="H632" s="21">
        <v>-72.401063888888899</v>
      </c>
      <c r="I632" s="93" t="s">
        <v>697</v>
      </c>
      <c r="J632" s="136" t="s">
        <v>717</v>
      </c>
      <c r="K632" s="24" t="str">
        <f t="shared" si="37"/>
        <v>2024</v>
      </c>
      <c r="L632" s="24" t="str">
        <f t="shared" si="38"/>
        <v>ABRIL</v>
      </c>
      <c r="M632" s="224">
        <v>45390</v>
      </c>
      <c r="N632" s="24" t="str">
        <f t="shared" si="39"/>
        <v>LUNES</v>
      </c>
      <c r="O632" s="171">
        <v>0.41666666666666669</v>
      </c>
      <c r="P632" s="178" t="s">
        <v>469</v>
      </c>
      <c r="Q632" s="178" t="s">
        <v>469</v>
      </c>
      <c r="R632" s="36">
        <f>COUNTIF(Tabla1[[#This Row],[VEHICULOS_ACCIDENTADOS]:[VEHICULOS_ACCIDENTADOS2]],"MOTOCICLETA")</f>
        <v>2</v>
      </c>
      <c r="S632" s="36">
        <f>COUNTIF(Tabla1[[#This Row],[VEHICULOS_ACCIDENTADOS]:[VEHICULOS_ACCIDENTADOS2]],"MOTOCARRO")</f>
        <v>0</v>
      </c>
      <c r="T632" s="36">
        <f>COUNTIF(Tabla1[[#This Row],[VEHICULOS_ACCIDENTADOS]:[VEHICULOS_ACCIDENTADOS2]],"AUTOMOVIL")</f>
        <v>0</v>
      </c>
      <c r="U632" s="36">
        <f>COUNTIF(Tabla1[[#This Row],[VEHICULOS_ACCIDENTADOS]:[VEHICULOS_ACCIDENTADOS2]],"CAMPERO")</f>
        <v>0</v>
      </c>
      <c r="V632" s="36">
        <f>COUNTIF(Tabla1[[#This Row],[VEHICULOS_ACCIDENTADOS]:[VEHICULOS_ACCIDENTADOS2]],"CAMIONETA")</f>
        <v>0</v>
      </c>
      <c r="W632" s="36">
        <f>COUNTIF(Tabla1[[#This Row],[VEHICULOS_ACCIDENTADOS]:[VEHICULOS_ACCIDENTADOS2]],"MICROBUS")</f>
        <v>0</v>
      </c>
      <c r="X632" s="36">
        <f>COUNTIF(Tabla1[[#This Row],[VEHICULOS_ACCIDENTADOS]:[VEHICULOS_ACCIDENTADOS2]],"BUS")</f>
        <v>0</v>
      </c>
      <c r="Y632" s="36">
        <f>COUNTIF(Tabla1[[#This Row],[VEHICULOS_ACCIDENTADOS]:[VEHICULOS_ACCIDENTADOS2]],"BUSETA")</f>
        <v>0</v>
      </c>
      <c r="Z632" s="36">
        <f>COUNTIF(Tabla1[[#This Row],[VEHICULOS_ACCIDENTADOS]:[VEHICULOS_ACCIDENTADOS2]],"CAMION")</f>
        <v>0</v>
      </c>
      <c r="AA632" s="36">
        <f>COUNTIF(Tabla1[[#This Row],[VEHICULOS_ACCIDENTADOS]:[VEHICULOS_ACCIDENTADOS2]],"TRACTOCAMION")</f>
        <v>0</v>
      </c>
      <c r="AB632" s="36">
        <f>COUNTIF(Tabla1[[#This Row],[VEHICULOS_ACCIDENTADOS]:[VEHICULOS_ACCIDENTADOS2]],"VOLQUETA")</f>
        <v>0</v>
      </c>
      <c r="AC632" s="36">
        <f>COUNTIF(Tabla1[[#This Row],[VEHICULOS_ACCIDENTADOS]:[VEHICULOS_ACCIDENTADOS2]],"BICICLETA")</f>
        <v>0</v>
      </c>
      <c r="AD632" s="190" t="s">
        <v>471</v>
      </c>
      <c r="AE632" s="190"/>
      <c r="AF632" s="190">
        <f>COUNTIF(Tabla1[[#This Row],[GENERO_MASCULINO]:[GENERO_FEMENINO]],"MASCULINO")</f>
        <v>1</v>
      </c>
      <c r="AG632" s="36">
        <f>COUNTIF(Tabla1[[#This Row],[GENERO_MASCULINO]:[GENERO_FEMENINO]],"FEMENINO")</f>
        <v>0</v>
      </c>
      <c r="AH632" s="85">
        <v>21</v>
      </c>
      <c r="AI632" s="85">
        <v>23</v>
      </c>
      <c r="AJ632" s="85">
        <v>32</v>
      </c>
      <c r="AK632" s="85"/>
      <c r="AL632" s="85"/>
      <c r="AM632" s="136"/>
      <c r="AN632" s="85">
        <v>127</v>
      </c>
      <c r="AO632" s="36" t="str">
        <f>IFERROR(((VLOOKUP(Tabla1[[#This Row],[HIPOTESIS_1]],listas!$D$1:$E$105,2,FALSE))),"SIN INFORMACIÓN")</f>
        <v>Transitar en contravía.</v>
      </c>
      <c r="AP632" s="136"/>
      <c r="AQ632" s="36" t="str">
        <f>IFERROR(((VLOOKUP(Tabla1[[#This Row],[HIPOTESIS_2]],listas!$D$1:$E$105,2,FALSE))),"")</f>
        <v/>
      </c>
      <c r="AR632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633" spans="1:44" x14ac:dyDescent="0.25">
      <c r="A633" s="12">
        <v>858</v>
      </c>
      <c r="B633" s="135">
        <v>0</v>
      </c>
      <c r="C633" s="136">
        <v>2</v>
      </c>
      <c r="D633" s="148">
        <v>0</v>
      </c>
      <c r="E633" s="18" t="str">
        <f t="shared" si="36"/>
        <v>LESIONADO</v>
      </c>
      <c r="F633" s="26" t="s">
        <v>81</v>
      </c>
      <c r="G633" s="21">
        <v>5.327108</v>
      </c>
      <c r="H633" s="21">
        <v>-72.392713999999998</v>
      </c>
      <c r="I633" s="93" t="s">
        <v>697</v>
      </c>
      <c r="J633" s="167" t="s">
        <v>717</v>
      </c>
      <c r="K633" s="24" t="str">
        <f t="shared" si="37"/>
        <v>2025</v>
      </c>
      <c r="L633" s="24" t="str">
        <f t="shared" si="38"/>
        <v>ENERO</v>
      </c>
      <c r="M633" s="224">
        <v>45672</v>
      </c>
      <c r="N633" s="24" t="str">
        <f t="shared" si="39"/>
        <v>MIÉRCOLES</v>
      </c>
      <c r="O633" s="104">
        <v>0.53472222222222221</v>
      </c>
      <c r="P633" s="178" t="s">
        <v>469</v>
      </c>
      <c r="Q633" s="178" t="s">
        <v>469</v>
      </c>
      <c r="R633" s="36">
        <f>COUNTIF(Tabla1[[#This Row],[VEHICULOS_ACCIDENTADOS]:[VEHICULOS_ACCIDENTADOS2]],"MOTOCICLETA")</f>
        <v>2</v>
      </c>
      <c r="S633" s="36">
        <f>COUNTIF(Tabla1[[#This Row],[VEHICULOS_ACCIDENTADOS]:[VEHICULOS_ACCIDENTADOS2]],"MOTOCARRO")</f>
        <v>0</v>
      </c>
      <c r="T633" s="36">
        <f>COUNTIF(Tabla1[[#This Row],[VEHICULOS_ACCIDENTADOS]:[VEHICULOS_ACCIDENTADOS2]],"AUTOMOVIL")</f>
        <v>0</v>
      </c>
      <c r="U633" s="36">
        <f>COUNTIF(Tabla1[[#This Row],[VEHICULOS_ACCIDENTADOS]:[VEHICULOS_ACCIDENTADOS2]],"CAMPERO")</f>
        <v>0</v>
      </c>
      <c r="V633" s="36">
        <f>COUNTIF(Tabla1[[#This Row],[VEHICULOS_ACCIDENTADOS]:[VEHICULOS_ACCIDENTADOS2]],"CAMIONETA")</f>
        <v>0</v>
      </c>
      <c r="W633" s="36">
        <f>COUNTIF(Tabla1[[#This Row],[VEHICULOS_ACCIDENTADOS]:[VEHICULOS_ACCIDENTADOS2]],"MICROBUS")</f>
        <v>0</v>
      </c>
      <c r="X633" s="36">
        <f>COUNTIF(Tabla1[[#This Row],[VEHICULOS_ACCIDENTADOS]:[VEHICULOS_ACCIDENTADOS2]],"BUS")</f>
        <v>0</v>
      </c>
      <c r="Y633" s="36">
        <f>COUNTIF(Tabla1[[#This Row],[VEHICULOS_ACCIDENTADOS]:[VEHICULOS_ACCIDENTADOS2]],"BUSETA")</f>
        <v>0</v>
      </c>
      <c r="Z633" s="36">
        <f>COUNTIF(Tabla1[[#This Row],[VEHICULOS_ACCIDENTADOS]:[VEHICULOS_ACCIDENTADOS2]],"CAMION")</f>
        <v>0</v>
      </c>
      <c r="AA633" s="36">
        <f>COUNTIF(Tabla1[[#This Row],[VEHICULOS_ACCIDENTADOS]:[VEHICULOS_ACCIDENTADOS2]],"TRACTOCAMION")</f>
        <v>0</v>
      </c>
      <c r="AB633" s="36">
        <f>COUNTIF(Tabla1[[#This Row],[VEHICULOS_ACCIDENTADOS]:[VEHICULOS_ACCIDENTADOS2]],"VOLQUETA")</f>
        <v>0</v>
      </c>
      <c r="AC633" s="36">
        <f>COUNTIF(Tabla1[[#This Row],[VEHICULOS_ACCIDENTADOS]:[VEHICULOS_ACCIDENTADOS2]],"BICICLETA")</f>
        <v>0</v>
      </c>
      <c r="AD633" s="219" t="s">
        <v>471</v>
      </c>
      <c r="AE633" s="219" t="s">
        <v>471</v>
      </c>
      <c r="AF633" s="190">
        <f>COUNTIF(Tabla1[[#This Row],[GENERO_MASCULINO]:[GENERO_FEMENINO]],"MASCULINO")</f>
        <v>2</v>
      </c>
      <c r="AG633" s="36">
        <f>COUNTIF(Tabla1[[#This Row],[GENERO_MASCULINO]:[GENERO_FEMENINO]],"FEMENINO")</f>
        <v>0</v>
      </c>
      <c r="AH633" s="85">
        <v>27</v>
      </c>
      <c r="AI633" s="85">
        <v>18</v>
      </c>
      <c r="AJ633" s="85"/>
      <c r="AK633" s="85"/>
      <c r="AL633" s="85"/>
      <c r="AM633" s="136"/>
      <c r="AN633" s="85">
        <v>139</v>
      </c>
      <c r="AO633" s="36" t="str">
        <f>IFERROR(((VLOOKUP(Tabla1[[#This Row],[HIPOTESIS_1]],listas!$D$1:$E$105,2,FALSE))),"SIN INFORMACIÓN")</f>
        <v>Impericia en el manejo.</v>
      </c>
      <c r="AP633" s="136"/>
      <c r="AQ633" s="36" t="str">
        <f>IFERROR(((VLOOKUP(Tabla1[[#This Row],[HIPOTESIS_2]],listas!$D$1:$E$105,2,FALSE))),"")</f>
        <v/>
      </c>
      <c r="AR633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634" spans="1:44" x14ac:dyDescent="0.25">
      <c r="A634" s="12">
        <v>508</v>
      </c>
      <c r="B634" s="36">
        <v>0</v>
      </c>
      <c r="C634" s="36">
        <v>1</v>
      </c>
      <c r="D634" s="60">
        <v>0</v>
      </c>
      <c r="E634" s="18" t="str">
        <f t="shared" si="36"/>
        <v>LESIONADO</v>
      </c>
      <c r="F634" s="29" t="s">
        <v>228</v>
      </c>
      <c r="G634" s="21">
        <v>5.324771666666666</v>
      </c>
      <c r="H634" s="21">
        <v>-72.391436111111119</v>
      </c>
      <c r="I634" s="93" t="s">
        <v>697</v>
      </c>
      <c r="J634" s="36" t="s">
        <v>717</v>
      </c>
      <c r="K634" s="24" t="str">
        <f t="shared" si="37"/>
        <v>2023</v>
      </c>
      <c r="L634" s="24" t="str">
        <f t="shared" si="38"/>
        <v>JUNIO</v>
      </c>
      <c r="M634" s="225">
        <v>45094</v>
      </c>
      <c r="N634" s="24" t="str">
        <f t="shared" si="39"/>
        <v>SÁBADO</v>
      </c>
      <c r="O634" s="103">
        <v>0.96736111111111101</v>
      </c>
      <c r="P634" s="57" t="s">
        <v>469</v>
      </c>
      <c r="Q634" s="57" t="s">
        <v>445</v>
      </c>
      <c r="R634" s="36">
        <f>COUNTIF(Tabla1[[#This Row],[VEHICULOS_ACCIDENTADOS]:[VEHICULOS_ACCIDENTADOS2]],"MOTOCICLETA")</f>
        <v>1</v>
      </c>
      <c r="S634" s="36">
        <f>COUNTIF(Tabla1[[#This Row],[VEHICULOS_ACCIDENTADOS]:[VEHICULOS_ACCIDENTADOS2]],"MOTOCARRO")</f>
        <v>0</v>
      </c>
      <c r="T634" s="36">
        <f>COUNTIF(Tabla1[[#This Row],[VEHICULOS_ACCIDENTADOS]:[VEHICULOS_ACCIDENTADOS2]],"AUTOMOVIL")</f>
        <v>0</v>
      </c>
      <c r="U634" s="36">
        <f>COUNTIF(Tabla1[[#This Row],[VEHICULOS_ACCIDENTADOS]:[VEHICULOS_ACCIDENTADOS2]],"CAMPERO")</f>
        <v>0</v>
      </c>
      <c r="V634" s="36">
        <f>COUNTIF(Tabla1[[#This Row],[VEHICULOS_ACCIDENTADOS]:[VEHICULOS_ACCIDENTADOS2]],"CAMIONETA")</f>
        <v>1</v>
      </c>
      <c r="W634" s="36">
        <f>COUNTIF(Tabla1[[#This Row],[VEHICULOS_ACCIDENTADOS]:[VEHICULOS_ACCIDENTADOS2]],"MICROBUS")</f>
        <v>0</v>
      </c>
      <c r="X634" s="36">
        <f>COUNTIF(Tabla1[[#This Row],[VEHICULOS_ACCIDENTADOS]:[VEHICULOS_ACCIDENTADOS2]],"BUS")</f>
        <v>0</v>
      </c>
      <c r="Y634" s="36">
        <f>COUNTIF(Tabla1[[#This Row],[VEHICULOS_ACCIDENTADOS]:[VEHICULOS_ACCIDENTADOS2]],"BUSETA")</f>
        <v>0</v>
      </c>
      <c r="Z634" s="36">
        <f>COUNTIF(Tabla1[[#This Row],[VEHICULOS_ACCIDENTADOS]:[VEHICULOS_ACCIDENTADOS2]],"CAMION")</f>
        <v>0</v>
      </c>
      <c r="AA634" s="36">
        <f>COUNTIF(Tabla1[[#This Row],[VEHICULOS_ACCIDENTADOS]:[VEHICULOS_ACCIDENTADOS2]],"TRACTOCAMION")</f>
        <v>0</v>
      </c>
      <c r="AB634" s="36">
        <f>COUNTIF(Tabla1[[#This Row],[VEHICULOS_ACCIDENTADOS]:[VEHICULOS_ACCIDENTADOS2]],"VOLQUETA")</f>
        <v>0</v>
      </c>
      <c r="AC634" s="36">
        <f>COUNTIF(Tabla1[[#This Row],[VEHICULOS_ACCIDENTADOS]:[VEHICULOS_ACCIDENTADOS2]],"BICICLETA")</f>
        <v>0</v>
      </c>
      <c r="AD634" s="56" t="s">
        <v>471</v>
      </c>
      <c r="AE634" s="56"/>
      <c r="AF634" s="56">
        <f>COUNTIF(Tabla1[[#This Row],[GENERO_MASCULINO]:[GENERO_FEMENINO]],"MASCULINO")</f>
        <v>1</v>
      </c>
      <c r="AG634" s="36">
        <f>COUNTIF(Tabla1[[#This Row],[GENERO_MASCULINO]:[GENERO_FEMENINO]],"FEMENINO")</f>
        <v>0</v>
      </c>
      <c r="AH634" s="61">
        <v>34</v>
      </c>
      <c r="AI634" s="61"/>
      <c r="AJ634" s="61"/>
      <c r="AK634" s="61"/>
      <c r="AL634" s="61"/>
      <c r="AM634" s="36"/>
      <c r="AN634" s="61">
        <v>139</v>
      </c>
      <c r="AO634" s="36" t="str">
        <f>IFERROR(((VLOOKUP(Tabla1[[#This Row],[HIPOTESIS_1]],listas!$D$1:$E$105,2,FALSE))),"SIN INFORMACIÓN")</f>
        <v>Impericia en el manejo.</v>
      </c>
      <c r="AP634" s="36"/>
      <c r="AQ634" s="36" t="str">
        <f>IFERROR(((VLOOKUP(Tabla1[[#This Row],[HIPOTESIS_2]],listas!$D$1:$E$105,2,FALSE))),"")</f>
        <v/>
      </c>
      <c r="AR634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635" spans="1:44" x14ac:dyDescent="0.25">
      <c r="A635" s="12">
        <v>549</v>
      </c>
      <c r="B635" s="36">
        <v>0</v>
      </c>
      <c r="C635" s="36">
        <v>1</v>
      </c>
      <c r="D635" s="60">
        <v>0</v>
      </c>
      <c r="E635" s="18" t="str">
        <f t="shared" si="36"/>
        <v>LESIONADO</v>
      </c>
      <c r="F635" s="29" t="s">
        <v>208</v>
      </c>
      <c r="G635" s="21">
        <v>5.3369497222222222</v>
      </c>
      <c r="H635" s="21">
        <v>-72.397475</v>
      </c>
      <c r="I635" s="93" t="s">
        <v>697</v>
      </c>
      <c r="J635" s="36" t="s">
        <v>717</v>
      </c>
      <c r="K635" s="24" t="str">
        <f t="shared" si="37"/>
        <v>2023</v>
      </c>
      <c r="L635" s="24" t="str">
        <f t="shared" si="38"/>
        <v>SEPTIEMBRE</v>
      </c>
      <c r="M635" s="225">
        <v>45170</v>
      </c>
      <c r="N635" s="24" t="str">
        <f t="shared" si="39"/>
        <v>VIERNES</v>
      </c>
      <c r="O635" s="103">
        <v>0.30208333333333331</v>
      </c>
      <c r="P635" s="57" t="s">
        <v>469</v>
      </c>
      <c r="Q635" s="57" t="s">
        <v>447</v>
      </c>
      <c r="R635" s="36">
        <f>COUNTIF(Tabla1[[#This Row],[VEHICULOS_ACCIDENTADOS]:[VEHICULOS_ACCIDENTADOS2]],"MOTOCICLETA")</f>
        <v>1</v>
      </c>
      <c r="S635" s="36">
        <f>COUNTIF(Tabla1[[#This Row],[VEHICULOS_ACCIDENTADOS]:[VEHICULOS_ACCIDENTADOS2]],"MOTOCARRO")</f>
        <v>0</v>
      </c>
      <c r="T635" s="36">
        <f>COUNTIF(Tabla1[[#This Row],[VEHICULOS_ACCIDENTADOS]:[VEHICULOS_ACCIDENTADOS2]],"AUTOMOVIL")</f>
        <v>1</v>
      </c>
      <c r="U635" s="36">
        <f>COUNTIF(Tabla1[[#This Row],[VEHICULOS_ACCIDENTADOS]:[VEHICULOS_ACCIDENTADOS2]],"CAMPERO")</f>
        <v>0</v>
      </c>
      <c r="V635" s="36">
        <f>COUNTIF(Tabla1[[#This Row],[VEHICULOS_ACCIDENTADOS]:[VEHICULOS_ACCIDENTADOS2]],"CAMIONETA")</f>
        <v>0</v>
      </c>
      <c r="W635" s="36">
        <f>COUNTIF(Tabla1[[#This Row],[VEHICULOS_ACCIDENTADOS]:[VEHICULOS_ACCIDENTADOS2]],"MICROBUS")</f>
        <v>0</v>
      </c>
      <c r="X635" s="36">
        <f>COUNTIF(Tabla1[[#This Row],[VEHICULOS_ACCIDENTADOS]:[VEHICULOS_ACCIDENTADOS2]],"BUS")</f>
        <v>0</v>
      </c>
      <c r="Y635" s="36">
        <f>COUNTIF(Tabla1[[#This Row],[VEHICULOS_ACCIDENTADOS]:[VEHICULOS_ACCIDENTADOS2]],"BUSETA")</f>
        <v>0</v>
      </c>
      <c r="Z635" s="36">
        <f>COUNTIF(Tabla1[[#This Row],[VEHICULOS_ACCIDENTADOS]:[VEHICULOS_ACCIDENTADOS2]],"CAMION")</f>
        <v>0</v>
      </c>
      <c r="AA635" s="36">
        <f>COUNTIF(Tabla1[[#This Row],[VEHICULOS_ACCIDENTADOS]:[VEHICULOS_ACCIDENTADOS2]],"TRACTOCAMION")</f>
        <v>0</v>
      </c>
      <c r="AB635" s="36">
        <f>COUNTIF(Tabla1[[#This Row],[VEHICULOS_ACCIDENTADOS]:[VEHICULOS_ACCIDENTADOS2]],"VOLQUETA")</f>
        <v>0</v>
      </c>
      <c r="AC635" s="36">
        <f>COUNTIF(Tabla1[[#This Row],[VEHICULOS_ACCIDENTADOS]:[VEHICULOS_ACCIDENTADOS2]],"BICICLETA")</f>
        <v>0</v>
      </c>
      <c r="AD635" s="56" t="s">
        <v>471</v>
      </c>
      <c r="AE635" s="56"/>
      <c r="AF635" s="56">
        <f>COUNTIF(Tabla1[[#This Row],[GENERO_MASCULINO]:[GENERO_FEMENINO]],"MASCULINO")</f>
        <v>1</v>
      </c>
      <c r="AG635" s="36">
        <f>COUNTIF(Tabla1[[#This Row],[GENERO_MASCULINO]:[GENERO_FEMENINO]],"FEMENINO")</f>
        <v>0</v>
      </c>
      <c r="AH635" s="61">
        <v>57</v>
      </c>
      <c r="AI635" s="61"/>
      <c r="AJ635" s="61"/>
      <c r="AK635" s="61"/>
      <c r="AL635" s="61"/>
      <c r="AM635" s="36"/>
      <c r="AN635" s="61">
        <v>112</v>
      </c>
      <c r="AO635" s="36" t="str">
        <f>IFERROR(((VLOOKUP(Tabla1[[#This Row],[HIPOTESIS_1]],listas!$D$1:$E$105,2,FALSE))),"SIN INFORMACIÓN")</f>
        <v>Desobedecer señales o normas de tránsito.</v>
      </c>
      <c r="AP635" s="36"/>
      <c r="AQ635" s="36" t="str">
        <f>IFERROR(((VLOOKUP(Tabla1[[#This Row],[HIPOTESIS_2]],listas!$D$1:$E$105,2,FALSE))),"")</f>
        <v/>
      </c>
      <c r="AR635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636" spans="1:44" x14ac:dyDescent="0.25">
      <c r="A636" s="12">
        <v>101</v>
      </c>
      <c r="B636" s="36">
        <v>0</v>
      </c>
      <c r="C636" s="36">
        <v>1</v>
      </c>
      <c r="D636" s="60">
        <v>0</v>
      </c>
      <c r="E636" s="18" t="str">
        <f t="shared" si="36"/>
        <v>LESIONADO</v>
      </c>
      <c r="F636" s="29" t="s">
        <v>906</v>
      </c>
      <c r="G636" s="17">
        <v>5.340608333333333</v>
      </c>
      <c r="H636" s="17">
        <v>-72.398658333333344</v>
      </c>
      <c r="I636" s="93" t="s">
        <v>697</v>
      </c>
      <c r="J636" s="36" t="s">
        <v>717</v>
      </c>
      <c r="K636" s="24" t="str">
        <f t="shared" si="37"/>
        <v>2022</v>
      </c>
      <c r="L636" s="24" t="str">
        <f t="shared" si="38"/>
        <v>MARZO</v>
      </c>
      <c r="M636" s="225">
        <v>44647</v>
      </c>
      <c r="N636" s="24" t="str">
        <f t="shared" si="39"/>
        <v>DOMINGO</v>
      </c>
      <c r="O636" s="103">
        <v>0.29166666666666669</v>
      </c>
      <c r="P636" s="63" t="s">
        <v>468</v>
      </c>
      <c r="Q636" s="63"/>
      <c r="R636" s="36">
        <f>COUNTIF(Tabla1[[#This Row],[VEHICULOS_ACCIDENTADOS]:[VEHICULOS_ACCIDENTADOS2]],"MOTOCICLETA")</f>
        <v>0</v>
      </c>
      <c r="S636" s="36">
        <f>COUNTIF(Tabla1[[#This Row],[VEHICULOS_ACCIDENTADOS]:[VEHICULOS_ACCIDENTADOS2]],"MOTOCARRO")</f>
        <v>1</v>
      </c>
      <c r="T636" s="36">
        <f>COUNTIF(Tabla1[[#This Row],[VEHICULOS_ACCIDENTADOS]:[VEHICULOS_ACCIDENTADOS2]],"AUTOMOVIL")</f>
        <v>0</v>
      </c>
      <c r="U636" s="36">
        <f>COUNTIF(Tabla1[[#This Row],[VEHICULOS_ACCIDENTADOS]:[VEHICULOS_ACCIDENTADOS2]],"CAMPERO")</f>
        <v>0</v>
      </c>
      <c r="V636" s="36">
        <f>COUNTIF(Tabla1[[#This Row],[VEHICULOS_ACCIDENTADOS]:[VEHICULOS_ACCIDENTADOS2]],"CAMIONETA")</f>
        <v>0</v>
      </c>
      <c r="W636" s="36">
        <f>COUNTIF(Tabla1[[#This Row],[VEHICULOS_ACCIDENTADOS]:[VEHICULOS_ACCIDENTADOS2]],"MICROBUS")</f>
        <v>0</v>
      </c>
      <c r="X636" s="36">
        <f>COUNTIF(Tabla1[[#This Row],[VEHICULOS_ACCIDENTADOS]:[VEHICULOS_ACCIDENTADOS2]],"BUS")</f>
        <v>0</v>
      </c>
      <c r="Y636" s="36">
        <f>COUNTIF(Tabla1[[#This Row],[VEHICULOS_ACCIDENTADOS]:[VEHICULOS_ACCIDENTADOS2]],"BUSETA")</f>
        <v>0</v>
      </c>
      <c r="Z636" s="36">
        <f>COUNTIF(Tabla1[[#This Row],[VEHICULOS_ACCIDENTADOS]:[VEHICULOS_ACCIDENTADOS2]],"CAMION")</f>
        <v>0</v>
      </c>
      <c r="AA636" s="36">
        <f>COUNTIF(Tabla1[[#This Row],[VEHICULOS_ACCIDENTADOS]:[VEHICULOS_ACCIDENTADOS2]],"TRACTOCAMION")</f>
        <v>0</v>
      </c>
      <c r="AB636" s="36">
        <f>COUNTIF(Tabla1[[#This Row],[VEHICULOS_ACCIDENTADOS]:[VEHICULOS_ACCIDENTADOS2]],"VOLQUETA")</f>
        <v>0</v>
      </c>
      <c r="AC636" s="36">
        <f>COUNTIF(Tabla1[[#This Row],[VEHICULOS_ACCIDENTADOS]:[VEHICULOS_ACCIDENTADOS2]],"BICICLETA")</f>
        <v>0</v>
      </c>
      <c r="AD636" s="56"/>
      <c r="AE636" s="56" t="s">
        <v>472</v>
      </c>
      <c r="AF636" s="56">
        <f>COUNTIF(Tabla1[[#This Row],[GENERO_MASCULINO]:[GENERO_FEMENINO]],"MASCULINO")</f>
        <v>0</v>
      </c>
      <c r="AG636" s="36">
        <f>COUNTIF(Tabla1[[#This Row],[GENERO_MASCULINO]:[GENERO_FEMENINO]],"FEMENINO")</f>
        <v>1</v>
      </c>
      <c r="AH636" s="61"/>
      <c r="AI636" s="61"/>
      <c r="AJ636" s="78"/>
      <c r="AK636" s="61">
        <v>42</v>
      </c>
      <c r="AL636" s="61"/>
      <c r="AM636" s="36"/>
      <c r="AN636" s="61">
        <v>157</v>
      </c>
      <c r="AO636" s="36" t="str">
        <f>IFERROR(((VLOOKUP(Tabla1[[#This Row],[HIPOTESIS_1]],listas!$D$1:$E$105,2,FALSE))),"SIN INFORMACIÓN")</f>
        <v>Otra</v>
      </c>
      <c r="AP636" s="36"/>
      <c r="AQ636" s="36" t="str">
        <f>IFERROR(((VLOOKUP(Tabla1[[#This Row],[HIPOTESIS_2]],listas!$D$1:$E$105,2,FALSE))),"")</f>
        <v/>
      </c>
      <c r="AR636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637" spans="1:44" x14ac:dyDescent="0.25">
      <c r="A637" s="12">
        <v>582</v>
      </c>
      <c r="B637" s="36">
        <v>0</v>
      </c>
      <c r="C637" s="36">
        <v>2</v>
      </c>
      <c r="D637" s="60">
        <v>0</v>
      </c>
      <c r="E637" s="18" t="str">
        <f t="shared" si="36"/>
        <v>LESIONADO</v>
      </c>
      <c r="F637" s="29" t="s">
        <v>1058</v>
      </c>
      <c r="G637" s="21">
        <v>5.3349736111111108</v>
      </c>
      <c r="H637" s="21">
        <v>-72.395715833333341</v>
      </c>
      <c r="I637" s="93" t="s">
        <v>697</v>
      </c>
      <c r="J637" s="36" t="s">
        <v>717</v>
      </c>
      <c r="K637" s="24" t="str">
        <f t="shared" si="37"/>
        <v>2023</v>
      </c>
      <c r="L637" s="24" t="str">
        <f t="shared" si="38"/>
        <v>OCTUBRE</v>
      </c>
      <c r="M637" s="225">
        <v>45224</v>
      </c>
      <c r="N637" s="24" t="str">
        <f t="shared" si="39"/>
        <v>MIÉRCOLES</v>
      </c>
      <c r="O637" s="103">
        <v>0.51388888888888895</v>
      </c>
      <c r="P637" s="57" t="s">
        <v>469</v>
      </c>
      <c r="Q637" s="57"/>
      <c r="R637" s="36">
        <f>COUNTIF(Tabla1[[#This Row],[VEHICULOS_ACCIDENTADOS]:[VEHICULOS_ACCIDENTADOS2]],"MOTOCICLETA")</f>
        <v>1</v>
      </c>
      <c r="S637" s="36">
        <f>COUNTIF(Tabla1[[#This Row],[VEHICULOS_ACCIDENTADOS]:[VEHICULOS_ACCIDENTADOS2]],"MOTOCARRO")</f>
        <v>0</v>
      </c>
      <c r="T637" s="36">
        <f>COUNTIF(Tabla1[[#This Row],[VEHICULOS_ACCIDENTADOS]:[VEHICULOS_ACCIDENTADOS2]],"AUTOMOVIL")</f>
        <v>0</v>
      </c>
      <c r="U637" s="36">
        <f>COUNTIF(Tabla1[[#This Row],[VEHICULOS_ACCIDENTADOS]:[VEHICULOS_ACCIDENTADOS2]],"CAMPERO")</f>
        <v>0</v>
      </c>
      <c r="V637" s="36">
        <f>COUNTIF(Tabla1[[#This Row],[VEHICULOS_ACCIDENTADOS]:[VEHICULOS_ACCIDENTADOS2]],"CAMIONETA")</f>
        <v>0</v>
      </c>
      <c r="W637" s="36">
        <f>COUNTIF(Tabla1[[#This Row],[VEHICULOS_ACCIDENTADOS]:[VEHICULOS_ACCIDENTADOS2]],"MICROBUS")</f>
        <v>0</v>
      </c>
      <c r="X637" s="36">
        <f>COUNTIF(Tabla1[[#This Row],[VEHICULOS_ACCIDENTADOS]:[VEHICULOS_ACCIDENTADOS2]],"BUS")</f>
        <v>0</v>
      </c>
      <c r="Y637" s="36">
        <f>COUNTIF(Tabla1[[#This Row],[VEHICULOS_ACCIDENTADOS]:[VEHICULOS_ACCIDENTADOS2]],"BUSETA")</f>
        <v>0</v>
      </c>
      <c r="Z637" s="36">
        <f>COUNTIF(Tabla1[[#This Row],[VEHICULOS_ACCIDENTADOS]:[VEHICULOS_ACCIDENTADOS2]],"CAMION")</f>
        <v>0</v>
      </c>
      <c r="AA637" s="36">
        <f>COUNTIF(Tabla1[[#This Row],[VEHICULOS_ACCIDENTADOS]:[VEHICULOS_ACCIDENTADOS2]],"TRACTOCAMION")</f>
        <v>0</v>
      </c>
      <c r="AB637" s="36">
        <f>COUNTIF(Tabla1[[#This Row],[VEHICULOS_ACCIDENTADOS]:[VEHICULOS_ACCIDENTADOS2]],"VOLQUETA")</f>
        <v>0</v>
      </c>
      <c r="AC637" s="36">
        <f>COUNTIF(Tabla1[[#This Row],[VEHICULOS_ACCIDENTADOS]:[VEHICULOS_ACCIDENTADOS2]],"BICICLETA")</f>
        <v>0</v>
      </c>
      <c r="AD637" s="56"/>
      <c r="AE637" s="56" t="s">
        <v>472</v>
      </c>
      <c r="AF637" s="56">
        <f>COUNTIF(Tabla1[[#This Row],[GENERO_MASCULINO]:[GENERO_FEMENINO]],"MASCULINO")</f>
        <v>0</v>
      </c>
      <c r="AG637" s="36">
        <f>COUNTIF(Tabla1[[#This Row],[GENERO_MASCULINO]:[GENERO_FEMENINO]],"FEMENINO")</f>
        <v>1</v>
      </c>
      <c r="AH637" s="61">
        <v>21</v>
      </c>
      <c r="AI637" s="61"/>
      <c r="AJ637" s="61"/>
      <c r="AK637" s="61">
        <v>36</v>
      </c>
      <c r="AL637" s="61"/>
      <c r="AM637" s="36"/>
      <c r="AN637" s="61">
        <v>409</v>
      </c>
      <c r="AO637" s="36" t="str">
        <f>IFERROR(((VLOOKUP(Tabla1[[#This Row],[HIPOTESIS_1]],listas!$D$1:$E$105,2,FALSE))),"SIN INFORMACIÓN")</f>
        <v>Cruzar sin observar.</v>
      </c>
      <c r="AP637" s="36"/>
      <c r="AQ637" s="36" t="str">
        <f>IFERROR(((VLOOKUP(Tabla1[[#This Row],[HIPOTESIS_2]],listas!$D$1:$E$105,2,FALSE))),"")</f>
        <v/>
      </c>
      <c r="AR637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638" spans="1:44" x14ac:dyDescent="0.25">
      <c r="A638" s="12">
        <v>560</v>
      </c>
      <c r="B638" s="36">
        <v>1</v>
      </c>
      <c r="C638" s="36">
        <v>0</v>
      </c>
      <c r="D638" s="60">
        <v>0</v>
      </c>
      <c r="E638" s="18" t="str">
        <f t="shared" si="36"/>
        <v>SOLO DAÑO</v>
      </c>
      <c r="F638" s="29" t="s">
        <v>1058</v>
      </c>
      <c r="G638" s="21">
        <v>5.3349736111111108</v>
      </c>
      <c r="H638" s="21">
        <v>-72.395715833333341</v>
      </c>
      <c r="I638" s="93" t="s">
        <v>697</v>
      </c>
      <c r="J638" s="36" t="s">
        <v>717</v>
      </c>
      <c r="K638" s="24" t="str">
        <f t="shared" si="37"/>
        <v>2023</v>
      </c>
      <c r="L638" s="24" t="str">
        <f t="shared" si="38"/>
        <v>SEPTIEMBRE</v>
      </c>
      <c r="M638" s="225">
        <v>45192</v>
      </c>
      <c r="N638" s="24" t="str">
        <f t="shared" si="39"/>
        <v>SÁBADO</v>
      </c>
      <c r="O638" s="103">
        <v>0.125</v>
      </c>
      <c r="P638" s="57" t="s">
        <v>469</v>
      </c>
      <c r="Q638" s="57" t="s">
        <v>445</v>
      </c>
      <c r="R638" s="36">
        <f>COUNTIF(Tabla1[[#This Row],[VEHICULOS_ACCIDENTADOS]:[VEHICULOS_ACCIDENTADOS2]],"MOTOCICLETA")</f>
        <v>1</v>
      </c>
      <c r="S638" s="36">
        <f>COUNTIF(Tabla1[[#This Row],[VEHICULOS_ACCIDENTADOS]:[VEHICULOS_ACCIDENTADOS2]],"MOTOCARRO")</f>
        <v>0</v>
      </c>
      <c r="T638" s="36">
        <f>COUNTIF(Tabla1[[#This Row],[VEHICULOS_ACCIDENTADOS]:[VEHICULOS_ACCIDENTADOS2]],"AUTOMOVIL")</f>
        <v>0</v>
      </c>
      <c r="U638" s="36">
        <f>COUNTIF(Tabla1[[#This Row],[VEHICULOS_ACCIDENTADOS]:[VEHICULOS_ACCIDENTADOS2]],"CAMPERO")</f>
        <v>0</v>
      </c>
      <c r="V638" s="36">
        <f>COUNTIF(Tabla1[[#This Row],[VEHICULOS_ACCIDENTADOS]:[VEHICULOS_ACCIDENTADOS2]],"CAMIONETA")</f>
        <v>1</v>
      </c>
      <c r="W638" s="36">
        <f>COUNTIF(Tabla1[[#This Row],[VEHICULOS_ACCIDENTADOS]:[VEHICULOS_ACCIDENTADOS2]],"MICROBUS")</f>
        <v>0</v>
      </c>
      <c r="X638" s="36">
        <f>COUNTIF(Tabla1[[#This Row],[VEHICULOS_ACCIDENTADOS]:[VEHICULOS_ACCIDENTADOS2]],"BUS")</f>
        <v>0</v>
      </c>
      <c r="Y638" s="36">
        <f>COUNTIF(Tabla1[[#This Row],[VEHICULOS_ACCIDENTADOS]:[VEHICULOS_ACCIDENTADOS2]],"BUSETA")</f>
        <v>0</v>
      </c>
      <c r="Z638" s="36">
        <f>COUNTIF(Tabla1[[#This Row],[VEHICULOS_ACCIDENTADOS]:[VEHICULOS_ACCIDENTADOS2]],"CAMION")</f>
        <v>0</v>
      </c>
      <c r="AA638" s="36">
        <f>COUNTIF(Tabla1[[#This Row],[VEHICULOS_ACCIDENTADOS]:[VEHICULOS_ACCIDENTADOS2]],"TRACTOCAMION")</f>
        <v>0</v>
      </c>
      <c r="AB638" s="36">
        <f>COUNTIF(Tabla1[[#This Row],[VEHICULOS_ACCIDENTADOS]:[VEHICULOS_ACCIDENTADOS2]],"VOLQUETA")</f>
        <v>0</v>
      </c>
      <c r="AC638" s="36">
        <f>COUNTIF(Tabla1[[#This Row],[VEHICULOS_ACCIDENTADOS]:[VEHICULOS_ACCIDENTADOS2]],"BICICLETA")</f>
        <v>0</v>
      </c>
      <c r="AD638" s="56" t="s">
        <v>471</v>
      </c>
      <c r="AE638" s="56"/>
      <c r="AF638" s="56">
        <f>COUNTIF(Tabla1[[#This Row],[GENERO_MASCULINO]:[GENERO_FEMENINO]],"MASCULINO")</f>
        <v>1</v>
      </c>
      <c r="AG638" s="36">
        <f>COUNTIF(Tabla1[[#This Row],[GENERO_MASCULINO]:[GENERO_FEMENINO]],"FEMENINO")</f>
        <v>0</v>
      </c>
      <c r="AH638" s="61"/>
      <c r="AI638" s="61"/>
      <c r="AJ638" s="61"/>
      <c r="AK638" s="61"/>
      <c r="AL638" s="61"/>
      <c r="AM638" s="36"/>
      <c r="AN638" s="61">
        <v>157</v>
      </c>
      <c r="AO638" s="36" t="str">
        <f>IFERROR(((VLOOKUP(Tabla1[[#This Row],[HIPOTESIS_1]],listas!$D$1:$E$105,2,FALSE))),"SIN INFORMACIÓN")</f>
        <v>Otra</v>
      </c>
      <c r="AP638" s="36"/>
      <c r="AQ638" s="36" t="str">
        <f>IFERROR(((VLOOKUP(Tabla1[[#This Row],[HIPOTESIS_2]],listas!$D$1:$E$105,2,FALSE))),"")</f>
        <v/>
      </c>
      <c r="AR638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639" spans="1:44" x14ac:dyDescent="0.25">
      <c r="A639" s="12">
        <v>212</v>
      </c>
      <c r="B639" s="36">
        <v>0</v>
      </c>
      <c r="C639" s="36">
        <v>2</v>
      </c>
      <c r="D639" s="60">
        <v>0</v>
      </c>
      <c r="E639" s="18" t="str">
        <f t="shared" si="36"/>
        <v>LESIONADO</v>
      </c>
      <c r="F639" s="29" t="s">
        <v>1060</v>
      </c>
      <c r="G639" s="17">
        <v>5.3458030000000001</v>
      </c>
      <c r="H639" s="17">
        <v>-72.401646</v>
      </c>
      <c r="I639" s="93" t="s">
        <v>697</v>
      </c>
      <c r="J639" s="36" t="s">
        <v>717</v>
      </c>
      <c r="K639" s="24" t="str">
        <f t="shared" si="37"/>
        <v>2022</v>
      </c>
      <c r="L639" s="24" t="str">
        <f t="shared" si="38"/>
        <v>JUNIO</v>
      </c>
      <c r="M639" s="225">
        <v>44722</v>
      </c>
      <c r="N639" s="24" t="str">
        <f t="shared" si="39"/>
        <v>VIERNES</v>
      </c>
      <c r="O639" s="170">
        <v>0.54861111111111105</v>
      </c>
      <c r="P639" s="53" t="s">
        <v>469</v>
      </c>
      <c r="Q639" s="53" t="s">
        <v>447</v>
      </c>
      <c r="R639" s="36">
        <f>COUNTIF(Tabla1[[#This Row],[VEHICULOS_ACCIDENTADOS]:[VEHICULOS_ACCIDENTADOS2]],"MOTOCICLETA")</f>
        <v>1</v>
      </c>
      <c r="S639" s="36">
        <f>COUNTIF(Tabla1[[#This Row],[VEHICULOS_ACCIDENTADOS]:[VEHICULOS_ACCIDENTADOS2]],"MOTOCARRO")</f>
        <v>0</v>
      </c>
      <c r="T639" s="36">
        <f>COUNTIF(Tabla1[[#This Row],[VEHICULOS_ACCIDENTADOS]:[VEHICULOS_ACCIDENTADOS2]],"AUTOMOVIL")</f>
        <v>1</v>
      </c>
      <c r="U639" s="36">
        <f>COUNTIF(Tabla1[[#This Row],[VEHICULOS_ACCIDENTADOS]:[VEHICULOS_ACCIDENTADOS2]],"CAMPERO")</f>
        <v>0</v>
      </c>
      <c r="V639" s="36">
        <f>COUNTIF(Tabla1[[#This Row],[VEHICULOS_ACCIDENTADOS]:[VEHICULOS_ACCIDENTADOS2]],"CAMIONETA")</f>
        <v>0</v>
      </c>
      <c r="W639" s="36">
        <f>COUNTIF(Tabla1[[#This Row],[VEHICULOS_ACCIDENTADOS]:[VEHICULOS_ACCIDENTADOS2]],"MICROBUS")</f>
        <v>0</v>
      </c>
      <c r="X639" s="36">
        <f>COUNTIF(Tabla1[[#This Row],[VEHICULOS_ACCIDENTADOS]:[VEHICULOS_ACCIDENTADOS2]],"BUS")</f>
        <v>0</v>
      </c>
      <c r="Y639" s="36">
        <f>COUNTIF(Tabla1[[#This Row],[VEHICULOS_ACCIDENTADOS]:[VEHICULOS_ACCIDENTADOS2]],"BUSETA")</f>
        <v>0</v>
      </c>
      <c r="Z639" s="36">
        <f>COUNTIF(Tabla1[[#This Row],[VEHICULOS_ACCIDENTADOS]:[VEHICULOS_ACCIDENTADOS2]],"CAMION")</f>
        <v>0</v>
      </c>
      <c r="AA639" s="36">
        <f>COUNTIF(Tabla1[[#This Row],[VEHICULOS_ACCIDENTADOS]:[VEHICULOS_ACCIDENTADOS2]],"TRACTOCAMION")</f>
        <v>0</v>
      </c>
      <c r="AB639" s="36">
        <f>COUNTIF(Tabla1[[#This Row],[VEHICULOS_ACCIDENTADOS]:[VEHICULOS_ACCIDENTADOS2]],"VOLQUETA")</f>
        <v>0</v>
      </c>
      <c r="AC639" s="36">
        <f>COUNTIF(Tabla1[[#This Row],[VEHICULOS_ACCIDENTADOS]:[VEHICULOS_ACCIDENTADOS2]],"BICICLETA")</f>
        <v>0</v>
      </c>
      <c r="AD639" s="56"/>
      <c r="AE639" s="56" t="s">
        <v>472</v>
      </c>
      <c r="AF639" s="56">
        <f>COUNTIF(Tabla1[[#This Row],[GENERO_MASCULINO]:[GENERO_FEMENINO]],"MASCULINO")</f>
        <v>0</v>
      </c>
      <c r="AG639" s="36">
        <f>COUNTIF(Tabla1[[#This Row],[GENERO_MASCULINO]:[GENERO_FEMENINO]],"FEMENINO")</f>
        <v>1</v>
      </c>
      <c r="AH639" s="61">
        <v>44</v>
      </c>
      <c r="AI639" s="61"/>
      <c r="AJ639" s="61"/>
      <c r="AK639" s="61"/>
      <c r="AL639" s="61">
        <v>25</v>
      </c>
      <c r="AM639" s="36"/>
      <c r="AN639" s="61">
        <v>112</v>
      </c>
      <c r="AO639" s="36" t="str">
        <f>IFERROR(((VLOOKUP(Tabla1[[#This Row],[HIPOTESIS_1]],listas!$D$1:$E$105,2,FALSE))),"SIN INFORMACIÓN")</f>
        <v>Desobedecer señales o normas de tránsito.</v>
      </c>
      <c r="AP639" s="36"/>
      <c r="AQ639" s="36" t="str">
        <f>IFERROR(((VLOOKUP(Tabla1[[#This Row],[HIPOTESIS_2]],listas!$D$1:$E$105,2,FALSE))),"")</f>
        <v/>
      </c>
      <c r="AR639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640" spans="1:44" x14ac:dyDescent="0.25">
      <c r="A640" s="12">
        <v>222</v>
      </c>
      <c r="B640" s="36">
        <v>0</v>
      </c>
      <c r="C640" s="36">
        <v>1</v>
      </c>
      <c r="D640" s="60">
        <v>0</v>
      </c>
      <c r="E640" s="18" t="str">
        <f t="shared" si="36"/>
        <v>LESIONADO</v>
      </c>
      <c r="F640" s="29" t="s">
        <v>1061</v>
      </c>
      <c r="G640" s="17">
        <v>5.3413055555555555</v>
      </c>
      <c r="H640" s="17">
        <v>-72.398861111111117</v>
      </c>
      <c r="I640" s="93" t="s">
        <v>697</v>
      </c>
      <c r="J640" s="36" t="s">
        <v>717</v>
      </c>
      <c r="K640" s="24" t="str">
        <f t="shared" si="37"/>
        <v>2022</v>
      </c>
      <c r="L640" s="24" t="str">
        <f t="shared" si="38"/>
        <v>JUNIO</v>
      </c>
      <c r="M640" s="225">
        <v>44732</v>
      </c>
      <c r="N640" s="24" t="str">
        <f t="shared" si="39"/>
        <v>LUNES</v>
      </c>
      <c r="O640" s="170">
        <v>0.52083333333333304</v>
      </c>
      <c r="P640" s="53" t="s">
        <v>469</v>
      </c>
      <c r="Q640" s="53" t="s">
        <v>444</v>
      </c>
      <c r="R640" s="36">
        <f>COUNTIF(Tabla1[[#This Row],[VEHICULOS_ACCIDENTADOS]:[VEHICULOS_ACCIDENTADOS2]],"MOTOCICLETA")</f>
        <v>1</v>
      </c>
      <c r="S640" s="36">
        <f>COUNTIF(Tabla1[[#This Row],[VEHICULOS_ACCIDENTADOS]:[VEHICULOS_ACCIDENTADOS2]],"MOTOCARRO")</f>
        <v>0</v>
      </c>
      <c r="T640" s="36">
        <f>COUNTIF(Tabla1[[#This Row],[VEHICULOS_ACCIDENTADOS]:[VEHICULOS_ACCIDENTADOS2]],"AUTOMOVIL")</f>
        <v>0</v>
      </c>
      <c r="U640" s="36">
        <f>COUNTIF(Tabla1[[#This Row],[VEHICULOS_ACCIDENTADOS]:[VEHICULOS_ACCIDENTADOS2]],"CAMPERO")</f>
        <v>0</v>
      </c>
      <c r="V640" s="36">
        <f>COUNTIF(Tabla1[[#This Row],[VEHICULOS_ACCIDENTADOS]:[VEHICULOS_ACCIDENTADOS2]],"CAMIONETA")</f>
        <v>0</v>
      </c>
      <c r="W640" s="36">
        <f>COUNTIF(Tabla1[[#This Row],[VEHICULOS_ACCIDENTADOS]:[VEHICULOS_ACCIDENTADOS2]],"MICROBUS")</f>
        <v>1</v>
      </c>
      <c r="X640" s="36">
        <f>COUNTIF(Tabla1[[#This Row],[VEHICULOS_ACCIDENTADOS]:[VEHICULOS_ACCIDENTADOS2]],"BUS")</f>
        <v>0</v>
      </c>
      <c r="Y640" s="36">
        <f>COUNTIF(Tabla1[[#This Row],[VEHICULOS_ACCIDENTADOS]:[VEHICULOS_ACCIDENTADOS2]],"BUSETA")</f>
        <v>0</v>
      </c>
      <c r="Z640" s="36">
        <f>COUNTIF(Tabla1[[#This Row],[VEHICULOS_ACCIDENTADOS]:[VEHICULOS_ACCIDENTADOS2]],"CAMION")</f>
        <v>0</v>
      </c>
      <c r="AA640" s="36">
        <f>COUNTIF(Tabla1[[#This Row],[VEHICULOS_ACCIDENTADOS]:[VEHICULOS_ACCIDENTADOS2]],"TRACTOCAMION")</f>
        <v>0</v>
      </c>
      <c r="AB640" s="36">
        <f>COUNTIF(Tabla1[[#This Row],[VEHICULOS_ACCIDENTADOS]:[VEHICULOS_ACCIDENTADOS2]],"VOLQUETA")</f>
        <v>0</v>
      </c>
      <c r="AC640" s="36">
        <f>COUNTIF(Tabla1[[#This Row],[VEHICULOS_ACCIDENTADOS]:[VEHICULOS_ACCIDENTADOS2]],"BICICLETA")</f>
        <v>0</v>
      </c>
      <c r="AD640" s="56" t="s">
        <v>471</v>
      </c>
      <c r="AE640" s="56"/>
      <c r="AF640" s="56">
        <f>COUNTIF(Tabla1[[#This Row],[GENERO_MASCULINO]:[GENERO_FEMENINO]],"MASCULINO")</f>
        <v>1</v>
      </c>
      <c r="AG640" s="36">
        <f>COUNTIF(Tabla1[[#This Row],[GENERO_MASCULINO]:[GENERO_FEMENINO]],"FEMENINO")</f>
        <v>0</v>
      </c>
      <c r="AH640" s="61">
        <v>23</v>
      </c>
      <c r="AI640" s="61"/>
      <c r="AJ640" s="61"/>
      <c r="AK640" s="61"/>
      <c r="AL640" s="61"/>
      <c r="AM640" s="36"/>
      <c r="AN640" s="61">
        <v>112</v>
      </c>
      <c r="AO640" s="36" t="str">
        <f>IFERROR(((VLOOKUP(Tabla1[[#This Row],[HIPOTESIS_1]],listas!$D$1:$E$105,2,FALSE))),"SIN INFORMACIÓN")</f>
        <v>Desobedecer señales o normas de tránsito.</v>
      </c>
      <c r="AP640" s="36"/>
      <c r="AQ640" s="36" t="str">
        <f>IFERROR(((VLOOKUP(Tabla1[[#This Row],[HIPOTESIS_2]],listas!$D$1:$E$105,2,FALSE))),"")</f>
        <v/>
      </c>
      <c r="AR640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641" spans="1:56" x14ac:dyDescent="0.25">
      <c r="A641" s="12">
        <v>239</v>
      </c>
      <c r="B641" s="36">
        <v>0</v>
      </c>
      <c r="C641" s="36">
        <v>2</v>
      </c>
      <c r="D641" s="60">
        <v>0</v>
      </c>
      <c r="E641" s="18" t="str">
        <f t="shared" si="36"/>
        <v>LESIONADO</v>
      </c>
      <c r="F641" s="29" t="s">
        <v>1061</v>
      </c>
      <c r="G641" s="17">
        <v>5.3413055555555555</v>
      </c>
      <c r="H641" s="17">
        <v>-72.398861111111117</v>
      </c>
      <c r="I641" s="93" t="s">
        <v>697</v>
      </c>
      <c r="J641" s="36" t="s">
        <v>717</v>
      </c>
      <c r="K641" s="24" t="str">
        <f t="shared" si="37"/>
        <v>2022</v>
      </c>
      <c r="L641" s="24" t="str">
        <f t="shared" si="38"/>
        <v>JULIO</v>
      </c>
      <c r="M641" s="225">
        <v>44746</v>
      </c>
      <c r="N641" s="24" t="str">
        <f t="shared" si="39"/>
        <v>LUNES</v>
      </c>
      <c r="O641" s="170">
        <v>0.55555555555555602</v>
      </c>
      <c r="P641" s="53" t="s">
        <v>469</v>
      </c>
      <c r="Q641" s="53" t="s">
        <v>444</v>
      </c>
      <c r="R641" s="36">
        <f>COUNTIF(Tabla1[[#This Row],[VEHICULOS_ACCIDENTADOS]:[VEHICULOS_ACCIDENTADOS2]],"MOTOCICLETA")</f>
        <v>1</v>
      </c>
      <c r="S641" s="36">
        <f>COUNTIF(Tabla1[[#This Row],[VEHICULOS_ACCIDENTADOS]:[VEHICULOS_ACCIDENTADOS2]],"MOTOCARRO")</f>
        <v>0</v>
      </c>
      <c r="T641" s="36">
        <f>COUNTIF(Tabla1[[#This Row],[VEHICULOS_ACCIDENTADOS]:[VEHICULOS_ACCIDENTADOS2]],"AUTOMOVIL")</f>
        <v>0</v>
      </c>
      <c r="U641" s="36">
        <f>COUNTIF(Tabla1[[#This Row],[VEHICULOS_ACCIDENTADOS]:[VEHICULOS_ACCIDENTADOS2]],"CAMPERO")</f>
        <v>0</v>
      </c>
      <c r="V641" s="36">
        <f>COUNTIF(Tabla1[[#This Row],[VEHICULOS_ACCIDENTADOS]:[VEHICULOS_ACCIDENTADOS2]],"CAMIONETA")</f>
        <v>0</v>
      </c>
      <c r="W641" s="36">
        <f>COUNTIF(Tabla1[[#This Row],[VEHICULOS_ACCIDENTADOS]:[VEHICULOS_ACCIDENTADOS2]],"MICROBUS")</f>
        <v>1</v>
      </c>
      <c r="X641" s="36">
        <f>COUNTIF(Tabla1[[#This Row],[VEHICULOS_ACCIDENTADOS]:[VEHICULOS_ACCIDENTADOS2]],"BUS")</f>
        <v>0</v>
      </c>
      <c r="Y641" s="36">
        <f>COUNTIF(Tabla1[[#This Row],[VEHICULOS_ACCIDENTADOS]:[VEHICULOS_ACCIDENTADOS2]],"BUSETA")</f>
        <v>0</v>
      </c>
      <c r="Z641" s="36">
        <f>COUNTIF(Tabla1[[#This Row],[VEHICULOS_ACCIDENTADOS]:[VEHICULOS_ACCIDENTADOS2]],"CAMION")</f>
        <v>0</v>
      </c>
      <c r="AA641" s="36">
        <f>COUNTIF(Tabla1[[#This Row],[VEHICULOS_ACCIDENTADOS]:[VEHICULOS_ACCIDENTADOS2]],"TRACTOCAMION")</f>
        <v>0</v>
      </c>
      <c r="AB641" s="36">
        <f>COUNTIF(Tabla1[[#This Row],[VEHICULOS_ACCIDENTADOS]:[VEHICULOS_ACCIDENTADOS2]],"VOLQUETA")</f>
        <v>0</v>
      </c>
      <c r="AC641" s="36">
        <f>COUNTIF(Tabla1[[#This Row],[VEHICULOS_ACCIDENTADOS]:[VEHICULOS_ACCIDENTADOS2]],"BICICLETA")</f>
        <v>0</v>
      </c>
      <c r="AD641" s="56" t="s">
        <v>471</v>
      </c>
      <c r="AE641" s="56" t="s">
        <v>472</v>
      </c>
      <c r="AF641" s="56">
        <f>COUNTIF(Tabla1[[#This Row],[GENERO_MASCULINO]:[GENERO_FEMENINO]],"MASCULINO")</f>
        <v>1</v>
      </c>
      <c r="AG641" s="36">
        <f>COUNTIF(Tabla1[[#This Row],[GENERO_MASCULINO]:[GENERO_FEMENINO]],"FEMENINO")</f>
        <v>1</v>
      </c>
      <c r="AH641" s="61">
        <v>29</v>
      </c>
      <c r="AI641" s="61"/>
      <c r="AJ641" s="78"/>
      <c r="AK641" s="61"/>
      <c r="AL641" s="61">
        <v>29</v>
      </c>
      <c r="AM641" s="36"/>
      <c r="AN641" s="61">
        <v>112</v>
      </c>
      <c r="AO641" s="36" t="str">
        <f>IFERROR(((VLOOKUP(Tabla1[[#This Row],[HIPOTESIS_1]],listas!$D$1:$E$105,2,FALSE))),"SIN INFORMACIÓN")</f>
        <v>Desobedecer señales o normas de tránsito.</v>
      </c>
      <c r="AP641" s="36"/>
      <c r="AQ641" s="36" t="str">
        <f>IFERROR(((VLOOKUP(Tabla1[[#This Row],[HIPOTESIS_2]],listas!$D$1:$E$105,2,FALSE))),"")</f>
        <v/>
      </c>
      <c r="AR641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642" spans="1:56" x14ac:dyDescent="0.25">
      <c r="A642" s="12">
        <v>50</v>
      </c>
      <c r="B642" s="36">
        <v>0</v>
      </c>
      <c r="C642" s="36">
        <v>2</v>
      </c>
      <c r="D642" s="60">
        <v>0</v>
      </c>
      <c r="E642" s="18" t="str">
        <f t="shared" ref="E642:E705" si="40">IF(D642&gt;=1,"FALLECIDO",IF(C642&gt;=1,"LESIONADO",IF(B642&gt;=1,"SOLO DAÑO","")))</f>
        <v>LESIONADO</v>
      </c>
      <c r="F642" s="29" t="s">
        <v>1061</v>
      </c>
      <c r="G642" s="17">
        <v>5.3413055555555555</v>
      </c>
      <c r="H642" s="17">
        <v>-72.398861111111117</v>
      </c>
      <c r="I642" s="93" t="s">
        <v>697</v>
      </c>
      <c r="J642" s="36" t="s">
        <v>717</v>
      </c>
      <c r="K642" s="24" t="str">
        <f t="shared" ref="K642:K705" si="41">UPPER(TEXT(M642,"YYYY"))</f>
        <v>2022</v>
      </c>
      <c r="L642" s="24" t="str">
        <f t="shared" ref="L642:L705" si="42">UPPER(TEXT(M642,"MMMM"))</f>
        <v>FEBRERO</v>
      </c>
      <c r="M642" s="225">
        <v>44606</v>
      </c>
      <c r="N642" s="24" t="str">
        <f t="shared" ref="N642:N705" si="43">UPPER(TEXT(M642,"DDDD"))</f>
        <v>LUNES</v>
      </c>
      <c r="O642" s="103">
        <v>0.27083333333333298</v>
      </c>
      <c r="P642" s="63" t="s">
        <v>441</v>
      </c>
      <c r="Q642" s="63" t="s">
        <v>444</v>
      </c>
      <c r="R642" s="36">
        <f>COUNTIF(Tabla1[[#This Row],[VEHICULOS_ACCIDENTADOS]:[VEHICULOS_ACCIDENTADOS2]],"MOTOCICLETA")</f>
        <v>0</v>
      </c>
      <c r="S642" s="36">
        <f>COUNTIF(Tabla1[[#This Row],[VEHICULOS_ACCIDENTADOS]:[VEHICULOS_ACCIDENTADOS2]],"MOTOCARRO")</f>
        <v>0</v>
      </c>
      <c r="T642" s="36">
        <f>COUNTIF(Tabla1[[#This Row],[VEHICULOS_ACCIDENTADOS]:[VEHICULOS_ACCIDENTADOS2]],"AUTOMOVIL")</f>
        <v>0</v>
      </c>
      <c r="U642" s="36">
        <f>COUNTIF(Tabla1[[#This Row],[VEHICULOS_ACCIDENTADOS]:[VEHICULOS_ACCIDENTADOS2]],"CAMPERO")</f>
        <v>0</v>
      </c>
      <c r="V642" s="36">
        <f>COUNTIF(Tabla1[[#This Row],[VEHICULOS_ACCIDENTADOS]:[VEHICULOS_ACCIDENTADOS2]],"CAMIONETA")</f>
        <v>0</v>
      </c>
      <c r="W642" s="36">
        <f>COUNTIF(Tabla1[[#This Row],[VEHICULOS_ACCIDENTADOS]:[VEHICULOS_ACCIDENTADOS2]],"MICROBUS")</f>
        <v>1</v>
      </c>
      <c r="X642" s="36">
        <f>COUNTIF(Tabla1[[#This Row],[VEHICULOS_ACCIDENTADOS]:[VEHICULOS_ACCIDENTADOS2]],"BUS")</f>
        <v>0</v>
      </c>
      <c r="Y642" s="36">
        <f>COUNTIF(Tabla1[[#This Row],[VEHICULOS_ACCIDENTADOS]:[VEHICULOS_ACCIDENTADOS2]],"BUSETA")</f>
        <v>0</v>
      </c>
      <c r="Z642" s="36">
        <f>COUNTIF(Tabla1[[#This Row],[VEHICULOS_ACCIDENTADOS]:[VEHICULOS_ACCIDENTADOS2]],"CAMION")</f>
        <v>1</v>
      </c>
      <c r="AA642" s="36">
        <f>COUNTIF(Tabla1[[#This Row],[VEHICULOS_ACCIDENTADOS]:[VEHICULOS_ACCIDENTADOS2]],"TRACTOCAMION")</f>
        <v>0</v>
      </c>
      <c r="AB642" s="36">
        <f>COUNTIF(Tabla1[[#This Row],[VEHICULOS_ACCIDENTADOS]:[VEHICULOS_ACCIDENTADOS2]],"VOLQUETA")</f>
        <v>0</v>
      </c>
      <c r="AC642" s="36">
        <f>COUNTIF(Tabla1[[#This Row],[VEHICULOS_ACCIDENTADOS]:[VEHICULOS_ACCIDENTADOS2]],"BICICLETA")</f>
        <v>0</v>
      </c>
      <c r="AD642" s="56" t="s">
        <v>471</v>
      </c>
      <c r="AE642" s="56" t="s">
        <v>472</v>
      </c>
      <c r="AF642" s="56">
        <f>COUNTIF(Tabla1[[#This Row],[GENERO_MASCULINO]:[GENERO_FEMENINO]],"MASCULINO")</f>
        <v>1</v>
      </c>
      <c r="AG642" s="36">
        <f>COUNTIF(Tabla1[[#This Row],[GENERO_MASCULINO]:[GENERO_FEMENINO]],"FEMENINO")</f>
        <v>1</v>
      </c>
      <c r="AH642" s="61">
        <v>20</v>
      </c>
      <c r="AI642" s="61"/>
      <c r="AJ642" s="78"/>
      <c r="AK642" s="61"/>
      <c r="AL642" s="61">
        <v>42</v>
      </c>
      <c r="AM642" s="36"/>
      <c r="AN642" s="61">
        <v>112</v>
      </c>
      <c r="AO642" s="36" t="str">
        <f>IFERROR(((VLOOKUP(Tabla1[[#This Row],[HIPOTESIS_1]],listas!$D$1:$E$105,2,FALSE))),"SIN INFORMACIÓN")</f>
        <v>Desobedecer señales o normas de tránsito.</v>
      </c>
      <c r="AP642" s="36"/>
      <c r="AQ642" s="36" t="str">
        <f>IFERROR(((VLOOKUP(Tabla1[[#This Row],[HIPOTESIS_2]],listas!$D$1:$E$105,2,FALSE))),"")</f>
        <v/>
      </c>
      <c r="AR642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643" spans="1:56" x14ac:dyDescent="0.25">
      <c r="A643" s="12">
        <v>1002</v>
      </c>
      <c r="B643" s="137">
        <v>0</v>
      </c>
      <c r="C643" s="137">
        <v>2</v>
      </c>
      <c r="D643" s="146">
        <v>0</v>
      </c>
      <c r="E643" s="18" t="str">
        <f t="shared" si="40"/>
        <v>LESIONADO</v>
      </c>
      <c r="F643" s="152" t="s">
        <v>1062</v>
      </c>
      <c r="G643" s="30">
        <v>5.3404670000000003</v>
      </c>
      <c r="H643" s="30">
        <v>-72.398532000000003</v>
      </c>
      <c r="I643" s="93" t="s">
        <v>697</v>
      </c>
      <c r="J643" s="36" t="s">
        <v>717</v>
      </c>
      <c r="K643" s="24" t="str">
        <f t="shared" si="41"/>
        <v>2025</v>
      </c>
      <c r="L643" s="24" t="str">
        <f t="shared" si="42"/>
        <v>JUNIO</v>
      </c>
      <c r="M643" s="228">
        <v>45825</v>
      </c>
      <c r="N643" s="24" t="str">
        <f t="shared" si="43"/>
        <v>MARTES</v>
      </c>
      <c r="O643" s="103">
        <v>0.47222222222222221</v>
      </c>
      <c r="P643" s="63" t="s">
        <v>469</v>
      </c>
      <c r="Q643" s="63" t="s">
        <v>445</v>
      </c>
      <c r="R643" s="36">
        <f>COUNTIF(Tabla1[[#This Row],[VEHICULOS_ACCIDENTADOS]:[VEHICULOS_ACCIDENTADOS2]],"MOTOCICLETA")</f>
        <v>1</v>
      </c>
      <c r="S643" s="36">
        <f>COUNTIF(Tabla1[[#This Row],[VEHICULOS_ACCIDENTADOS]:[VEHICULOS_ACCIDENTADOS2]],"MOTOCARRO")</f>
        <v>0</v>
      </c>
      <c r="T643" s="36">
        <f>COUNTIF(Tabla1[[#This Row],[VEHICULOS_ACCIDENTADOS]:[VEHICULOS_ACCIDENTADOS2]],"AUTOMOVIL")</f>
        <v>0</v>
      </c>
      <c r="U643" s="36">
        <f>COUNTIF(Tabla1[[#This Row],[VEHICULOS_ACCIDENTADOS]:[VEHICULOS_ACCIDENTADOS2]],"CAMPERO")</f>
        <v>0</v>
      </c>
      <c r="V643" s="36">
        <f>COUNTIF(Tabla1[[#This Row],[VEHICULOS_ACCIDENTADOS]:[VEHICULOS_ACCIDENTADOS2]],"CAMIONETA")</f>
        <v>1</v>
      </c>
      <c r="W643" s="36">
        <f>COUNTIF(Tabla1[[#This Row],[VEHICULOS_ACCIDENTADOS]:[VEHICULOS_ACCIDENTADOS2]],"MICROBUS")</f>
        <v>0</v>
      </c>
      <c r="X643" s="36">
        <f>COUNTIF(Tabla1[[#This Row],[VEHICULOS_ACCIDENTADOS]:[VEHICULOS_ACCIDENTADOS2]],"BUS")</f>
        <v>0</v>
      </c>
      <c r="Y643" s="36">
        <f>COUNTIF(Tabla1[[#This Row],[VEHICULOS_ACCIDENTADOS]:[VEHICULOS_ACCIDENTADOS2]],"BUSETA")</f>
        <v>0</v>
      </c>
      <c r="Z643" s="36">
        <f>COUNTIF(Tabla1[[#This Row],[VEHICULOS_ACCIDENTADOS]:[VEHICULOS_ACCIDENTADOS2]],"CAMION")</f>
        <v>0</v>
      </c>
      <c r="AA643" s="36">
        <f>COUNTIF(Tabla1[[#This Row],[VEHICULOS_ACCIDENTADOS]:[VEHICULOS_ACCIDENTADOS2]],"TRACTOCAMION")</f>
        <v>0</v>
      </c>
      <c r="AB643" s="36">
        <f>COUNTIF(Tabla1[[#This Row],[VEHICULOS_ACCIDENTADOS]:[VEHICULOS_ACCIDENTADOS2]],"VOLQUETA")</f>
        <v>0</v>
      </c>
      <c r="AC643" s="36">
        <f>COUNTIF(Tabla1[[#This Row],[VEHICULOS_ACCIDENTADOS]:[VEHICULOS_ACCIDENTADOS2]],"BICICLETA")</f>
        <v>0</v>
      </c>
      <c r="AD643" s="56" t="s">
        <v>472</v>
      </c>
      <c r="AE643" s="56" t="s">
        <v>471</v>
      </c>
      <c r="AF643" s="56">
        <f>COUNTIF(Tabla1[[#This Row],[GENERO_MASCULINO]:[GENERO_FEMENINO]],"MASCULINO")</f>
        <v>1</v>
      </c>
      <c r="AG643" s="36">
        <f>COUNTIF(Tabla1[[#This Row],[GENERO_MASCULINO]:[GENERO_FEMENINO]],"FEMENINO")</f>
        <v>1</v>
      </c>
      <c r="AH643" s="85">
        <v>25</v>
      </c>
      <c r="AI643" s="85">
        <v>23</v>
      </c>
      <c r="AJ643" s="85">
        <v>7</v>
      </c>
      <c r="AK643" s="78"/>
      <c r="AL643" s="78"/>
      <c r="AM643" s="59"/>
      <c r="AN643" s="61">
        <v>139</v>
      </c>
      <c r="AO643" s="36" t="str">
        <f>IFERROR(((VLOOKUP(Tabla1[[#This Row],[HIPOTESIS_1]],listas!$D$1:$E$105,2,FALSE))),"SIN INFORMACIÓN")</f>
        <v>Impericia en el manejo.</v>
      </c>
      <c r="AP643" s="36"/>
      <c r="AQ643" s="36" t="str">
        <f>IFERROR(((VLOOKUP(Tabla1[[#This Row],[HIPOTESIS_2]],listas!$D$1:$E$105,2,FALSE))),"")</f>
        <v/>
      </c>
      <c r="AR643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644" spans="1:56" x14ac:dyDescent="0.25">
      <c r="A644" s="12">
        <v>142</v>
      </c>
      <c r="B644" s="36">
        <v>0</v>
      </c>
      <c r="C644" s="36">
        <v>3</v>
      </c>
      <c r="D644" s="60">
        <v>0</v>
      </c>
      <c r="E644" s="18" t="str">
        <f t="shared" si="40"/>
        <v>LESIONADO</v>
      </c>
      <c r="F644" s="29" t="s">
        <v>1062</v>
      </c>
      <c r="G644" s="17">
        <v>5.3404944444444444</v>
      </c>
      <c r="H644" s="17">
        <v>-72.39851666666668</v>
      </c>
      <c r="I644" s="93" t="s">
        <v>697</v>
      </c>
      <c r="J644" s="36" t="s">
        <v>717</v>
      </c>
      <c r="K644" s="24" t="str">
        <f t="shared" si="41"/>
        <v>2022</v>
      </c>
      <c r="L644" s="24" t="str">
        <f t="shared" si="42"/>
        <v>ABRIL</v>
      </c>
      <c r="M644" s="225">
        <v>44671</v>
      </c>
      <c r="N644" s="24" t="str">
        <f t="shared" si="43"/>
        <v>MIÉRCOLES</v>
      </c>
      <c r="O644" s="103">
        <v>0.83611111111111103</v>
      </c>
      <c r="P644" s="63" t="s">
        <v>469</v>
      </c>
      <c r="Q644" s="255" t="s">
        <v>447</v>
      </c>
      <c r="R644" s="36">
        <f>COUNTIF(Tabla1[[#This Row],[VEHICULOS_ACCIDENTADOS]:[VEHICULOS_ACCIDENTADOS2]],"MOTOCICLETA")</f>
        <v>1</v>
      </c>
      <c r="S644" s="36">
        <f>COUNTIF(Tabla1[[#This Row],[VEHICULOS_ACCIDENTADOS]:[VEHICULOS_ACCIDENTADOS2]],"MOTOCARRO")</f>
        <v>0</v>
      </c>
      <c r="T644" s="36">
        <f>COUNTIF(Tabla1[[#This Row],[VEHICULOS_ACCIDENTADOS]:[VEHICULOS_ACCIDENTADOS2]],"AUTOMOVIL")</f>
        <v>1</v>
      </c>
      <c r="U644" s="36">
        <f>COUNTIF(Tabla1[[#This Row],[VEHICULOS_ACCIDENTADOS]:[VEHICULOS_ACCIDENTADOS2]],"CAMPERO")</f>
        <v>0</v>
      </c>
      <c r="V644" s="36">
        <f>COUNTIF(Tabla1[[#This Row],[VEHICULOS_ACCIDENTADOS]:[VEHICULOS_ACCIDENTADOS2]],"CAMIONETA")</f>
        <v>0</v>
      </c>
      <c r="W644" s="36">
        <f>COUNTIF(Tabla1[[#This Row],[VEHICULOS_ACCIDENTADOS]:[VEHICULOS_ACCIDENTADOS2]],"MICROBUS")</f>
        <v>0</v>
      </c>
      <c r="X644" s="36">
        <f>COUNTIF(Tabla1[[#This Row],[VEHICULOS_ACCIDENTADOS]:[VEHICULOS_ACCIDENTADOS2]],"BUS")</f>
        <v>0</v>
      </c>
      <c r="Y644" s="36">
        <f>COUNTIF(Tabla1[[#This Row],[VEHICULOS_ACCIDENTADOS]:[VEHICULOS_ACCIDENTADOS2]],"BUSETA")</f>
        <v>0</v>
      </c>
      <c r="Z644" s="36">
        <f>COUNTIF(Tabla1[[#This Row],[VEHICULOS_ACCIDENTADOS]:[VEHICULOS_ACCIDENTADOS2]],"CAMION")</f>
        <v>0</v>
      </c>
      <c r="AA644" s="36">
        <f>COUNTIF(Tabla1[[#This Row],[VEHICULOS_ACCIDENTADOS]:[VEHICULOS_ACCIDENTADOS2]],"TRACTOCAMION")</f>
        <v>0</v>
      </c>
      <c r="AB644" s="36">
        <f>COUNTIF(Tabla1[[#This Row],[VEHICULOS_ACCIDENTADOS]:[VEHICULOS_ACCIDENTADOS2]],"VOLQUETA")</f>
        <v>0</v>
      </c>
      <c r="AC644" s="36">
        <f>COUNTIF(Tabla1[[#This Row],[VEHICULOS_ACCIDENTADOS]:[VEHICULOS_ACCIDENTADOS2]],"BICICLETA")</f>
        <v>0</v>
      </c>
      <c r="AD644" s="56" t="s">
        <v>471</v>
      </c>
      <c r="AE644" s="56"/>
      <c r="AF644" s="56">
        <f>COUNTIF(Tabla1[[#This Row],[GENERO_MASCULINO]:[GENERO_FEMENINO]],"MASCULINO")</f>
        <v>1</v>
      </c>
      <c r="AG644" s="36">
        <f>COUNTIF(Tabla1[[#This Row],[GENERO_MASCULINO]:[GENERO_FEMENINO]],"FEMENINO")</f>
        <v>0</v>
      </c>
      <c r="AH644" s="61">
        <v>23</v>
      </c>
      <c r="AI644" s="61">
        <v>64</v>
      </c>
      <c r="AJ644" s="61"/>
      <c r="AK644" s="61"/>
      <c r="AL644" s="61">
        <v>35</v>
      </c>
      <c r="AM644" s="36"/>
      <c r="AN644" s="61">
        <v>123</v>
      </c>
      <c r="AO644" s="36" t="str">
        <f>IFERROR(((VLOOKUP(Tabla1[[#This Row],[HIPOTESIS_1]],listas!$D$1:$E$105,2,FALSE))),"SIN INFORMACIÓN")</f>
        <v>No respetar prelación de intersecciones o giros.</v>
      </c>
      <c r="AP644" s="36"/>
      <c r="AQ644" s="36" t="str">
        <f>IFERROR(((VLOOKUP(Tabla1[[#This Row],[HIPOTESIS_2]],listas!$D$1:$E$105,2,FALSE))),"")</f>
        <v/>
      </c>
      <c r="AR644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645" spans="1:56" x14ac:dyDescent="0.25">
      <c r="A645" s="12">
        <v>368</v>
      </c>
      <c r="B645" s="36">
        <v>0</v>
      </c>
      <c r="C645" s="36">
        <v>1</v>
      </c>
      <c r="D645" s="60">
        <v>0</v>
      </c>
      <c r="E645" s="18" t="str">
        <f t="shared" si="40"/>
        <v>LESIONADO</v>
      </c>
      <c r="F645" s="29" t="s">
        <v>1063</v>
      </c>
      <c r="G645" s="17">
        <v>5.3371894444444443</v>
      </c>
      <c r="H645" s="17">
        <v>-72.396872222222228</v>
      </c>
      <c r="I645" s="93" t="s">
        <v>697</v>
      </c>
      <c r="J645" s="36" t="s">
        <v>717</v>
      </c>
      <c r="K645" s="24" t="str">
        <f t="shared" si="41"/>
        <v>2022</v>
      </c>
      <c r="L645" s="24" t="str">
        <f t="shared" si="42"/>
        <v>DICIEMBRE</v>
      </c>
      <c r="M645" s="225">
        <v>44898</v>
      </c>
      <c r="N645" s="24" t="str">
        <f t="shared" si="43"/>
        <v>SÁBADO</v>
      </c>
      <c r="O645" s="170">
        <v>5.2083333333333301E-2</v>
      </c>
      <c r="P645" s="53" t="s">
        <v>447</v>
      </c>
      <c r="Q645" s="187" t="s">
        <v>445</v>
      </c>
      <c r="R645" s="36">
        <f>COUNTIF(Tabla1[[#This Row],[VEHICULOS_ACCIDENTADOS]:[VEHICULOS_ACCIDENTADOS2]],"MOTOCICLETA")</f>
        <v>0</v>
      </c>
      <c r="S645" s="36">
        <f>COUNTIF(Tabla1[[#This Row],[VEHICULOS_ACCIDENTADOS]:[VEHICULOS_ACCIDENTADOS2]],"MOTOCARRO")</f>
        <v>0</v>
      </c>
      <c r="T645" s="36">
        <f>COUNTIF(Tabla1[[#This Row],[VEHICULOS_ACCIDENTADOS]:[VEHICULOS_ACCIDENTADOS2]],"AUTOMOVIL")</f>
        <v>1</v>
      </c>
      <c r="U645" s="36">
        <f>COUNTIF(Tabla1[[#This Row],[VEHICULOS_ACCIDENTADOS]:[VEHICULOS_ACCIDENTADOS2]],"CAMPERO")</f>
        <v>0</v>
      </c>
      <c r="V645" s="36">
        <f>COUNTIF(Tabla1[[#This Row],[VEHICULOS_ACCIDENTADOS]:[VEHICULOS_ACCIDENTADOS2]],"CAMIONETA")</f>
        <v>1</v>
      </c>
      <c r="W645" s="36">
        <f>COUNTIF(Tabla1[[#This Row],[VEHICULOS_ACCIDENTADOS]:[VEHICULOS_ACCIDENTADOS2]],"MICROBUS")</f>
        <v>0</v>
      </c>
      <c r="X645" s="36">
        <f>COUNTIF(Tabla1[[#This Row],[VEHICULOS_ACCIDENTADOS]:[VEHICULOS_ACCIDENTADOS2]],"BUS")</f>
        <v>0</v>
      </c>
      <c r="Y645" s="36">
        <f>COUNTIF(Tabla1[[#This Row],[VEHICULOS_ACCIDENTADOS]:[VEHICULOS_ACCIDENTADOS2]],"BUSETA")</f>
        <v>0</v>
      </c>
      <c r="Z645" s="36">
        <f>COUNTIF(Tabla1[[#This Row],[VEHICULOS_ACCIDENTADOS]:[VEHICULOS_ACCIDENTADOS2]],"CAMION")</f>
        <v>0</v>
      </c>
      <c r="AA645" s="36">
        <f>COUNTIF(Tabla1[[#This Row],[VEHICULOS_ACCIDENTADOS]:[VEHICULOS_ACCIDENTADOS2]],"TRACTOCAMION")</f>
        <v>0</v>
      </c>
      <c r="AB645" s="36">
        <f>COUNTIF(Tabla1[[#This Row],[VEHICULOS_ACCIDENTADOS]:[VEHICULOS_ACCIDENTADOS2]],"VOLQUETA")</f>
        <v>0</v>
      </c>
      <c r="AC645" s="36">
        <f>COUNTIF(Tabla1[[#This Row],[VEHICULOS_ACCIDENTADOS]:[VEHICULOS_ACCIDENTADOS2]],"BICICLETA")</f>
        <v>0</v>
      </c>
      <c r="AD645" s="56" t="s">
        <v>471</v>
      </c>
      <c r="AE645" s="56"/>
      <c r="AF645" s="56">
        <f>COUNTIF(Tabla1[[#This Row],[GENERO_MASCULINO]:[GENERO_FEMENINO]],"MASCULINO")</f>
        <v>1</v>
      </c>
      <c r="AG645" s="36">
        <f>COUNTIF(Tabla1[[#This Row],[GENERO_MASCULINO]:[GENERO_FEMENINO]],"FEMENINO")</f>
        <v>0</v>
      </c>
      <c r="AH645" s="61">
        <v>41</v>
      </c>
      <c r="AI645" s="61"/>
      <c r="AJ645" s="78"/>
      <c r="AK645" s="61"/>
      <c r="AL645" s="61"/>
      <c r="AM645" s="36"/>
      <c r="AN645" s="61">
        <v>112</v>
      </c>
      <c r="AO645" s="36" t="str">
        <f>IFERROR(((VLOOKUP(Tabla1[[#This Row],[HIPOTESIS_1]],listas!$D$1:$E$105,2,FALSE))),"SIN INFORMACIÓN")</f>
        <v>Desobedecer señales o normas de tránsito.</v>
      </c>
      <c r="AP645" s="36"/>
      <c r="AQ645" s="36" t="str">
        <f>IFERROR(((VLOOKUP(Tabla1[[#This Row],[HIPOTESIS_2]],listas!$D$1:$E$105,2,FALSE))),"")</f>
        <v/>
      </c>
      <c r="AR645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646" spans="1:56" x14ac:dyDescent="0.25">
      <c r="A646" s="12">
        <v>290</v>
      </c>
      <c r="B646" s="38">
        <v>0</v>
      </c>
      <c r="C646" s="7">
        <v>3</v>
      </c>
      <c r="D646" s="7">
        <v>0</v>
      </c>
      <c r="E646" s="18" t="str">
        <f t="shared" si="40"/>
        <v>LESIONADO</v>
      </c>
      <c r="F646" s="29" t="s">
        <v>1063</v>
      </c>
      <c r="G646" s="17">
        <v>5.3371894444444443</v>
      </c>
      <c r="H646" s="17">
        <v>-72.396872222222228</v>
      </c>
      <c r="I646" s="93" t="s">
        <v>697</v>
      </c>
      <c r="J646" s="7" t="s">
        <v>717</v>
      </c>
      <c r="K646" s="24" t="str">
        <f t="shared" si="41"/>
        <v>2022</v>
      </c>
      <c r="L646" s="24" t="str">
        <f t="shared" si="42"/>
        <v>AGOSTO</v>
      </c>
      <c r="M646" s="232">
        <v>44802</v>
      </c>
      <c r="N646" s="24" t="str">
        <f t="shared" si="43"/>
        <v>LUNES</v>
      </c>
      <c r="O646" s="174">
        <v>0.625</v>
      </c>
      <c r="P646" s="180" t="s">
        <v>447</v>
      </c>
      <c r="Q646" s="180" t="s">
        <v>447</v>
      </c>
      <c r="R646" s="36">
        <f>COUNTIF(Tabla1[[#This Row],[VEHICULOS_ACCIDENTADOS]:[VEHICULOS_ACCIDENTADOS2]],"MOTOCICLETA")</f>
        <v>0</v>
      </c>
      <c r="S646" s="36">
        <f>COUNTIF(Tabla1[[#This Row],[VEHICULOS_ACCIDENTADOS]:[VEHICULOS_ACCIDENTADOS2]],"MOTOCARRO")</f>
        <v>0</v>
      </c>
      <c r="T646" s="36">
        <f>COUNTIF(Tabla1[[#This Row],[VEHICULOS_ACCIDENTADOS]:[VEHICULOS_ACCIDENTADOS2]],"AUTOMOVIL")</f>
        <v>2</v>
      </c>
      <c r="U646" s="36">
        <f>COUNTIF(Tabla1[[#This Row],[VEHICULOS_ACCIDENTADOS]:[VEHICULOS_ACCIDENTADOS2]],"CAMPERO")</f>
        <v>0</v>
      </c>
      <c r="V646" s="36">
        <f>COUNTIF(Tabla1[[#This Row],[VEHICULOS_ACCIDENTADOS]:[VEHICULOS_ACCIDENTADOS2]],"CAMIONETA")</f>
        <v>0</v>
      </c>
      <c r="W646" s="36">
        <f>COUNTIF(Tabla1[[#This Row],[VEHICULOS_ACCIDENTADOS]:[VEHICULOS_ACCIDENTADOS2]],"MICROBUS")</f>
        <v>0</v>
      </c>
      <c r="X646" s="36">
        <f>COUNTIF(Tabla1[[#This Row],[VEHICULOS_ACCIDENTADOS]:[VEHICULOS_ACCIDENTADOS2]],"BUS")</f>
        <v>0</v>
      </c>
      <c r="Y646" s="36">
        <f>COUNTIF(Tabla1[[#This Row],[VEHICULOS_ACCIDENTADOS]:[VEHICULOS_ACCIDENTADOS2]],"BUSETA")</f>
        <v>0</v>
      </c>
      <c r="Z646" s="36">
        <f>COUNTIF(Tabla1[[#This Row],[VEHICULOS_ACCIDENTADOS]:[VEHICULOS_ACCIDENTADOS2]],"CAMION")</f>
        <v>0</v>
      </c>
      <c r="AA646" s="36">
        <f>COUNTIF(Tabla1[[#This Row],[VEHICULOS_ACCIDENTADOS]:[VEHICULOS_ACCIDENTADOS2]],"TRACTOCAMION")</f>
        <v>0</v>
      </c>
      <c r="AB646" s="36">
        <f>COUNTIF(Tabla1[[#This Row],[VEHICULOS_ACCIDENTADOS]:[VEHICULOS_ACCIDENTADOS2]],"VOLQUETA")</f>
        <v>0</v>
      </c>
      <c r="AC646" s="36">
        <f>COUNTIF(Tabla1[[#This Row],[VEHICULOS_ACCIDENTADOS]:[VEHICULOS_ACCIDENTADOS2]],"BICICLETA")</f>
        <v>0</v>
      </c>
      <c r="AD646" s="38"/>
      <c r="AE646" s="38" t="s">
        <v>472</v>
      </c>
      <c r="AF646" s="38">
        <f>COUNTIF(Tabla1[[#This Row],[GENERO_MASCULINO]:[GENERO_FEMENINO]],"MASCULINO")</f>
        <v>0</v>
      </c>
      <c r="AG646" s="36">
        <f>COUNTIF(Tabla1[[#This Row],[GENERO_MASCULINO]:[GENERO_FEMENINO]],"FEMENINO")</f>
        <v>1</v>
      </c>
      <c r="AH646" s="73">
        <v>34</v>
      </c>
      <c r="AI646" s="73"/>
      <c r="AJ646" s="87"/>
      <c r="AK646" s="73"/>
      <c r="AL646" s="73">
        <v>12</v>
      </c>
      <c r="AM646" s="6"/>
      <c r="AN646" s="73">
        <v>112</v>
      </c>
      <c r="AO646" s="36" t="str">
        <f>IFERROR(((VLOOKUP(Tabla1[[#This Row],[HIPOTESIS_1]],listas!$D$1:$E$105,2,FALSE))),"SIN INFORMACIÓN")</f>
        <v>Desobedecer señales o normas de tránsito.</v>
      </c>
      <c r="AP646" s="7"/>
      <c r="AQ646" s="36" t="str">
        <f>IFERROR(((VLOOKUP(Tabla1[[#This Row],[HIPOTESIS_2]],listas!$D$1:$E$105,2,FALSE))),"")</f>
        <v/>
      </c>
      <c r="AR646" s="1" t="str">
        <f>IF(HOUR(Tabla1[[#This Row],[HORA_ACCIDENTE]])&lt;6,"MAÑANA",
 IF(HOUR(Tabla1[[#This Row],[HORA_ACCIDENTE]])&lt;12,"MAÑANA",
 IF(HOUR(Tabla1[[#This Row],[HORA_ACCIDENTE]])&lt;18,"TARDE","NOCHE")))</f>
        <v>TARDE</v>
      </c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</row>
    <row r="647" spans="1:56" x14ac:dyDescent="0.25">
      <c r="A647" s="12">
        <v>283</v>
      </c>
      <c r="B647" s="38">
        <v>0</v>
      </c>
      <c r="C647" s="7">
        <v>2</v>
      </c>
      <c r="D647" s="7">
        <v>0</v>
      </c>
      <c r="E647" s="18" t="str">
        <f t="shared" si="40"/>
        <v>LESIONADO</v>
      </c>
      <c r="F647" s="29" t="s">
        <v>1064</v>
      </c>
      <c r="G647" s="17">
        <v>5.3299839999999996</v>
      </c>
      <c r="H647" s="17">
        <v>-72.393114999999995</v>
      </c>
      <c r="I647" s="93" t="s">
        <v>697</v>
      </c>
      <c r="J647" s="7" t="s">
        <v>717</v>
      </c>
      <c r="K647" s="24" t="str">
        <f t="shared" si="41"/>
        <v>2022</v>
      </c>
      <c r="L647" s="24" t="str">
        <f t="shared" si="42"/>
        <v>AGOSTO</v>
      </c>
      <c r="M647" s="232">
        <v>44793</v>
      </c>
      <c r="N647" s="24" t="str">
        <f t="shared" si="43"/>
        <v>SÁBADO</v>
      </c>
      <c r="O647" s="174">
        <v>0.81944444444444497</v>
      </c>
      <c r="P647" s="180" t="s">
        <v>469</v>
      </c>
      <c r="Q647" s="180" t="s">
        <v>446</v>
      </c>
      <c r="R647" s="36">
        <f>COUNTIF(Tabla1[[#This Row],[VEHICULOS_ACCIDENTADOS]:[VEHICULOS_ACCIDENTADOS2]],"MOTOCICLETA")</f>
        <v>1</v>
      </c>
      <c r="S647" s="36">
        <f>COUNTIF(Tabla1[[#This Row],[VEHICULOS_ACCIDENTADOS]:[VEHICULOS_ACCIDENTADOS2]],"MOTOCARRO")</f>
        <v>0</v>
      </c>
      <c r="T647" s="36">
        <f>COUNTIF(Tabla1[[#This Row],[VEHICULOS_ACCIDENTADOS]:[VEHICULOS_ACCIDENTADOS2]],"AUTOMOVIL")</f>
        <v>0</v>
      </c>
      <c r="U647" s="36">
        <f>COUNTIF(Tabla1[[#This Row],[VEHICULOS_ACCIDENTADOS]:[VEHICULOS_ACCIDENTADOS2]],"CAMPERO")</f>
        <v>1</v>
      </c>
      <c r="V647" s="36">
        <f>COUNTIF(Tabla1[[#This Row],[VEHICULOS_ACCIDENTADOS]:[VEHICULOS_ACCIDENTADOS2]],"CAMIONETA")</f>
        <v>0</v>
      </c>
      <c r="W647" s="36">
        <f>COUNTIF(Tabla1[[#This Row],[VEHICULOS_ACCIDENTADOS]:[VEHICULOS_ACCIDENTADOS2]],"MICROBUS")</f>
        <v>0</v>
      </c>
      <c r="X647" s="36">
        <f>COUNTIF(Tabla1[[#This Row],[VEHICULOS_ACCIDENTADOS]:[VEHICULOS_ACCIDENTADOS2]],"BUS")</f>
        <v>0</v>
      </c>
      <c r="Y647" s="36">
        <f>COUNTIF(Tabla1[[#This Row],[VEHICULOS_ACCIDENTADOS]:[VEHICULOS_ACCIDENTADOS2]],"BUSETA")</f>
        <v>0</v>
      </c>
      <c r="Z647" s="36">
        <f>COUNTIF(Tabla1[[#This Row],[VEHICULOS_ACCIDENTADOS]:[VEHICULOS_ACCIDENTADOS2]],"CAMION")</f>
        <v>0</v>
      </c>
      <c r="AA647" s="36">
        <f>COUNTIF(Tabla1[[#This Row],[VEHICULOS_ACCIDENTADOS]:[VEHICULOS_ACCIDENTADOS2]],"TRACTOCAMION")</f>
        <v>0</v>
      </c>
      <c r="AB647" s="36">
        <f>COUNTIF(Tabla1[[#This Row],[VEHICULOS_ACCIDENTADOS]:[VEHICULOS_ACCIDENTADOS2]],"VOLQUETA")</f>
        <v>0</v>
      </c>
      <c r="AC647" s="36">
        <f>COUNTIF(Tabla1[[#This Row],[VEHICULOS_ACCIDENTADOS]:[VEHICULOS_ACCIDENTADOS2]],"BICICLETA")</f>
        <v>0</v>
      </c>
      <c r="AD647" s="38" t="s">
        <v>471</v>
      </c>
      <c r="AE647" s="38" t="s">
        <v>472</v>
      </c>
      <c r="AF647" s="38">
        <f>COUNTIF(Tabla1[[#This Row],[GENERO_MASCULINO]:[GENERO_FEMENINO]],"MASCULINO")</f>
        <v>1</v>
      </c>
      <c r="AG647" s="36">
        <f>COUNTIF(Tabla1[[#This Row],[GENERO_MASCULINO]:[GENERO_FEMENINO]],"FEMENINO")</f>
        <v>1</v>
      </c>
      <c r="AH647" s="73">
        <v>42</v>
      </c>
      <c r="AI647" s="73"/>
      <c r="AJ647" s="73"/>
      <c r="AK647" s="73"/>
      <c r="AL647" s="73">
        <v>26</v>
      </c>
      <c r="AM647" s="7"/>
      <c r="AN647" s="73">
        <v>123</v>
      </c>
      <c r="AO647" s="36" t="str">
        <f>IFERROR(((VLOOKUP(Tabla1[[#This Row],[HIPOTESIS_1]],listas!$D$1:$E$105,2,FALSE))),"SIN INFORMACIÓN")</f>
        <v>No respetar prelación de intersecciones o giros.</v>
      </c>
      <c r="AP647" s="7"/>
      <c r="AQ647" s="36" t="str">
        <f>IFERROR(((VLOOKUP(Tabla1[[#This Row],[HIPOTESIS_2]],listas!$D$1:$E$105,2,FALSE))),"")</f>
        <v/>
      </c>
      <c r="AR647" s="1" t="str">
        <f>IF(HOUR(Tabla1[[#This Row],[HORA_ACCIDENTE]])&lt;6,"MAÑANA",
 IF(HOUR(Tabla1[[#This Row],[HORA_ACCIDENTE]])&lt;12,"MAÑANA",
 IF(HOUR(Tabla1[[#This Row],[HORA_ACCIDENTE]])&lt;18,"TARDE","NOCHE")))</f>
        <v>NOCHE</v>
      </c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40"/>
    </row>
    <row r="648" spans="1:56" x14ac:dyDescent="0.25">
      <c r="A648" s="12">
        <v>83</v>
      </c>
      <c r="B648" s="38">
        <v>1</v>
      </c>
      <c r="C648" s="7">
        <v>0</v>
      </c>
      <c r="D648" s="7">
        <v>0</v>
      </c>
      <c r="E648" s="18" t="str">
        <f t="shared" si="40"/>
        <v>SOLO DAÑO</v>
      </c>
      <c r="F648" s="29" t="s">
        <v>1064</v>
      </c>
      <c r="G648" s="17">
        <v>5.3299839999999996</v>
      </c>
      <c r="H648" s="17">
        <v>-72.393114999999995</v>
      </c>
      <c r="I648" s="93" t="s">
        <v>697</v>
      </c>
      <c r="J648" s="7" t="s">
        <v>717</v>
      </c>
      <c r="K648" s="24" t="str">
        <f t="shared" si="41"/>
        <v>2022</v>
      </c>
      <c r="L648" s="24" t="str">
        <f t="shared" si="42"/>
        <v>MARZO</v>
      </c>
      <c r="M648" s="232">
        <v>44632</v>
      </c>
      <c r="N648" s="24" t="str">
        <f t="shared" si="43"/>
        <v>SÁBADO</v>
      </c>
      <c r="O648" s="106">
        <v>0.75</v>
      </c>
      <c r="P648" s="8" t="s">
        <v>469</v>
      </c>
      <c r="Q648" s="8" t="s">
        <v>447</v>
      </c>
      <c r="R648" s="36">
        <f>COUNTIF(Tabla1[[#This Row],[VEHICULOS_ACCIDENTADOS]:[VEHICULOS_ACCIDENTADOS2]],"MOTOCICLETA")</f>
        <v>1</v>
      </c>
      <c r="S648" s="36">
        <f>COUNTIF(Tabla1[[#This Row],[VEHICULOS_ACCIDENTADOS]:[VEHICULOS_ACCIDENTADOS2]],"MOTOCARRO")</f>
        <v>0</v>
      </c>
      <c r="T648" s="36">
        <f>COUNTIF(Tabla1[[#This Row],[VEHICULOS_ACCIDENTADOS]:[VEHICULOS_ACCIDENTADOS2]],"AUTOMOVIL")</f>
        <v>1</v>
      </c>
      <c r="U648" s="36">
        <f>COUNTIF(Tabla1[[#This Row],[VEHICULOS_ACCIDENTADOS]:[VEHICULOS_ACCIDENTADOS2]],"CAMPERO")</f>
        <v>0</v>
      </c>
      <c r="V648" s="36">
        <f>COUNTIF(Tabla1[[#This Row],[VEHICULOS_ACCIDENTADOS]:[VEHICULOS_ACCIDENTADOS2]],"CAMIONETA")</f>
        <v>0</v>
      </c>
      <c r="W648" s="36">
        <f>COUNTIF(Tabla1[[#This Row],[VEHICULOS_ACCIDENTADOS]:[VEHICULOS_ACCIDENTADOS2]],"MICROBUS")</f>
        <v>0</v>
      </c>
      <c r="X648" s="36">
        <f>COUNTIF(Tabla1[[#This Row],[VEHICULOS_ACCIDENTADOS]:[VEHICULOS_ACCIDENTADOS2]],"BUS")</f>
        <v>0</v>
      </c>
      <c r="Y648" s="36">
        <f>COUNTIF(Tabla1[[#This Row],[VEHICULOS_ACCIDENTADOS]:[VEHICULOS_ACCIDENTADOS2]],"BUSETA")</f>
        <v>0</v>
      </c>
      <c r="Z648" s="36">
        <f>COUNTIF(Tabla1[[#This Row],[VEHICULOS_ACCIDENTADOS]:[VEHICULOS_ACCIDENTADOS2]],"CAMION")</f>
        <v>0</v>
      </c>
      <c r="AA648" s="36">
        <f>COUNTIF(Tabla1[[#This Row],[VEHICULOS_ACCIDENTADOS]:[VEHICULOS_ACCIDENTADOS2]],"TRACTOCAMION")</f>
        <v>0</v>
      </c>
      <c r="AB648" s="36">
        <f>COUNTIF(Tabla1[[#This Row],[VEHICULOS_ACCIDENTADOS]:[VEHICULOS_ACCIDENTADOS2]],"VOLQUETA")</f>
        <v>0</v>
      </c>
      <c r="AC648" s="36">
        <f>COUNTIF(Tabla1[[#This Row],[VEHICULOS_ACCIDENTADOS]:[VEHICULOS_ACCIDENTADOS2]],"BICICLETA")</f>
        <v>0</v>
      </c>
      <c r="AD648" s="38" t="s">
        <v>471</v>
      </c>
      <c r="AE648" s="38"/>
      <c r="AF648" s="38">
        <f>COUNTIF(Tabla1[[#This Row],[GENERO_MASCULINO]:[GENERO_FEMENINO]],"MASCULINO")</f>
        <v>1</v>
      </c>
      <c r="AG648" s="36">
        <f>COUNTIF(Tabla1[[#This Row],[GENERO_MASCULINO]:[GENERO_FEMENINO]],"FEMENINO")</f>
        <v>0</v>
      </c>
      <c r="AH648" s="73"/>
      <c r="AI648" s="73"/>
      <c r="AJ648" s="73"/>
      <c r="AK648" s="73"/>
      <c r="AL648" s="73"/>
      <c r="AM648" s="7"/>
      <c r="AN648" s="73">
        <v>102</v>
      </c>
      <c r="AO648" s="36" t="str">
        <f>IFERROR(((VLOOKUP(Tabla1[[#This Row],[HIPOTESIS_1]],listas!$D$1:$E$105,2,FALSE))),"SIN INFORMACIÓN")</f>
        <v>Adelantar por la derecha.</v>
      </c>
      <c r="AP648" s="7"/>
      <c r="AQ648" s="36" t="str">
        <f>IFERROR(((VLOOKUP(Tabla1[[#This Row],[HIPOTESIS_2]],listas!$D$1:$E$105,2,FALSE))),"")</f>
        <v/>
      </c>
      <c r="AR648" s="1" t="str">
        <f>IF(HOUR(Tabla1[[#This Row],[HORA_ACCIDENTE]])&lt;6,"MAÑANA",
 IF(HOUR(Tabla1[[#This Row],[HORA_ACCIDENTE]])&lt;12,"MAÑANA",
 IF(HOUR(Tabla1[[#This Row],[HORA_ACCIDENTE]])&lt;18,"TARDE","NOCHE")))</f>
        <v>NOCHE</v>
      </c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40"/>
    </row>
    <row r="649" spans="1:56" x14ac:dyDescent="0.25">
      <c r="A649" s="12">
        <v>632</v>
      </c>
      <c r="B649" s="38">
        <v>0</v>
      </c>
      <c r="C649" s="7">
        <v>1</v>
      </c>
      <c r="D649" s="7">
        <v>0</v>
      </c>
      <c r="E649" s="18" t="str">
        <f t="shared" si="40"/>
        <v>LESIONADO</v>
      </c>
      <c r="F649" s="29" t="s">
        <v>1158</v>
      </c>
      <c r="G649" s="21">
        <v>5.3450166666666661</v>
      </c>
      <c r="H649" s="21">
        <v>-72.401202777777783</v>
      </c>
      <c r="I649" s="93" t="s">
        <v>697</v>
      </c>
      <c r="J649" s="7" t="s">
        <v>717</v>
      </c>
      <c r="K649" s="24" t="str">
        <f t="shared" si="41"/>
        <v>2023</v>
      </c>
      <c r="L649" s="24" t="str">
        <f t="shared" si="42"/>
        <v>DICIEMBRE</v>
      </c>
      <c r="M649" s="232">
        <v>45272</v>
      </c>
      <c r="N649" s="24" t="str">
        <f t="shared" si="43"/>
        <v>MARTES</v>
      </c>
      <c r="O649" s="106">
        <v>0.59375</v>
      </c>
      <c r="P649" s="39" t="s">
        <v>469</v>
      </c>
      <c r="Q649" s="39" t="s">
        <v>447</v>
      </c>
      <c r="R649" s="36">
        <f>COUNTIF(Tabla1[[#This Row],[VEHICULOS_ACCIDENTADOS]:[VEHICULOS_ACCIDENTADOS2]],"MOTOCICLETA")</f>
        <v>1</v>
      </c>
      <c r="S649" s="36">
        <f>COUNTIF(Tabla1[[#This Row],[VEHICULOS_ACCIDENTADOS]:[VEHICULOS_ACCIDENTADOS2]],"MOTOCARRO")</f>
        <v>0</v>
      </c>
      <c r="T649" s="36">
        <f>COUNTIF(Tabla1[[#This Row],[VEHICULOS_ACCIDENTADOS]:[VEHICULOS_ACCIDENTADOS2]],"AUTOMOVIL")</f>
        <v>1</v>
      </c>
      <c r="U649" s="36">
        <f>COUNTIF(Tabla1[[#This Row],[VEHICULOS_ACCIDENTADOS]:[VEHICULOS_ACCIDENTADOS2]],"CAMPERO")</f>
        <v>0</v>
      </c>
      <c r="V649" s="36">
        <f>COUNTIF(Tabla1[[#This Row],[VEHICULOS_ACCIDENTADOS]:[VEHICULOS_ACCIDENTADOS2]],"CAMIONETA")</f>
        <v>0</v>
      </c>
      <c r="W649" s="36">
        <f>COUNTIF(Tabla1[[#This Row],[VEHICULOS_ACCIDENTADOS]:[VEHICULOS_ACCIDENTADOS2]],"MICROBUS")</f>
        <v>0</v>
      </c>
      <c r="X649" s="36">
        <f>COUNTIF(Tabla1[[#This Row],[VEHICULOS_ACCIDENTADOS]:[VEHICULOS_ACCIDENTADOS2]],"BUS")</f>
        <v>0</v>
      </c>
      <c r="Y649" s="36">
        <f>COUNTIF(Tabla1[[#This Row],[VEHICULOS_ACCIDENTADOS]:[VEHICULOS_ACCIDENTADOS2]],"BUSETA")</f>
        <v>0</v>
      </c>
      <c r="Z649" s="36">
        <f>COUNTIF(Tabla1[[#This Row],[VEHICULOS_ACCIDENTADOS]:[VEHICULOS_ACCIDENTADOS2]],"CAMION")</f>
        <v>0</v>
      </c>
      <c r="AA649" s="36">
        <f>COUNTIF(Tabla1[[#This Row],[VEHICULOS_ACCIDENTADOS]:[VEHICULOS_ACCIDENTADOS2]],"TRACTOCAMION")</f>
        <v>0</v>
      </c>
      <c r="AB649" s="36">
        <f>COUNTIF(Tabla1[[#This Row],[VEHICULOS_ACCIDENTADOS]:[VEHICULOS_ACCIDENTADOS2]],"VOLQUETA")</f>
        <v>0</v>
      </c>
      <c r="AC649" s="36">
        <f>COUNTIF(Tabla1[[#This Row],[VEHICULOS_ACCIDENTADOS]:[VEHICULOS_ACCIDENTADOS2]],"BICICLETA")</f>
        <v>0</v>
      </c>
      <c r="AD649" s="38" t="s">
        <v>471</v>
      </c>
      <c r="AE649" s="38"/>
      <c r="AF649" s="38">
        <f>COUNTIF(Tabla1[[#This Row],[GENERO_MASCULINO]:[GENERO_FEMENINO]],"MASCULINO")</f>
        <v>1</v>
      </c>
      <c r="AG649" s="36">
        <f>COUNTIF(Tabla1[[#This Row],[GENERO_MASCULINO]:[GENERO_FEMENINO]],"FEMENINO")</f>
        <v>0</v>
      </c>
      <c r="AH649" s="73">
        <v>44</v>
      </c>
      <c r="AI649" s="73"/>
      <c r="AJ649" s="73"/>
      <c r="AK649" s="73"/>
      <c r="AL649" s="73"/>
      <c r="AM649" s="7"/>
      <c r="AN649" s="73">
        <v>132</v>
      </c>
      <c r="AO649" s="36" t="str">
        <f>IFERROR(((VLOOKUP(Tabla1[[#This Row],[HIPOTESIS_1]],listas!$D$1:$E$105,2,FALSE))),"SIN INFORMACIÓN")</f>
        <v>No respetar prelación.</v>
      </c>
      <c r="AP649" s="7"/>
      <c r="AQ649" s="36" t="str">
        <f>IFERROR(((VLOOKUP(Tabla1[[#This Row],[HIPOTESIS_2]],listas!$D$1:$E$105,2,FALSE))),"")</f>
        <v/>
      </c>
      <c r="AR649" s="1" t="str">
        <f>IF(HOUR(Tabla1[[#This Row],[HORA_ACCIDENTE]])&lt;6,"MAÑANA",
 IF(HOUR(Tabla1[[#This Row],[HORA_ACCIDENTE]])&lt;12,"MAÑANA",
 IF(HOUR(Tabla1[[#This Row],[HORA_ACCIDENTE]])&lt;18,"TARDE","NOCHE")))</f>
        <v>TARDE</v>
      </c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40"/>
    </row>
    <row r="650" spans="1:56" x14ac:dyDescent="0.25">
      <c r="A650" s="12">
        <v>612</v>
      </c>
      <c r="B650" s="36">
        <v>0</v>
      </c>
      <c r="C650" s="7">
        <v>0</v>
      </c>
      <c r="D650" s="7">
        <v>1</v>
      </c>
      <c r="E650" s="18" t="str">
        <f t="shared" si="40"/>
        <v>FALLECIDO</v>
      </c>
      <c r="F650" s="29" t="s">
        <v>1161</v>
      </c>
      <c r="G650" s="17">
        <v>5.3299839999999996</v>
      </c>
      <c r="H650" s="17">
        <v>-72.393114999999995</v>
      </c>
      <c r="I650" s="93" t="s">
        <v>697</v>
      </c>
      <c r="J650" s="7" t="s">
        <v>717</v>
      </c>
      <c r="K650" s="24" t="str">
        <f t="shared" si="41"/>
        <v>2023</v>
      </c>
      <c r="L650" s="24" t="str">
        <f t="shared" si="42"/>
        <v>NOVIEMBRE</v>
      </c>
      <c r="M650" s="232">
        <v>45249</v>
      </c>
      <c r="N650" s="24" t="str">
        <f t="shared" si="43"/>
        <v>DOMINGO</v>
      </c>
      <c r="O650" s="106">
        <v>4.1666666666666664E-2</v>
      </c>
      <c r="P650" s="39" t="s">
        <v>469</v>
      </c>
      <c r="Q650" s="39"/>
      <c r="R650" s="36">
        <f>COUNTIF(Tabla1[[#This Row],[VEHICULOS_ACCIDENTADOS]:[VEHICULOS_ACCIDENTADOS2]],"MOTOCICLETA")</f>
        <v>1</v>
      </c>
      <c r="S650" s="36">
        <f>COUNTIF(Tabla1[[#This Row],[VEHICULOS_ACCIDENTADOS]:[VEHICULOS_ACCIDENTADOS2]],"MOTOCARRO")</f>
        <v>0</v>
      </c>
      <c r="T650" s="36">
        <f>COUNTIF(Tabla1[[#This Row],[VEHICULOS_ACCIDENTADOS]:[VEHICULOS_ACCIDENTADOS2]],"AUTOMOVIL")</f>
        <v>0</v>
      </c>
      <c r="U650" s="36">
        <f>COUNTIF(Tabla1[[#This Row],[VEHICULOS_ACCIDENTADOS]:[VEHICULOS_ACCIDENTADOS2]],"CAMPERO")</f>
        <v>0</v>
      </c>
      <c r="V650" s="36">
        <f>COUNTIF(Tabla1[[#This Row],[VEHICULOS_ACCIDENTADOS]:[VEHICULOS_ACCIDENTADOS2]],"CAMIONETA")</f>
        <v>0</v>
      </c>
      <c r="W650" s="36">
        <f>COUNTIF(Tabla1[[#This Row],[VEHICULOS_ACCIDENTADOS]:[VEHICULOS_ACCIDENTADOS2]],"MICROBUS")</f>
        <v>0</v>
      </c>
      <c r="X650" s="36">
        <f>COUNTIF(Tabla1[[#This Row],[VEHICULOS_ACCIDENTADOS]:[VEHICULOS_ACCIDENTADOS2]],"BUS")</f>
        <v>0</v>
      </c>
      <c r="Y650" s="36">
        <f>COUNTIF(Tabla1[[#This Row],[VEHICULOS_ACCIDENTADOS]:[VEHICULOS_ACCIDENTADOS2]],"BUSETA")</f>
        <v>0</v>
      </c>
      <c r="Z650" s="36">
        <f>COUNTIF(Tabla1[[#This Row],[VEHICULOS_ACCIDENTADOS]:[VEHICULOS_ACCIDENTADOS2]],"CAMION")</f>
        <v>0</v>
      </c>
      <c r="AA650" s="36">
        <f>COUNTIF(Tabla1[[#This Row],[VEHICULOS_ACCIDENTADOS]:[VEHICULOS_ACCIDENTADOS2]],"TRACTOCAMION")</f>
        <v>0</v>
      </c>
      <c r="AB650" s="36">
        <f>COUNTIF(Tabla1[[#This Row],[VEHICULOS_ACCIDENTADOS]:[VEHICULOS_ACCIDENTADOS2]],"VOLQUETA")</f>
        <v>0</v>
      </c>
      <c r="AC650" s="36">
        <f>COUNTIF(Tabla1[[#This Row],[VEHICULOS_ACCIDENTADOS]:[VEHICULOS_ACCIDENTADOS2]],"BICICLETA")</f>
        <v>0</v>
      </c>
      <c r="AD650" s="38"/>
      <c r="AE650" s="38" t="s">
        <v>472</v>
      </c>
      <c r="AF650" s="38">
        <f>COUNTIF(Tabla1[[#This Row],[GENERO_MASCULINO]:[GENERO_FEMENINO]],"MASCULINO")</f>
        <v>0</v>
      </c>
      <c r="AG650" s="36">
        <f>COUNTIF(Tabla1[[#This Row],[GENERO_MASCULINO]:[GENERO_FEMENINO]],"FEMENINO")</f>
        <v>1</v>
      </c>
      <c r="AH650" s="73"/>
      <c r="AI650" s="73"/>
      <c r="AJ650" s="73"/>
      <c r="AK650" s="73"/>
      <c r="AL650" s="73"/>
      <c r="AM650" s="7"/>
      <c r="AN650" s="73">
        <v>1</v>
      </c>
      <c r="AO650" s="36" t="str">
        <f>IFERROR(((VLOOKUP(Tabla1[[#This Row],[HIPOTESIS_1]],listas!$D$1:$E$105,2,FALSE))),"SIN INFORMACIÓN")</f>
        <v>SIN INFORMACIÓN</v>
      </c>
      <c r="AP650" s="7"/>
      <c r="AQ650" s="36" t="str">
        <f>IFERROR(((VLOOKUP(Tabla1[[#This Row],[HIPOTESIS_2]],listas!$D$1:$E$105,2,FALSE))),"")</f>
        <v/>
      </c>
      <c r="AR650" s="1" t="str">
        <f>IF(HOUR(Tabla1[[#This Row],[HORA_ACCIDENTE]])&lt;6,"MAÑANA",
 IF(HOUR(Tabla1[[#This Row],[HORA_ACCIDENTE]])&lt;12,"MAÑANA",
 IF(HOUR(Tabla1[[#This Row],[HORA_ACCIDENTE]])&lt;18,"TARDE","NOCHE")))</f>
        <v>MAÑANA</v>
      </c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40"/>
    </row>
    <row r="651" spans="1:56" x14ac:dyDescent="0.25">
      <c r="A651" s="12">
        <v>247</v>
      </c>
      <c r="B651" s="38">
        <v>0</v>
      </c>
      <c r="C651" s="7">
        <v>1</v>
      </c>
      <c r="D651" s="7">
        <v>0</v>
      </c>
      <c r="E651" s="18" t="str">
        <f t="shared" si="40"/>
        <v>LESIONADO</v>
      </c>
      <c r="F651" s="29" t="s">
        <v>1163</v>
      </c>
      <c r="G651" s="17">
        <v>5.4388888888888882</v>
      </c>
      <c r="H651" s="17">
        <v>-72.391004166666676</v>
      </c>
      <c r="I651" s="93" t="s">
        <v>697</v>
      </c>
      <c r="J651" s="7" t="s">
        <v>717</v>
      </c>
      <c r="K651" s="24" t="str">
        <f t="shared" si="41"/>
        <v>2022</v>
      </c>
      <c r="L651" s="24" t="str">
        <f t="shared" si="42"/>
        <v>JULIO</v>
      </c>
      <c r="M651" s="232">
        <v>44754</v>
      </c>
      <c r="N651" s="24" t="str">
        <f t="shared" si="43"/>
        <v>MARTES</v>
      </c>
      <c r="O651" s="174">
        <v>0.84444444444444444</v>
      </c>
      <c r="P651" s="180" t="s">
        <v>469</v>
      </c>
      <c r="Q651" s="180" t="s">
        <v>438</v>
      </c>
      <c r="R651" s="36">
        <f>COUNTIF(Tabla1[[#This Row],[VEHICULOS_ACCIDENTADOS]:[VEHICULOS_ACCIDENTADOS2]],"MOTOCICLETA")</f>
        <v>1</v>
      </c>
      <c r="S651" s="36">
        <f>COUNTIF(Tabla1[[#This Row],[VEHICULOS_ACCIDENTADOS]:[VEHICULOS_ACCIDENTADOS2]],"MOTOCARRO")</f>
        <v>0</v>
      </c>
      <c r="T651" s="36">
        <f>COUNTIF(Tabla1[[#This Row],[VEHICULOS_ACCIDENTADOS]:[VEHICULOS_ACCIDENTADOS2]],"AUTOMOVIL")</f>
        <v>0</v>
      </c>
      <c r="U651" s="36">
        <f>COUNTIF(Tabla1[[#This Row],[VEHICULOS_ACCIDENTADOS]:[VEHICULOS_ACCIDENTADOS2]],"CAMPERO")</f>
        <v>0</v>
      </c>
      <c r="V651" s="36">
        <f>COUNTIF(Tabla1[[#This Row],[VEHICULOS_ACCIDENTADOS]:[VEHICULOS_ACCIDENTADOS2]],"CAMIONETA")</f>
        <v>0</v>
      </c>
      <c r="W651" s="36">
        <f>COUNTIF(Tabla1[[#This Row],[VEHICULOS_ACCIDENTADOS]:[VEHICULOS_ACCIDENTADOS2]],"MICROBUS")</f>
        <v>0</v>
      </c>
      <c r="X651" s="36">
        <f>COUNTIF(Tabla1[[#This Row],[VEHICULOS_ACCIDENTADOS]:[VEHICULOS_ACCIDENTADOS2]],"BUS")</f>
        <v>0</v>
      </c>
      <c r="Y651" s="36">
        <f>COUNTIF(Tabla1[[#This Row],[VEHICULOS_ACCIDENTADOS]:[VEHICULOS_ACCIDENTADOS2]],"BUSETA")</f>
        <v>0</v>
      </c>
      <c r="Z651" s="36">
        <f>COUNTIF(Tabla1[[#This Row],[VEHICULOS_ACCIDENTADOS]:[VEHICULOS_ACCIDENTADOS2]],"CAMION")</f>
        <v>0</v>
      </c>
      <c r="AA651" s="36">
        <f>COUNTIF(Tabla1[[#This Row],[VEHICULOS_ACCIDENTADOS]:[VEHICULOS_ACCIDENTADOS2]],"TRACTOCAMION")</f>
        <v>0</v>
      </c>
      <c r="AB651" s="36">
        <f>COUNTIF(Tabla1[[#This Row],[VEHICULOS_ACCIDENTADOS]:[VEHICULOS_ACCIDENTADOS2]],"VOLQUETA")</f>
        <v>0</v>
      </c>
      <c r="AC651" s="36">
        <f>COUNTIF(Tabla1[[#This Row],[VEHICULOS_ACCIDENTADOS]:[VEHICULOS_ACCIDENTADOS2]],"BICICLETA")</f>
        <v>1</v>
      </c>
      <c r="AD651" s="38" t="s">
        <v>471</v>
      </c>
      <c r="AE651" s="38"/>
      <c r="AF651" s="38">
        <f>COUNTIF(Tabla1[[#This Row],[GENERO_MASCULINO]:[GENERO_FEMENINO]],"MASCULINO")</f>
        <v>1</v>
      </c>
      <c r="AG651" s="36">
        <f>COUNTIF(Tabla1[[#This Row],[GENERO_MASCULINO]:[GENERO_FEMENINO]],"FEMENINO")</f>
        <v>0</v>
      </c>
      <c r="AH651" s="73">
        <v>34</v>
      </c>
      <c r="AI651" s="73"/>
      <c r="AJ651" s="87"/>
      <c r="AK651" s="73"/>
      <c r="AL651" s="73"/>
      <c r="AM651" s="7"/>
      <c r="AN651" s="73">
        <v>157</v>
      </c>
      <c r="AO651" s="36" t="str">
        <f>IFERROR(((VLOOKUP(Tabla1[[#This Row],[HIPOTESIS_1]],listas!$D$1:$E$105,2,FALSE))),"SIN INFORMACIÓN")</f>
        <v>Otra</v>
      </c>
      <c r="AP651" s="7"/>
      <c r="AQ651" s="36" t="str">
        <f>IFERROR(((VLOOKUP(Tabla1[[#This Row],[HIPOTESIS_2]],listas!$D$1:$E$105,2,FALSE))),"")</f>
        <v/>
      </c>
      <c r="AR651" s="1" t="str">
        <f>IF(HOUR(Tabla1[[#This Row],[HORA_ACCIDENTE]])&lt;6,"MAÑANA",
 IF(HOUR(Tabla1[[#This Row],[HORA_ACCIDENTE]])&lt;12,"MAÑANA",
 IF(HOUR(Tabla1[[#This Row],[HORA_ACCIDENTE]])&lt;18,"TARDE","NOCHE")))</f>
        <v>NOCHE</v>
      </c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40"/>
    </row>
    <row r="652" spans="1:56" x14ac:dyDescent="0.25">
      <c r="A652" s="12">
        <v>206</v>
      </c>
      <c r="B652" s="38">
        <v>0</v>
      </c>
      <c r="C652" s="7">
        <v>2</v>
      </c>
      <c r="D652" s="7">
        <v>0</v>
      </c>
      <c r="E652" s="18" t="str">
        <f t="shared" si="40"/>
        <v>LESIONADO</v>
      </c>
      <c r="F652" s="29" t="s">
        <v>1164</v>
      </c>
      <c r="G652" s="17">
        <v>5.3252527777777772</v>
      </c>
      <c r="H652" s="17">
        <v>-72.390508333333344</v>
      </c>
      <c r="I652" s="93" t="s">
        <v>697</v>
      </c>
      <c r="J652" s="7" t="s">
        <v>717</v>
      </c>
      <c r="K652" s="24" t="str">
        <f t="shared" si="41"/>
        <v>2022</v>
      </c>
      <c r="L652" s="24" t="str">
        <f t="shared" si="42"/>
        <v>JUNIO</v>
      </c>
      <c r="M652" s="232">
        <v>44716</v>
      </c>
      <c r="N652" s="24" t="str">
        <f t="shared" si="43"/>
        <v>SÁBADO</v>
      </c>
      <c r="O652" s="102">
        <v>0.34722222222222199</v>
      </c>
      <c r="P652" s="180" t="s">
        <v>469</v>
      </c>
      <c r="Q652" s="180" t="s">
        <v>469</v>
      </c>
      <c r="R652" s="36">
        <f>COUNTIF(Tabla1[[#This Row],[VEHICULOS_ACCIDENTADOS]:[VEHICULOS_ACCIDENTADOS2]],"MOTOCICLETA")</f>
        <v>2</v>
      </c>
      <c r="S652" s="36">
        <f>COUNTIF(Tabla1[[#This Row],[VEHICULOS_ACCIDENTADOS]:[VEHICULOS_ACCIDENTADOS2]],"MOTOCARRO")</f>
        <v>0</v>
      </c>
      <c r="T652" s="36">
        <f>COUNTIF(Tabla1[[#This Row],[VEHICULOS_ACCIDENTADOS]:[VEHICULOS_ACCIDENTADOS2]],"AUTOMOVIL")</f>
        <v>0</v>
      </c>
      <c r="U652" s="36">
        <f>COUNTIF(Tabla1[[#This Row],[VEHICULOS_ACCIDENTADOS]:[VEHICULOS_ACCIDENTADOS2]],"CAMPERO")</f>
        <v>0</v>
      </c>
      <c r="V652" s="36">
        <f>COUNTIF(Tabla1[[#This Row],[VEHICULOS_ACCIDENTADOS]:[VEHICULOS_ACCIDENTADOS2]],"CAMIONETA")</f>
        <v>0</v>
      </c>
      <c r="W652" s="36">
        <f>COUNTIF(Tabla1[[#This Row],[VEHICULOS_ACCIDENTADOS]:[VEHICULOS_ACCIDENTADOS2]],"MICROBUS")</f>
        <v>0</v>
      </c>
      <c r="X652" s="36">
        <f>COUNTIF(Tabla1[[#This Row],[VEHICULOS_ACCIDENTADOS]:[VEHICULOS_ACCIDENTADOS2]],"BUS")</f>
        <v>0</v>
      </c>
      <c r="Y652" s="36">
        <f>COUNTIF(Tabla1[[#This Row],[VEHICULOS_ACCIDENTADOS]:[VEHICULOS_ACCIDENTADOS2]],"BUSETA")</f>
        <v>0</v>
      </c>
      <c r="Z652" s="36">
        <f>COUNTIF(Tabla1[[#This Row],[VEHICULOS_ACCIDENTADOS]:[VEHICULOS_ACCIDENTADOS2]],"CAMION")</f>
        <v>0</v>
      </c>
      <c r="AA652" s="36">
        <f>COUNTIF(Tabla1[[#This Row],[VEHICULOS_ACCIDENTADOS]:[VEHICULOS_ACCIDENTADOS2]],"TRACTOCAMION")</f>
        <v>0</v>
      </c>
      <c r="AB652" s="36">
        <f>COUNTIF(Tabla1[[#This Row],[VEHICULOS_ACCIDENTADOS]:[VEHICULOS_ACCIDENTADOS2]],"VOLQUETA")</f>
        <v>0</v>
      </c>
      <c r="AC652" s="36">
        <f>COUNTIF(Tabla1[[#This Row],[VEHICULOS_ACCIDENTADOS]:[VEHICULOS_ACCIDENTADOS2]],"BICICLETA")</f>
        <v>0</v>
      </c>
      <c r="AD652" s="7" t="s">
        <v>471</v>
      </c>
      <c r="AE652" s="7"/>
      <c r="AF652" s="7">
        <f>COUNTIF(Tabla1[[#This Row],[GENERO_MASCULINO]:[GENERO_FEMENINO]],"MASCULINO")</f>
        <v>1</v>
      </c>
      <c r="AG652" s="36">
        <f>COUNTIF(Tabla1[[#This Row],[GENERO_MASCULINO]:[GENERO_FEMENINO]],"FEMENINO")</f>
        <v>0</v>
      </c>
      <c r="AH652" s="73">
        <v>20</v>
      </c>
      <c r="AI652" s="73">
        <v>24</v>
      </c>
      <c r="AJ652" s="73"/>
      <c r="AK652" s="73"/>
      <c r="AL652" s="73"/>
      <c r="AM652" s="7"/>
      <c r="AN652" s="73">
        <v>139</v>
      </c>
      <c r="AO652" s="36" t="str">
        <f>IFERROR(((VLOOKUP(Tabla1[[#This Row],[HIPOTESIS_1]],listas!$D$1:$E$105,2,FALSE))),"SIN INFORMACIÓN")</f>
        <v>Impericia en el manejo.</v>
      </c>
      <c r="AP652" s="7"/>
      <c r="AQ652" s="36" t="str">
        <f>IFERROR(((VLOOKUP(Tabla1[[#This Row],[HIPOTESIS_2]],listas!$D$1:$E$105,2,FALSE))),"")</f>
        <v/>
      </c>
      <c r="AR652" s="1" t="str">
        <f>IF(HOUR(Tabla1[[#This Row],[HORA_ACCIDENTE]])&lt;6,"MAÑANA",
 IF(HOUR(Tabla1[[#This Row],[HORA_ACCIDENTE]])&lt;12,"MAÑANA",
 IF(HOUR(Tabla1[[#This Row],[HORA_ACCIDENTE]])&lt;18,"TARDE","NOCHE")))</f>
        <v>MAÑANA</v>
      </c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40"/>
    </row>
    <row r="653" spans="1:56" x14ac:dyDescent="0.25">
      <c r="A653" s="12">
        <v>771</v>
      </c>
      <c r="B653" s="97">
        <v>0</v>
      </c>
      <c r="C653" s="15">
        <v>1</v>
      </c>
      <c r="D653" s="15">
        <v>0</v>
      </c>
      <c r="E653" s="18" t="str">
        <f t="shared" si="40"/>
        <v>LESIONADO</v>
      </c>
      <c r="F653" s="26" t="s">
        <v>1165</v>
      </c>
      <c r="G653" s="17">
        <v>5.3252527777777772</v>
      </c>
      <c r="H653" s="17">
        <v>-72.390508333333344</v>
      </c>
      <c r="I653" s="93" t="s">
        <v>697</v>
      </c>
      <c r="J653" s="15" t="s">
        <v>717</v>
      </c>
      <c r="K653" s="24" t="str">
        <f t="shared" si="41"/>
        <v>2024</v>
      </c>
      <c r="L653" s="24" t="str">
        <f t="shared" si="42"/>
        <v>AGOSTO</v>
      </c>
      <c r="M653" s="234">
        <v>45533</v>
      </c>
      <c r="N653" s="24" t="str">
        <f t="shared" si="43"/>
        <v>JUEVES</v>
      </c>
      <c r="O653" s="108">
        <v>0.90972222222222221</v>
      </c>
      <c r="P653" s="44" t="s">
        <v>469</v>
      </c>
      <c r="Q653" s="44"/>
      <c r="R653" s="36">
        <f>COUNTIF(Tabla1[[#This Row],[VEHICULOS_ACCIDENTADOS]:[VEHICULOS_ACCIDENTADOS2]],"MOTOCICLETA")</f>
        <v>1</v>
      </c>
      <c r="S653" s="36">
        <f>COUNTIF(Tabla1[[#This Row],[VEHICULOS_ACCIDENTADOS]:[VEHICULOS_ACCIDENTADOS2]],"MOTOCARRO")</f>
        <v>0</v>
      </c>
      <c r="T653" s="36">
        <f>COUNTIF(Tabla1[[#This Row],[VEHICULOS_ACCIDENTADOS]:[VEHICULOS_ACCIDENTADOS2]],"AUTOMOVIL")</f>
        <v>0</v>
      </c>
      <c r="U653" s="36">
        <f>COUNTIF(Tabla1[[#This Row],[VEHICULOS_ACCIDENTADOS]:[VEHICULOS_ACCIDENTADOS2]],"CAMPERO")</f>
        <v>0</v>
      </c>
      <c r="V653" s="36">
        <f>COUNTIF(Tabla1[[#This Row],[VEHICULOS_ACCIDENTADOS]:[VEHICULOS_ACCIDENTADOS2]],"CAMIONETA")</f>
        <v>0</v>
      </c>
      <c r="W653" s="36">
        <f>COUNTIF(Tabla1[[#This Row],[VEHICULOS_ACCIDENTADOS]:[VEHICULOS_ACCIDENTADOS2]],"MICROBUS")</f>
        <v>0</v>
      </c>
      <c r="X653" s="36">
        <f>COUNTIF(Tabla1[[#This Row],[VEHICULOS_ACCIDENTADOS]:[VEHICULOS_ACCIDENTADOS2]],"BUS")</f>
        <v>0</v>
      </c>
      <c r="Y653" s="36">
        <f>COUNTIF(Tabla1[[#This Row],[VEHICULOS_ACCIDENTADOS]:[VEHICULOS_ACCIDENTADOS2]],"BUSETA")</f>
        <v>0</v>
      </c>
      <c r="Z653" s="36">
        <f>COUNTIF(Tabla1[[#This Row],[VEHICULOS_ACCIDENTADOS]:[VEHICULOS_ACCIDENTADOS2]],"CAMION")</f>
        <v>0</v>
      </c>
      <c r="AA653" s="36">
        <f>COUNTIF(Tabla1[[#This Row],[VEHICULOS_ACCIDENTADOS]:[VEHICULOS_ACCIDENTADOS2]],"TRACTOCAMION")</f>
        <v>0</v>
      </c>
      <c r="AB653" s="36">
        <f>COUNTIF(Tabla1[[#This Row],[VEHICULOS_ACCIDENTADOS]:[VEHICULOS_ACCIDENTADOS2]],"VOLQUETA")</f>
        <v>0</v>
      </c>
      <c r="AC653" s="36">
        <f>COUNTIF(Tabla1[[#This Row],[VEHICULOS_ACCIDENTADOS]:[VEHICULOS_ACCIDENTADOS2]],"BICICLETA")</f>
        <v>0</v>
      </c>
      <c r="AD653" s="43"/>
      <c r="AE653" s="43" t="s">
        <v>472</v>
      </c>
      <c r="AF653" s="43">
        <f>COUNTIF(Tabla1[[#This Row],[GENERO_MASCULINO]:[GENERO_FEMENINO]],"MASCULINO")</f>
        <v>0</v>
      </c>
      <c r="AG653" s="36">
        <f>COUNTIF(Tabla1[[#This Row],[GENERO_MASCULINO]:[GENERO_FEMENINO]],"FEMENINO")</f>
        <v>1</v>
      </c>
      <c r="AH653" s="86">
        <v>32</v>
      </c>
      <c r="AI653" s="86"/>
      <c r="AJ653" s="86"/>
      <c r="AK653" s="86"/>
      <c r="AL653" s="86"/>
      <c r="AM653" s="15"/>
      <c r="AN653" s="86">
        <v>306</v>
      </c>
      <c r="AO653" s="36" t="str">
        <f>IFERROR(((VLOOKUP(Tabla1[[#This Row],[HIPOTESIS_1]],listas!$D$1:$E$105,2,FALSE))),"SIN INFORMACIÓN")</f>
        <v>Huecos.</v>
      </c>
      <c r="AP653" s="15"/>
      <c r="AQ653" s="36" t="str">
        <f>IFERROR(((VLOOKUP(Tabla1[[#This Row],[HIPOTESIS_2]],listas!$D$1:$E$105,2,FALSE))),"")</f>
        <v/>
      </c>
      <c r="AR653" s="1" t="str">
        <f>IF(HOUR(Tabla1[[#This Row],[HORA_ACCIDENTE]])&lt;6,"MAÑANA",
 IF(HOUR(Tabla1[[#This Row],[HORA_ACCIDENTE]])&lt;12,"MAÑANA",
 IF(HOUR(Tabla1[[#This Row],[HORA_ACCIDENTE]])&lt;18,"TARDE","NOCHE")))</f>
        <v>NOCHE</v>
      </c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40"/>
    </row>
    <row r="654" spans="1:56" x14ac:dyDescent="0.25">
      <c r="A654" s="12">
        <v>153</v>
      </c>
      <c r="B654" s="38">
        <v>1</v>
      </c>
      <c r="C654" s="7">
        <v>0</v>
      </c>
      <c r="D654" s="7">
        <v>0</v>
      </c>
      <c r="E654" s="18" t="str">
        <f t="shared" si="40"/>
        <v>SOLO DAÑO</v>
      </c>
      <c r="F654" s="29" t="s">
        <v>1166</v>
      </c>
      <c r="G654" s="17">
        <v>5.3467805555555552</v>
      </c>
      <c r="H654" s="17">
        <v>-72.402163888888893</v>
      </c>
      <c r="I654" s="93" t="s">
        <v>697</v>
      </c>
      <c r="J654" s="7" t="s">
        <v>717</v>
      </c>
      <c r="K654" s="24" t="str">
        <f t="shared" si="41"/>
        <v>2022</v>
      </c>
      <c r="L654" s="24" t="str">
        <f t="shared" si="42"/>
        <v>ABRIL</v>
      </c>
      <c r="M654" s="232">
        <v>44680</v>
      </c>
      <c r="N654" s="24" t="str">
        <f t="shared" si="43"/>
        <v>VIERNES</v>
      </c>
      <c r="O654" s="106">
        <v>0.66874999999999996</v>
      </c>
      <c r="P654" s="8" t="s">
        <v>447</v>
      </c>
      <c r="Q654" s="8" t="s">
        <v>445</v>
      </c>
      <c r="R654" s="36">
        <f>COUNTIF(Tabla1[[#This Row],[VEHICULOS_ACCIDENTADOS]:[VEHICULOS_ACCIDENTADOS2]],"MOTOCICLETA")</f>
        <v>0</v>
      </c>
      <c r="S654" s="36">
        <f>COUNTIF(Tabla1[[#This Row],[VEHICULOS_ACCIDENTADOS]:[VEHICULOS_ACCIDENTADOS2]],"MOTOCARRO")</f>
        <v>0</v>
      </c>
      <c r="T654" s="36">
        <f>COUNTIF(Tabla1[[#This Row],[VEHICULOS_ACCIDENTADOS]:[VEHICULOS_ACCIDENTADOS2]],"AUTOMOVIL")</f>
        <v>1</v>
      </c>
      <c r="U654" s="36">
        <f>COUNTIF(Tabla1[[#This Row],[VEHICULOS_ACCIDENTADOS]:[VEHICULOS_ACCIDENTADOS2]],"CAMPERO")</f>
        <v>0</v>
      </c>
      <c r="V654" s="36">
        <f>COUNTIF(Tabla1[[#This Row],[VEHICULOS_ACCIDENTADOS]:[VEHICULOS_ACCIDENTADOS2]],"CAMIONETA")</f>
        <v>1</v>
      </c>
      <c r="W654" s="36">
        <f>COUNTIF(Tabla1[[#This Row],[VEHICULOS_ACCIDENTADOS]:[VEHICULOS_ACCIDENTADOS2]],"MICROBUS")</f>
        <v>0</v>
      </c>
      <c r="X654" s="36">
        <f>COUNTIF(Tabla1[[#This Row],[VEHICULOS_ACCIDENTADOS]:[VEHICULOS_ACCIDENTADOS2]],"BUS")</f>
        <v>0</v>
      </c>
      <c r="Y654" s="36">
        <f>COUNTIF(Tabla1[[#This Row],[VEHICULOS_ACCIDENTADOS]:[VEHICULOS_ACCIDENTADOS2]],"BUSETA")</f>
        <v>0</v>
      </c>
      <c r="Z654" s="36">
        <f>COUNTIF(Tabla1[[#This Row],[VEHICULOS_ACCIDENTADOS]:[VEHICULOS_ACCIDENTADOS2]],"CAMION")</f>
        <v>0</v>
      </c>
      <c r="AA654" s="36">
        <f>COUNTIF(Tabla1[[#This Row],[VEHICULOS_ACCIDENTADOS]:[VEHICULOS_ACCIDENTADOS2]],"TRACTOCAMION")</f>
        <v>0</v>
      </c>
      <c r="AB654" s="36">
        <f>COUNTIF(Tabla1[[#This Row],[VEHICULOS_ACCIDENTADOS]:[VEHICULOS_ACCIDENTADOS2]],"VOLQUETA")</f>
        <v>0</v>
      </c>
      <c r="AC654" s="36">
        <f>COUNTIF(Tabla1[[#This Row],[VEHICULOS_ACCIDENTADOS]:[VEHICULOS_ACCIDENTADOS2]],"BICICLETA")</f>
        <v>0</v>
      </c>
      <c r="AD654" s="38"/>
      <c r="AE654" s="38" t="s">
        <v>472</v>
      </c>
      <c r="AF654" s="38">
        <f>COUNTIF(Tabla1[[#This Row],[GENERO_MASCULINO]:[GENERO_FEMENINO]],"MASCULINO")</f>
        <v>0</v>
      </c>
      <c r="AG654" s="36">
        <f>COUNTIF(Tabla1[[#This Row],[GENERO_MASCULINO]:[GENERO_FEMENINO]],"FEMENINO")</f>
        <v>1</v>
      </c>
      <c r="AH654" s="73"/>
      <c r="AI654" s="73"/>
      <c r="AJ654" s="73"/>
      <c r="AK654" s="73"/>
      <c r="AL654" s="73"/>
      <c r="AM654" s="7"/>
      <c r="AN654" s="73">
        <v>123</v>
      </c>
      <c r="AO654" s="36" t="str">
        <f>IFERROR(((VLOOKUP(Tabla1[[#This Row],[HIPOTESIS_1]],listas!$D$1:$E$105,2,FALSE))),"SIN INFORMACIÓN")</f>
        <v>No respetar prelación de intersecciones o giros.</v>
      </c>
      <c r="AP654" s="7"/>
      <c r="AQ654" s="36" t="str">
        <f>IFERROR(((VLOOKUP(Tabla1[[#This Row],[HIPOTESIS_2]],listas!$D$1:$E$105,2,FALSE))),"")</f>
        <v/>
      </c>
      <c r="AR654" s="1" t="str">
        <f>IF(HOUR(Tabla1[[#This Row],[HORA_ACCIDENTE]])&lt;6,"MAÑANA",
 IF(HOUR(Tabla1[[#This Row],[HORA_ACCIDENTE]])&lt;12,"MAÑANA",
 IF(HOUR(Tabla1[[#This Row],[HORA_ACCIDENTE]])&lt;18,"TARDE","NOCHE")))</f>
        <v>TARDE</v>
      </c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40"/>
    </row>
    <row r="655" spans="1:56" x14ac:dyDescent="0.25">
      <c r="A655" s="12">
        <v>607</v>
      </c>
      <c r="B655" s="38">
        <v>0</v>
      </c>
      <c r="C655" s="7">
        <v>1</v>
      </c>
      <c r="D655" s="7">
        <v>0</v>
      </c>
      <c r="E655" s="18" t="str">
        <f t="shared" si="40"/>
        <v>LESIONADO</v>
      </c>
      <c r="F655" s="29" t="s">
        <v>1167</v>
      </c>
      <c r="G655" s="17">
        <v>5.3467805555555552</v>
      </c>
      <c r="H655" s="17">
        <v>-72.402163888888893</v>
      </c>
      <c r="I655" s="93" t="s">
        <v>697</v>
      </c>
      <c r="J655" s="7" t="s">
        <v>717</v>
      </c>
      <c r="K655" s="24" t="str">
        <f t="shared" si="41"/>
        <v>2023</v>
      </c>
      <c r="L655" s="24" t="str">
        <f t="shared" si="42"/>
        <v>NOVIEMBRE</v>
      </c>
      <c r="M655" s="232">
        <v>45241</v>
      </c>
      <c r="N655" s="24" t="str">
        <f t="shared" si="43"/>
        <v>SÁBADO</v>
      </c>
      <c r="O655" s="106">
        <v>0.47916666666666669</v>
      </c>
      <c r="P655" s="39" t="s">
        <v>469</v>
      </c>
      <c r="Q655" s="39" t="s">
        <v>447</v>
      </c>
      <c r="R655" s="36">
        <f>COUNTIF(Tabla1[[#This Row],[VEHICULOS_ACCIDENTADOS]:[VEHICULOS_ACCIDENTADOS2]],"MOTOCICLETA")</f>
        <v>1</v>
      </c>
      <c r="S655" s="36">
        <f>COUNTIF(Tabla1[[#This Row],[VEHICULOS_ACCIDENTADOS]:[VEHICULOS_ACCIDENTADOS2]],"MOTOCARRO")</f>
        <v>0</v>
      </c>
      <c r="T655" s="36">
        <f>COUNTIF(Tabla1[[#This Row],[VEHICULOS_ACCIDENTADOS]:[VEHICULOS_ACCIDENTADOS2]],"AUTOMOVIL")</f>
        <v>1</v>
      </c>
      <c r="U655" s="36">
        <f>COUNTIF(Tabla1[[#This Row],[VEHICULOS_ACCIDENTADOS]:[VEHICULOS_ACCIDENTADOS2]],"CAMPERO")</f>
        <v>0</v>
      </c>
      <c r="V655" s="36">
        <f>COUNTIF(Tabla1[[#This Row],[VEHICULOS_ACCIDENTADOS]:[VEHICULOS_ACCIDENTADOS2]],"CAMIONETA")</f>
        <v>0</v>
      </c>
      <c r="W655" s="36">
        <f>COUNTIF(Tabla1[[#This Row],[VEHICULOS_ACCIDENTADOS]:[VEHICULOS_ACCIDENTADOS2]],"MICROBUS")</f>
        <v>0</v>
      </c>
      <c r="X655" s="36">
        <f>COUNTIF(Tabla1[[#This Row],[VEHICULOS_ACCIDENTADOS]:[VEHICULOS_ACCIDENTADOS2]],"BUS")</f>
        <v>0</v>
      </c>
      <c r="Y655" s="36">
        <f>COUNTIF(Tabla1[[#This Row],[VEHICULOS_ACCIDENTADOS]:[VEHICULOS_ACCIDENTADOS2]],"BUSETA")</f>
        <v>0</v>
      </c>
      <c r="Z655" s="36">
        <f>COUNTIF(Tabla1[[#This Row],[VEHICULOS_ACCIDENTADOS]:[VEHICULOS_ACCIDENTADOS2]],"CAMION")</f>
        <v>0</v>
      </c>
      <c r="AA655" s="36">
        <f>COUNTIF(Tabla1[[#This Row],[VEHICULOS_ACCIDENTADOS]:[VEHICULOS_ACCIDENTADOS2]],"TRACTOCAMION")</f>
        <v>0</v>
      </c>
      <c r="AB655" s="36">
        <f>COUNTIF(Tabla1[[#This Row],[VEHICULOS_ACCIDENTADOS]:[VEHICULOS_ACCIDENTADOS2]],"VOLQUETA")</f>
        <v>0</v>
      </c>
      <c r="AC655" s="36">
        <f>COUNTIF(Tabla1[[#This Row],[VEHICULOS_ACCIDENTADOS]:[VEHICULOS_ACCIDENTADOS2]],"BICICLETA")</f>
        <v>0</v>
      </c>
      <c r="AD655" s="38" t="s">
        <v>471</v>
      </c>
      <c r="AE655" s="38"/>
      <c r="AF655" s="38">
        <f>COUNTIF(Tabla1[[#This Row],[GENERO_MASCULINO]:[GENERO_FEMENINO]],"MASCULINO")</f>
        <v>1</v>
      </c>
      <c r="AG655" s="36">
        <f>COUNTIF(Tabla1[[#This Row],[GENERO_MASCULINO]:[GENERO_FEMENINO]],"FEMENINO")</f>
        <v>0</v>
      </c>
      <c r="AH655" s="73">
        <v>24</v>
      </c>
      <c r="AI655" s="73"/>
      <c r="AJ655" s="73"/>
      <c r="AK655" s="73"/>
      <c r="AL655" s="73"/>
      <c r="AM655" s="7"/>
      <c r="AN655" s="73">
        <v>112</v>
      </c>
      <c r="AO655" s="36" t="str">
        <f>IFERROR(((VLOOKUP(Tabla1[[#This Row],[HIPOTESIS_1]],listas!$D$1:$E$105,2,FALSE))),"SIN INFORMACIÓN")</f>
        <v>Desobedecer señales o normas de tránsito.</v>
      </c>
      <c r="AP655" s="7"/>
      <c r="AQ655" s="36" t="str">
        <f>IFERROR(((VLOOKUP(Tabla1[[#This Row],[HIPOTESIS_2]],listas!$D$1:$E$105,2,FALSE))),"")</f>
        <v/>
      </c>
      <c r="AR655" s="1" t="str">
        <f>IF(HOUR(Tabla1[[#This Row],[HORA_ACCIDENTE]])&lt;6,"MAÑANA",
 IF(HOUR(Tabla1[[#This Row],[HORA_ACCIDENTE]])&lt;12,"MAÑANA",
 IF(HOUR(Tabla1[[#This Row],[HORA_ACCIDENTE]])&lt;18,"TARDE","NOCHE")))</f>
        <v>MAÑANA</v>
      </c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40"/>
    </row>
    <row r="656" spans="1:56" x14ac:dyDescent="0.25">
      <c r="A656" s="12">
        <v>1103</v>
      </c>
      <c r="B656" s="47">
        <v>0</v>
      </c>
      <c r="C656" s="24">
        <v>1</v>
      </c>
      <c r="D656" s="24">
        <v>0</v>
      </c>
      <c r="E656" s="24" t="str">
        <f t="shared" si="40"/>
        <v>LESIONADO</v>
      </c>
      <c r="F656" s="152" t="s">
        <v>720</v>
      </c>
      <c r="G656" s="30">
        <v>5.34381280139488</v>
      </c>
      <c r="H656" s="30">
        <v>-72.400621815073507</v>
      </c>
      <c r="I656" s="165" t="s">
        <v>697</v>
      </c>
      <c r="J656" s="7" t="s">
        <v>717</v>
      </c>
      <c r="K656" s="24" t="str">
        <f t="shared" si="41"/>
        <v>2025</v>
      </c>
      <c r="L656" s="24" t="str">
        <f t="shared" si="42"/>
        <v>OCTUBRE</v>
      </c>
      <c r="M656" s="232">
        <v>45933</v>
      </c>
      <c r="N656" s="24" t="str">
        <f t="shared" si="43"/>
        <v>VIERNES</v>
      </c>
      <c r="O656" s="106">
        <v>0.6875</v>
      </c>
      <c r="P656" s="8" t="s">
        <v>469</v>
      </c>
      <c r="Q656" s="8" t="s">
        <v>469</v>
      </c>
      <c r="R656" s="36">
        <f>COUNTIF(Tabla1[[#This Row],[VEHICULOS_ACCIDENTADOS]:[VEHICULOS_ACCIDENTADOS2]],"MOTOCICLETA")</f>
        <v>2</v>
      </c>
      <c r="S656" s="36">
        <f>COUNTIF(Tabla1[[#This Row],[VEHICULOS_ACCIDENTADOS]:[VEHICULOS_ACCIDENTADOS2]],"MOTOCARRO")</f>
        <v>0</v>
      </c>
      <c r="T656" s="36">
        <f>COUNTIF(Tabla1[[#This Row],[VEHICULOS_ACCIDENTADOS]:[VEHICULOS_ACCIDENTADOS2]],"AUTOMOVIL")</f>
        <v>0</v>
      </c>
      <c r="U656" s="36">
        <f>COUNTIF(Tabla1[[#This Row],[VEHICULOS_ACCIDENTADOS]:[VEHICULOS_ACCIDENTADOS2]],"CAMPERO")</f>
        <v>0</v>
      </c>
      <c r="V656" s="36">
        <f>COUNTIF(Tabla1[[#This Row],[VEHICULOS_ACCIDENTADOS]:[VEHICULOS_ACCIDENTADOS2]],"CAMIONETA")</f>
        <v>0</v>
      </c>
      <c r="W656" s="36">
        <f>COUNTIF(Tabla1[[#This Row],[VEHICULOS_ACCIDENTADOS]:[VEHICULOS_ACCIDENTADOS2]],"MICROBUS")</f>
        <v>0</v>
      </c>
      <c r="X656" s="36">
        <f>COUNTIF(Tabla1[[#This Row],[VEHICULOS_ACCIDENTADOS]:[VEHICULOS_ACCIDENTADOS2]],"BUS")</f>
        <v>0</v>
      </c>
      <c r="Y656" s="36">
        <f>COUNTIF(Tabla1[[#This Row],[VEHICULOS_ACCIDENTADOS]:[VEHICULOS_ACCIDENTADOS2]],"BUSETA")</f>
        <v>0</v>
      </c>
      <c r="Z656" s="36">
        <f>COUNTIF(Tabla1[[#This Row],[VEHICULOS_ACCIDENTADOS]:[VEHICULOS_ACCIDENTADOS2]],"CAMION")</f>
        <v>0</v>
      </c>
      <c r="AA656" s="36">
        <f>COUNTIF(Tabla1[[#This Row],[VEHICULOS_ACCIDENTADOS]:[VEHICULOS_ACCIDENTADOS2]],"TRACTOCAMION")</f>
        <v>0</v>
      </c>
      <c r="AB656" s="36">
        <f>COUNTIF(Tabla1[[#This Row],[VEHICULOS_ACCIDENTADOS]:[VEHICULOS_ACCIDENTADOS2]],"VOLQUETA")</f>
        <v>0</v>
      </c>
      <c r="AC656" s="36">
        <f>COUNTIF(Tabla1[[#This Row],[VEHICULOS_ACCIDENTADOS]:[VEHICULOS_ACCIDENTADOS2]],"BICICLETA")</f>
        <v>0</v>
      </c>
      <c r="AD656" s="189" t="s">
        <v>471</v>
      </c>
      <c r="AE656" s="189" t="s">
        <v>471</v>
      </c>
      <c r="AF656" s="38">
        <f>COUNTIF(Tabla1[[#This Row],[GENERO_MASCULINO]:[GENERO_FEMENINO]],"MASCULINO")</f>
        <v>2</v>
      </c>
      <c r="AG656" s="36">
        <f>COUNTIF(Tabla1[[#This Row],[GENERO_MASCULINO]:[GENERO_FEMENINO]],"FEMENINO")</f>
        <v>0</v>
      </c>
      <c r="AH656" s="86">
        <v>24</v>
      </c>
      <c r="AI656" s="86"/>
      <c r="AJ656" s="86"/>
      <c r="AK656" s="87"/>
      <c r="AL656" s="87"/>
      <c r="AM656" s="6"/>
      <c r="AN656" s="73">
        <v>157</v>
      </c>
      <c r="AO656" s="59" t="str">
        <f>IFERROR(((VLOOKUP(Tabla1[[#This Row],[HIPOTESIS_1]],listas!$D$1:$E$105,2,FALSE))),"SIN INFORMACIÓN")</f>
        <v>Otra</v>
      </c>
      <c r="AP656" s="7"/>
      <c r="AQ656" s="36" t="str">
        <f>IFERROR(((VLOOKUP(Tabla1[[#This Row],[HIPOTESIS_2]],listas!$D$1:$E$105,2,FALSE))),"")</f>
        <v/>
      </c>
      <c r="AR656" s="2" t="str">
        <f>IF(HOUR(Tabla1[[#This Row],[HORA_ACCIDENTE]])&lt;6,"MAÑANA",
 IF(HOUR(Tabla1[[#This Row],[HORA_ACCIDENTE]])&lt;12,"MAÑANA",
 IF(HOUR(Tabla1[[#This Row],[HORA_ACCIDENTE]])&lt;18,"TARDE","NOCHE")))</f>
        <v>TARDE</v>
      </c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/>
    </row>
    <row r="657" spans="1:56" x14ac:dyDescent="0.25">
      <c r="A657" s="12">
        <v>820</v>
      </c>
      <c r="B657" s="43">
        <v>1</v>
      </c>
      <c r="C657" s="15">
        <v>0</v>
      </c>
      <c r="D657" s="19">
        <v>0</v>
      </c>
      <c r="E657" s="18" t="str">
        <f t="shared" si="40"/>
        <v>SOLO DAÑO</v>
      </c>
      <c r="F657" s="26" t="s">
        <v>99</v>
      </c>
      <c r="G657" s="21">
        <v>5.345558333333333</v>
      </c>
      <c r="H657" s="21">
        <v>-72.400261111111121</v>
      </c>
      <c r="I657" s="93" t="s">
        <v>697</v>
      </c>
      <c r="J657" s="7" t="s">
        <v>717</v>
      </c>
      <c r="K657" s="24" t="str">
        <f t="shared" si="41"/>
        <v>2024</v>
      </c>
      <c r="L657" s="24" t="str">
        <f t="shared" si="42"/>
        <v>NOVIEMBRE</v>
      </c>
      <c r="M657" s="234">
        <v>45619</v>
      </c>
      <c r="N657" s="24" t="str">
        <f t="shared" si="43"/>
        <v>SÁBADO</v>
      </c>
      <c r="O657" s="104">
        <v>0.59027777777777779</v>
      </c>
      <c r="P657" s="44" t="s">
        <v>469</v>
      </c>
      <c r="Q657" s="44" t="s">
        <v>447</v>
      </c>
      <c r="R657" s="36">
        <f>COUNTIF(Tabla1[[#This Row],[VEHICULOS_ACCIDENTADOS]:[VEHICULOS_ACCIDENTADOS2]],"MOTOCICLETA")</f>
        <v>1</v>
      </c>
      <c r="S657" s="36">
        <f>COUNTIF(Tabla1[[#This Row],[VEHICULOS_ACCIDENTADOS]:[VEHICULOS_ACCIDENTADOS2]],"MOTOCARRO")</f>
        <v>0</v>
      </c>
      <c r="T657" s="36">
        <f>COUNTIF(Tabla1[[#This Row],[VEHICULOS_ACCIDENTADOS]:[VEHICULOS_ACCIDENTADOS2]],"AUTOMOVIL")</f>
        <v>1</v>
      </c>
      <c r="U657" s="36">
        <f>COUNTIF(Tabla1[[#This Row],[VEHICULOS_ACCIDENTADOS]:[VEHICULOS_ACCIDENTADOS2]],"CAMPERO")</f>
        <v>0</v>
      </c>
      <c r="V657" s="36">
        <f>COUNTIF(Tabla1[[#This Row],[VEHICULOS_ACCIDENTADOS]:[VEHICULOS_ACCIDENTADOS2]],"CAMIONETA")</f>
        <v>0</v>
      </c>
      <c r="W657" s="36">
        <f>COUNTIF(Tabla1[[#This Row],[VEHICULOS_ACCIDENTADOS]:[VEHICULOS_ACCIDENTADOS2]],"MICROBUS")</f>
        <v>0</v>
      </c>
      <c r="X657" s="36">
        <f>COUNTIF(Tabla1[[#This Row],[VEHICULOS_ACCIDENTADOS]:[VEHICULOS_ACCIDENTADOS2]],"BUS")</f>
        <v>0</v>
      </c>
      <c r="Y657" s="36">
        <f>COUNTIF(Tabla1[[#This Row],[VEHICULOS_ACCIDENTADOS]:[VEHICULOS_ACCIDENTADOS2]],"BUSETA")</f>
        <v>0</v>
      </c>
      <c r="Z657" s="36">
        <f>COUNTIF(Tabla1[[#This Row],[VEHICULOS_ACCIDENTADOS]:[VEHICULOS_ACCIDENTADOS2]],"CAMION")</f>
        <v>0</v>
      </c>
      <c r="AA657" s="36">
        <f>COUNTIF(Tabla1[[#This Row],[VEHICULOS_ACCIDENTADOS]:[VEHICULOS_ACCIDENTADOS2]],"TRACTOCAMION")</f>
        <v>0</v>
      </c>
      <c r="AB657" s="36">
        <f>COUNTIF(Tabla1[[#This Row],[VEHICULOS_ACCIDENTADOS]:[VEHICULOS_ACCIDENTADOS2]],"VOLQUETA")</f>
        <v>0</v>
      </c>
      <c r="AC657" s="36">
        <f>COUNTIF(Tabla1[[#This Row],[VEHICULOS_ACCIDENTADOS]:[VEHICULOS_ACCIDENTADOS2]],"BICICLETA")</f>
        <v>0</v>
      </c>
      <c r="AD657" s="15" t="s">
        <v>471</v>
      </c>
      <c r="AE657" s="15" t="s">
        <v>472</v>
      </c>
      <c r="AF657" s="15">
        <f>COUNTIF(Tabla1[[#This Row],[GENERO_MASCULINO]:[GENERO_FEMENINO]],"MASCULINO")</f>
        <v>1</v>
      </c>
      <c r="AG657" s="36">
        <f>COUNTIF(Tabla1[[#This Row],[GENERO_MASCULINO]:[GENERO_FEMENINO]],"FEMENINO")</f>
        <v>1</v>
      </c>
      <c r="AH657" s="86">
        <v>36</v>
      </c>
      <c r="AI657" s="86">
        <v>28</v>
      </c>
      <c r="AJ657" s="86">
        <v>28</v>
      </c>
      <c r="AK657" s="86"/>
      <c r="AL657" s="86"/>
      <c r="AM657" s="15"/>
      <c r="AN657" s="86">
        <v>123</v>
      </c>
      <c r="AO657" s="36" t="str">
        <f>IFERROR(((VLOOKUP(Tabla1[[#This Row],[HIPOTESIS_1]],listas!$D$1:$E$105,2,FALSE))),"SIN INFORMACIÓN")</f>
        <v>No respetar prelación de intersecciones o giros.</v>
      </c>
      <c r="AP657" s="15"/>
      <c r="AQ657" s="36" t="str">
        <f>IFERROR(((VLOOKUP(Tabla1[[#This Row],[HIPOTESIS_2]],listas!$D$1:$E$105,2,FALSE))),"")</f>
        <v/>
      </c>
      <c r="AR657" s="1" t="str">
        <f>IF(HOUR(Tabla1[[#This Row],[HORA_ACCIDENTE]])&lt;6,"MAÑANA",
 IF(HOUR(Tabla1[[#This Row],[HORA_ACCIDENTE]])&lt;12,"MAÑANA",
 IF(HOUR(Tabla1[[#This Row],[HORA_ACCIDENTE]])&lt;18,"TARDE","NOCHE")))</f>
        <v>TARDE</v>
      </c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</row>
    <row r="658" spans="1:56" x14ac:dyDescent="0.25">
      <c r="A658" s="12">
        <v>291</v>
      </c>
      <c r="B658" s="38">
        <v>0</v>
      </c>
      <c r="C658" s="7">
        <v>2</v>
      </c>
      <c r="D658" s="7">
        <v>0</v>
      </c>
      <c r="E658" s="18" t="str">
        <f t="shared" si="40"/>
        <v>LESIONADO</v>
      </c>
      <c r="F658" s="29" t="s">
        <v>913</v>
      </c>
      <c r="G658" s="17">
        <v>5.3392036111111105</v>
      </c>
      <c r="H658" s="17">
        <v>-72.396914722222235</v>
      </c>
      <c r="I658" s="93" t="s">
        <v>697</v>
      </c>
      <c r="J658" s="7" t="s">
        <v>717</v>
      </c>
      <c r="K658" s="24" t="str">
        <f t="shared" si="41"/>
        <v>2022</v>
      </c>
      <c r="L658" s="24" t="str">
        <f t="shared" si="42"/>
        <v>AGOSTO</v>
      </c>
      <c r="M658" s="232">
        <v>44803</v>
      </c>
      <c r="N658" s="24" t="str">
        <f t="shared" si="43"/>
        <v>MARTES</v>
      </c>
      <c r="O658" s="174">
        <v>0.55208333333333304</v>
      </c>
      <c r="P658" s="180" t="s">
        <v>469</v>
      </c>
      <c r="Q658" s="180" t="s">
        <v>469</v>
      </c>
      <c r="R658" s="36">
        <f>COUNTIF(Tabla1[[#This Row],[VEHICULOS_ACCIDENTADOS]:[VEHICULOS_ACCIDENTADOS2]],"MOTOCICLETA")</f>
        <v>2</v>
      </c>
      <c r="S658" s="36">
        <f>COUNTIF(Tabla1[[#This Row],[VEHICULOS_ACCIDENTADOS]:[VEHICULOS_ACCIDENTADOS2]],"MOTOCARRO")</f>
        <v>0</v>
      </c>
      <c r="T658" s="36">
        <f>COUNTIF(Tabla1[[#This Row],[VEHICULOS_ACCIDENTADOS]:[VEHICULOS_ACCIDENTADOS2]],"AUTOMOVIL")</f>
        <v>0</v>
      </c>
      <c r="U658" s="36">
        <f>COUNTIF(Tabla1[[#This Row],[VEHICULOS_ACCIDENTADOS]:[VEHICULOS_ACCIDENTADOS2]],"CAMPERO")</f>
        <v>0</v>
      </c>
      <c r="V658" s="36">
        <f>COUNTIF(Tabla1[[#This Row],[VEHICULOS_ACCIDENTADOS]:[VEHICULOS_ACCIDENTADOS2]],"CAMIONETA")</f>
        <v>0</v>
      </c>
      <c r="W658" s="36">
        <f>COUNTIF(Tabla1[[#This Row],[VEHICULOS_ACCIDENTADOS]:[VEHICULOS_ACCIDENTADOS2]],"MICROBUS")</f>
        <v>0</v>
      </c>
      <c r="X658" s="36">
        <f>COUNTIF(Tabla1[[#This Row],[VEHICULOS_ACCIDENTADOS]:[VEHICULOS_ACCIDENTADOS2]],"BUS")</f>
        <v>0</v>
      </c>
      <c r="Y658" s="36">
        <f>COUNTIF(Tabla1[[#This Row],[VEHICULOS_ACCIDENTADOS]:[VEHICULOS_ACCIDENTADOS2]],"BUSETA")</f>
        <v>0</v>
      </c>
      <c r="Z658" s="36">
        <f>COUNTIF(Tabla1[[#This Row],[VEHICULOS_ACCIDENTADOS]:[VEHICULOS_ACCIDENTADOS2]],"CAMION")</f>
        <v>0</v>
      </c>
      <c r="AA658" s="36">
        <f>COUNTIF(Tabla1[[#This Row],[VEHICULOS_ACCIDENTADOS]:[VEHICULOS_ACCIDENTADOS2]],"TRACTOCAMION")</f>
        <v>0</v>
      </c>
      <c r="AB658" s="36">
        <f>COUNTIF(Tabla1[[#This Row],[VEHICULOS_ACCIDENTADOS]:[VEHICULOS_ACCIDENTADOS2]],"VOLQUETA")</f>
        <v>0</v>
      </c>
      <c r="AC658" s="36">
        <f>COUNTIF(Tabla1[[#This Row],[VEHICULOS_ACCIDENTADOS]:[VEHICULOS_ACCIDENTADOS2]],"BICICLETA")</f>
        <v>0</v>
      </c>
      <c r="AD658" s="38" t="s">
        <v>471</v>
      </c>
      <c r="AE658" s="38"/>
      <c r="AF658" s="38">
        <f>COUNTIF(Tabla1[[#This Row],[GENERO_MASCULINO]:[GENERO_FEMENINO]],"MASCULINO")</f>
        <v>1</v>
      </c>
      <c r="AG658" s="36">
        <f>COUNTIF(Tabla1[[#This Row],[GENERO_MASCULINO]:[GENERO_FEMENINO]],"FEMENINO")</f>
        <v>0</v>
      </c>
      <c r="AH658" s="73">
        <v>67</v>
      </c>
      <c r="AI658" s="73">
        <v>29</v>
      </c>
      <c r="AJ658" s="87"/>
      <c r="AK658" s="73"/>
      <c r="AL658" s="73"/>
      <c r="AM658" s="6"/>
      <c r="AN658" s="73">
        <v>112</v>
      </c>
      <c r="AO658" s="36" t="str">
        <f>IFERROR(((VLOOKUP(Tabla1[[#This Row],[HIPOTESIS_1]],listas!$D$1:$E$105,2,FALSE))),"SIN INFORMACIÓN")</f>
        <v>Desobedecer señales o normas de tránsito.</v>
      </c>
      <c r="AP658" s="7"/>
      <c r="AQ658" s="36" t="str">
        <f>IFERROR(((VLOOKUP(Tabla1[[#This Row],[HIPOTESIS_2]],listas!$D$1:$E$105,2,FALSE))),"")</f>
        <v/>
      </c>
      <c r="AR658" s="1" t="str">
        <f>IF(HOUR(Tabla1[[#This Row],[HORA_ACCIDENTE]])&lt;6,"MAÑANA",
 IF(HOUR(Tabla1[[#This Row],[HORA_ACCIDENTE]])&lt;12,"MAÑANA",
 IF(HOUR(Tabla1[[#This Row],[HORA_ACCIDENTE]])&lt;18,"TARDE","NOCHE")))</f>
        <v>TARDE</v>
      </c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40"/>
    </row>
    <row r="659" spans="1:56" x14ac:dyDescent="0.25">
      <c r="A659" s="12">
        <v>1007</v>
      </c>
      <c r="B659" s="47">
        <v>1</v>
      </c>
      <c r="C659" s="24">
        <v>0</v>
      </c>
      <c r="D659" s="24">
        <v>0</v>
      </c>
      <c r="E659" s="24" t="str">
        <f t="shared" si="40"/>
        <v>SOLO DAÑO</v>
      </c>
      <c r="F659" s="152" t="s">
        <v>913</v>
      </c>
      <c r="G659" s="30">
        <v>5.3392210000000002</v>
      </c>
      <c r="H659" s="30">
        <v>-72.396925999999993</v>
      </c>
      <c r="I659" s="165" t="s">
        <v>697</v>
      </c>
      <c r="J659" s="7" t="s">
        <v>717</v>
      </c>
      <c r="K659" s="24" t="str">
        <f t="shared" si="41"/>
        <v>2025</v>
      </c>
      <c r="L659" s="24" t="str">
        <f t="shared" si="42"/>
        <v>JUNIO</v>
      </c>
      <c r="M659" s="232">
        <v>45833</v>
      </c>
      <c r="N659" s="24" t="str">
        <f t="shared" si="43"/>
        <v>MIÉRCOLES</v>
      </c>
      <c r="O659" s="106">
        <v>0.73611111111111116</v>
      </c>
      <c r="P659" s="8" t="s">
        <v>447</v>
      </c>
      <c r="Q659" s="8" t="s">
        <v>469</v>
      </c>
      <c r="R659" s="36">
        <f>COUNTIF(Tabla1[[#This Row],[VEHICULOS_ACCIDENTADOS]:[VEHICULOS_ACCIDENTADOS2]],"MOTOCICLETA")</f>
        <v>1</v>
      </c>
      <c r="S659" s="36">
        <f>COUNTIF(Tabla1[[#This Row],[VEHICULOS_ACCIDENTADOS]:[VEHICULOS_ACCIDENTADOS2]],"MOTOCARRO")</f>
        <v>0</v>
      </c>
      <c r="T659" s="36">
        <f>COUNTIF(Tabla1[[#This Row],[VEHICULOS_ACCIDENTADOS]:[VEHICULOS_ACCIDENTADOS2]],"AUTOMOVIL")</f>
        <v>1</v>
      </c>
      <c r="U659" s="36">
        <f>COUNTIF(Tabla1[[#This Row],[VEHICULOS_ACCIDENTADOS]:[VEHICULOS_ACCIDENTADOS2]],"CAMPERO")</f>
        <v>0</v>
      </c>
      <c r="V659" s="36">
        <f>COUNTIF(Tabla1[[#This Row],[VEHICULOS_ACCIDENTADOS]:[VEHICULOS_ACCIDENTADOS2]],"CAMIONETA")</f>
        <v>0</v>
      </c>
      <c r="W659" s="36">
        <f>COUNTIF(Tabla1[[#This Row],[VEHICULOS_ACCIDENTADOS]:[VEHICULOS_ACCIDENTADOS2]],"MICROBUS")</f>
        <v>0</v>
      </c>
      <c r="X659" s="36">
        <f>COUNTIF(Tabla1[[#This Row],[VEHICULOS_ACCIDENTADOS]:[VEHICULOS_ACCIDENTADOS2]],"BUS")</f>
        <v>0</v>
      </c>
      <c r="Y659" s="36">
        <f>COUNTIF(Tabla1[[#This Row],[VEHICULOS_ACCIDENTADOS]:[VEHICULOS_ACCIDENTADOS2]],"BUSETA")</f>
        <v>0</v>
      </c>
      <c r="Z659" s="36">
        <f>COUNTIF(Tabla1[[#This Row],[VEHICULOS_ACCIDENTADOS]:[VEHICULOS_ACCIDENTADOS2]],"CAMION")</f>
        <v>0</v>
      </c>
      <c r="AA659" s="36">
        <f>COUNTIF(Tabla1[[#This Row],[VEHICULOS_ACCIDENTADOS]:[VEHICULOS_ACCIDENTADOS2]],"TRACTOCAMION")</f>
        <v>0</v>
      </c>
      <c r="AB659" s="36">
        <f>COUNTIF(Tabla1[[#This Row],[VEHICULOS_ACCIDENTADOS]:[VEHICULOS_ACCIDENTADOS2]],"VOLQUETA")</f>
        <v>0</v>
      </c>
      <c r="AC659" s="36">
        <f>COUNTIF(Tabla1[[#This Row],[VEHICULOS_ACCIDENTADOS]:[VEHICULOS_ACCIDENTADOS2]],"BICICLETA")</f>
        <v>0</v>
      </c>
      <c r="AD659" s="189" t="s">
        <v>471</v>
      </c>
      <c r="AE659" s="189" t="s">
        <v>472</v>
      </c>
      <c r="AF659" s="38">
        <f>COUNTIF(Tabla1[[#This Row],[GENERO_MASCULINO]:[GENERO_FEMENINO]],"MASCULINO")</f>
        <v>1</v>
      </c>
      <c r="AG659" s="36">
        <f>COUNTIF(Tabla1[[#This Row],[GENERO_MASCULINO]:[GENERO_FEMENINO]],"FEMENINO")</f>
        <v>1</v>
      </c>
      <c r="AH659" s="86">
        <v>38</v>
      </c>
      <c r="AI659" s="86">
        <v>20</v>
      </c>
      <c r="AJ659" s="86"/>
      <c r="AK659" s="87"/>
      <c r="AL659" s="87"/>
      <c r="AM659" s="6"/>
      <c r="AN659" s="73">
        <v>122</v>
      </c>
      <c r="AO659" s="36" t="str">
        <f>IFERROR(((VLOOKUP(Tabla1[[#This Row],[HIPOTESIS_1]],listas!$D$1:$E$105,2,FALSE))),"SIN INFORMACIÓN")</f>
        <v>Girar bruscamente.</v>
      </c>
      <c r="AP659" s="7"/>
      <c r="AQ659" s="36" t="str">
        <f>IFERROR(((VLOOKUP(Tabla1[[#This Row],[HIPOTESIS_2]],listas!$D$1:$E$105,2,FALSE))),"")</f>
        <v/>
      </c>
      <c r="AR659" s="1" t="str">
        <f>IF(HOUR(Tabla1[[#This Row],[HORA_ACCIDENTE]])&lt;6,"MAÑANA",
 IF(HOUR(Tabla1[[#This Row],[HORA_ACCIDENTE]])&lt;12,"MAÑANA",
 IF(HOUR(Tabla1[[#This Row],[HORA_ACCIDENTE]])&lt;18,"TARDE","NOCHE")))</f>
        <v>TARDE</v>
      </c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40"/>
    </row>
    <row r="660" spans="1:56" x14ac:dyDescent="0.25">
      <c r="A660" s="12">
        <v>44</v>
      </c>
      <c r="B660" s="38">
        <v>1</v>
      </c>
      <c r="C660" s="7">
        <v>0</v>
      </c>
      <c r="D660" s="7">
        <v>0</v>
      </c>
      <c r="E660" s="18" t="str">
        <f t="shared" si="40"/>
        <v>SOLO DAÑO</v>
      </c>
      <c r="F660" s="29" t="s">
        <v>914</v>
      </c>
      <c r="G660" s="17">
        <v>5.3353833333333327</v>
      </c>
      <c r="H660" s="17">
        <v>-72.394972222222222</v>
      </c>
      <c r="I660" s="93" t="s">
        <v>697</v>
      </c>
      <c r="J660" s="7" t="s">
        <v>717</v>
      </c>
      <c r="K660" s="24" t="str">
        <f t="shared" si="41"/>
        <v>2022</v>
      </c>
      <c r="L660" s="24" t="str">
        <f t="shared" si="42"/>
        <v>FEBRERO</v>
      </c>
      <c r="M660" s="232">
        <v>44595</v>
      </c>
      <c r="N660" s="24" t="str">
        <f t="shared" si="43"/>
        <v>JUEVES</v>
      </c>
      <c r="O660" s="106">
        <v>0.90625</v>
      </c>
      <c r="P660" s="8" t="s">
        <v>469</v>
      </c>
      <c r="Q660" s="8" t="s">
        <v>447</v>
      </c>
      <c r="R660" s="36">
        <f>COUNTIF(Tabla1[[#This Row],[VEHICULOS_ACCIDENTADOS]:[VEHICULOS_ACCIDENTADOS2]],"MOTOCICLETA")</f>
        <v>1</v>
      </c>
      <c r="S660" s="36">
        <f>COUNTIF(Tabla1[[#This Row],[VEHICULOS_ACCIDENTADOS]:[VEHICULOS_ACCIDENTADOS2]],"MOTOCARRO")</f>
        <v>0</v>
      </c>
      <c r="T660" s="36">
        <f>COUNTIF(Tabla1[[#This Row],[VEHICULOS_ACCIDENTADOS]:[VEHICULOS_ACCIDENTADOS2]],"AUTOMOVIL")</f>
        <v>1</v>
      </c>
      <c r="U660" s="36">
        <f>COUNTIF(Tabla1[[#This Row],[VEHICULOS_ACCIDENTADOS]:[VEHICULOS_ACCIDENTADOS2]],"CAMPERO")</f>
        <v>0</v>
      </c>
      <c r="V660" s="36">
        <f>COUNTIF(Tabla1[[#This Row],[VEHICULOS_ACCIDENTADOS]:[VEHICULOS_ACCIDENTADOS2]],"CAMIONETA")</f>
        <v>0</v>
      </c>
      <c r="W660" s="36">
        <f>COUNTIF(Tabla1[[#This Row],[VEHICULOS_ACCIDENTADOS]:[VEHICULOS_ACCIDENTADOS2]],"MICROBUS")</f>
        <v>0</v>
      </c>
      <c r="X660" s="36">
        <f>COUNTIF(Tabla1[[#This Row],[VEHICULOS_ACCIDENTADOS]:[VEHICULOS_ACCIDENTADOS2]],"BUS")</f>
        <v>0</v>
      </c>
      <c r="Y660" s="36">
        <f>COUNTIF(Tabla1[[#This Row],[VEHICULOS_ACCIDENTADOS]:[VEHICULOS_ACCIDENTADOS2]],"BUSETA")</f>
        <v>0</v>
      </c>
      <c r="Z660" s="36">
        <f>COUNTIF(Tabla1[[#This Row],[VEHICULOS_ACCIDENTADOS]:[VEHICULOS_ACCIDENTADOS2]],"CAMION")</f>
        <v>0</v>
      </c>
      <c r="AA660" s="36">
        <f>COUNTIF(Tabla1[[#This Row],[VEHICULOS_ACCIDENTADOS]:[VEHICULOS_ACCIDENTADOS2]],"TRACTOCAMION")</f>
        <v>0</v>
      </c>
      <c r="AB660" s="36">
        <f>COUNTIF(Tabla1[[#This Row],[VEHICULOS_ACCIDENTADOS]:[VEHICULOS_ACCIDENTADOS2]],"VOLQUETA")</f>
        <v>0</v>
      </c>
      <c r="AC660" s="36">
        <f>COUNTIF(Tabla1[[#This Row],[VEHICULOS_ACCIDENTADOS]:[VEHICULOS_ACCIDENTADOS2]],"BICICLETA")</f>
        <v>0</v>
      </c>
      <c r="AD660" s="38"/>
      <c r="AE660" s="38" t="s">
        <v>472</v>
      </c>
      <c r="AF660" s="38">
        <f>COUNTIF(Tabla1[[#This Row],[GENERO_MASCULINO]:[GENERO_FEMENINO]],"MASCULINO")</f>
        <v>0</v>
      </c>
      <c r="AG660" s="36">
        <f>COUNTIF(Tabla1[[#This Row],[GENERO_MASCULINO]:[GENERO_FEMENINO]],"FEMENINO")</f>
        <v>1</v>
      </c>
      <c r="AH660" s="73"/>
      <c r="AI660" s="73"/>
      <c r="AJ660" s="87"/>
      <c r="AK660" s="73"/>
      <c r="AL660" s="73"/>
      <c r="AM660" s="7"/>
      <c r="AN660" s="73">
        <v>157</v>
      </c>
      <c r="AO660" s="36" t="str">
        <f>IFERROR(((VLOOKUP(Tabla1[[#This Row],[HIPOTESIS_1]],listas!$D$1:$E$105,2,FALSE))),"SIN INFORMACIÓN")</f>
        <v>Otra</v>
      </c>
      <c r="AP660" s="7"/>
      <c r="AQ660" s="36" t="str">
        <f>IFERROR(((VLOOKUP(Tabla1[[#This Row],[HIPOTESIS_2]],listas!$D$1:$E$105,2,FALSE))),"")</f>
        <v/>
      </c>
      <c r="AR660" s="1" t="str">
        <f>IF(HOUR(Tabla1[[#This Row],[HORA_ACCIDENTE]])&lt;6,"MAÑANA",
 IF(HOUR(Tabla1[[#This Row],[HORA_ACCIDENTE]])&lt;12,"MAÑANA",
 IF(HOUR(Tabla1[[#This Row],[HORA_ACCIDENTE]])&lt;18,"TARDE","NOCHE")))</f>
        <v>NOCHE</v>
      </c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40"/>
    </row>
    <row r="661" spans="1:56" x14ac:dyDescent="0.25">
      <c r="A661" s="12">
        <v>738</v>
      </c>
      <c r="B661" s="43">
        <v>0</v>
      </c>
      <c r="C661" s="7">
        <v>1</v>
      </c>
      <c r="D661" s="7">
        <v>0</v>
      </c>
      <c r="E661" s="18" t="str">
        <f t="shared" si="40"/>
        <v>LESIONADO</v>
      </c>
      <c r="F661" s="29" t="s">
        <v>1112</v>
      </c>
      <c r="G661" s="17">
        <v>5.3304388888888887</v>
      </c>
      <c r="H661" s="17">
        <v>-72.392241666666678</v>
      </c>
      <c r="I661" s="93" t="s">
        <v>697</v>
      </c>
      <c r="J661" s="15" t="s">
        <v>717</v>
      </c>
      <c r="K661" s="24" t="str">
        <f t="shared" si="41"/>
        <v>2024</v>
      </c>
      <c r="L661" s="24" t="str">
        <f t="shared" si="42"/>
        <v>JUNIO</v>
      </c>
      <c r="M661" s="232">
        <v>45473</v>
      </c>
      <c r="N661" s="24" t="str">
        <f t="shared" si="43"/>
        <v>DOMINGO</v>
      </c>
      <c r="O661" s="106">
        <v>0.12847222222222224</v>
      </c>
      <c r="P661" s="39" t="s">
        <v>469</v>
      </c>
      <c r="Q661" s="39" t="s">
        <v>469</v>
      </c>
      <c r="R661" s="36">
        <f>COUNTIF(Tabla1[[#This Row],[VEHICULOS_ACCIDENTADOS]:[VEHICULOS_ACCIDENTADOS2]],"MOTOCICLETA")</f>
        <v>2</v>
      </c>
      <c r="S661" s="36">
        <f>COUNTIF(Tabla1[[#This Row],[VEHICULOS_ACCIDENTADOS]:[VEHICULOS_ACCIDENTADOS2]],"MOTOCARRO")</f>
        <v>0</v>
      </c>
      <c r="T661" s="36">
        <f>COUNTIF(Tabla1[[#This Row],[VEHICULOS_ACCIDENTADOS]:[VEHICULOS_ACCIDENTADOS2]],"AUTOMOVIL")</f>
        <v>0</v>
      </c>
      <c r="U661" s="36">
        <f>COUNTIF(Tabla1[[#This Row],[VEHICULOS_ACCIDENTADOS]:[VEHICULOS_ACCIDENTADOS2]],"CAMPERO")</f>
        <v>0</v>
      </c>
      <c r="V661" s="36">
        <f>COUNTIF(Tabla1[[#This Row],[VEHICULOS_ACCIDENTADOS]:[VEHICULOS_ACCIDENTADOS2]],"CAMIONETA")</f>
        <v>0</v>
      </c>
      <c r="W661" s="36">
        <f>COUNTIF(Tabla1[[#This Row],[VEHICULOS_ACCIDENTADOS]:[VEHICULOS_ACCIDENTADOS2]],"MICROBUS")</f>
        <v>0</v>
      </c>
      <c r="X661" s="36">
        <f>COUNTIF(Tabla1[[#This Row],[VEHICULOS_ACCIDENTADOS]:[VEHICULOS_ACCIDENTADOS2]],"BUS")</f>
        <v>0</v>
      </c>
      <c r="Y661" s="36">
        <f>COUNTIF(Tabla1[[#This Row],[VEHICULOS_ACCIDENTADOS]:[VEHICULOS_ACCIDENTADOS2]],"BUSETA")</f>
        <v>0</v>
      </c>
      <c r="Z661" s="36">
        <f>COUNTIF(Tabla1[[#This Row],[VEHICULOS_ACCIDENTADOS]:[VEHICULOS_ACCIDENTADOS2]],"CAMION")</f>
        <v>0</v>
      </c>
      <c r="AA661" s="36">
        <f>COUNTIF(Tabla1[[#This Row],[VEHICULOS_ACCIDENTADOS]:[VEHICULOS_ACCIDENTADOS2]],"TRACTOCAMION")</f>
        <v>0</v>
      </c>
      <c r="AB661" s="36">
        <f>COUNTIF(Tabla1[[#This Row],[VEHICULOS_ACCIDENTADOS]:[VEHICULOS_ACCIDENTADOS2]],"VOLQUETA")</f>
        <v>0</v>
      </c>
      <c r="AC661" s="36">
        <f>COUNTIF(Tabla1[[#This Row],[VEHICULOS_ACCIDENTADOS]:[VEHICULOS_ACCIDENTADOS2]],"BICICLETA")</f>
        <v>0</v>
      </c>
      <c r="AD661" s="38" t="s">
        <v>471</v>
      </c>
      <c r="AE661" s="38" t="s">
        <v>472</v>
      </c>
      <c r="AF661" s="38">
        <f>COUNTIF(Tabla1[[#This Row],[GENERO_MASCULINO]:[GENERO_FEMENINO]],"MASCULINO")</f>
        <v>1</v>
      </c>
      <c r="AG661" s="36">
        <f>COUNTIF(Tabla1[[#This Row],[GENERO_MASCULINO]:[GENERO_FEMENINO]],"FEMENINO")</f>
        <v>1</v>
      </c>
      <c r="AH661" s="73">
        <v>20</v>
      </c>
      <c r="AI661" s="73"/>
      <c r="AJ661" s="73"/>
      <c r="AK661" s="73"/>
      <c r="AL661" s="73"/>
      <c r="AM661" s="7"/>
      <c r="AN661" s="73">
        <v>157</v>
      </c>
      <c r="AO661" s="36" t="str">
        <f>IFERROR(((VLOOKUP(Tabla1[[#This Row],[HIPOTESIS_1]],listas!$D$1:$E$105,2,FALSE))),"SIN INFORMACIÓN")</f>
        <v>Otra</v>
      </c>
      <c r="AP661" s="7"/>
      <c r="AQ661" s="36" t="str">
        <f>IFERROR(((VLOOKUP(Tabla1[[#This Row],[HIPOTESIS_2]],listas!$D$1:$E$105,2,FALSE))),"")</f>
        <v/>
      </c>
      <c r="AR661" s="1" t="str">
        <f>IF(HOUR(Tabla1[[#This Row],[HORA_ACCIDENTE]])&lt;6,"MAÑANA",
 IF(HOUR(Tabla1[[#This Row],[HORA_ACCIDENTE]])&lt;12,"MAÑANA",
 IF(HOUR(Tabla1[[#This Row],[HORA_ACCIDENTE]])&lt;18,"TARDE","NOCHE")))</f>
        <v>MAÑANA</v>
      </c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40"/>
    </row>
    <row r="662" spans="1:56" x14ac:dyDescent="0.25">
      <c r="A662" s="12">
        <v>779</v>
      </c>
      <c r="B662" s="97">
        <v>0</v>
      </c>
      <c r="C662" s="7">
        <v>2</v>
      </c>
      <c r="D662" s="42">
        <v>0</v>
      </c>
      <c r="E662" s="18" t="str">
        <f t="shared" si="40"/>
        <v>LESIONADO</v>
      </c>
      <c r="F662" s="29" t="s">
        <v>1112</v>
      </c>
      <c r="G662" s="17">
        <v>5.3304388888888887</v>
      </c>
      <c r="H662" s="17">
        <v>-72.392241666666678</v>
      </c>
      <c r="I662" s="93" t="s">
        <v>697</v>
      </c>
      <c r="J662" s="7" t="s">
        <v>717</v>
      </c>
      <c r="K662" s="24" t="str">
        <f t="shared" si="41"/>
        <v>2024</v>
      </c>
      <c r="L662" s="24" t="str">
        <f t="shared" si="42"/>
        <v>SEPTIEMBRE</v>
      </c>
      <c r="M662" s="232">
        <v>45543</v>
      </c>
      <c r="N662" s="24" t="str">
        <f t="shared" si="43"/>
        <v>DOMINGO</v>
      </c>
      <c r="O662" s="106">
        <v>0.34722222222222227</v>
      </c>
      <c r="P662" s="39" t="s">
        <v>469</v>
      </c>
      <c r="Q662" s="39" t="s">
        <v>447</v>
      </c>
      <c r="R662" s="36">
        <f>COUNTIF(Tabla1[[#This Row],[VEHICULOS_ACCIDENTADOS]:[VEHICULOS_ACCIDENTADOS2]],"MOTOCICLETA")</f>
        <v>1</v>
      </c>
      <c r="S662" s="36">
        <f>COUNTIF(Tabla1[[#This Row],[VEHICULOS_ACCIDENTADOS]:[VEHICULOS_ACCIDENTADOS2]],"MOTOCARRO")</f>
        <v>0</v>
      </c>
      <c r="T662" s="36">
        <f>COUNTIF(Tabla1[[#This Row],[VEHICULOS_ACCIDENTADOS]:[VEHICULOS_ACCIDENTADOS2]],"AUTOMOVIL")</f>
        <v>1</v>
      </c>
      <c r="U662" s="36">
        <f>COUNTIF(Tabla1[[#This Row],[VEHICULOS_ACCIDENTADOS]:[VEHICULOS_ACCIDENTADOS2]],"CAMPERO")</f>
        <v>0</v>
      </c>
      <c r="V662" s="36">
        <f>COUNTIF(Tabla1[[#This Row],[VEHICULOS_ACCIDENTADOS]:[VEHICULOS_ACCIDENTADOS2]],"CAMIONETA")</f>
        <v>0</v>
      </c>
      <c r="W662" s="36">
        <f>COUNTIF(Tabla1[[#This Row],[VEHICULOS_ACCIDENTADOS]:[VEHICULOS_ACCIDENTADOS2]],"MICROBUS")</f>
        <v>0</v>
      </c>
      <c r="X662" s="36">
        <f>COUNTIF(Tabla1[[#This Row],[VEHICULOS_ACCIDENTADOS]:[VEHICULOS_ACCIDENTADOS2]],"BUS")</f>
        <v>0</v>
      </c>
      <c r="Y662" s="36">
        <f>COUNTIF(Tabla1[[#This Row],[VEHICULOS_ACCIDENTADOS]:[VEHICULOS_ACCIDENTADOS2]],"BUSETA")</f>
        <v>0</v>
      </c>
      <c r="Z662" s="36">
        <f>COUNTIF(Tabla1[[#This Row],[VEHICULOS_ACCIDENTADOS]:[VEHICULOS_ACCIDENTADOS2]],"CAMION")</f>
        <v>0</v>
      </c>
      <c r="AA662" s="36">
        <f>COUNTIF(Tabla1[[#This Row],[VEHICULOS_ACCIDENTADOS]:[VEHICULOS_ACCIDENTADOS2]],"TRACTOCAMION")</f>
        <v>0</v>
      </c>
      <c r="AB662" s="36">
        <f>COUNTIF(Tabla1[[#This Row],[VEHICULOS_ACCIDENTADOS]:[VEHICULOS_ACCIDENTADOS2]],"VOLQUETA")</f>
        <v>0</v>
      </c>
      <c r="AC662" s="36">
        <f>COUNTIF(Tabla1[[#This Row],[VEHICULOS_ACCIDENTADOS]:[VEHICULOS_ACCIDENTADOS2]],"BICICLETA")</f>
        <v>0</v>
      </c>
      <c r="AD662" s="38" t="s">
        <v>471</v>
      </c>
      <c r="AE662" s="38" t="s">
        <v>472</v>
      </c>
      <c r="AF662" s="38">
        <f>COUNTIF(Tabla1[[#This Row],[GENERO_MASCULINO]:[GENERO_FEMENINO]],"MASCULINO")</f>
        <v>1</v>
      </c>
      <c r="AG662" s="36">
        <f>COUNTIF(Tabla1[[#This Row],[GENERO_MASCULINO]:[GENERO_FEMENINO]],"FEMENINO")</f>
        <v>1</v>
      </c>
      <c r="AH662" s="73">
        <v>19</v>
      </c>
      <c r="AI662" s="73">
        <v>18</v>
      </c>
      <c r="AJ662" s="73">
        <v>22</v>
      </c>
      <c r="AK662" s="73"/>
      <c r="AL662" s="73"/>
      <c r="AM662" s="7"/>
      <c r="AN662" s="73">
        <v>139</v>
      </c>
      <c r="AO662" s="36" t="str">
        <f>IFERROR(((VLOOKUP(Tabla1[[#This Row],[HIPOTESIS_1]],listas!$D$1:$E$105,2,FALSE))),"SIN INFORMACIÓN")</f>
        <v>Impericia en el manejo.</v>
      </c>
      <c r="AP662" s="7"/>
      <c r="AQ662" s="36" t="str">
        <f>IFERROR(((VLOOKUP(Tabla1[[#This Row],[HIPOTESIS_2]],listas!$D$1:$E$105,2,FALSE))),"")</f>
        <v/>
      </c>
      <c r="AR662" s="1" t="str">
        <f>IF(HOUR(Tabla1[[#This Row],[HORA_ACCIDENTE]])&lt;6,"MAÑANA",
 IF(HOUR(Tabla1[[#This Row],[HORA_ACCIDENTE]])&lt;12,"MAÑANA",
 IF(HOUR(Tabla1[[#This Row],[HORA_ACCIDENTE]])&lt;18,"TARDE","NOCHE")))</f>
        <v>MAÑANA</v>
      </c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40"/>
    </row>
    <row r="663" spans="1:56" x14ac:dyDescent="0.25">
      <c r="A663" s="12">
        <v>32</v>
      </c>
      <c r="B663" s="38">
        <v>0</v>
      </c>
      <c r="C663" s="7">
        <v>1</v>
      </c>
      <c r="D663" s="7">
        <v>0</v>
      </c>
      <c r="E663" s="18" t="str">
        <f t="shared" si="40"/>
        <v>LESIONADO</v>
      </c>
      <c r="F663" s="29" t="s">
        <v>1113</v>
      </c>
      <c r="G663" s="17">
        <v>5.3256972222222219</v>
      </c>
      <c r="H663" s="17">
        <v>-72.389644444444457</v>
      </c>
      <c r="I663" s="93" t="s">
        <v>697</v>
      </c>
      <c r="J663" s="7" t="s">
        <v>717</v>
      </c>
      <c r="K663" s="24" t="str">
        <f t="shared" si="41"/>
        <v>2022</v>
      </c>
      <c r="L663" s="24" t="str">
        <f t="shared" si="42"/>
        <v>ENERO</v>
      </c>
      <c r="M663" s="232">
        <v>44589</v>
      </c>
      <c r="N663" s="24" t="str">
        <f t="shared" si="43"/>
        <v>VIERNES</v>
      </c>
      <c r="O663" s="106">
        <v>0.35069444444444398</v>
      </c>
      <c r="P663" s="8" t="s">
        <v>469</v>
      </c>
      <c r="Q663" s="8" t="s">
        <v>447</v>
      </c>
      <c r="R663" s="36">
        <f>COUNTIF(Tabla1[[#This Row],[VEHICULOS_ACCIDENTADOS]:[VEHICULOS_ACCIDENTADOS2]],"MOTOCICLETA")</f>
        <v>1</v>
      </c>
      <c r="S663" s="36">
        <f>COUNTIF(Tabla1[[#This Row],[VEHICULOS_ACCIDENTADOS]:[VEHICULOS_ACCIDENTADOS2]],"MOTOCARRO")</f>
        <v>0</v>
      </c>
      <c r="T663" s="36">
        <f>COUNTIF(Tabla1[[#This Row],[VEHICULOS_ACCIDENTADOS]:[VEHICULOS_ACCIDENTADOS2]],"AUTOMOVIL")</f>
        <v>1</v>
      </c>
      <c r="U663" s="36">
        <f>COUNTIF(Tabla1[[#This Row],[VEHICULOS_ACCIDENTADOS]:[VEHICULOS_ACCIDENTADOS2]],"CAMPERO")</f>
        <v>0</v>
      </c>
      <c r="V663" s="36">
        <f>COUNTIF(Tabla1[[#This Row],[VEHICULOS_ACCIDENTADOS]:[VEHICULOS_ACCIDENTADOS2]],"CAMIONETA")</f>
        <v>0</v>
      </c>
      <c r="W663" s="36">
        <f>COUNTIF(Tabla1[[#This Row],[VEHICULOS_ACCIDENTADOS]:[VEHICULOS_ACCIDENTADOS2]],"MICROBUS")</f>
        <v>0</v>
      </c>
      <c r="X663" s="36">
        <f>COUNTIF(Tabla1[[#This Row],[VEHICULOS_ACCIDENTADOS]:[VEHICULOS_ACCIDENTADOS2]],"BUS")</f>
        <v>0</v>
      </c>
      <c r="Y663" s="36">
        <f>COUNTIF(Tabla1[[#This Row],[VEHICULOS_ACCIDENTADOS]:[VEHICULOS_ACCIDENTADOS2]],"BUSETA")</f>
        <v>0</v>
      </c>
      <c r="Z663" s="36">
        <f>COUNTIF(Tabla1[[#This Row],[VEHICULOS_ACCIDENTADOS]:[VEHICULOS_ACCIDENTADOS2]],"CAMION")</f>
        <v>0</v>
      </c>
      <c r="AA663" s="36">
        <f>COUNTIF(Tabla1[[#This Row],[VEHICULOS_ACCIDENTADOS]:[VEHICULOS_ACCIDENTADOS2]],"TRACTOCAMION")</f>
        <v>0</v>
      </c>
      <c r="AB663" s="36">
        <f>COUNTIF(Tabla1[[#This Row],[VEHICULOS_ACCIDENTADOS]:[VEHICULOS_ACCIDENTADOS2]],"VOLQUETA")</f>
        <v>0</v>
      </c>
      <c r="AC663" s="36">
        <f>COUNTIF(Tabla1[[#This Row],[VEHICULOS_ACCIDENTADOS]:[VEHICULOS_ACCIDENTADOS2]],"BICICLETA")</f>
        <v>0</v>
      </c>
      <c r="AD663" s="38" t="s">
        <v>471</v>
      </c>
      <c r="AE663" s="38"/>
      <c r="AF663" s="38">
        <f>COUNTIF(Tabla1[[#This Row],[GENERO_MASCULINO]:[GENERO_FEMENINO]],"MASCULINO")</f>
        <v>1</v>
      </c>
      <c r="AG663" s="36">
        <f>COUNTIF(Tabla1[[#This Row],[GENERO_MASCULINO]:[GENERO_FEMENINO]],"FEMENINO")</f>
        <v>0</v>
      </c>
      <c r="AH663" s="73">
        <v>18</v>
      </c>
      <c r="AI663" s="73"/>
      <c r="AJ663" s="73"/>
      <c r="AK663" s="73"/>
      <c r="AL663" s="73"/>
      <c r="AM663" s="7"/>
      <c r="AN663" s="73">
        <v>157</v>
      </c>
      <c r="AO663" s="36" t="str">
        <f>IFERROR(((VLOOKUP(Tabla1[[#This Row],[HIPOTESIS_1]],listas!$D$1:$E$105,2,FALSE))),"SIN INFORMACIÓN")</f>
        <v>Otra</v>
      </c>
      <c r="AP663" s="7"/>
      <c r="AQ663" s="36" t="str">
        <f>IFERROR(((VLOOKUP(Tabla1[[#This Row],[HIPOTESIS_2]],listas!$D$1:$E$105,2,FALSE))),"")</f>
        <v/>
      </c>
      <c r="AR663" s="1" t="str">
        <f>IF(HOUR(Tabla1[[#This Row],[HORA_ACCIDENTE]])&lt;6,"MAÑANA",
 IF(HOUR(Tabla1[[#This Row],[HORA_ACCIDENTE]])&lt;12,"MAÑANA",
 IF(HOUR(Tabla1[[#This Row],[HORA_ACCIDENTE]])&lt;18,"TARDE","NOCHE")))</f>
        <v>MAÑANA</v>
      </c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40"/>
    </row>
    <row r="664" spans="1:56" x14ac:dyDescent="0.25">
      <c r="A664" s="12">
        <v>134</v>
      </c>
      <c r="B664" s="38">
        <v>0</v>
      </c>
      <c r="C664" s="7">
        <v>1</v>
      </c>
      <c r="D664" s="7">
        <v>0</v>
      </c>
      <c r="E664" s="18" t="str">
        <f t="shared" si="40"/>
        <v>LESIONADO</v>
      </c>
      <c r="F664" s="29" t="s">
        <v>1113</v>
      </c>
      <c r="G664" s="17">
        <v>5.3257111111111106</v>
      </c>
      <c r="H664" s="17">
        <v>-72.389622222222229</v>
      </c>
      <c r="I664" s="93" t="s">
        <v>697</v>
      </c>
      <c r="J664" s="7" t="s">
        <v>717</v>
      </c>
      <c r="K664" s="24" t="str">
        <f t="shared" si="41"/>
        <v>2022</v>
      </c>
      <c r="L664" s="24" t="str">
        <f t="shared" si="42"/>
        <v>ABRIL</v>
      </c>
      <c r="M664" s="232">
        <v>44663</v>
      </c>
      <c r="N664" s="24" t="str">
        <f t="shared" si="43"/>
        <v>MARTES</v>
      </c>
      <c r="O664" s="106">
        <v>0.6875</v>
      </c>
      <c r="P664" s="8" t="s">
        <v>469</v>
      </c>
      <c r="Q664" s="8" t="s">
        <v>447</v>
      </c>
      <c r="R664" s="36">
        <f>COUNTIF(Tabla1[[#This Row],[VEHICULOS_ACCIDENTADOS]:[VEHICULOS_ACCIDENTADOS2]],"MOTOCICLETA")</f>
        <v>1</v>
      </c>
      <c r="S664" s="36">
        <f>COUNTIF(Tabla1[[#This Row],[VEHICULOS_ACCIDENTADOS]:[VEHICULOS_ACCIDENTADOS2]],"MOTOCARRO")</f>
        <v>0</v>
      </c>
      <c r="T664" s="36">
        <f>COUNTIF(Tabla1[[#This Row],[VEHICULOS_ACCIDENTADOS]:[VEHICULOS_ACCIDENTADOS2]],"AUTOMOVIL")</f>
        <v>1</v>
      </c>
      <c r="U664" s="36">
        <f>COUNTIF(Tabla1[[#This Row],[VEHICULOS_ACCIDENTADOS]:[VEHICULOS_ACCIDENTADOS2]],"CAMPERO")</f>
        <v>0</v>
      </c>
      <c r="V664" s="36">
        <f>COUNTIF(Tabla1[[#This Row],[VEHICULOS_ACCIDENTADOS]:[VEHICULOS_ACCIDENTADOS2]],"CAMIONETA")</f>
        <v>0</v>
      </c>
      <c r="W664" s="36">
        <f>COUNTIF(Tabla1[[#This Row],[VEHICULOS_ACCIDENTADOS]:[VEHICULOS_ACCIDENTADOS2]],"MICROBUS")</f>
        <v>0</v>
      </c>
      <c r="X664" s="36">
        <f>COUNTIF(Tabla1[[#This Row],[VEHICULOS_ACCIDENTADOS]:[VEHICULOS_ACCIDENTADOS2]],"BUS")</f>
        <v>0</v>
      </c>
      <c r="Y664" s="36">
        <f>COUNTIF(Tabla1[[#This Row],[VEHICULOS_ACCIDENTADOS]:[VEHICULOS_ACCIDENTADOS2]],"BUSETA")</f>
        <v>0</v>
      </c>
      <c r="Z664" s="36">
        <f>COUNTIF(Tabla1[[#This Row],[VEHICULOS_ACCIDENTADOS]:[VEHICULOS_ACCIDENTADOS2]],"CAMION")</f>
        <v>0</v>
      </c>
      <c r="AA664" s="36">
        <f>COUNTIF(Tabla1[[#This Row],[VEHICULOS_ACCIDENTADOS]:[VEHICULOS_ACCIDENTADOS2]],"TRACTOCAMION")</f>
        <v>0</v>
      </c>
      <c r="AB664" s="36">
        <f>COUNTIF(Tabla1[[#This Row],[VEHICULOS_ACCIDENTADOS]:[VEHICULOS_ACCIDENTADOS2]],"VOLQUETA")</f>
        <v>0</v>
      </c>
      <c r="AC664" s="36">
        <f>COUNTIF(Tabla1[[#This Row],[VEHICULOS_ACCIDENTADOS]:[VEHICULOS_ACCIDENTADOS2]],"BICICLETA")</f>
        <v>0</v>
      </c>
      <c r="AD664" s="38" t="s">
        <v>471</v>
      </c>
      <c r="AE664" s="38"/>
      <c r="AF664" s="38">
        <f>COUNTIF(Tabla1[[#This Row],[GENERO_MASCULINO]:[GENERO_FEMENINO]],"MASCULINO")</f>
        <v>1</v>
      </c>
      <c r="AG664" s="36">
        <f>COUNTIF(Tabla1[[#This Row],[GENERO_MASCULINO]:[GENERO_FEMENINO]],"FEMENINO")</f>
        <v>0</v>
      </c>
      <c r="AH664" s="73">
        <v>23</v>
      </c>
      <c r="AI664" s="73"/>
      <c r="AJ664" s="73"/>
      <c r="AK664" s="73"/>
      <c r="AL664" s="73"/>
      <c r="AM664" s="7"/>
      <c r="AN664" s="73">
        <v>112</v>
      </c>
      <c r="AO664" s="36" t="str">
        <f>IFERROR(((VLOOKUP(Tabla1[[#This Row],[HIPOTESIS_1]],listas!$D$1:$E$105,2,FALSE))),"SIN INFORMACIÓN")</f>
        <v>Desobedecer señales o normas de tránsito.</v>
      </c>
      <c r="AP664" s="7"/>
      <c r="AQ664" s="36" t="str">
        <f>IFERROR(((VLOOKUP(Tabla1[[#This Row],[HIPOTESIS_2]],listas!$D$1:$E$105,2,FALSE))),"")</f>
        <v/>
      </c>
      <c r="AR664" s="1" t="str">
        <f>IF(HOUR(Tabla1[[#This Row],[HORA_ACCIDENTE]])&lt;6,"MAÑANA",
 IF(HOUR(Tabla1[[#This Row],[HORA_ACCIDENTE]])&lt;12,"MAÑANA",
 IF(HOUR(Tabla1[[#This Row],[HORA_ACCIDENTE]])&lt;18,"TARDE","NOCHE")))</f>
        <v>TARDE</v>
      </c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40"/>
    </row>
    <row r="665" spans="1:56" x14ac:dyDescent="0.25">
      <c r="A665" s="12">
        <v>416</v>
      </c>
      <c r="B665" s="38">
        <v>0</v>
      </c>
      <c r="C665" s="7">
        <v>1</v>
      </c>
      <c r="D665" s="7">
        <v>0</v>
      </c>
      <c r="E665" s="18" t="str">
        <f t="shared" si="40"/>
        <v>LESIONADO</v>
      </c>
      <c r="F665" s="29" t="s">
        <v>916</v>
      </c>
      <c r="G665" s="21">
        <v>5.3352463888888888</v>
      </c>
      <c r="H665" s="21">
        <v>-72.394839166666671</v>
      </c>
      <c r="I665" s="93" t="s">
        <v>697</v>
      </c>
      <c r="J665" s="7" t="s">
        <v>717</v>
      </c>
      <c r="K665" s="24" t="str">
        <f t="shared" si="41"/>
        <v>2023</v>
      </c>
      <c r="L665" s="24" t="str">
        <f t="shared" si="42"/>
        <v>FEBRERO</v>
      </c>
      <c r="M665" s="232">
        <v>44983</v>
      </c>
      <c r="N665" s="24" t="str">
        <f t="shared" si="43"/>
        <v>DOMINGO</v>
      </c>
      <c r="O665" s="106">
        <v>0.19444444444444445</v>
      </c>
      <c r="P665" s="39" t="s">
        <v>469</v>
      </c>
      <c r="Q665" s="39" t="s">
        <v>447</v>
      </c>
      <c r="R665" s="36">
        <f>COUNTIF(Tabla1[[#This Row],[VEHICULOS_ACCIDENTADOS]:[VEHICULOS_ACCIDENTADOS2]],"MOTOCICLETA")</f>
        <v>1</v>
      </c>
      <c r="S665" s="36">
        <f>COUNTIF(Tabla1[[#This Row],[VEHICULOS_ACCIDENTADOS]:[VEHICULOS_ACCIDENTADOS2]],"MOTOCARRO")</f>
        <v>0</v>
      </c>
      <c r="T665" s="36">
        <f>COUNTIF(Tabla1[[#This Row],[VEHICULOS_ACCIDENTADOS]:[VEHICULOS_ACCIDENTADOS2]],"AUTOMOVIL")</f>
        <v>1</v>
      </c>
      <c r="U665" s="36">
        <f>COUNTIF(Tabla1[[#This Row],[VEHICULOS_ACCIDENTADOS]:[VEHICULOS_ACCIDENTADOS2]],"CAMPERO")</f>
        <v>0</v>
      </c>
      <c r="V665" s="36">
        <f>COUNTIF(Tabla1[[#This Row],[VEHICULOS_ACCIDENTADOS]:[VEHICULOS_ACCIDENTADOS2]],"CAMIONETA")</f>
        <v>0</v>
      </c>
      <c r="W665" s="36">
        <f>COUNTIF(Tabla1[[#This Row],[VEHICULOS_ACCIDENTADOS]:[VEHICULOS_ACCIDENTADOS2]],"MICROBUS")</f>
        <v>0</v>
      </c>
      <c r="X665" s="36">
        <f>COUNTIF(Tabla1[[#This Row],[VEHICULOS_ACCIDENTADOS]:[VEHICULOS_ACCIDENTADOS2]],"BUS")</f>
        <v>0</v>
      </c>
      <c r="Y665" s="36">
        <f>COUNTIF(Tabla1[[#This Row],[VEHICULOS_ACCIDENTADOS]:[VEHICULOS_ACCIDENTADOS2]],"BUSETA")</f>
        <v>0</v>
      </c>
      <c r="Z665" s="36">
        <f>COUNTIF(Tabla1[[#This Row],[VEHICULOS_ACCIDENTADOS]:[VEHICULOS_ACCIDENTADOS2]],"CAMION")</f>
        <v>0</v>
      </c>
      <c r="AA665" s="36">
        <f>COUNTIF(Tabla1[[#This Row],[VEHICULOS_ACCIDENTADOS]:[VEHICULOS_ACCIDENTADOS2]],"TRACTOCAMION")</f>
        <v>0</v>
      </c>
      <c r="AB665" s="36">
        <f>COUNTIF(Tabla1[[#This Row],[VEHICULOS_ACCIDENTADOS]:[VEHICULOS_ACCIDENTADOS2]],"VOLQUETA")</f>
        <v>0</v>
      </c>
      <c r="AC665" s="36">
        <f>COUNTIF(Tabla1[[#This Row],[VEHICULOS_ACCIDENTADOS]:[VEHICULOS_ACCIDENTADOS2]],"BICICLETA")</f>
        <v>0</v>
      </c>
      <c r="AD665" s="38"/>
      <c r="AE665" s="38" t="s">
        <v>472</v>
      </c>
      <c r="AF665" s="38">
        <f>COUNTIF(Tabla1[[#This Row],[GENERO_MASCULINO]:[GENERO_FEMENINO]],"MASCULINO")</f>
        <v>0</v>
      </c>
      <c r="AG665" s="36">
        <f>COUNTIF(Tabla1[[#This Row],[GENERO_MASCULINO]:[GENERO_FEMENINO]],"FEMENINO")</f>
        <v>1</v>
      </c>
      <c r="AH665" s="73"/>
      <c r="AI665" s="73"/>
      <c r="AJ665" s="73"/>
      <c r="AK665" s="73"/>
      <c r="AL665" s="73">
        <v>33</v>
      </c>
      <c r="AM665" s="7"/>
      <c r="AN665" s="73">
        <v>112</v>
      </c>
      <c r="AO665" s="36" t="str">
        <f>IFERROR(((VLOOKUP(Tabla1[[#This Row],[HIPOTESIS_1]],listas!$D$1:$E$105,2,FALSE))),"SIN INFORMACIÓN")</f>
        <v>Desobedecer señales o normas de tránsito.</v>
      </c>
      <c r="AP665" s="7"/>
      <c r="AQ665" s="36" t="str">
        <f>IFERROR(((VLOOKUP(Tabla1[[#This Row],[HIPOTESIS_2]],listas!$D$1:$E$105,2,FALSE))),"")</f>
        <v/>
      </c>
      <c r="AR665" s="1" t="str">
        <f>IF(HOUR(Tabla1[[#This Row],[HORA_ACCIDENTE]])&lt;6,"MAÑANA",
 IF(HOUR(Tabla1[[#This Row],[HORA_ACCIDENTE]])&lt;12,"MAÑANA",
 IF(HOUR(Tabla1[[#This Row],[HORA_ACCIDENTE]])&lt;18,"TARDE","NOCHE")))</f>
        <v>MAÑANA</v>
      </c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40"/>
    </row>
    <row r="666" spans="1:56" x14ac:dyDescent="0.25">
      <c r="A666" s="12">
        <v>561</v>
      </c>
      <c r="B666" s="38">
        <v>0</v>
      </c>
      <c r="C666" s="7">
        <v>1</v>
      </c>
      <c r="D666" s="7">
        <v>0</v>
      </c>
      <c r="E666" s="18" t="str">
        <f t="shared" si="40"/>
        <v>LESIONADO</v>
      </c>
      <c r="F666" s="29" t="s">
        <v>917</v>
      </c>
      <c r="G666" s="21">
        <v>5.3352463888888888</v>
      </c>
      <c r="H666" s="21">
        <v>-72.394839166666671</v>
      </c>
      <c r="I666" s="93" t="s">
        <v>697</v>
      </c>
      <c r="J666" s="7" t="s">
        <v>717</v>
      </c>
      <c r="K666" s="24" t="str">
        <f t="shared" si="41"/>
        <v>2023</v>
      </c>
      <c r="L666" s="24" t="str">
        <f t="shared" si="42"/>
        <v>SEPTIEMBRE</v>
      </c>
      <c r="M666" s="232">
        <v>45192</v>
      </c>
      <c r="N666" s="24" t="str">
        <f t="shared" si="43"/>
        <v>SÁBADO</v>
      </c>
      <c r="O666" s="106">
        <v>0.125</v>
      </c>
      <c r="P666" s="39" t="s">
        <v>469</v>
      </c>
      <c r="Q666" s="39" t="s">
        <v>447</v>
      </c>
      <c r="R666" s="36">
        <f>COUNTIF(Tabla1[[#This Row],[VEHICULOS_ACCIDENTADOS]:[VEHICULOS_ACCIDENTADOS2]],"MOTOCICLETA")</f>
        <v>1</v>
      </c>
      <c r="S666" s="36">
        <f>COUNTIF(Tabla1[[#This Row],[VEHICULOS_ACCIDENTADOS]:[VEHICULOS_ACCIDENTADOS2]],"MOTOCARRO")</f>
        <v>0</v>
      </c>
      <c r="T666" s="36">
        <f>COUNTIF(Tabla1[[#This Row],[VEHICULOS_ACCIDENTADOS]:[VEHICULOS_ACCIDENTADOS2]],"AUTOMOVIL")</f>
        <v>1</v>
      </c>
      <c r="U666" s="36">
        <f>COUNTIF(Tabla1[[#This Row],[VEHICULOS_ACCIDENTADOS]:[VEHICULOS_ACCIDENTADOS2]],"CAMPERO")</f>
        <v>0</v>
      </c>
      <c r="V666" s="36">
        <f>COUNTIF(Tabla1[[#This Row],[VEHICULOS_ACCIDENTADOS]:[VEHICULOS_ACCIDENTADOS2]],"CAMIONETA")</f>
        <v>0</v>
      </c>
      <c r="W666" s="36">
        <f>COUNTIF(Tabla1[[#This Row],[VEHICULOS_ACCIDENTADOS]:[VEHICULOS_ACCIDENTADOS2]],"MICROBUS")</f>
        <v>0</v>
      </c>
      <c r="X666" s="36">
        <f>COUNTIF(Tabla1[[#This Row],[VEHICULOS_ACCIDENTADOS]:[VEHICULOS_ACCIDENTADOS2]],"BUS")</f>
        <v>0</v>
      </c>
      <c r="Y666" s="36">
        <f>COUNTIF(Tabla1[[#This Row],[VEHICULOS_ACCIDENTADOS]:[VEHICULOS_ACCIDENTADOS2]],"BUSETA")</f>
        <v>0</v>
      </c>
      <c r="Z666" s="36">
        <f>COUNTIF(Tabla1[[#This Row],[VEHICULOS_ACCIDENTADOS]:[VEHICULOS_ACCIDENTADOS2]],"CAMION")</f>
        <v>0</v>
      </c>
      <c r="AA666" s="36">
        <f>COUNTIF(Tabla1[[#This Row],[VEHICULOS_ACCIDENTADOS]:[VEHICULOS_ACCIDENTADOS2]],"TRACTOCAMION")</f>
        <v>0</v>
      </c>
      <c r="AB666" s="36">
        <f>COUNTIF(Tabla1[[#This Row],[VEHICULOS_ACCIDENTADOS]:[VEHICULOS_ACCIDENTADOS2]],"VOLQUETA")</f>
        <v>0</v>
      </c>
      <c r="AC666" s="36">
        <f>COUNTIF(Tabla1[[#This Row],[VEHICULOS_ACCIDENTADOS]:[VEHICULOS_ACCIDENTADOS2]],"BICICLETA")</f>
        <v>0</v>
      </c>
      <c r="AD666" s="38" t="s">
        <v>471</v>
      </c>
      <c r="AE666" s="38"/>
      <c r="AF666" s="38">
        <f>COUNTIF(Tabla1[[#This Row],[GENERO_MASCULINO]:[GENERO_FEMENINO]],"MASCULINO")</f>
        <v>1</v>
      </c>
      <c r="AG666" s="36">
        <f>COUNTIF(Tabla1[[#This Row],[GENERO_MASCULINO]:[GENERO_FEMENINO]],"FEMENINO")</f>
        <v>0</v>
      </c>
      <c r="AH666" s="73">
        <v>31</v>
      </c>
      <c r="AI666" s="73"/>
      <c r="AJ666" s="73"/>
      <c r="AK666" s="73"/>
      <c r="AL666" s="73"/>
      <c r="AM666" s="7"/>
      <c r="AN666" s="73">
        <v>157</v>
      </c>
      <c r="AO666" s="36" t="str">
        <f>IFERROR(((VLOOKUP(Tabla1[[#This Row],[HIPOTESIS_1]],listas!$D$1:$E$105,2,FALSE))),"SIN INFORMACIÓN")</f>
        <v>Otra</v>
      </c>
      <c r="AP666" s="7"/>
      <c r="AQ666" s="36" t="str">
        <f>IFERROR(((VLOOKUP(Tabla1[[#This Row],[HIPOTESIS_2]],listas!$D$1:$E$105,2,FALSE))),"")</f>
        <v/>
      </c>
      <c r="AR666" s="1" t="str">
        <f>IF(HOUR(Tabla1[[#This Row],[HORA_ACCIDENTE]])&lt;6,"MAÑANA",
 IF(HOUR(Tabla1[[#This Row],[HORA_ACCIDENTE]])&lt;12,"MAÑANA",
 IF(HOUR(Tabla1[[#This Row],[HORA_ACCIDENTE]])&lt;18,"TARDE","NOCHE")))</f>
        <v>MAÑANA</v>
      </c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40"/>
    </row>
    <row r="667" spans="1:56" x14ac:dyDescent="0.25">
      <c r="A667" s="12">
        <v>552</v>
      </c>
      <c r="B667" s="38">
        <v>0</v>
      </c>
      <c r="C667" s="7">
        <v>1</v>
      </c>
      <c r="D667" s="7">
        <v>0</v>
      </c>
      <c r="E667" s="18" t="str">
        <f t="shared" si="40"/>
        <v>LESIONADO</v>
      </c>
      <c r="F667" s="29" t="s">
        <v>207</v>
      </c>
      <c r="G667" s="21">
        <v>5.3424955555555549</v>
      </c>
      <c r="H667" s="21">
        <v>-72.398578055555561</v>
      </c>
      <c r="I667" s="93" t="s">
        <v>697</v>
      </c>
      <c r="J667" s="7" t="s">
        <v>717</v>
      </c>
      <c r="K667" s="24" t="str">
        <f t="shared" si="41"/>
        <v>2023</v>
      </c>
      <c r="L667" s="24" t="str">
        <f t="shared" si="42"/>
        <v>SEPTIEMBRE</v>
      </c>
      <c r="M667" s="232">
        <v>45174</v>
      </c>
      <c r="N667" s="24" t="str">
        <f t="shared" si="43"/>
        <v>MARTES</v>
      </c>
      <c r="O667" s="106">
        <v>0.89930555555555558</v>
      </c>
      <c r="P667" s="39" t="s">
        <v>445</v>
      </c>
      <c r="Q667" s="39"/>
      <c r="R667" s="36">
        <f>COUNTIF(Tabla1[[#This Row],[VEHICULOS_ACCIDENTADOS]:[VEHICULOS_ACCIDENTADOS2]],"MOTOCICLETA")</f>
        <v>0</v>
      </c>
      <c r="S667" s="36">
        <f>COUNTIF(Tabla1[[#This Row],[VEHICULOS_ACCIDENTADOS]:[VEHICULOS_ACCIDENTADOS2]],"MOTOCARRO")</f>
        <v>0</v>
      </c>
      <c r="T667" s="36">
        <f>COUNTIF(Tabla1[[#This Row],[VEHICULOS_ACCIDENTADOS]:[VEHICULOS_ACCIDENTADOS2]],"AUTOMOVIL")</f>
        <v>0</v>
      </c>
      <c r="U667" s="36">
        <f>COUNTIF(Tabla1[[#This Row],[VEHICULOS_ACCIDENTADOS]:[VEHICULOS_ACCIDENTADOS2]],"CAMPERO")</f>
        <v>0</v>
      </c>
      <c r="V667" s="36">
        <f>COUNTIF(Tabla1[[#This Row],[VEHICULOS_ACCIDENTADOS]:[VEHICULOS_ACCIDENTADOS2]],"CAMIONETA")</f>
        <v>1</v>
      </c>
      <c r="W667" s="36">
        <f>COUNTIF(Tabla1[[#This Row],[VEHICULOS_ACCIDENTADOS]:[VEHICULOS_ACCIDENTADOS2]],"MICROBUS")</f>
        <v>0</v>
      </c>
      <c r="X667" s="36">
        <f>COUNTIF(Tabla1[[#This Row],[VEHICULOS_ACCIDENTADOS]:[VEHICULOS_ACCIDENTADOS2]],"BUS")</f>
        <v>0</v>
      </c>
      <c r="Y667" s="36">
        <f>COUNTIF(Tabla1[[#This Row],[VEHICULOS_ACCIDENTADOS]:[VEHICULOS_ACCIDENTADOS2]],"BUSETA")</f>
        <v>0</v>
      </c>
      <c r="Z667" s="36">
        <f>COUNTIF(Tabla1[[#This Row],[VEHICULOS_ACCIDENTADOS]:[VEHICULOS_ACCIDENTADOS2]],"CAMION")</f>
        <v>0</v>
      </c>
      <c r="AA667" s="36">
        <f>COUNTIF(Tabla1[[#This Row],[VEHICULOS_ACCIDENTADOS]:[VEHICULOS_ACCIDENTADOS2]],"TRACTOCAMION")</f>
        <v>0</v>
      </c>
      <c r="AB667" s="36">
        <f>COUNTIF(Tabla1[[#This Row],[VEHICULOS_ACCIDENTADOS]:[VEHICULOS_ACCIDENTADOS2]],"VOLQUETA")</f>
        <v>0</v>
      </c>
      <c r="AC667" s="36">
        <f>COUNTIF(Tabla1[[#This Row],[VEHICULOS_ACCIDENTADOS]:[VEHICULOS_ACCIDENTADOS2]],"BICICLETA")</f>
        <v>0</v>
      </c>
      <c r="AD667" s="38"/>
      <c r="AE667" s="38" t="s">
        <v>472</v>
      </c>
      <c r="AF667" s="38">
        <f>COUNTIF(Tabla1[[#This Row],[GENERO_MASCULINO]:[GENERO_FEMENINO]],"MASCULINO")</f>
        <v>0</v>
      </c>
      <c r="AG667" s="36">
        <f>COUNTIF(Tabla1[[#This Row],[GENERO_MASCULINO]:[GENERO_FEMENINO]],"FEMENINO")</f>
        <v>1</v>
      </c>
      <c r="AH667" s="73">
        <v>30</v>
      </c>
      <c r="AI667" s="73"/>
      <c r="AJ667" s="73"/>
      <c r="AK667" s="73"/>
      <c r="AL667" s="73"/>
      <c r="AM667" s="7"/>
      <c r="AN667" s="73">
        <v>157</v>
      </c>
      <c r="AO667" s="36" t="str">
        <f>IFERROR(((VLOOKUP(Tabla1[[#This Row],[HIPOTESIS_1]],listas!$D$1:$E$105,2,FALSE))),"SIN INFORMACIÓN")</f>
        <v>Otra</v>
      </c>
      <c r="AP667" s="7"/>
      <c r="AQ667" s="36" t="str">
        <f>IFERROR(((VLOOKUP(Tabla1[[#This Row],[HIPOTESIS_2]],listas!$D$1:$E$105,2,FALSE))),"")</f>
        <v/>
      </c>
      <c r="AR667" s="1" t="str">
        <f>IF(HOUR(Tabla1[[#This Row],[HORA_ACCIDENTE]])&lt;6,"MAÑANA",
 IF(HOUR(Tabla1[[#This Row],[HORA_ACCIDENTE]])&lt;12,"MAÑANA",
 IF(HOUR(Tabla1[[#This Row],[HORA_ACCIDENTE]])&lt;18,"TARDE","NOCHE")))</f>
        <v>NOCHE</v>
      </c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40"/>
    </row>
    <row r="668" spans="1:56" x14ac:dyDescent="0.25">
      <c r="A668" s="12">
        <v>14</v>
      </c>
      <c r="B668" s="38">
        <v>1</v>
      </c>
      <c r="C668" s="7">
        <v>0</v>
      </c>
      <c r="D668" s="7">
        <v>0</v>
      </c>
      <c r="E668" s="18" t="str">
        <f t="shared" si="40"/>
        <v>SOLO DAÑO</v>
      </c>
      <c r="F668" s="29" t="s">
        <v>434</v>
      </c>
      <c r="G668" s="17">
        <v>5.3416333333333332</v>
      </c>
      <c r="H668" s="17">
        <v>-72.398169444444449</v>
      </c>
      <c r="I668" s="93" t="s">
        <v>697</v>
      </c>
      <c r="J668" s="7" t="s">
        <v>717</v>
      </c>
      <c r="K668" s="24" t="str">
        <f t="shared" si="41"/>
        <v>2022</v>
      </c>
      <c r="L668" s="24" t="str">
        <f t="shared" si="42"/>
        <v>ENERO</v>
      </c>
      <c r="M668" s="232">
        <v>44576</v>
      </c>
      <c r="N668" s="24" t="str">
        <f t="shared" si="43"/>
        <v>SÁBADO</v>
      </c>
      <c r="O668" s="106">
        <v>0.90972222222222221</v>
      </c>
      <c r="P668" s="8" t="s">
        <v>469</v>
      </c>
      <c r="Q668" s="8" t="s">
        <v>447</v>
      </c>
      <c r="R668" s="36">
        <f>COUNTIF(Tabla1[[#This Row],[VEHICULOS_ACCIDENTADOS]:[VEHICULOS_ACCIDENTADOS2]],"MOTOCICLETA")</f>
        <v>1</v>
      </c>
      <c r="S668" s="36">
        <f>COUNTIF(Tabla1[[#This Row],[VEHICULOS_ACCIDENTADOS]:[VEHICULOS_ACCIDENTADOS2]],"MOTOCARRO")</f>
        <v>0</v>
      </c>
      <c r="T668" s="36">
        <f>COUNTIF(Tabla1[[#This Row],[VEHICULOS_ACCIDENTADOS]:[VEHICULOS_ACCIDENTADOS2]],"AUTOMOVIL")</f>
        <v>1</v>
      </c>
      <c r="U668" s="36">
        <f>COUNTIF(Tabla1[[#This Row],[VEHICULOS_ACCIDENTADOS]:[VEHICULOS_ACCIDENTADOS2]],"CAMPERO")</f>
        <v>0</v>
      </c>
      <c r="V668" s="36">
        <f>COUNTIF(Tabla1[[#This Row],[VEHICULOS_ACCIDENTADOS]:[VEHICULOS_ACCIDENTADOS2]],"CAMIONETA")</f>
        <v>0</v>
      </c>
      <c r="W668" s="36">
        <f>COUNTIF(Tabla1[[#This Row],[VEHICULOS_ACCIDENTADOS]:[VEHICULOS_ACCIDENTADOS2]],"MICROBUS")</f>
        <v>0</v>
      </c>
      <c r="X668" s="36">
        <f>COUNTIF(Tabla1[[#This Row],[VEHICULOS_ACCIDENTADOS]:[VEHICULOS_ACCIDENTADOS2]],"BUS")</f>
        <v>0</v>
      </c>
      <c r="Y668" s="36">
        <f>COUNTIF(Tabla1[[#This Row],[VEHICULOS_ACCIDENTADOS]:[VEHICULOS_ACCIDENTADOS2]],"BUSETA")</f>
        <v>0</v>
      </c>
      <c r="Z668" s="36">
        <f>COUNTIF(Tabla1[[#This Row],[VEHICULOS_ACCIDENTADOS]:[VEHICULOS_ACCIDENTADOS2]],"CAMION")</f>
        <v>0</v>
      </c>
      <c r="AA668" s="36">
        <f>COUNTIF(Tabla1[[#This Row],[VEHICULOS_ACCIDENTADOS]:[VEHICULOS_ACCIDENTADOS2]],"TRACTOCAMION")</f>
        <v>0</v>
      </c>
      <c r="AB668" s="36">
        <f>COUNTIF(Tabla1[[#This Row],[VEHICULOS_ACCIDENTADOS]:[VEHICULOS_ACCIDENTADOS2]],"VOLQUETA")</f>
        <v>0</v>
      </c>
      <c r="AC668" s="36">
        <f>COUNTIF(Tabla1[[#This Row],[VEHICULOS_ACCIDENTADOS]:[VEHICULOS_ACCIDENTADOS2]],"BICICLETA")</f>
        <v>0</v>
      </c>
      <c r="AD668" s="38" t="s">
        <v>471</v>
      </c>
      <c r="AE668" s="38"/>
      <c r="AF668" s="38">
        <f>COUNTIF(Tabla1[[#This Row],[GENERO_MASCULINO]:[GENERO_FEMENINO]],"MASCULINO")</f>
        <v>1</v>
      </c>
      <c r="AG668" s="36">
        <f>COUNTIF(Tabla1[[#This Row],[GENERO_MASCULINO]:[GENERO_FEMENINO]],"FEMENINO")</f>
        <v>0</v>
      </c>
      <c r="AH668" s="73"/>
      <c r="AI668" s="73"/>
      <c r="AJ668" s="73"/>
      <c r="AK668" s="73"/>
      <c r="AL668" s="73"/>
      <c r="AM668" s="7"/>
      <c r="AN668" s="73">
        <v>157</v>
      </c>
      <c r="AO668" s="36" t="str">
        <f>IFERROR(((VLOOKUP(Tabla1[[#This Row],[HIPOTESIS_1]],listas!$D$1:$E$105,2,FALSE))),"SIN INFORMACIÓN")</f>
        <v>Otra</v>
      </c>
      <c r="AP668" s="7"/>
      <c r="AQ668" s="36" t="str">
        <f>IFERROR(((VLOOKUP(Tabla1[[#This Row],[HIPOTESIS_2]],listas!$D$1:$E$105,2,FALSE))),"")</f>
        <v/>
      </c>
      <c r="AR668" s="1" t="str">
        <f>IF(HOUR(Tabla1[[#This Row],[HORA_ACCIDENTE]])&lt;6,"MAÑANA",
 IF(HOUR(Tabla1[[#This Row],[HORA_ACCIDENTE]])&lt;12,"MAÑANA",
 IF(HOUR(Tabla1[[#This Row],[HORA_ACCIDENTE]])&lt;18,"TARDE","NOCHE")))</f>
        <v>NOCHE</v>
      </c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40"/>
    </row>
    <row r="669" spans="1:56" x14ac:dyDescent="0.25">
      <c r="A669" s="12">
        <v>512</v>
      </c>
      <c r="B669" s="140">
        <v>0</v>
      </c>
      <c r="C669" s="32">
        <v>1</v>
      </c>
      <c r="D669" s="32">
        <v>0</v>
      </c>
      <c r="E669" s="18" t="str">
        <f t="shared" si="40"/>
        <v>LESIONADO</v>
      </c>
      <c r="F669" s="29" t="s">
        <v>225</v>
      </c>
      <c r="G669" s="21">
        <v>5.3399736111111107</v>
      </c>
      <c r="H669" s="21">
        <v>-72.397359166666675</v>
      </c>
      <c r="I669" s="93" t="s">
        <v>697</v>
      </c>
      <c r="J669" s="7" t="s">
        <v>717</v>
      </c>
      <c r="K669" s="24" t="str">
        <f t="shared" si="41"/>
        <v>2023</v>
      </c>
      <c r="L669" s="24" t="str">
        <f t="shared" si="42"/>
        <v>JUNIO</v>
      </c>
      <c r="M669" s="232">
        <v>45089</v>
      </c>
      <c r="N669" s="24" t="str">
        <f t="shared" si="43"/>
        <v>LUNES</v>
      </c>
      <c r="O669" s="108">
        <v>0.4513888888888889</v>
      </c>
      <c r="P669" s="215" t="s">
        <v>469</v>
      </c>
      <c r="Q669" s="215" t="s">
        <v>447</v>
      </c>
      <c r="R669" s="36">
        <f>COUNTIF(Tabla1[[#This Row],[VEHICULOS_ACCIDENTADOS]:[VEHICULOS_ACCIDENTADOS2]],"MOTOCICLETA")</f>
        <v>1</v>
      </c>
      <c r="S669" s="36">
        <f>COUNTIF(Tabla1[[#This Row],[VEHICULOS_ACCIDENTADOS]:[VEHICULOS_ACCIDENTADOS2]],"MOTOCARRO")</f>
        <v>0</v>
      </c>
      <c r="T669" s="36">
        <f>COUNTIF(Tabla1[[#This Row],[VEHICULOS_ACCIDENTADOS]:[VEHICULOS_ACCIDENTADOS2]],"AUTOMOVIL")</f>
        <v>1</v>
      </c>
      <c r="U669" s="36">
        <f>COUNTIF(Tabla1[[#This Row],[VEHICULOS_ACCIDENTADOS]:[VEHICULOS_ACCIDENTADOS2]],"CAMPERO")</f>
        <v>0</v>
      </c>
      <c r="V669" s="36">
        <f>COUNTIF(Tabla1[[#This Row],[VEHICULOS_ACCIDENTADOS]:[VEHICULOS_ACCIDENTADOS2]],"CAMIONETA")</f>
        <v>0</v>
      </c>
      <c r="W669" s="36">
        <f>COUNTIF(Tabla1[[#This Row],[VEHICULOS_ACCIDENTADOS]:[VEHICULOS_ACCIDENTADOS2]],"MICROBUS")</f>
        <v>0</v>
      </c>
      <c r="X669" s="36">
        <f>COUNTIF(Tabla1[[#This Row],[VEHICULOS_ACCIDENTADOS]:[VEHICULOS_ACCIDENTADOS2]],"BUS")</f>
        <v>0</v>
      </c>
      <c r="Y669" s="36">
        <f>COUNTIF(Tabla1[[#This Row],[VEHICULOS_ACCIDENTADOS]:[VEHICULOS_ACCIDENTADOS2]],"BUSETA")</f>
        <v>0</v>
      </c>
      <c r="Z669" s="36">
        <f>COUNTIF(Tabla1[[#This Row],[VEHICULOS_ACCIDENTADOS]:[VEHICULOS_ACCIDENTADOS2]],"CAMION")</f>
        <v>0</v>
      </c>
      <c r="AA669" s="36">
        <f>COUNTIF(Tabla1[[#This Row],[VEHICULOS_ACCIDENTADOS]:[VEHICULOS_ACCIDENTADOS2]],"TRACTOCAMION")</f>
        <v>0</v>
      </c>
      <c r="AB669" s="36">
        <f>COUNTIF(Tabla1[[#This Row],[VEHICULOS_ACCIDENTADOS]:[VEHICULOS_ACCIDENTADOS2]],"VOLQUETA")</f>
        <v>0</v>
      </c>
      <c r="AC669" s="36">
        <f>COUNTIF(Tabla1[[#This Row],[VEHICULOS_ACCIDENTADOS]:[VEHICULOS_ACCIDENTADOS2]],"BICICLETA")</f>
        <v>0</v>
      </c>
      <c r="AD669" s="38" t="s">
        <v>471</v>
      </c>
      <c r="AE669" s="38"/>
      <c r="AF669" s="38">
        <f>COUNTIF(Tabla1[[#This Row],[GENERO_MASCULINO]:[GENERO_FEMENINO]],"MASCULINO")</f>
        <v>1</v>
      </c>
      <c r="AG669" s="36">
        <f>COUNTIF(Tabla1[[#This Row],[GENERO_MASCULINO]:[GENERO_FEMENINO]],"FEMENINO")</f>
        <v>0</v>
      </c>
      <c r="AH669" s="193">
        <v>55</v>
      </c>
      <c r="AI669" s="193"/>
      <c r="AJ669" s="193"/>
      <c r="AK669" s="193"/>
      <c r="AL669" s="193"/>
      <c r="AM669" s="32"/>
      <c r="AN669" s="193">
        <v>112</v>
      </c>
      <c r="AO669" s="36" t="str">
        <f>IFERROR(((VLOOKUP(Tabla1[[#This Row],[HIPOTESIS_1]],listas!$D$1:$E$105,2,FALSE))),"SIN INFORMACIÓN")</f>
        <v>Desobedecer señales o normas de tránsito.</v>
      </c>
      <c r="AP669" s="32"/>
      <c r="AQ669" s="36" t="str">
        <f>IFERROR(((VLOOKUP(Tabla1[[#This Row],[HIPOTESIS_2]],listas!$D$1:$E$105,2,FALSE))),"")</f>
        <v/>
      </c>
      <c r="AR669" s="1" t="str">
        <f>IF(HOUR(Tabla1[[#This Row],[HORA_ACCIDENTE]])&lt;6,"MAÑANA",
 IF(HOUR(Tabla1[[#This Row],[HORA_ACCIDENTE]])&lt;12,"MAÑANA",
 IF(HOUR(Tabla1[[#This Row],[HORA_ACCIDENTE]])&lt;18,"TARDE","NOCHE")))</f>
        <v>MAÑANA</v>
      </c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40"/>
    </row>
    <row r="670" spans="1:56" x14ac:dyDescent="0.25">
      <c r="A670" s="12">
        <v>469</v>
      </c>
      <c r="B670" s="38">
        <v>0</v>
      </c>
      <c r="C670" s="7">
        <v>1</v>
      </c>
      <c r="D670" s="7">
        <v>0</v>
      </c>
      <c r="E670" s="18" t="str">
        <f t="shared" si="40"/>
        <v>LESIONADO</v>
      </c>
      <c r="F670" s="29" t="s">
        <v>251</v>
      </c>
      <c r="G670" s="21">
        <v>5.3375694444444441</v>
      </c>
      <c r="H670" s="21">
        <v>-72.396091666666678</v>
      </c>
      <c r="I670" s="93" t="s">
        <v>697</v>
      </c>
      <c r="J670" s="7" t="s">
        <v>717</v>
      </c>
      <c r="K670" s="24" t="str">
        <f t="shared" si="41"/>
        <v>2023</v>
      </c>
      <c r="L670" s="24" t="str">
        <f t="shared" si="42"/>
        <v>MAYO</v>
      </c>
      <c r="M670" s="232">
        <v>45051</v>
      </c>
      <c r="N670" s="24" t="str">
        <f t="shared" si="43"/>
        <v>VIERNES</v>
      </c>
      <c r="O670" s="106">
        <v>0.47916666666666669</v>
      </c>
      <c r="P670" s="39" t="s">
        <v>469</v>
      </c>
      <c r="Q670" s="39" t="s">
        <v>447</v>
      </c>
      <c r="R670" s="36">
        <f>COUNTIF(Tabla1[[#This Row],[VEHICULOS_ACCIDENTADOS]:[VEHICULOS_ACCIDENTADOS2]],"MOTOCICLETA")</f>
        <v>1</v>
      </c>
      <c r="S670" s="36">
        <f>COUNTIF(Tabla1[[#This Row],[VEHICULOS_ACCIDENTADOS]:[VEHICULOS_ACCIDENTADOS2]],"MOTOCARRO")</f>
        <v>0</v>
      </c>
      <c r="T670" s="36">
        <f>COUNTIF(Tabla1[[#This Row],[VEHICULOS_ACCIDENTADOS]:[VEHICULOS_ACCIDENTADOS2]],"AUTOMOVIL")</f>
        <v>1</v>
      </c>
      <c r="U670" s="36">
        <f>COUNTIF(Tabla1[[#This Row],[VEHICULOS_ACCIDENTADOS]:[VEHICULOS_ACCIDENTADOS2]],"CAMPERO")</f>
        <v>0</v>
      </c>
      <c r="V670" s="36">
        <f>COUNTIF(Tabla1[[#This Row],[VEHICULOS_ACCIDENTADOS]:[VEHICULOS_ACCIDENTADOS2]],"CAMIONETA")</f>
        <v>0</v>
      </c>
      <c r="W670" s="36">
        <f>COUNTIF(Tabla1[[#This Row],[VEHICULOS_ACCIDENTADOS]:[VEHICULOS_ACCIDENTADOS2]],"MICROBUS")</f>
        <v>0</v>
      </c>
      <c r="X670" s="36">
        <f>COUNTIF(Tabla1[[#This Row],[VEHICULOS_ACCIDENTADOS]:[VEHICULOS_ACCIDENTADOS2]],"BUS")</f>
        <v>0</v>
      </c>
      <c r="Y670" s="36">
        <f>COUNTIF(Tabla1[[#This Row],[VEHICULOS_ACCIDENTADOS]:[VEHICULOS_ACCIDENTADOS2]],"BUSETA")</f>
        <v>0</v>
      </c>
      <c r="Z670" s="36">
        <f>COUNTIF(Tabla1[[#This Row],[VEHICULOS_ACCIDENTADOS]:[VEHICULOS_ACCIDENTADOS2]],"CAMION")</f>
        <v>0</v>
      </c>
      <c r="AA670" s="36">
        <f>COUNTIF(Tabla1[[#This Row],[VEHICULOS_ACCIDENTADOS]:[VEHICULOS_ACCIDENTADOS2]],"TRACTOCAMION")</f>
        <v>0</v>
      </c>
      <c r="AB670" s="36">
        <f>COUNTIF(Tabla1[[#This Row],[VEHICULOS_ACCIDENTADOS]:[VEHICULOS_ACCIDENTADOS2]],"VOLQUETA")</f>
        <v>0</v>
      </c>
      <c r="AC670" s="36">
        <f>COUNTIF(Tabla1[[#This Row],[VEHICULOS_ACCIDENTADOS]:[VEHICULOS_ACCIDENTADOS2]],"BICICLETA")</f>
        <v>0</v>
      </c>
      <c r="AD670" s="38" t="s">
        <v>471</v>
      </c>
      <c r="AE670" s="38"/>
      <c r="AF670" s="38">
        <f>COUNTIF(Tabla1[[#This Row],[GENERO_MASCULINO]:[GENERO_FEMENINO]],"MASCULINO")</f>
        <v>1</v>
      </c>
      <c r="AG670" s="36">
        <f>COUNTIF(Tabla1[[#This Row],[GENERO_MASCULINO]:[GENERO_FEMENINO]],"FEMENINO")</f>
        <v>0</v>
      </c>
      <c r="AH670" s="73">
        <v>29</v>
      </c>
      <c r="AI670" s="73"/>
      <c r="AJ670" s="73"/>
      <c r="AK670" s="73"/>
      <c r="AL670" s="73"/>
      <c r="AM670" s="7"/>
      <c r="AN670" s="73">
        <v>122</v>
      </c>
      <c r="AO670" s="36" t="str">
        <f>IFERROR(((VLOOKUP(Tabla1[[#This Row],[HIPOTESIS_1]],listas!$D$1:$E$105,2,FALSE))),"SIN INFORMACIÓN")</f>
        <v>Girar bruscamente.</v>
      </c>
      <c r="AP670" s="7"/>
      <c r="AQ670" s="36" t="str">
        <f>IFERROR(((VLOOKUP(Tabla1[[#This Row],[HIPOTESIS_2]],listas!$D$1:$E$105,2,FALSE))),"")</f>
        <v/>
      </c>
      <c r="AR670" s="1" t="str">
        <f>IF(HOUR(Tabla1[[#This Row],[HORA_ACCIDENTE]])&lt;6,"MAÑANA",
 IF(HOUR(Tabla1[[#This Row],[HORA_ACCIDENTE]])&lt;12,"MAÑANA",
 IF(HOUR(Tabla1[[#This Row],[HORA_ACCIDENTE]])&lt;18,"TARDE","NOCHE")))</f>
        <v>MAÑANA</v>
      </c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40"/>
    </row>
    <row r="671" spans="1:56" x14ac:dyDescent="0.25">
      <c r="A671" s="12">
        <v>975</v>
      </c>
      <c r="B671" s="43">
        <v>0</v>
      </c>
      <c r="C671" s="15">
        <v>2</v>
      </c>
      <c r="D671" s="19">
        <v>0</v>
      </c>
      <c r="E671" s="18" t="str">
        <f t="shared" si="40"/>
        <v>LESIONADO</v>
      </c>
      <c r="F671" s="26" t="s">
        <v>18</v>
      </c>
      <c r="G671" s="17">
        <v>5.3339650000000001</v>
      </c>
      <c r="H671" s="17">
        <v>-72.394199999999998</v>
      </c>
      <c r="I671" s="93" t="s">
        <v>697</v>
      </c>
      <c r="J671" s="16" t="s">
        <v>717</v>
      </c>
      <c r="K671" s="24" t="str">
        <f t="shared" si="41"/>
        <v>2025</v>
      </c>
      <c r="L671" s="24" t="str">
        <f t="shared" si="42"/>
        <v>MAYO</v>
      </c>
      <c r="M671" s="234">
        <v>45804</v>
      </c>
      <c r="N671" s="24" t="str">
        <f t="shared" si="43"/>
        <v>MARTES</v>
      </c>
      <c r="O671" s="108">
        <v>0.81944444444444453</v>
      </c>
      <c r="P671" s="8" t="s">
        <v>469</v>
      </c>
      <c r="Q671" s="8" t="s">
        <v>438</v>
      </c>
      <c r="R671" s="36">
        <f>COUNTIF(Tabla1[[#This Row],[VEHICULOS_ACCIDENTADOS]:[VEHICULOS_ACCIDENTADOS2]],"MOTOCICLETA")</f>
        <v>1</v>
      </c>
      <c r="S671" s="36">
        <f>COUNTIF(Tabla1[[#This Row],[VEHICULOS_ACCIDENTADOS]:[VEHICULOS_ACCIDENTADOS2]],"MOTOCARRO")</f>
        <v>0</v>
      </c>
      <c r="T671" s="36">
        <f>COUNTIF(Tabla1[[#This Row],[VEHICULOS_ACCIDENTADOS]:[VEHICULOS_ACCIDENTADOS2]],"AUTOMOVIL")</f>
        <v>0</v>
      </c>
      <c r="U671" s="36">
        <f>COUNTIF(Tabla1[[#This Row],[VEHICULOS_ACCIDENTADOS]:[VEHICULOS_ACCIDENTADOS2]],"CAMPERO")</f>
        <v>0</v>
      </c>
      <c r="V671" s="36">
        <f>COUNTIF(Tabla1[[#This Row],[VEHICULOS_ACCIDENTADOS]:[VEHICULOS_ACCIDENTADOS2]],"CAMIONETA")</f>
        <v>0</v>
      </c>
      <c r="W671" s="36">
        <f>COUNTIF(Tabla1[[#This Row],[VEHICULOS_ACCIDENTADOS]:[VEHICULOS_ACCIDENTADOS2]],"MICROBUS")</f>
        <v>0</v>
      </c>
      <c r="X671" s="36">
        <f>COUNTIF(Tabla1[[#This Row],[VEHICULOS_ACCIDENTADOS]:[VEHICULOS_ACCIDENTADOS2]],"BUS")</f>
        <v>0</v>
      </c>
      <c r="Y671" s="36">
        <f>COUNTIF(Tabla1[[#This Row],[VEHICULOS_ACCIDENTADOS]:[VEHICULOS_ACCIDENTADOS2]],"BUSETA")</f>
        <v>0</v>
      </c>
      <c r="Z671" s="36">
        <f>COUNTIF(Tabla1[[#This Row],[VEHICULOS_ACCIDENTADOS]:[VEHICULOS_ACCIDENTADOS2]],"CAMION")</f>
        <v>0</v>
      </c>
      <c r="AA671" s="36">
        <f>COUNTIF(Tabla1[[#This Row],[VEHICULOS_ACCIDENTADOS]:[VEHICULOS_ACCIDENTADOS2]],"TRACTOCAMION")</f>
        <v>0</v>
      </c>
      <c r="AB671" s="36">
        <f>COUNTIF(Tabla1[[#This Row],[VEHICULOS_ACCIDENTADOS]:[VEHICULOS_ACCIDENTADOS2]],"VOLQUETA")</f>
        <v>0</v>
      </c>
      <c r="AC671" s="36">
        <f>COUNTIF(Tabla1[[#This Row],[VEHICULOS_ACCIDENTADOS]:[VEHICULOS_ACCIDENTADOS2]],"BICICLETA")</f>
        <v>1</v>
      </c>
      <c r="AD671" s="38" t="s">
        <v>471</v>
      </c>
      <c r="AE671" s="38" t="s">
        <v>471</v>
      </c>
      <c r="AF671" s="38">
        <f>COUNTIF(Tabla1[[#This Row],[GENERO_MASCULINO]:[GENERO_FEMENINO]],"MASCULINO")</f>
        <v>2</v>
      </c>
      <c r="AG671" s="36">
        <f>COUNTIF(Tabla1[[#This Row],[GENERO_MASCULINO]:[GENERO_FEMENINO]],"FEMENINO")</f>
        <v>0</v>
      </c>
      <c r="AH671" s="86">
        <v>38</v>
      </c>
      <c r="AI671" s="86">
        <v>49</v>
      </c>
      <c r="AJ671" s="86"/>
      <c r="AK671" s="86"/>
      <c r="AL671" s="87"/>
      <c r="AM671" s="6"/>
      <c r="AN671" s="86">
        <v>157</v>
      </c>
      <c r="AO671" s="36" t="str">
        <f>IFERROR(((VLOOKUP(Tabla1[[#This Row],[HIPOTESIS_1]],listas!$D$1:$E$105,2,FALSE))),"SIN INFORMACIÓN")</f>
        <v>Otra</v>
      </c>
      <c r="AP671" s="7"/>
      <c r="AQ671" s="36" t="str">
        <f>IFERROR(((VLOOKUP(Tabla1[[#This Row],[HIPOTESIS_2]],listas!$D$1:$E$105,2,FALSE))),"")</f>
        <v/>
      </c>
      <c r="AR671" s="1" t="str">
        <f>IF(HOUR(Tabla1[[#This Row],[HORA_ACCIDENTE]])&lt;6,"MAÑANA",
 IF(HOUR(Tabla1[[#This Row],[HORA_ACCIDENTE]])&lt;12,"MAÑANA",
 IF(HOUR(Tabla1[[#This Row],[HORA_ACCIDENTE]])&lt;18,"TARDE","NOCHE")))</f>
        <v>NOCHE</v>
      </c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40"/>
    </row>
    <row r="672" spans="1:56" x14ac:dyDescent="0.25">
      <c r="A672" s="12">
        <v>360</v>
      </c>
      <c r="B672" s="38">
        <v>0</v>
      </c>
      <c r="C672" s="7">
        <v>3</v>
      </c>
      <c r="D672" s="7">
        <v>0</v>
      </c>
      <c r="E672" s="18" t="str">
        <f t="shared" si="40"/>
        <v>LESIONADO</v>
      </c>
      <c r="F672" s="29" t="s">
        <v>301</v>
      </c>
      <c r="G672" s="17">
        <v>5.3280777777777777</v>
      </c>
      <c r="H672" s="17">
        <v>-72.390938888888897</v>
      </c>
      <c r="I672" s="93" t="s">
        <v>697</v>
      </c>
      <c r="J672" s="7" t="s">
        <v>717</v>
      </c>
      <c r="K672" s="24" t="str">
        <f t="shared" si="41"/>
        <v>2022</v>
      </c>
      <c r="L672" s="24" t="str">
        <f t="shared" si="42"/>
        <v>NOVIEMBRE</v>
      </c>
      <c r="M672" s="232">
        <v>44887</v>
      </c>
      <c r="N672" s="24" t="str">
        <f t="shared" si="43"/>
        <v>MARTES</v>
      </c>
      <c r="O672" s="174">
        <v>0.77083333333333304</v>
      </c>
      <c r="P672" s="180" t="s">
        <v>469</v>
      </c>
      <c r="Q672" s="180" t="s">
        <v>469</v>
      </c>
      <c r="R672" s="36">
        <f>COUNTIF(Tabla1[[#This Row],[VEHICULOS_ACCIDENTADOS]:[VEHICULOS_ACCIDENTADOS2]],"MOTOCICLETA")</f>
        <v>2</v>
      </c>
      <c r="S672" s="36">
        <f>COUNTIF(Tabla1[[#This Row],[VEHICULOS_ACCIDENTADOS]:[VEHICULOS_ACCIDENTADOS2]],"MOTOCARRO")</f>
        <v>0</v>
      </c>
      <c r="T672" s="36">
        <f>COUNTIF(Tabla1[[#This Row],[VEHICULOS_ACCIDENTADOS]:[VEHICULOS_ACCIDENTADOS2]],"AUTOMOVIL")</f>
        <v>0</v>
      </c>
      <c r="U672" s="36">
        <f>COUNTIF(Tabla1[[#This Row],[VEHICULOS_ACCIDENTADOS]:[VEHICULOS_ACCIDENTADOS2]],"CAMPERO")</f>
        <v>0</v>
      </c>
      <c r="V672" s="36">
        <f>COUNTIF(Tabla1[[#This Row],[VEHICULOS_ACCIDENTADOS]:[VEHICULOS_ACCIDENTADOS2]],"CAMIONETA")</f>
        <v>0</v>
      </c>
      <c r="W672" s="36">
        <f>COUNTIF(Tabla1[[#This Row],[VEHICULOS_ACCIDENTADOS]:[VEHICULOS_ACCIDENTADOS2]],"MICROBUS")</f>
        <v>0</v>
      </c>
      <c r="X672" s="36">
        <f>COUNTIF(Tabla1[[#This Row],[VEHICULOS_ACCIDENTADOS]:[VEHICULOS_ACCIDENTADOS2]],"BUS")</f>
        <v>0</v>
      </c>
      <c r="Y672" s="36">
        <f>COUNTIF(Tabla1[[#This Row],[VEHICULOS_ACCIDENTADOS]:[VEHICULOS_ACCIDENTADOS2]],"BUSETA")</f>
        <v>0</v>
      </c>
      <c r="Z672" s="36">
        <f>COUNTIF(Tabla1[[#This Row],[VEHICULOS_ACCIDENTADOS]:[VEHICULOS_ACCIDENTADOS2]],"CAMION")</f>
        <v>0</v>
      </c>
      <c r="AA672" s="36">
        <f>COUNTIF(Tabla1[[#This Row],[VEHICULOS_ACCIDENTADOS]:[VEHICULOS_ACCIDENTADOS2]],"TRACTOCAMION")</f>
        <v>0</v>
      </c>
      <c r="AB672" s="36">
        <f>COUNTIF(Tabla1[[#This Row],[VEHICULOS_ACCIDENTADOS]:[VEHICULOS_ACCIDENTADOS2]],"VOLQUETA")</f>
        <v>0</v>
      </c>
      <c r="AC672" s="36">
        <f>COUNTIF(Tabla1[[#This Row],[VEHICULOS_ACCIDENTADOS]:[VEHICULOS_ACCIDENTADOS2]],"BICICLETA")</f>
        <v>0</v>
      </c>
      <c r="AD672" s="38" t="s">
        <v>471</v>
      </c>
      <c r="AE672" s="38" t="s">
        <v>472</v>
      </c>
      <c r="AF672" s="38">
        <f>COUNTIF(Tabla1[[#This Row],[GENERO_MASCULINO]:[GENERO_FEMENINO]],"MASCULINO")</f>
        <v>1</v>
      </c>
      <c r="AG672" s="36">
        <f>COUNTIF(Tabla1[[#This Row],[GENERO_MASCULINO]:[GENERO_FEMENINO]],"FEMENINO")</f>
        <v>1</v>
      </c>
      <c r="AH672" s="73">
        <v>19</v>
      </c>
      <c r="AI672" s="73">
        <v>15</v>
      </c>
      <c r="AJ672" s="73"/>
      <c r="AK672" s="73"/>
      <c r="AL672" s="73">
        <v>18</v>
      </c>
      <c r="AM672" s="7"/>
      <c r="AN672" s="73">
        <v>1</v>
      </c>
      <c r="AO672" s="36" t="str">
        <f>IFERROR(((VLOOKUP(Tabla1[[#This Row],[HIPOTESIS_1]],listas!$D$1:$E$105,2,FALSE))),"SIN INFORMACIÓN")</f>
        <v>SIN INFORMACIÓN</v>
      </c>
      <c r="AP672" s="7"/>
      <c r="AQ672" s="36" t="str">
        <f>IFERROR(((VLOOKUP(Tabla1[[#This Row],[HIPOTESIS_2]],listas!$D$1:$E$105,2,FALSE))),"")</f>
        <v/>
      </c>
      <c r="AR672" s="1" t="str">
        <f>IF(HOUR(Tabla1[[#This Row],[HORA_ACCIDENTE]])&lt;6,"MAÑANA",
 IF(HOUR(Tabla1[[#This Row],[HORA_ACCIDENTE]])&lt;12,"MAÑANA",
 IF(HOUR(Tabla1[[#This Row],[HORA_ACCIDENTE]])&lt;18,"TARDE","NOCHE")))</f>
        <v>NOCHE</v>
      </c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40"/>
    </row>
    <row r="673" spans="1:56" x14ac:dyDescent="0.25">
      <c r="A673" s="12">
        <v>284</v>
      </c>
      <c r="B673" s="38">
        <v>0</v>
      </c>
      <c r="C673" s="7">
        <v>2</v>
      </c>
      <c r="D673" s="7">
        <v>0</v>
      </c>
      <c r="E673" s="18" t="str">
        <f t="shared" si="40"/>
        <v>LESIONADO</v>
      </c>
      <c r="F673" s="29" t="s">
        <v>327</v>
      </c>
      <c r="G673" s="17">
        <v>5.3248799999999994</v>
      </c>
      <c r="H673" s="17">
        <v>-72.389209444444447</v>
      </c>
      <c r="I673" s="93" t="s">
        <v>697</v>
      </c>
      <c r="J673" s="7" t="s">
        <v>717</v>
      </c>
      <c r="K673" s="24" t="str">
        <f t="shared" si="41"/>
        <v>2022</v>
      </c>
      <c r="L673" s="24" t="str">
        <f t="shared" si="42"/>
        <v>AGOSTO</v>
      </c>
      <c r="M673" s="232">
        <v>44790</v>
      </c>
      <c r="N673" s="24" t="str">
        <f t="shared" si="43"/>
        <v>MIÉRCOLES</v>
      </c>
      <c r="O673" s="174">
        <v>0.63194444444444398</v>
      </c>
      <c r="P673" s="180" t="s">
        <v>469</v>
      </c>
      <c r="Q673" s="180" t="s">
        <v>469</v>
      </c>
      <c r="R673" s="36">
        <f>COUNTIF(Tabla1[[#This Row],[VEHICULOS_ACCIDENTADOS]:[VEHICULOS_ACCIDENTADOS2]],"MOTOCICLETA")</f>
        <v>2</v>
      </c>
      <c r="S673" s="36">
        <f>COUNTIF(Tabla1[[#This Row],[VEHICULOS_ACCIDENTADOS]:[VEHICULOS_ACCIDENTADOS2]],"MOTOCARRO")</f>
        <v>0</v>
      </c>
      <c r="T673" s="36">
        <f>COUNTIF(Tabla1[[#This Row],[VEHICULOS_ACCIDENTADOS]:[VEHICULOS_ACCIDENTADOS2]],"AUTOMOVIL")</f>
        <v>0</v>
      </c>
      <c r="U673" s="36">
        <f>COUNTIF(Tabla1[[#This Row],[VEHICULOS_ACCIDENTADOS]:[VEHICULOS_ACCIDENTADOS2]],"CAMPERO")</f>
        <v>0</v>
      </c>
      <c r="V673" s="36">
        <f>COUNTIF(Tabla1[[#This Row],[VEHICULOS_ACCIDENTADOS]:[VEHICULOS_ACCIDENTADOS2]],"CAMIONETA")</f>
        <v>0</v>
      </c>
      <c r="W673" s="36">
        <f>COUNTIF(Tabla1[[#This Row],[VEHICULOS_ACCIDENTADOS]:[VEHICULOS_ACCIDENTADOS2]],"MICROBUS")</f>
        <v>0</v>
      </c>
      <c r="X673" s="36">
        <f>COUNTIF(Tabla1[[#This Row],[VEHICULOS_ACCIDENTADOS]:[VEHICULOS_ACCIDENTADOS2]],"BUS")</f>
        <v>0</v>
      </c>
      <c r="Y673" s="36">
        <f>COUNTIF(Tabla1[[#This Row],[VEHICULOS_ACCIDENTADOS]:[VEHICULOS_ACCIDENTADOS2]],"BUSETA")</f>
        <v>0</v>
      </c>
      <c r="Z673" s="36">
        <f>COUNTIF(Tabla1[[#This Row],[VEHICULOS_ACCIDENTADOS]:[VEHICULOS_ACCIDENTADOS2]],"CAMION")</f>
        <v>0</v>
      </c>
      <c r="AA673" s="36">
        <f>COUNTIF(Tabla1[[#This Row],[VEHICULOS_ACCIDENTADOS]:[VEHICULOS_ACCIDENTADOS2]],"TRACTOCAMION")</f>
        <v>0</v>
      </c>
      <c r="AB673" s="36">
        <f>COUNTIF(Tabla1[[#This Row],[VEHICULOS_ACCIDENTADOS]:[VEHICULOS_ACCIDENTADOS2]],"VOLQUETA")</f>
        <v>0</v>
      </c>
      <c r="AC673" s="36">
        <f>COUNTIF(Tabla1[[#This Row],[VEHICULOS_ACCIDENTADOS]:[VEHICULOS_ACCIDENTADOS2]],"BICICLETA")</f>
        <v>0</v>
      </c>
      <c r="AD673" s="38" t="s">
        <v>471</v>
      </c>
      <c r="AE673" s="38"/>
      <c r="AF673" s="38">
        <f>COUNTIF(Tabla1[[#This Row],[GENERO_MASCULINO]:[GENERO_FEMENINO]],"MASCULINO")</f>
        <v>1</v>
      </c>
      <c r="AG673" s="36">
        <f>COUNTIF(Tabla1[[#This Row],[GENERO_MASCULINO]:[GENERO_FEMENINO]],"FEMENINO")</f>
        <v>0</v>
      </c>
      <c r="AH673" s="73">
        <v>38</v>
      </c>
      <c r="AI673" s="73">
        <v>21</v>
      </c>
      <c r="AJ673" s="73"/>
      <c r="AK673" s="73"/>
      <c r="AL673" s="73"/>
      <c r="AM673" s="265"/>
      <c r="AN673" s="73">
        <v>132</v>
      </c>
      <c r="AO673" s="36" t="str">
        <f>IFERROR(((VLOOKUP(Tabla1[[#This Row],[HIPOTESIS_1]],listas!$D$1:$E$105,2,FALSE))),"SIN INFORMACIÓN")</f>
        <v>No respetar prelación.</v>
      </c>
      <c r="AP673" s="7"/>
      <c r="AQ673" s="36" t="str">
        <f>IFERROR(((VLOOKUP(Tabla1[[#This Row],[HIPOTESIS_2]],listas!$D$1:$E$105,2,FALSE))),"")</f>
        <v/>
      </c>
      <c r="AR673" s="1" t="str">
        <f>IF(HOUR(Tabla1[[#This Row],[HORA_ACCIDENTE]])&lt;6,"MAÑANA",
 IF(HOUR(Tabla1[[#This Row],[HORA_ACCIDENTE]])&lt;12,"MAÑANA",
 IF(HOUR(Tabla1[[#This Row],[HORA_ACCIDENTE]])&lt;18,"TARDE","NOCHE")))</f>
        <v>TARDE</v>
      </c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40"/>
    </row>
    <row r="674" spans="1:56" x14ac:dyDescent="0.25">
      <c r="A674" s="12">
        <v>556</v>
      </c>
      <c r="B674" s="38">
        <v>0</v>
      </c>
      <c r="C674" s="7">
        <v>1</v>
      </c>
      <c r="D674" s="7">
        <v>0</v>
      </c>
      <c r="E674" s="18" t="str">
        <f t="shared" si="40"/>
        <v>LESIONADO</v>
      </c>
      <c r="F674" s="29" t="s">
        <v>206</v>
      </c>
      <c r="G674" s="21">
        <v>5.3473672222222222</v>
      </c>
      <c r="H674" s="21">
        <v>-72.401217500000001</v>
      </c>
      <c r="I674" s="93" t="s">
        <v>697</v>
      </c>
      <c r="J674" s="7" t="s">
        <v>717</v>
      </c>
      <c r="K674" s="24" t="str">
        <f t="shared" si="41"/>
        <v>2023</v>
      </c>
      <c r="L674" s="24" t="str">
        <f t="shared" si="42"/>
        <v>SEPTIEMBRE</v>
      </c>
      <c r="M674" s="232">
        <v>45185</v>
      </c>
      <c r="N674" s="24" t="str">
        <f t="shared" si="43"/>
        <v>SÁBADO</v>
      </c>
      <c r="O674" s="106">
        <v>0.96527777777777779</v>
      </c>
      <c r="P674" s="39" t="s">
        <v>469</v>
      </c>
      <c r="Q674" s="39"/>
      <c r="R674" s="36">
        <f>COUNTIF(Tabla1[[#This Row],[VEHICULOS_ACCIDENTADOS]:[VEHICULOS_ACCIDENTADOS2]],"MOTOCICLETA")</f>
        <v>1</v>
      </c>
      <c r="S674" s="36">
        <f>COUNTIF(Tabla1[[#This Row],[VEHICULOS_ACCIDENTADOS]:[VEHICULOS_ACCIDENTADOS2]],"MOTOCARRO")</f>
        <v>0</v>
      </c>
      <c r="T674" s="36">
        <f>COUNTIF(Tabla1[[#This Row],[VEHICULOS_ACCIDENTADOS]:[VEHICULOS_ACCIDENTADOS2]],"AUTOMOVIL")</f>
        <v>0</v>
      </c>
      <c r="U674" s="36">
        <f>COUNTIF(Tabla1[[#This Row],[VEHICULOS_ACCIDENTADOS]:[VEHICULOS_ACCIDENTADOS2]],"CAMPERO")</f>
        <v>0</v>
      </c>
      <c r="V674" s="36">
        <f>COUNTIF(Tabla1[[#This Row],[VEHICULOS_ACCIDENTADOS]:[VEHICULOS_ACCIDENTADOS2]],"CAMIONETA")</f>
        <v>0</v>
      </c>
      <c r="W674" s="36">
        <f>COUNTIF(Tabla1[[#This Row],[VEHICULOS_ACCIDENTADOS]:[VEHICULOS_ACCIDENTADOS2]],"MICROBUS")</f>
        <v>0</v>
      </c>
      <c r="X674" s="36">
        <f>COUNTIF(Tabla1[[#This Row],[VEHICULOS_ACCIDENTADOS]:[VEHICULOS_ACCIDENTADOS2]],"BUS")</f>
        <v>0</v>
      </c>
      <c r="Y674" s="36">
        <f>COUNTIF(Tabla1[[#This Row],[VEHICULOS_ACCIDENTADOS]:[VEHICULOS_ACCIDENTADOS2]],"BUSETA")</f>
        <v>0</v>
      </c>
      <c r="Z674" s="36">
        <f>COUNTIF(Tabla1[[#This Row],[VEHICULOS_ACCIDENTADOS]:[VEHICULOS_ACCIDENTADOS2]],"CAMION")</f>
        <v>0</v>
      </c>
      <c r="AA674" s="36">
        <f>COUNTIF(Tabla1[[#This Row],[VEHICULOS_ACCIDENTADOS]:[VEHICULOS_ACCIDENTADOS2]],"TRACTOCAMION")</f>
        <v>0</v>
      </c>
      <c r="AB674" s="36">
        <f>COUNTIF(Tabla1[[#This Row],[VEHICULOS_ACCIDENTADOS]:[VEHICULOS_ACCIDENTADOS2]],"VOLQUETA")</f>
        <v>0</v>
      </c>
      <c r="AC674" s="36">
        <f>COUNTIF(Tabla1[[#This Row],[VEHICULOS_ACCIDENTADOS]:[VEHICULOS_ACCIDENTADOS2]],"BICICLETA")</f>
        <v>0</v>
      </c>
      <c r="AD674" s="38" t="s">
        <v>471</v>
      </c>
      <c r="AE674" s="38"/>
      <c r="AF674" s="38">
        <f>COUNTIF(Tabla1[[#This Row],[GENERO_MASCULINO]:[GENERO_FEMENINO]],"MASCULINO")</f>
        <v>1</v>
      </c>
      <c r="AG674" s="36">
        <f>COUNTIF(Tabla1[[#This Row],[GENERO_MASCULINO]:[GENERO_FEMENINO]],"FEMENINO")</f>
        <v>0</v>
      </c>
      <c r="AH674" s="73">
        <v>28</v>
      </c>
      <c r="AI674" s="73"/>
      <c r="AJ674" s="73"/>
      <c r="AK674" s="73"/>
      <c r="AL674" s="73"/>
      <c r="AM674" s="7"/>
      <c r="AN674" s="73">
        <v>1</v>
      </c>
      <c r="AO674" s="36" t="str">
        <f>IFERROR(((VLOOKUP(Tabla1[[#This Row],[HIPOTESIS_1]],listas!$D$1:$E$105,2,FALSE))),"SIN INFORMACIÓN")</f>
        <v>SIN INFORMACIÓN</v>
      </c>
      <c r="AP674" s="7"/>
      <c r="AQ674" s="36" t="str">
        <f>IFERROR(((VLOOKUP(Tabla1[[#This Row],[HIPOTESIS_2]],listas!$D$1:$E$105,2,FALSE))),"")</f>
        <v/>
      </c>
      <c r="AR674" s="1" t="str">
        <f>IF(HOUR(Tabla1[[#This Row],[HORA_ACCIDENTE]])&lt;6,"MAÑANA",
 IF(HOUR(Tabla1[[#This Row],[HORA_ACCIDENTE]])&lt;12,"MAÑANA",
 IF(HOUR(Tabla1[[#This Row],[HORA_ACCIDENTE]])&lt;18,"TARDE","NOCHE")))</f>
        <v>NOCHE</v>
      </c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40"/>
    </row>
    <row r="675" spans="1:56" x14ac:dyDescent="0.25">
      <c r="A675" s="12">
        <v>389</v>
      </c>
      <c r="B675" s="38">
        <v>0</v>
      </c>
      <c r="C675" s="7">
        <v>1</v>
      </c>
      <c r="D675" s="7">
        <v>0</v>
      </c>
      <c r="E675" s="18" t="str">
        <f t="shared" si="40"/>
        <v>LESIONADO</v>
      </c>
      <c r="F675" s="29" t="s">
        <v>1128</v>
      </c>
      <c r="G675" s="21">
        <v>5.2280763888888888</v>
      </c>
      <c r="H675" s="21">
        <v>-72.387115555555567</v>
      </c>
      <c r="I675" s="93" t="s">
        <v>697</v>
      </c>
      <c r="J675" s="7" t="s">
        <v>1</v>
      </c>
      <c r="K675" s="24" t="str">
        <f t="shared" si="41"/>
        <v>2023</v>
      </c>
      <c r="L675" s="24" t="str">
        <f t="shared" si="42"/>
        <v>ENERO</v>
      </c>
      <c r="M675" s="232">
        <v>44941</v>
      </c>
      <c r="N675" s="24" t="str">
        <f t="shared" si="43"/>
        <v>DOMINGO</v>
      </c>
      <c r="O675" s="106">
        <v>0.61111111111111105</v>
      </c>
      <c r="P675" s="39" t="s">
        <v>469</v>
      </c>
      <c r="Q675" s="39" t="s">
        <v>447</v>
      </c>
      <c r="R675" s="36">
        <f>COUNTIF(Tabla1[[#This Row],[VEHICULOS_ACCIDENTADOS]:[VEHICULOS_ACCIDENTADOS2]],"MOTOCICLETA")</f>
        <v>1</v>
      </c>
      <c r="S675" s="36">
        <f>COUNTIF(Tabla1[[#This Row],[VEHICULOS_ACCIDENTADOS]:[VEHICULOS_ACCIDENTADOS2]],"MOTOCARRO")</f>
        <v>0</v>
      </c>
      <c r="T675" s="36">
        <f>COUNTIF(Tabla1[[#This Row],[VEHICULOS_ACCIDENTADOS]:[VEHICULOS_ACCIDENTADOS2]],"AUTOMOVIL")</f>
        <v>1</v>
      </c>
      <c r="U675" s="36">
        <f>COUNTIF(Tabla1[[#This Row],[VEHICULOS_ACCIDENTADOS]:[VEHICULOS_ACCIDENTADOS2]],"CAMPERO")</f>
        <v>0</v>
      </c>
      <c r="V675" s="36">
        <f>COUNTIF(Tabla1[[#This Row],[VEHICULOS_ACCIDENTADOS]:[VEHICULOS_ACCIDENTADOS2]],"CAMIONETA")</f>
        <v>0</v>
      </c>
      <c r="W675" s="36">
        <f>COUNTIF(Tabla1[[#This Row],[VEHICULOS_ACCIDENTADOS]:[VEHICULOS_ACCIDENTADOS2]],"MICROBUS")</f>
        <v>0</v>
      </c>
      <c r="X675" s="36">
        <f>COUNTIF(Tabla1[[#This Row],[VEHICULOS_ACCIDENTADOS]:[VEHICULOS_ACCIDENTADOS2]],"BUS")</f>
        <v>0</v>
      </c>
      <c r="Y675" s="36">
        <f>COUNTIF(Tabla1[[#This Row],[VEHICULOS_ACCIDENTADOS]:[VEHICULOS_ACCIDENTADOS2]],"BUSETA")</f>
        <v>0</v>
      </c>
      <c r="Z675" s="36">
        <f>COUNTIF(Tabla1[[#This Row],[VEHICULOS_ACCIDENTADOS]:[VEHICULOS_ACCIDENTADOS2]],"CAMION")</f>
        <v>0</v>
      </c>
      <c r="AA675" s="36">
        <f>COUNTIF(Tabla1[[#This Row],[VEHICULOS_ACCIDENTADOS]:[VEHICULOS_ACCIDENTADOS2]],"TRACTOCAMION")</f>
        <v>0</v>
      </c>
      <c r="AB675" s="36">
        <f>COUNTIF(Tabla1[[#This Row],[VEHICULOS_ACCIDENTADOS]:[VEHICULOS_ACCIDENTADOS2]],"VOLQUETA")</f>
        <v>0</v>
      </c>
      <c r="AC675" s="36">
        <f>COUNTIF(Tabla1[[#This Row],[VEHICULOS_ACCIDENTADOS]:[VEHICULOS_ACCIDENTADOS2]],"BICICLETA")</f>
        <v>0</v>
      </c>
      <c r="AD675" s="38" t="s">
        <v>471</v>
      </c>
      <c r="AE675" s="38"/>
      <c r="AF675" s="38">
        <f>COUNTIF(Tabla1[[#This Row],[GENERO_MASCULINO]:[GENERO_FEMENINO]],"MASCULINO")</f>
        <v>1</v>
      </c>
      <c r="AG675" s="36">
        <f>COUNTIF(Tabla1[[#This Row],[GENERO_MASCULINO]:[GENERO_FEMENINO]],"FEMENINO")</f>
        <v>0</v>
      </c>
      <c r="AH675" s="73">
        <v>19</v>
      </c>
      <c r="AI675" s="73"/>
      <c r="AJ675" s="73"/>
      <c r="AK675" s="73"/>
      <c r="AL675" s="73"/>
      <c r="AM675" s="7"/>
      <c r="AN675" s="73">
        <v>127</v>
      </c>
      <c r="AO675" s="36" t="str">
        <f>IFERROR(((VLOOKUP(Tabla1[[#This Row],[HIPOTESIS_1]],listas!$D$1:$E$105,2,FALSE))),"SIN INFORMACIÓN")</f>
        <v>Transitar en contravía.</v>
      </c>
      <c r="AP675" s="7"/>
      <c r="AQ675" s="36" t="str">
        <f>IFERROR(((VLOOKUP(Tabla1[[#This Row],[HIPOTESIS_2]],listas!$D$1:$E$105,2,FALSE))),"")</f>
        <v/>
      </c>
      <c r="AR675" s="1" t="str">
        <f>IF(HOUR(Tabla1[[#This Row],[HORA_ACCIDENTE]])&lt;6,"MAÑANA",
 IF(HOUR(Tabla1[[#This Row],[HORA_ACCIDENTE]])&lt;12,"MAÑANA",
 IF(HOUR(Tabla1[[#This Row],[HORA_ACCIDENTE]])&lt;18,"TARDE","NOCHE")))</f>
        <v>TARDE</v>
      </c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40"/>
    </row>
    <row r="676" spans="1:56" x14ac:dyDescent="0.25">
      <c r="A676" s="12">
        <v>429</v>
      </c>
      <c r="B676" s="38">
        <v>0</v>
      </c>
      <c r="C676" s="7">
        <v>0</v>
      </c>
      <c r="D676" s="7">
        <v>1</v>
      </c>
      <c r="E676" s="18" t="str">
        <f t="shared" si="40"/>
        <v>FALLECIDO</v>
      </c>
      <c r="F676" s="29" t="s">
        <v>1128</v>
      </c>
      <c r="G676" s="21">
        <v>5.228059</v>
      </c>
      <c r="H676" s="17">
        <v>-72.387102999999996</v>
      </c>
      <c r="I676" s="93" t="s">
        <v>697</v>
      </c>
      <c r="J676" s="7" t="s">
        <v>717</v>
      </c>
      <c r="K676" s="24" t="str">
        <f t="shared" si="41"/>
        <v>2023</v>
      </c>
      <c r="L676" s="24" t="str">
        <f t="shared" si="42"/>
        <v>MARZO</v>
      </c>
      <c r="M676" s="232">
        <v>44999</v>
      </c>
      <c r="N676" s="24" t="str">
        <f t="shared" si="43"/>
        <v>MARTES</v>
      </c>
      <c r="O676" s="106">
        <v>0.9375</v>
      </c>
      <c r="P676" s="39" t="s">
        <v>665</v>
      </c>
      <c r="Q676" s="39"/>
      <c r="R676" s="36">
        <f>COUNTIF(Tabla1[[#This Row],[VEHICULOS_ACCIDENTADOS]:[VEHICULOS_ACCIDENTADOS2]],"MOTOCICLETA")</f>
        <v>0</v>
      </c>
      <c r="S676" s="36">
        <f>COUNTIF(Tabla1[[#This Row],[VEHICULOS_ACCIDENTADOS]:[VEHICULOS_ACCIDENTADOS2]],"MOTOCARRO")</f>
        <v>0</v>
      </c>
      <c r="T676" s="36">
        <f>COUNTIF(Tabla1[[#This Row],[VEHICULOS_ACCIDENTADOS]:[VEHICULOS_ACCIDENTADOS2]],"AUTOMOVIL")</f>
        <v>0</v>
      </c>
      <c r="U676" s="36">
        <f>COUNTIF(Tabla1[[#This Row],[VEHICULOS_ACCIDENTADOS]:[VEHICULOS_ACCIDENTADOS2]],"CAMPERO")</f>
        <v>0</v>
      </c>
      <c r="V676" s="36">
        <f>COUNTIF(Tabla1[[#This Row],[VEHICULOS_ACCIDENTADOS]:[VEHICULOS_ACCIDENTADOS2]],"CAMIONETA")</f>
        <v>0</v>
      </c>
      <c r="W676" s="36">
        <f>COUNTIF(Tabla1[[#This Row],[VEHICULOS_ACCIDENTADOS]:[VEHICULOS_ACCIDENTADOS2]],"MICROBUS")</f>
        <v>0</v>
      </c>
      <c r="X676" s="36">
        <f>COUNTIF(Tabla1[[#This Row],[VEHICULOS_ACCIDENTADOS]:[VEHICULOS_ACCIDENTADOS2]],"BUS")</f>
        <v>0</v>
      </c>
      <c r="Y676" s="36">
        <f>COUNTIF(Tabla1[[#This Row],[VEHICULOS_ACCIDENTADOS]:[VEHICULOS_ACCIDENTADOS2]],"BUSETA")</f>
        <v>0</v>
      </c>
      <c r="Z676" s="36">
        <f>COUNTIF(Tabla1[[#This Row],[VEHICULOS_ACCIDENTADOS]:[VEHICULOS_ACCIDENTADOS2]],"CAMION")</f>
        <v>0</v>
      </c>
      <c r="AA676" s="36">
        <f>COUNTIF(Tabla1[[#This Row],[VEHICULOS_ACCIDENTADOS]:[VEHICULOS_ACCIDENTADOS2]],"TRACTOCAMION")</f>
        <v>0</v>
      </c>
      <c r="AB676" s="36">
        <f>COUNTIF(Tabla1[[#This Row],[VEHICULOS_ACCIDENTADOS]:[VEHICULOS_ACCIDENTADOS2]],"VOLQUETA")</f>
        <v>0</v>
      </c>
      <c r="AC676" s="36">
        <f>COUNTIF(Tabla1[[#This Row],[VEHICULOS_ACCIDENTADOS]:[VEHICULOS_ACCIDENTADOS2]],"BICICLETA")</f>
        <v>0</v>
      </c>
      <c r="AD676" s="38"/>
      <c r="AE676" s="38"/>
      <c r="AF676" s="38">
        <f>COUNTIF(Tabla1[[#This Row],[GENERO_MASCULINO]:[GENERO_FEMENINO]],"MASCULINO")</f>
        <v>0</v>
      </c>
      <c r="AG676" s="36">
        <f>COUNTIF(Tabla1[[#This Row],[GENERO_MASCULINO]:[GENERO_FEMENINO]],"FEMENINO")</f>
        <v>0</v>
      </c>
      <c r="AH676" s="73"/>
      <c r="AI676" s="73"/>
      <c r="AJ676" s="73"/>
      <c r="AK676" s="73"/>
      <c r="AL676" s="73"/>
      <c r="AM676" s="7"/>
      <c r="AN676" s="73">
        <v>1</v>
      </c>
      <c r="AO676" s="36" t="str">
        <f>IFERROR(((VLOOKUP(Tabla1[[#This Row],[HIPOTESIS_1]],listas!$D$1:$E$105,2,FALSE))),"SIN INFORMACIÓN")</f>
        <v>SIN INFORMACIÓN</v>
      </c>
      <c r="AP676" s="7"/>
      <c r="AQ676" s="36" t="str">
        <f>IFERROR(((VLOOKUP(Tabla1[[#This Row],[HIPOTESIS_2]],listas!$D$1:$E$105,2,FALSE))),"")</f>
        <v/>
      </c>
      <c r="AR676" s="1" t="str">
        <f>IF(HOUR(Tabla1[[#This Row],[HORA_ACCIDENTE]])&lt;6,"MAÑANA",
 IF(HOUR(Tabla1[[#This Row],[HORA_ACCIDENTE]])&lt;12,"MAÑANA",
 IF(HOUR(Tabla1[[#This Row],[HORA_ACCIDENTE]])&lt;18,"TARDE","NOCHE")))</f>
        <v>NOCHE</v>
      </c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40"/>
    </row>
    <row r="677" spans="1:56" x14ac:dyDescent="0.25">
      <c r="A677" s="12">
        <v>411</v>
      </c>
      <c r="B677" s="38">
        <v>0</v>
      </c>
      <c r="C677" s="7">
        <v>1</v>
      </c>
      <c r="D677" s="7">
        <v>0</v>
      </c>
      <c r="E677" s="18" t="str">
        <f t="shared" si="40"/>
        <v>LESIONADO</v>
      </c>
      <c r="F677" s="29" t="s">
        <v>283</v>
      </c>
      <c r="G677" s="21">
        <v>5.3201541666666667</v>
      </c>
      <c r="H677" s="21">
        <v>-72.410947777777778</v>
      </c>
      <c r="I677" s="93" t="s">
        <v>697</v>
      </c>
      <c r="J677" s="7" t="s">
        <v>717</v>
      </c>
      <c r="K677" s="24" t="str">
        <f t="shared" si="41"/>
        <v>2023</v>
      </c>
      <c r="L677" s="24" t="str">
        <f t="shared" si="42"/>
        <v>FEBRERO</v>
      </c>
      <c r="M677" s="232">
        <v>44976</v>
      </c>
      <c r="N677" s="24" t="str">
        <f t="shared" si="43"/>
        <v>DOMINGO</v>
      </c>
      <c r="O677" s="106">
        <v>0.17708333333333301</v>
      </c>
      <c r="P677" s="39" t="s">
        <v>665</v>
      </c>
      <c r="Q677" s="39"/>
      <c r="R677" s="36">
        <f>COUNTIF(Tabla1[[#This Row],[VEHICULOS_ACCIDENTADOS]:[VEHICULOS_ACCIDENTADOS2]],"MOTOCICLETA")</f>
        <v>0</v>
      </c>
      <c r="S677" s="36">
        <f>COUNTIF(Tabla1[[#This Row],[VEHICULOS_ACCIDENTADOS]:[VEHICULOS_ACCIDENTADOS2]],"MOTOCARRO")</f>
        <v>0</v>
      </c>
      <c r="T677" s="36">
        <f>COUNTIF(Tabla1[[#This Row],[VEHICULOS_ACCIDENTADOS]:[VEHICULOS_ACCIDENTADOS2]],"AUTOMOVIL")</f>
        <v>0</v>
      </c>
      <c r="U677" s="36">
        <f>COUNTIF(Tabla1[[#This Row],[VEHICULOS_ACCIDENTADOS]:[VEHICULOS_ACCIDENTADOS2]],"CAMPERO")</f>
        <v>0</v>
      </c>
      <c r="V677" s="36">
        <f>COUNTIF(Tabla1[[#This Row],[VEHICULOS_ACCIDENTADOS]:[VEHICULOS_ACCIDENTADOS2]],"CAMIONETA")</f>
        <v>0</v>
      </c>
      <c r="W677" s="36">
        <f>COUNTIF(Tabla1[[#This Row],[VEHICULOS_ACCIDENTADOS]:[VEHICULOS_ACCIDENTADOS2]],"MICROBUS")</f>
        <v>0</v>
      </c>
      <c r="X677" s="36">
        <f>COUNTIF(Tabla1[[#This Row],[VEHICULOS_ACCIDENTADOS]:[VEHICULOS_ACCIDENTADOS2]],"BUS")</f>
        <v>0</v>
      </c>
      <c r="Y677" s="36">
        <f>COUNTIF(Tabla1[[#This Row],[VEHICULOS_ACCIDENTADOS]:[VEHICULOS_ACCIDENTADOS2]],"BUSETA")</f>
        <v>0</v>
      </c>
      <c r="Z677" s="36">
        <f>COUNTIF(Tabla1[[#This Row],[VEHICULOS_ACCIDENTADOS]:[VEHICULOS_ACCIDENTADOS2]],"CAMION")</f>
        <v>0</v>
      </c>
      <c r="AA677" s="36">
        <f>COUNTIF(Tabla1[[#This Row],[VEHICULOS_ACCIDENTADOS]:[VEHICULOS_ACCIDENTADOS2]],"TRACTOCAMION")</f>
        <v>0</v>
      </c>
      <c r="AB677" s="36">
        <f>COUNTIF(Tabla1[[#This Row],[VEHICULOS_ACCIDENTADOS]:[VEHICULOS_ACCIDENTADOS2]],"VOLQUETA")</f>
        <v>0</v>
      </c>
      <c r="AC677" s="36">
        <f>COUNTIF(Tabla1[[#This Row],[VEHICULOS_ACCIDENTADOS]:[VEHICULOS_ACCIDENTADOS2]],"BICICLETA")</f>
        <v>0</v>
      </c>
      <c r="AD677" s="38"/>
      <c r="AE677" s="38" t="s">
        <v>472</v>
      </c>
      <c r="AF677" s="38">
        <f>COUNTIF(Tabla1[[#This Row],[GENERO_MASCULINO]:[GENERO_FEMENINO]],"MASCULINO")</f>
        <v>0</v>
      </c>
      <c r="AG677" s="36">
        <f>COUNTIF(Tabla1[[#This Row],[GENERO_MASCULINO]:[GENERO_FEMENINO]],"FEMENINO")</f>
        <v>1</v>
      </c>
      <c r="AH677" s="73">
        <v>29</v>
      </c>
      <c r="AI677" s="73"/>
      <c r="AJ677" s="73"/>
      <c r="AK677" s="73"/>
      <c r="AL677" s="73"/>
      <c r="AM677" s="7"/>
      <c r="AN677" s="73">
        <v>157</v>
      </c>
      <c r="AO677" s="36" t="str">
        <f>IFERROR(((VLOOKUP(Tabla1[[#This Row],[HIPOTESIS_1]],listas!$D$1:$E$105,2,FALSE))),"SIN INFORMACIÓN")</f>
        <v>Otra</v>
      </c>
      <c r="AP677" s="7"/>
      <c r="AQ677" s="36" t="str">
        <f>IFERROR(((VLOOKUP(Tabla1[[#This Row],[HIPOTESIS_2]],listas!$D$1:$E$105,2,FALSE))),"")</f>
        <v/>
      </c>
      <c r="AR677" s="1" t="str">
        <f>IF(HOUR(Tabla1[[#This Row],[HORA_ACCIDENTE]])&lt;6,"MAÑANA",
 IF(HOUR(Tabla1[[#This Row],[HORA_ACCIDENTE]])&lt;12,"MAÑANA",
 IF(HOUR(Tabla1[[#This Row],[HORA_ACCIDENTE]])&lt;18,"TARDE","NOCHE")))</f>
        <v>MAÑANA</v>
      </c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40"/>
    </row>
    <row r="678" spans="1:56" x14ac:dyDescent="0.25">
      <c r="A678" s="12">
        <v>797</v>
      </c>
      <c r="B678" s="97">
        <v>0</v>
      </c>
      <c r="C678" s="15">
        <v>1</v>
      </c>
      <c r="D678" s="19">
        <v>0</v>
      </c>
      <c r="E678" s="18" t="str">
        <f t="shared" si="40"/>
        <v>LESIONADO</v>
      </c>
      <c r="F678" s="26" t="s">
        <v>922</v>
      </c>
      <c r="G678" s="21">
        <v>5.3406152777777773</v>
      </c>
      <c r="H678" s="21">
        <v>-72.395572777777787</v>
      </c>
      <c r="I678" s="93" t="s">
        <v>697</v>
      </c>
      <c r="J678" s="7" t="s">
        <v>717</v>
      </c>
      <c r="K678" s="24" t="str">
        <f t="shared" si="41"/>
        <v>2024</v>
      </c>
      <c r="L678" s="24" t="str">
        <f t="shared" si="42"/>
        <v>OCTUBRE</v>
      </c>
      <c r="M678" s="234">
        <v>45589</v>
      </c>
      <c r="N678" s="24" t="str">
        <f t="shared" si="43"/>
        <v>JUEVES</v>
      </c>
      <c r="O678" s="108">
        <v>0.36249999999999999</v>
      </c>
      <c r="P678" s="44" t="s">
        <v>469</v>
      </c>
      <c r="Q678" s="44" t="s">
        <v>447</v>
      </c>
      <c r="R678" s="36">
        <f>COUNTIF(Tabla1[[#This Row],[VEHICULOS_ACCIDENTADOS]:[VEHICULOS_ACCIDENTADOS2]],"MOTOCICLETA")</f>
        <v>1</v>
      </c>
      <c r="S678" s="36">
        <f>COUNTIF(Tabla1[[#This Row],[VEHICULOS_ACCIDENTADOS]:[VEHICULOS_ACCIDENTADOS2]],"MOTOCARRO")</f>
        <v>0</v>
      </c>
      <c r="T678" s="36">
        <f>COUNTIF(Tabla1[[#This Row],[VEHICULOS_ACCIDENTADOS]:[VEHICULOS_ACCIDENTADOS2]],"AUTOMOVIL")</f>
        <v>1</v>
      </c>
      <c r="U678" s="36">
        <f>COUNTIF(Tabla1[[#This Row],[VEHICULOS_ACCIDENTADOS]:[VEHICULOS_ACCIDENTADOS2]],"CAMPERO")</f>
        <v>0</v>
      </c>
      <c r="V678" s="36">
        <f>COUNTIF(Tabla1[[#This Row],[VEHICULOS_ACCIDENTADOS]:[VEHICULOS_ACCIDENTADOS2]],"CAMIONETA")</f>
        <v>0</v>
      </c>
      <c r="W678" s="36">
        <f>COUNTIF(Tabla1[[#This Row],[VEHICULOS_ACCIDENTADOS]:[VEHICULOS_ACCIDENTADOS2]],"MICROBUS")</f>
        <v>0</v>
      </c>
      <c r="X678" s="36">
        <f>COUNTIF(Tabla1[[#This Row],[VEHICULOS_ACCIDENTADOS]:[VEHICULOS_ACCIDENTADOS2]],"BUS")</f>
        <v>0</v>
      </c>
      <c r="Y678" s="36">
        <f>COUNTIF(Tabla1[[#This Row],[VEHICULOS_ACCIDENTADOS]:[VEHICULOS_ACCIDENTADOS2]],"BUSETA")</f>
        <v>0</v>
      </c>
      <c r="Z678" s="36">
        <f>COUNTIF(Tabla1[[#This Row],[VEHICULOS_ACCIDENTADOS]:[VEHICULOS_ACCIDENTADOS2]],"CAMION")</f>
        <v>0</v>
      </c>
      <c r="AA678" s="36">
        <f>COUNTIF(Tabla1[[#This Row],[VEHICULOS_ACCIDENTADOS]:[VEHICULOS_ACCIDENTADOS2]],"TRACTOCAMION")</f>
        <v>0</v>
      </c>
      <c r="AB678" s="36">
        <f>COUNTIF(Tabla1[[#This Row],[VEHICULOS_ACCIDENTADOS]:[VEHICULOS_ACCIDENTADOS2]],"VOLQUETA")</f>
        <v>0</v>
      </c>
      <c r="AC678" s="36">
        <f>COUNTIF(Tabla1[[#This Row],[VEHICULOS_ACCIDENTADOS]:[VEHICULOS_ACCIDENTADOS2]],"BICICLETA")</f>
        <v>0</v>
      </c>
      <c r="AD678" s="43" t="s">
        <v>471</v>
      </c>
      <c r="AE678" s="43" t="s">
        <v>472</v>
      </c>
      <c r="AF678" s="43">
        <f>COUNTIF(Tabla1[[#This Row],[GENERO_MASCULINO]:[GENERO_FEMENINO]],"MASCULINO")</f>
        <v>1</v>
      </c>
      <c r="AG678" s="36">
        <f>COUNTIF(Tabla1[[#This Row],[GENERO_MASCULINO]:[GENERO_FEMENINO]],"FEMENINO")</f>
        <v>1</v>
      </c>
      <c r="AH678" s="86">
        <v>20</v>
      </c>
      <c r="AI678" s="86">
        <v>50</v>
      </c>
      <c r="AJ678" s="86"/>
      <c r="AK678" s="86"/>
      <c r="AL678" s="86"/>
      <c r="AM678" s="15"/>
      <c r="AN678" s="86">
        <v>139</v>
      </c>
      <c r="AO678" s="36" t="str">
        <f>IFERROR(((VLOOKUP(Tabla1[[#This Row],[HIPOTESIS_1]],listas!$D$1:$E$105,2,FALSE))),"SIN INFORMACIÓN")</f>
        <v>Impericia en el manejo.</v>
      </c>
      <c r="AP678" s="15"/>
      <c r="AQ678" s="36" t="str">
        <f>IFERROR(((VLOOKUP(Tabla1[[#This Row],[HIPOTESIS_2]],listas!$D$1:$E$105,2,FALSE))),"")</f>
        <v/>
      </c>
      <c r="AR678" s="1" t="str">
        <f>IF(HOUR(Tabla1[[#This Row],[HORA_ACCIDENTE]])&lt;6,"MAÑANA",
 IF(HOUR(Tabla1[[#This Row],[HORA_ACCIDENTE]])&lt;12,"MAÑANA",
 IF(HOUR(Tabla1[[#This Row],[HORA_ACCIDENTE]])&lt;18,"TARDE","NOCHE")))</f>
        <v>MAÑANA</v>
      </c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40"/>
    </row>
    <row r="679" spans="1:56" x14ac:dyDescent="0.25">
      <c r="A679" s="12">
        <v>381</v>
      </c>
      <c r="B679" s="38">
        <v>0</v>
      </c>
      <c r="C679" s="7">
        <v>2</v>
      </c>
      <c r="D679" s="7">
        <v>0</v>
      </c>
      <c r="E679" s="18" t="str">
        <f t="shared" si="40"/>
        <v>LESIONADO</v>
      </c>
      <c r="F679" s="29" t="s">
        <v>923</v>
      </c>
      <c r="G679" s="17">
        <v>5.3271888888888883</v>
      </c>
      <c r="H679" s="17">
        <v>-72.38933611111112</v>
      </c>
      <c r="I679" s="93" t="s">
        <v>697</v>
      </c>
      <c r="J679" s="7" t="s">
        <v>717</v>
      </c>
      <c r="K679" s="24" t="str">
        <f t="shared" si="41"/>
        <v>2022</v>
      </c>
      <c r="L679" s="24" t="str">
        <f t="shared" si="42"/>
        <v>DICIEMBRE</v>
      </c>
      <c r="M679" s="232">
        <v>44925</v>
      </c>
      <c r="N679" s="24" t="str">
        <f t="shared" si="43"/>
        <v>VIERNES</v>
      </c>
      <c r="O679" s="174">
        <v>0.36111111111111099</v>
      </c>
      <c r="P679" s="180" t="s">
        <v>469</v>
      </c>
      <c r="Q679" s="180"/>
      <c r="R679" s="36">
        <f>COUNTIF(Tabla1[[#This Row],[VEHICULOS_ACCIDENTADOS]:[VEHICULOS_ACCIDENTADOS2]],"MOTOCICLETA")</f>
        <v>1</v>
      </c>
      <c r="S679" s="36">
        <f>COUNTIF(Tabla1[[#This Row],[VEHICULOS_ACCIDENTADOS]:[VEHICULOS_ACCIDENTADOS2]],"MOTOCARRO")</f>
        <v>0</v>
      </c>
      <c r="T679" s="36">
        <f>COUNTIF(Tabla1[[#This Row],[VEHICULOS_ACCIDENTADOS]:[VEHICULOS_ACCIDENTADOS2]],"AUTOMOVIL")</f>
        <v>0</v>
      </c>
      <c r="U679" s="36">
        <f>COUNTIF(Tabla1[[#This Row],[VEHICULOS_ACCIDENTADOS]:[VEHICULOS_ACCIDENTADOS2]],"CAMPERO")</f>
        <v>0</v>
      </c>
      <c r="V679" s="36">
        <f>COUNTIF(Tabla1[[#This Row],[VEHICULOS_ACCIDENTADOS]:[VEHICULOS_ACCIDENTADOS2]],"CAMIONETA")</f>
        <v>0</v>
      </c>
      <c r="W679" s="36">
        <f>COUNTIF(Tabla1[[#This Row],[VEHICULOS_ACCIDENTADOS]:[VEHICULOS_ACCIDENTADOS2]],"MICROBUS")</f>
        <v>0</v>
      </c>
      <c r="X679" s="36">
        <f>COUNTIF(Tabla1[[#This Row],[VEHICULOS_ACCIDENTADOS]:[VEHICULOS_ACCIDENTADOS2]],"BUS")</f>
        <v>0</v>
      </c>
      <c r="Y679" s="36">
        <f>COUNTIF(Tabla1[[#This Row],[VEHICULOS_ACCIDENTADOS]:[VEHICULOS_ACCIDENTADOS2]],"BUSETA")</f>
        <v>0</v>
      </c>
      <c r="Z679" s="36">
        <f>COUNTIF(Tabla1[[#This Row],[VEHICULOS_ACCIDENTADOS]:[VEHICULOS_ACCIDENTADOS2]],"CAMION")</f>
        <v>0</v>
      </c>
      <c r="AA679" s="36">
        <f>COUNTIF(Tabla1[[#This Row],[VEHICULOS_ACCIDENTADOS]:[VEHICULOS_ACCIDENTADOS2]],"TRACTOCAMION")</f>
        <v>0</v>
      </c>
      <c r="AB679" s="36">
        <f>COUNTIF(Tabla1[[#This Row],[VEHICULOS_ACCIDENTADOS]:[VEHICULOS_ACCIDENTADOS2]],"VOLQUETA")</f>
        <v>0</v>
      </c>
      <c r="AC679" s="36">
        <f>COUNTIF(Tabla1[[#This Row],[VEHICULOS_ACCIDENTADOS]:[VEHICULOS_ACCIDENTADOS2]],"BICICLETA")</f>
        <v>0</v>
      </c>
      <c r="AD679" s="38" t="s">
        <v>471</v>
      </c>
      <c r="AE679" s="38"/>
      <c r="AF679" s="38">
        <f>COUNTIF(Tabla1[[#This Row],[GENERO_MASCULINO]:[GENERO_FEMENINO]],"MASCULINO")</f>
        <v>1</v>
      </c>
      <c r="AG679" s="36">
        <f>COUNTIF(Tabla1[[#This Row],[GENERO_MASCULINO]:[GENERO_FEMENINO]],"FEMENINO")</f>
        <v>0</v>
      </c>
      <c r="AH679" s="73">
        <v>25</v>
      </c>
      <c r="AI679" s="73">
        <v>33</v>
      </c>
      <c r="AJ679" s="73"/>
      <c r="AK679" s="73"/>
      <c r="AL679" s="73"/>
      <c r="AM679" s="7"/>
      <c r="AN679" s="73">
        <v>157</v>
      </c>
      <c r="AO679" s="36" t="str">
        <f>IFERROR(((VLOOKUP(Tabla1[[#This Row],[HIPOTESIS_1]],listas!$D$1:$E$105,2,FALSE))),"SIN INFORMACIÓN")</f>
        <v>Otra</v>
      </c>
      <c r="AP679" s="7"/>
      <c r="AQ679" s="36" t="str">
        <f>IFERROR(((VLOOKUP(Tabla1[[#This Row],[HIPOTESIS_2]],listas!$D$1:$E$105,2,FALSE))),"")</f>
        <v/>
      </c>
      <c r="AR679" s="1" t="str">
        <f>IF(HOUR(Tabla1[[#This Row],[HORA_ACCIDENTE]])&lt;6,"MAÑANA",
 IF(HOUR(Tabla1[[#This Row],[HORA_ACCIDENTE]])&lt;12,"MAÑANA",
 IF(HOUR(Tabla1[[#This Row],[HORA_ACCIDENTE]])&lt;18,"TARDE","NOCHE")))</f>
        <v>MAÑANA</v>
      </c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40"/>
    </row>
    <row r="680" spans="1:56" x14ac:dyDescent="0.25">
      <c r="A680" s="12">
        <v>623</v>
      </c>
      <c r="B680" s="38">
        <v>0</v>
      </c>
      <c r="C680" s="7">
        <v>2</v>
      </c>
      <c r="D680" s="7">
        <v>0</v>
      </c>
      <c r="E680" s="18" t="str">
        <f t="shared" si="40"/>
        <v>LESIONADO</v>
      </c>
      <c r="F680" s="29" t="s">
        <v>924</v>
      </c>
      <c r="G680" s="21">
        <v>5.3266777777777774</v>
      </c>
      <c r="H680" s="21">
        <v>-72.388938888888902</v>
      </c>
      <c r="I680" s="93" t="s">
        <v>697</v>
      </c>
      <c r="J680" s="7" t="s">
        <v>717</v>
      </c>
      <c r="K680" s="24" t="str">
        <f t="shared" si="41"/>
        <v>2023</v>
      </c>
      <c r="L680" s="24" t="str">
        <f t="shared" si="42"/>
        <v>NOVIEMBRE</v>
      </c>
      <c r="M680" s="232">
        <v>45258</v>
      </c>
      <c r="N680" s="24" t="str">
        <f t="shared" si="43"/>
        <v>MARTES</v>
      </c>
      <c r="O680" s="106">
        <v>0.58333333333333337</v>
      </c>
      <c r="P680" s="39" t="s">
        <v>469</v>
      </c>
      <c r="Q680" s="39"/>
      <c r="R680" s="36">
        <f>COUNTIF(Tabla1[[#This Row],[VEHICULOS_ACCIDENTADOS]:[VEHICULOS_ACCIDENTADOS2]],"MOTOCICLETA")</f>
        <v>1</v>
      </c>
      <c r="S680" s="36">
        <f>COUNTIF(Tabla1[[#This Row],[VEHICULOS_ACCIDENTADOS]:[VEHICULOS_ACCIDENTADOS2]],"MOTOCARRO")</f>
        <v>0</v>
      </c>
      <c r="T680" s="36">
        <f>COUNTIF(Tabla1[[#This Row],[VEHICULOS_ACCIDENTADOS]:[VEHICULOS_ACCIDENTADOS2]],"AUTOMOVIL")</f>
        <v>0</v>
      </c>
      <c r="U680" s="36">
        <f>COUNTIF(Tabla1[[#This Row],[VEHICULOS_ACCIDENTADOS]:[VEHICULOS_ACCIDENTADOS2]],"CAMPERO")</f>
        <v>0</v>
      </c>
      <c r="V680" s="36">
        <f>COUNTIF(Tabla1[[#This Row],[VEHICULOS_ACCIDENTADOS]:[VEHICULOS_ACCIDENTADOS2]],"CAMIONETA")</f>
        <v>0</v>
      </c>
      <c r="W680" s="36">
        <f>COUNTIF(Tabla1[[#This Row],[VEHICULOS_ACCIDENTADOS]:[VEHICULOS_ACCIDENTADOS2]],"MICROBUS")</f>
        <v>0</v>
      </c>
      <c r="X680" s="36">
        <f>COUNTIF(Tabla1[[#This Row],[VEHICULOS_ACCIDENTADOS]:[VEHICULOS_ACCIDENTADOS2]],"BUS")</f>
        <v>0</v>
      </c>
      <c r="Y680" s="36">
        <f>COUNTIF(Tabla1[[#This Row],[VEHICULOS_ACCIDENTADOS]:[VEHICULOS_ACCIDENTADOS2]],"BUSETA")</f>
        <v>0</v>
      </c>
      <c r="Z680" s="36">
        <f>COUNTIF(Tabla1[[#This Row],[VEHICULOS_ACCIDENTADOS]:[VEHICULOS_ACCIDENTADOS2]],"CAMION")</f>
        <v>0</v>
      </c>
      <c r="AA680" s="36">
        <f>COUNTIF(Tabla1[[#This Row],[VEHICULOS_ACCIDENTADOS]:[VEHICULOS_ACCIDENTADOS2]],"TRACTOCAMION")</f>
        <v>0</v>
      </c>
      <c r="AB680" s="36">
        <f>COUNTIF(Tabla1[[#This Row],[VEHICULOS_ACCIDENTADOS]:[VEHICULOS_ACCIDENTADOS2]],"VOLQUETA")</f>
        <v>0</v>
      </c>
      <c r="AC680" s="36">
        <f>COUNTIF(Tabla1[[#This Row],[VEHICULOS_ACCIDENTADOS]:[VEHICULOS_ACCIDENTADOS2]],"BICICLETA")</f>
        <v>0</v>
      </c>
      <c r="AD680" s="38" t="s">
        <v>471</v>
      </c>
      <c r="AE680" s="38" t="s">
        <v>472</v>
      </c>
      <c r="AF680" s="38">
        <f>COUNTIF(Tabla1[[#This Row],[GENERO_MASCULINO]:[GENERO_FEMENINO]],"MASCULINO")</f>
        <v>1</v>
      </c>
      <c r="AG680" s="36">
        <f>COUNTIF(Tabla1[[#This Row],[GENERO_MASCULINO]:[GENERO_FEMENINO]],"FEMENINO")</f>
        <v>1</v>
      </c>
      <c r="AH680" s="73">
        <v>17</v>
      </c>
      <c r="AI680" s="73">
        <v>80</v>
      </c>
      <c r="AJ680" s="87"/>
      <c r="AK680" s="73"/>
      <c r="AL680" s="73"/>
      <c r="AM680" s="7"/>
      <c r="AN680" s="73">
        <v>1</v>
      </c>
      <c r="AO680" s="36" t="str">
        <f>IFERROR(((VLOOKUP(Tabla1[[#This Row],[HIPOTESIS_1]],listas!$D$1:$E$105,2,FALSE))),"SIN INFORMACIÓN")</f>
        <v>SIN INFORMACIÓN</v>
      </c>
      <c r="AP680" s="7"/>
      <c r="AQ680" s="36" t="str">
        <f>IFERROR(((VLOOKUP(Tabla1[[#This Row],[HIPOTESIS_2]],listas!$D$1:$E$105,2,FALSE))),"")</f>
        <v/>
      </c>
      <c r="AR680" s="1" t="str">
        <f>IF(HOUR(Tabla1[[#This Row],[HORA_ACCIDENTE]])&lt;6,"MAÑANA",
 IF(HOUR(Tabla1[[#This Row],[HORA_ACCIDENTE]])&lt;12,"MAÑANA",
 IF(HOUR(Tabla1[[#This Row],[HORA_ACCIDENTE]])&lt;18,"TARDE","NOCHE")))</f>
        <v>TARDE</v>
      </c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40"/>
    </row>
    <row r="681" spans="1:56" x14ac:dyDescent="0.25">
      <c r="A681" s="12">
        <v>292</v>
      </c>
      <c r="B681" s="38">
        <v>0</v>
      </c>
      <c r="C681" s="7">
        <v>2</v>
      </c>
      <c r="D681" s="7">
        <v>0</v>
      </c>
      <c r="E681" s="18" t="str">
        <f t="shared" si="40"/>
        <v>LESIONADO</v>
      </c>
      <c r="F681" s="29" t="s">
        <v>1127</v>
      </c>
      <c r="G681" s="17">
        <v>5.3357260000000002</v>
      </c>
      <c r="H681" s="17">
        <v>-72.393918999999997</v>
      </c>
      <c r="I681" s="93" t="s">
        <v>697</v>
      </c>
      <c r="J681" s="7" t="s">
        <v>717</v>
      </c>
      <c r="K681" s="24" t="str">
        <f t="shared" si="41"/>
        <v>2022</v>
      </c>
      <c r="L681" s="24" t="str">
        <f t="shared" si="42"/>
        <v>AGOSTO</v>
      </c>
      <c r="M681" s="232">
        <v>44804</v>
      </c>
      <c r="N681" s="24" t="str">
        <f t="shared" si="43"/>
        <v>MIÉRCOLES</v>
      </c>
      <c r="O681" s="174">
        <v>0.22916666666666699</v>
      </c>
      <c r="P681" s="180" t="s">
        <v>469</v>
      </c>
      <c r="Q681" s="180" t="s">
        <v>469</v>
      </c>
      <c r="R681" s="36">
        <f>COUNTIF(Tabla1[[#This Row],[VEHICULOS_ACCIDENTADOS]:[VEHICULOS_ACCIDENTADOS2]],"MOTOCICLETA")</f>
        <v>2</v>
      </c>
      <c r="S681" s="36">
        <f>COUNTIF(Tabla1[[#This Row],[VEHICULOS_ACCIDENTADOS]:[VEHICULOS_ACCIDENTADOS2]],"MOTOCARRO")</f>
        <v>0</v>
      </c>
      <c r="T681" s="36">
        <f>COUNTIF(Tabla1[[#This Row],[VEHICULOS_ACCIDENTADOS]:[VEHICULOS_ACCIDENTADOS2]],"AUTOMOVIL")</f>
        <v>0</v>
      </c>
      <c r="U681" s="36">
        <f>COUNTIF(Tabla1[[#This Row],[VEHICULOS_ACCIDENTADOS]:[VEHICULOS_ACCIDENTADOS2]],"CAMPERO")</f>
        <v>0</v>
      </c>
      <c r="V681" s="36">
        <f>COUNTIF(Tabla1[[#This Row],[VEHICULOS_ACCIDENTADOS]:[VEHICULOS_ACCIDENTADOS2]],"CAMIONETA")</f>
        <v>0</v>
      </c>
      <c r="W681" s="36">
        <f>COUNTIF(Tabla1[[#This Row],[VEHICULOS_ACCIDENTADOS]:[VEHICULOS_ACCIDENTADOS2]],"MICROBUS")</f>
        <v>0</v>
      </c>
      <c r="X681" s="36">
        <f>COUNTIF(Tabla1[[#This Row],[VEHICULOS_ACCIDENTADOS]:[VEHICULOS_ACCIDENTADOS2]],"BUS")</f>
        <v>0</v>
      </c>
      <c r="Y681" s="36">
        <f>COUNTIF(Tabla1[[#This Row],[VEHICULOS_ACCIDENTADOS]:[VEHICULOS_ACCIDENTADOS2]],"BUSETA")</f>
        <v>0</v>
      </c>
      <c r="Z681" s="36">
        <f>COUNTIF(Tabla1[[#This Row],[VEHICULOS_ACCIDENTADOS]:[VEHICULOS_ACCIDENTADOS2]],"CAMION")</f>
        <v>0</v>
      </c>
      <c r="AA681" s="36">
        <f>COUNTIF(Tabla1[[#This Row],[VEHICULOS_ACCIDENTADOS]:[VEHICULOS_ACCIDENTADOS2]],"TRACTOCAMION")</f>
        <v>0</v>
      </c>
      <c r="AB681" s="36">
        <f>COUNTIF(Tabla1[[#This Row],[VEHICULOS_ACCIDENTADOS]:[VEHICULOS_ACCIDENTADOS2]],"VOLQUETA")</f>
        <v>0</v>
      </c>
      <c r="AC681" s="36">
        <f>COUNTIF(Tabla1[[#This Row],[VEHICULOS_ACCIDENTADOS]:[VEHICULOS_ACCIDENTADOS2]],"BICICLETA")</f>
        <v>0</v>
      </c>
      <c r="AD681" s="38" t="s">
        <v>471</v>
      </c>
      <c r="AE681" s="38"/>
      <c r="AF681" s="38">
        <f>COUNTIF(Tabla1[[#This Row],[GENERO_MASCULINO]:[GENERO_FEMENINO]],"MASCULINO")</f>
        <v>1</v>
      </c>
      <c r="AG681" s="36">
        <f>COUNTIF(Tabla1[[#This Row],[GENERO_MASCULINO]:[GENERO_FEMENINO]],"FEMENINO")</f>
        <v>0</v>
      </c>
      <c r="AH681" s="73">
        <v>22</v>
      </c>
      <c r="AI681" s="73">
        <v>23</v>
      </c>
      <c r="AJ681" s="87"/>
      <c r="AK681" s="73"/>
      <c r="AL681" s="73"/>
      <c r="AM681" s="6"/>
      <c r="AN681" s="73">
        <v>122</v>
      </c>
      <c r="AO681" s="36" t="str">
        <f>IFERROR(((VLOOKUP(Tabla1[[#This Row],[HIPOTESIS_1]],listas!$D$1:$E$105,2,FALSE))),"SIN INFORMACIÓN")</f>
        <v>Girar bruscamente.</v>
      </c>
      <c r="AP681" s="7"/>
      <c r="AQ681" s="36" t="str">
        <f>IFERROR(((VLOOKUP(Tabla1[[#This Row],[HIPOTESIS_2]],listas!$D$1:$E$105,2,FALSE))),"")</f>
        <v/>
      </c>
      <c r="AR681" s="1" t="str">
        <f>IF(HOUR(Tabla1[[#This Row],[HORA_ACCIDENTE]])&lt;6,"MAÑANA",
 IF(HOUR(Tabla1[[#This Row],[HORA_ACCIDENTE]])&lt;12,"MAÑANA",
 IF(HOUR(Tabla1[[#This Row],[HORA_ACCIDENTE]])&lt;18,"TARDE","NOCHE")))</f>
        <v>MAÑANA</v>
      </c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40"/>
    </row>
    <row r="682" spans="1:56" x14ac:dyDescent="0.25">
      <c r="A682" s="12">
        <v>118</v>
      </c>
      <c r="B682" s="38">
        <v>0</v>
      </c>
      <c r="C682" s="7">
        <v>1</v>
      </c>
      <c r="D682" s="7">
        <v>0</v>
      </c>
      <c r="E682" s="18" t="str">
        <f t="shared" si="40"/>
        <v>LESIONADO</v>
      </c>
      <c r="F682" s="29" t="s">
        <v>1127</v>
      </c>
      <c r="G682" s="17">
        <v>5.3357260000000002</v>
      </c>
      <c r="H682" s="17">
        <v>-72.393918999999997</v>
      </c>
      <c r="I682" s="93" t="s">
        <v>697</v>
      </c>
      <c r="J682" s="7" t="s">
        <v>717</v>
      </c>
      <c r="K682" s="24" t="str">
        <f t="shared" si="41"/>
        <v>2022</v>
      </c>
      <c r="L682" s="24" t="str">
        <f t="shared" si="42"/>
        <v>ABRIL</v>
      </c>
      <c r="M682" s="232">
        <v>44657</v>
      </c>
      <c r="N682" s="24" t="str">
        <f t="shared" si="43"/>
        <v>MIÉRCOLES</v>
      </c>
      <c r="O682" s="106">
        <v>0.55694444444444402</v>
      </c>
      <c r="P682" s="8" t="s">
        <v>469</v>
      </c>
      <c r="Q682" s="8" t="s">
        <v>447</v>
      </c>
      <c r="R682" s="36">
        <f>COUNTIF(Tabla1[[#This Row],[VEHICULOS_ACCIDENTADOS]:[VEHICULOS_ACCIDENTADOS2]],"MOTOCICLETA")</f>
        <v>1</v>
      </c>
      <c r="S682" s="36">
        <f>COUNTIF(Tabla1[[#This Row],[VEHICULOS_ACCIDENTADOS]:[VEHICULOS_ACCIDENTADOS2]],"MOTOCARRO")</f>
        <v>0</v>
      </c>
      <c r="T682" s="36">
        <f>COUNTIF(Tabla1[[#This Row],[VEHICULOS_ACCIDENTADOS]:[VEHICULOS_ACCIDENTADOS2]],"AUTOMOVIL")</f>
        <v>1</v>
      </c>
      <c r="U682" s="36">
        <f>COUNTIF(Tabla1[[#This Row],[VEHICULOS_ACCIDENTADOS]:[VEHICULOS_ACCIDENTADOS2]],"CAMPERO")</f>
        <v>0</v>
      </c>
      <c r="V682" s="36">
        <f>COUNTIF(Tabla1[[#This Row],[VEHICULOS_ACCIDENTADOS]:[VEHICULOS_ACCIDENTADOS2]],"CAMIONETA")</f>
        <v>0</v>
      </c>
      <c r="W682" s="36">
        <f>COUNTIF(Tabla1[[#This Row],[VEHICULOS_ACCIDENTADOS]:[VEHICULOS_ACCIDENTADOS2]],"MICROBUS")</f>
        <v>0</v>
      </c>
      <c r="X682" s="36">
        <f>COUNTIF(Tabla1[[#This Row],[VEHICULOS_ACCIDENTADOS]:[VEHICULOS_ACCIDENTADOS2]],"BUS")</f>
        <v>0</v>
      </c>
      <c r="Y682" s="36">
        <f>COUNTIF(Tabla1[[#This Row],[VEHICULOS_ACCIDENTADOS]:[VEHICULOS_ACCIDENTADOS2]],"BUSETA")</f>
        <v>0</v>
      </c>
      <c r="Z682" s="36">
        <f>COUNTIF(Tabla1[[#This Row],[VEHICULOS_ACCIDENTADOS]:[VEHICULOS_ACCIDENTADOS2]],"CAMION")</f>
        <v>0</v>
      </c>
      <c r="AA682" s="36">
        <f>COUNTIF(Tabla1[[#This Row],[VEHICULOS_ACCIDENTADOS]:[VEHICULOS_ACCIDENTADOS2]],"TRACTOCAMION")</f>
        <v>0</v>
      </c>
      <c r="AB682" s="36">
        <f>COUNTIF(Tabla1[[#This Row],[VEHICULOS_ACCIDENTADOS]:[VEHICULOS_ACCIDENTADOS2]],"VOLQUETA")</f>
        <v>0</v>
      </c>
      <c r="AC682" s="36">
        <f>COUNTIF(Tabla1[[#This Row],[VEHICULOS_ACCIDENTADOS]:[VEHICULOS_ACCIDENTADOS2]],"BICICLETA")</f>
        <v>0</v>
      </c>
      <c r="AD682" s="38" t="s">
        <v>471</v>
      </c>
      <c r="AE682" s="38"/>
      <c r="AF682" s="38">
        <f>COUNTIF(Tabla1[[#This Row],[GENERO_MASCULINO]:[GENERO_FEMENINO]],"MASCULINO")</f>
        <v>1</v>
      </c>
      <c r="AG682" s="36">
        <f>COUNTIF(Tabla1[[#This Row],[GENERO_MASCULINO]:[GENERO_FEMENINO]],"FEMENINO")</f>
        <v>0</v>
      </c>
      <c r="AH682" s="193">
        <v>20</v>
      </c>
      <c r="AI682" s="193"/>
      <c r="AJ682" s="89"/>
      <c r="AK682" s="193"/>
      <c r="AL682" s="193"/>
      <c r="AM682" s="32"/>
      <c r="AN682" s="193">
        <v>122</v>
      </c>
      <c r="AO682" s="36" t="str">
        <f>IFERROR(((VLOOKUP(Tabla1[[#This Row],[HIPOTESIS_1]],listas!$D$1:$E$105,2,FALSE))),"SIN INFORMACIÓN")</f>
        <v>Girar bruscamente.</v>
      </c>
      <c r="AP682" s="32"/>
      <c r="AQ682" s="36" t="str">
        <f>IFERROR(((VLOOKUP(Tabla1[[#This Row],[HIPOTESIS_2]],listas!$D$1:$E$105,2,FALSE))),"")</f>
        <v/>
      </c>
      <c r="AR682" s="1" t="str">
        <f>IF(HOUR(Tabla1[[#This Row],[HORA_ACCIDENTE]])&lt;6,"MAÑANA",
 IF(HOUR(Tabla1[[#This Row],[HORA_ACCIDENTE]])&lt;12,"MAÑANA",
 IF(HOUR(Tabla1[[#This Row],[HORA_ACCIDENTE]])&lt;18,"TARDE","NOCHE")))</f>
        <v>TARDE</v>
      </c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40"/>
    </row>
    <row r="683" spans="1:56" x14ac:dyDescent="0.25">
      <c r="A683" s="12">
        <v>558</v>
      </c>
      <c r="B683" s="38">
        <v>0</v>
      </c>
      <c r="C683" s="7">
        <v>1</v>
      </c>
      <c r="D683" s="7">
        <v>0</v>
      </c>
      <c r="E683" s="18" t="str">
        <f t="shared" si="40"/>
        <v>LESIONADO</v>
      </c>
      <c r="F683" s="29" t="s">
        <v>1127</v>
      </c>
      <c r="G683" s="17">
        <v>5.3357260000000002</v>
      </c>
      <c r="H683" s="17">
        <v>-72.393918999999997</v>
      </c>
      <c r="I683" s="93" t="s">
        <v>697</v>
      </c>
      <c r="J683" s="7" t="s">
        <v>717</v>
      </c>
      <c r="K683" s="24" t="str">
        <f t="shared" si="41"/>
        <v>2023</v>
      </c>
      <c r="L683" s="24" t="str">
        <f t="shared" si="42"/>
        <v>SEPTIEMBRE</v>
      </c>
      <c r="M683" s="232">
        <v>45178</v>
      </c>
      <c r="N683" s="24" t="str">
        <f t="shared" si="43"/>
        <v>SÁBADO</v>
      </c>
      <c r="O683" s="106">
        <v>0.90972222222222221</v>
      </c>
      <c r="P683" s="39" t="s">
        <v>469</v>
      </c>
      <c r="Q683" s="39" t="s">
        <v>469</v>
      </c>
      <c r="R683" s="36">
        <f>COUNTIF(Tabla1[[#This Row],[VEHICULOS_ACCIDENTADOS]:[VEHICULOS_ACCIDENTADOS2]],"MOTOCICLETA")</f>
        <v>2</v>
      </c>
      <c r="S683" s="36">
        <f>COUNTIF(Tabla1[[#This Row],[VEHICULOS_ACCIDENTADOS]:[VEHICULOS_ACCIDENTADOS2]],"MOTOCARRO")</f>
        <v>0</v>
      </c>
      <c r="T683" s="36">
        <f>COUNTIF(Tabla1[[#This Row],[VEHICULOS_ACCIDENTADOS]:[VEHICULOS_ACCIDENTADOS2]],"AUTOMOVIL")</f>
        <v>0</v>
      </c>
      <c r="U683" s="36">
        <f>COUNTIF(Tabla1[[#This Row],[VEHICULOS_ACCIDENTADOS]:[VEHICULOS_ACCIDENTADOS2]],"CAMPERO")</f>
        <v>0</v>
      </c>
      <c r="V683" s="36">
        <f>COUNTIF(Tabla1[[#This Row],[VEHICULOS_ACCIDENTADOS]:[VEHICULOS_ACCIDENTADOS2]],"CAMIONETA")</f>
        <v>0</v>
      </c>
      <c r="W683" s="36">
        <f>COUNTIF(Tabla1[[#This Row],[VEHICULOS_ACCIDENTADOS]:[VEHICULOS_ACCIDENTADOS2]],"MICROBUS")</f>
        <v>0</v>
      </c>
      <c r="X683" s="36">
        <f>COUNTIF(Tabla1[[#This Row],[VEHICULOS_ACCIDENTADOS]:[VEHICULOS_ACCIDENTADOS2]],"BUS")</f>
        <v>0</v>
      </c>
      <c r="Y683" s="36">
        <f>COUNTIF(Tabla1[[#This Row],[VEHICULOS_ACCIDENTADOS]:[VEHICULOS_ACCIDENTADOS2]],"BUSETA")</f>
        <v>0</v>
      </c>
      <c r="Z683" s="36">
        <f>COUNTIF(Tabla1[[#This Row],[VEHICULOS_ACCIDENTADOS]:[VEHICULOS_ACCIDENTADOS2]],"CAMION")</f>
        <v>0</v>
      </c>
      <c r="AA683" s="36">
        <f>COUNTIF(Tabla1[[#This Row],[VEHICULOS_ACCIDENTADOS]:[VEHICULOS_ACCIDENTADOS2]],"TRACTOCAMION")</f>
        <v>0</v>
      </c>
      <c r="AB683" s="36">
        <f>COUNTIF(Tabla1[[#This Row],[VEHICULOS_ACCIDENTADOS]:[VEHICULOS_ACCIDENTADOS2]],"VOLQUETA")</f>
        <v>0</v>
      </c>
      <c r="AC683" s="36">
        <f>COUNTIF(Tabla1[[#This Row],[VEHICULOS_ACCIDENTADOS]:[VEHICULOS_ACCIDENTADOS2]],"BICICLETA")</f>
        <v>0</v>
      </c>
      <c r="AD683" s="38"/>
      <c r="AE683" s="38" t="s">
        <v>472</v>
      </c>
      <c r="AF683" s="38">
        <f>COUNTIF(Tabla1[[#This Row],[GENERO_MASCULINO]:[GENERO_FEMENINO]],"MASCULINO")</f>
        <v>0</v>
      </c>
      <c r="AG683" s="36">
        <f>COUNTIF(Tabla1[[#This Row],[GENERO_MASCULINO]:[GENERO_FEMENINO]],"FEMENINO")</f>
        <v>1</v>
      </c>
      <c r="AH683" s="73"/>
      <c r="AI683" s="73"/>
      <c r="AJ683" s="73"/>
      <c r="AK683" s="73"/>
      <c r="AL683" s="73">
        <v>10</v>
      </c>
      <c r="AM683" s="7"/>
      <c r="AN683" s="73">
        <v>115</v>
      </c>
      <c r="AO683" s="36" t="str">
        <f>IFERROR(((VLOOKUP(Tabla1[[#This Row],[HIPOTESIS_1]],listas!$D$1:$E$105,2,FALSE))),"SIN INFORMACIÓN")</f>
        <v>Embriaguez o Sustancias alucinogenas</v>
      </c>
      <c r="AP683" s="7"/>
      <c r="AQ683" s="36" t="str">
        <f>IFERROR(((VLOOKUP(Tabla1[[#This Row],[HIPOTESIS_2]],listas!$D$1:$E$105,2,FALSE))),"")</f>
        <v/>
      </c>
      <c r="AR683" s="1" t="str">
        <f>IF(HOUR(Tabla1[[#This Row],[HORA_ACCIDENTE]])&lt;6,"MAÑANA",
 IF(HOUR(Tabla1[[#This Row],[HORA_ACCIDENTE]])&lt;12,"MAÑANA",
 IF(HOUR(Tabla1[[#This Row],[HORA_ACCIDENTE]])&lt;18,"TARDE","NOCHE")))</f>
        <v>NOCHE</v>
      </c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40"/>
    </row>
    <row r="684" spans="1:56" x14ac:dyDescent="0.25">
      <c r="A684" s="12">
        <v>376</v>
      </c>
      <c r="B684" s="38">
        <v>0</v>
      </c>
      <c r="C684" s="7">
        <v>1</v>
      </c>
      <c r="D684" s="7">
        <v>0</v>
      </c>
      <c r="E684" s="18" t="str">
        <f t="shared" si="40"/>
        <v>LESIONADO</v>
      </c>
      <c r="F684" s="29" t="s">
        <v>1127</v>
      </c>
      <c r="G684" s="17">
        <v>5.3357260000000002</v>
      </c>
      <c r="H684" s="17">
        <v>-72.393918999999997</v>
      </c>
      <c r="I684" s="93" t="s">
        <v>697</v>
      </c>
      <c r="J684" s="7" t="s">
        <v>717</v>
      </c>
      <c r="K684" s="24" t="str">
        <f t="shared" si="41"/>
        <v>2022</v>
      </c>
      <c r="L684" s="24" t="str">
        <f t="shared" si="42"/>
        <v>DICIEMBRE</v>
      </c>
      <c r="M684" s="232">
        <v>44916</v>
      </c>
      <c r="N684" s="24" t="str">
        <f t="shared" si="43"/>
        <v>MIÉRCOLES</v>
      </c>
      <c r="O684" s="174">
        <v>0.625</v>
      </c>
      <c r="P684" s="180" t="s">
        <v>469</v>
      </c>
      <c r="Q684" s="180" t="s">
        <v>469</v>
      </c>
      <c r="R684" s="36">
        <f>COUNTIF(Tabla1[[#This Row],[VEHICULOS_ACCIDENTADOS]:[VEHICULOS_ACCIDENTADOS2]],"MOTOCICLETA")</f>
        <v>2</v>
      </c>
      <c r="S684" s="36">
        <f>COUNTIF(Tabla1[[#This Row],[VEHICULOS_ACCIDENTADOS]:[VEHICULOS_ACCIDENTADOS2]],"MOTOCARRO")</f>
        <v>0</v>
      </c>
      <c r="T684" s="36">
        <f>COUNTIF(Tabla1[[#This Row],[VEHICULOS_ACCIDENTADOS]:[VEHICULOS_ACCIDENTADOS2]],"AUTOMOVIL")</f>
        <v>0</v>
      </c>
      <c r="U684" s="36">
        <f>COUNTIF(Tabla1[[#This Row],[VEHICULOS_ACCIDENTADOS]:[VEHICULOS_ACCIDENTADOS2]],"CAMPERO")</f>
        <v>0</v>
      </c>
      <c r="V684" s="36">
        <f>COUNTIF(Tabla1[[#This Row],[VEHICULOS_ACCIDENTADOS]:[VEHICULOS_ACCIDENTADOS2]],"CAMIONETA")</f>
        <v>0</v>
      </c>
      <c r="W684" s="36">
        <f>COUNTIF(Tabla1[[#This Row],[VEHICULOS_ACCIDENTADOS]:[VEHICULOS_ACCIDENTADOS2]],"MICROBUS")</f>
        <v>0</v>
      </c>
      <c r="X684" s="36">
        <f>COUNTIF(Tabla1[[#This Row],[VEHICULOS_ACCIDENTADOS]:[VEHICULOS_ACCIDENTADOS2]],"BUS")</f>
        <v>0</v>
      </c>
      <c r="Y684" s="36">
        <f>COUNTIF(Tabla1[[#This Row],[VEHICULOS_ACCIDENTADOS]:[VEHICULOS_ACCIDENTADOS2]],"BUSETA")</f>
        <v>0</v>
      </c>
      <c r="Z684" s="36">
        <f>COUNTIF(Tabla1[[#This Row],[VEHICULOS_ACCIDENTADOS]:[VEHICULOS_ACCIDENTADOS2]],"CAMION")</f>
        <v>0</v>
      </c>
      <c r="AA684" s="36">
        <f>COUNTIF(Tabla1[[#This Row],[VEHICULOS_ACCIDENTADOS]:[VEHICULOS_ACCIDENTADOS2]],"TRACTOCAMION")</f>
        <v>0</v>
      </c>
      <c r="AB684" s="36">
        <f>COUNTIF(Tabla1[[#This Row],[VEHICULOS_ACCIDENTADOS]:[VEHICULOS_ACCIDENTADOS2]],"VOLQUETA")</f>
        <v>0</v>
      </c>
      <c r="AC684" s="36">
        <f>COUNTIF(Tabla1[[#This Row],[VEHICULOS_ACCIDENTADOS]:[VEHICULOS_ACCIDENTADOS2]],"BICICLETA")</f>
        <v>0</v>
      </c>
      <c r="AD684" s="38" t="s">
        <v>471</v>
      </c>
      <c r="AE684" s="38"/>
      <c r="AF684" s="38">
        <f>COUNTIF(Tabla1[[#This Row],[GENERO_MASCULINO]:[GENERO_FEMENINO]],"MASCULINO")</f>
        <v>1</v>
      </c>
      <c r="AG684" s="36">
        <f>COUNTIF(Tabla1[[#This Row],[GENERO_MASCULINO]:[GENERO_FEMENINO]],"FEMENINO")</f>
        <v>0</v>
      </c>
      <c r="AH684" s="73">
        <v>23</v>
      </c>
      <c r="AI684" s="73">
        <v>25</v>
      </c>
      <c r="AJ684" s="87"/>
      <c r="AK684" s="73"/>
      <c r="AL684" s="73"/>
      <c r="AM684" s="7"/>
      <c r="AN684" s="73">
        <v>112</v>
      </c>
      <c r="AO684" s="36" t="str">
        <f>IFERROR(((VLOOKUP(Tabla1[[#This Row],[HIPOTESIS_1]],listas!$D$1:$E$105,2,FALSE))),"SIN INFORMACIÓN")</f>
        <v>Desobedecer señales o normas de tránsito.</v>
      </c>
      <c r="AP684" s="7"/>
      <c r="AQ684" s="36" t="str">
        <f>IFERROR(((VLOOKUP(Tabla1[[#This Row],[HIPOTESIS_2]],listas!$D$1:$E$105,2,FALSE))),"")</f>
        <v/>
      </c>
      <c r="AR684" s="1" t="str">
        <f>IF(HOUR(Tabla1[[#This Row],[HORA_ACCIDENTE]])&lt;6,"MAÑANA",
 IF(HOUR(Tabla1[[#This Row],[HORA_ACCIDENTE]])&lt;12,"MAÑANA",
 IF(HOUR(Tabla1[[#This Row],[HORA_ACCIDENTE]])&lt;18,"TARDE","NOCHE")))</f>
        <v>TARDE</v>
      </c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40"/>
    </row>
    <row r="685" spans="1:56" x14ac:dyDescent="0.25">
      <c r="A685" s="12">
        <v>942</v>
      </c>
      <c r="B685" s="97">
        <v>0</v>
      </c>
      <c r="C685" s="15">
        <v>1</v>
      </c>
      <c r="D685" s="15">
        <v>0</v>
      </c>
      <c r="E685" s="18" t="str">
        <f t="shared" si="40"/>
        <v>LESIONADO</v>
      </c>
      <c r="F685" s="26" t="s">
        <v>1114</v>
      </c>
      <c r="G685" s="17">
        <v>5.3467961111111109</v>
      </c>
      <c r="H685" s="17">
        <v>-72.39990111111112</v>
      </c>
      <c r="I685" s="93" t="s">
        <v>697</v>
      </c>
      <c r="J685" s="15" t="s">
        <v>717</v>
      </c>
      <c r="K685" s="24" t="str">
        <f t="shared" si="41"/>
        <v>2025</v>
      </c>
      <c r="L685" s="24" t="str">
        <f t="shared" si="42"/>
        <v>ABRIL</v>
      </c>
      <c r="M685" s="234">
        <v>45765</v>
      </c>
      <c r="N685" s="24" t="str">
        <f t="shared" si="43"/>
        <v>VIERNES</v>
      </c>
      <c r="O685" s="108">
        <v>0.8125</v>
      </c>
      <c r="P685" s="15" t="s">
        <v>469</v>
      </c>
      <c r="Q685" s="15" t="s">
        <v>445</v>
      </c>
      <c r="R685" s="36">
        <f>COUNTIF(Tabla1[[#This Row],[VEHICULOS_ACCIDENTADOS]:[VEHICULOS_ACCIDENTADOS2]],"MOTOCICLETA")</f>
        <v>1</v>
      </c>
      <c r="S685" s="36">
        <f>COUNTIF(Tabla1[[#This Row],[VEHICULOS_ACCIDENTADOS]:[VEHICULOS_ACCIDENTADOS2]],"MOTOCARRO")</f>
        <v>0</v>
      </c>
      <c r="T685" s="36">
        <f>COUNTIF(Tabla1[[#This Row],[VEHICULOS_ACCIDENTADOS]:[VEHICULOS_ACCIDENTADOS2]],"AUTOMOVIL")</f>
        <v>0</v>
      </c>
      <c r="U685" s="36">
        <f>COUNTIF(Tabla1[[#This Row],[VEHICULOS_ACCIDENTADOS]:[VEHICULOS_ACCIDENTADOS2]],"CAMPERO")</f>
        <v>0</v>
      </c>
      <c r="V685" s="36">
        <f>COUNTIF(Tabla1[[#This Row],[VEHICULOS_ACCIDENTADOS]:[VEHICULOS_ACCIDENTADOS2]],"CAMIONETA")</f>
        <v>1</v>
      </c>
      <c r="W685" s="36">
        <f>COUNTIF(Tabla1[[#This Row],[VEHICULOS_ACCIDENTADOS]:[VEHICULOS_ACCIDENTADOS2]],"MICROBUS")</f>
        <v>0</v>
      </c>
      <c r="X685" s="36">
        <f>COUNTIF(Tabla1[[#This Row],[VEHICULOS_ACCIDENTADOS]:[VEHICULOS_ACCIDENTADOS2]],"BUS")</f>
        <v>0</v>
      </c>
      <c r="Y685" s="36">
        <f>COUNTIF(Tabla1[[#This Row],[VEHICULOS_ACCIDENTADOS]:[VEHICULOS_ACCIDENTADOS2]],"BUSETA")</f>
        <v>0</v>
      </c>
      <c r="Z685" s="36">
        <f>COUNTIF(Tabla1[[#This Row],[VEHICULOS_ACCIDENTADOS]:[VEHICULOS_ACCIDENTADOS2]],"CAMION")</f>
        <v>0</v>
      </c>
      <c r="AA685" s="36">
        <f>COUNTIF(Tabla1[[#This Row],[VEHICULOS_ACCIDENTADOS]:[VEHICULOS_ACCIDENTADOS2]],"TRACTOCAMION")</f>
        <v>0</v>
      </c>
      <c r="AB685" s="36">
        <f>COUNTIF(Tabla1[[#This Row],[VEHICULOS_ACCIDENTADOS]:[VEHICULOS_ACCIDENTADOS2]],"VOLQUETA")</f>
        <v>0</v>
      </c>
      <c r="AC685" s="36">
        <f>COUNTIF(Tabla1[[#This Row],[VEHICULOS_ACCIDENTADOS]:[VEHICULOS_ACCIDENTADOS2]],"BICICLETA")</f>
        <v>0</v>
      </c>
      <c r="AD685" s="43" t="s">
        <v>472</v>
      </c>
      <c r="AE685" s="43" t="s">
        <v>472</v>
      </c>
      <c r="AF685" s="43">
        <f>COUNTIF(Tabla1[[#This Row],[GENERO_MASCULINO]:[GENERO_FEMENINO]],"MASCULINO")</f>
        <v>0</v>
      </c>
      <c r="AG685" s="36">
        <f>COUNTIF(Tabla1[[#This Row],[GENERO_MASCULINO]:[GENERO_FEMENINO]],"FEMENINO")</f>
        <v>2</v>
      </c>
      <c r="AH685" s="86">
        <v>26</v>
      </c>
      <c r="AI685" s="86">
        <v>36</v>
      </c>
      <c r="AJ685" s="86"/>
      <c r="AK685" s="87"/>
      <c r="AL685" s="87"/>
      <c r="AM685" s="6"/>
      <c r="AN685" s="86">
        <v>122</v>
      </c>
      <c r="AO685" s="36" t="str">
        <f>IFERROR(((VLOOKUP(Tabla1[[#This Row],[HIPOTESIS_1]],listas!$D$1:$E$105,2,FALSE))),"SIN INFORMACIÓN")</f>
        <v>Girar bruscamente.</v>
      </c>
      <c r="AP685" s="7"/>
      <c r="AQ685" s="36" t="str">
        <f>IFERROR(((VLOOKUP(Tabla1[[#This Row],[HIPOTESIS_2]],listas!$D$1:$E$105,2,FALSE))),"")</f>
        <v/>
      </c>
      <c r="AR685" s="1" t="str">
        <f>IF(HOUR(Tabla1[[#This Row],[HORA_ACCIDENTE]])&lt;6,"MAÑANA",
 IF(HOUR(Tabla1[[#This Row],[HORA_ACCIDENTE]])&lt;12,"MAÑANA",
 IF(HOUR(Tabla1[[#This Row],[HORA_ACCIDENTE]])&lt;18,"TARDE","NOCHE")))</f>
        <v>NOCHE</v>
      </c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40"/>
    </row>
    <row r="686" spans="1:56" x14ac:dyDescent="0.25">
      <c r="A686" s="12">
        <v>161</v>
      </c>
      <c r="B686" s="38">
        <v>1</v>
      </c>
      <c r="C686" s="7">
        <v>0</v>
      </c>
      <c r="D686" s="7">
        <v>0</v>
      </c>
      <c r="E686" s="18" t="str">
        <f t="shared" si="40"/>
        <v>SOLO DAÑO</v>
      </c>
      <c r="F686" s="29" t="s">
        <v>925</v>
      </c>
      <c r="G686" s="17">
        <v>5.3462805555555555</v>
      </c>
      <c r="H686" s="17">
        <v>-72.399638888888902</v>
      </c>
      <c r="I686" s="93" t="s">
        <v>697</v>
      </c>
      <c r="J686" s="7" t="s">
        <v>717</v>
      </c>
      <c r="K686" s="24" t="str">
        <f t="shared" si="41"/>
        <v>2022</v>
      </c>
      <c r="L686" s="24" t="str">
        <f t="shared" si="42"/>
        <v>ABRIL</v>
      </c>
      <c r="M686" s="232">
        <v>44681</v>
      </c>
      <c r="N686" s="24" t="str">
        <f t="shared" si="43"/>
        <v>SÁBADO</v>
      </c>
      <c r="O686" s="106">
        <v>0.63194444444444398</v>
      </c>
      <c r="P686" s="8" t="s">
        <v>447</v>
      </c>
      <c r="Q686" s="8" t="s">
        <v>444</v>
      </c>
      <c r="R686" s="36">
        <f>COUNTIF(Tabla1[[#This Row],[VEHICULOS_ACCIDENTADOS]:[VEHICULOS_ACCIDENTADOS2]],"MOTOCICLETA")</f>
        <v>0</v>
      </c>
      <c r="S686" s="36">
        <f>COUNTIF(Tabla1[[#This Row],[VEHICULOS_ACCIDENTADOS]:[VEHICULOS_ACCIDENTADOS2]],"MOTOCARRO")</f>
        <v>0</v>
      </c>
      <c r="T686" s="36">
        <f>COUNTIF(Tabla1[[#This Row],[VEHICULOS_ACCIDENTADOS]:[VEHICULOS_ACCIDENTADOS2]],"AUTOMOVIL")</f>
        <v>1</v>
      </c>
      <c r="U686" s="36">
        <f>COUNTIF(Tabla1[[#This Row],[VEHICULOS_ACCIDENTADOS]:[VEHICULOS_ACCIDENTADOS2]],"CAMPERO")</f>
        <v>0</v>
      </c>
      <c r="V686" s="36">
        <f>COUNTIF(Tabla1[[#This Row],[VEHICULOS_ACCIDENTADOS]:[VEHICULOS_ACCIDENTADOS2]],"CAMIONETA")</f>
        <v>0</v>
      </c>
      <c r="W686" s="36">
        <f>COUNTIF(Tabla1[[#This Row],[VEHICULOS_ACCIDENTADOS]:[VEHICULOS_ACCIDENTADOS2]],"MICROBUS")</f>
        <v>1</v>
      </c>
      <c r="X686" s="36">
        <f>COUNTIF(Tabla1[[#This Row],[VEHICULOS_ACCIDENTADOS]:[VEHICULOS_ACCIDENTADOS2]],"BUS")</f>
        <v>0</v>
      </c>
      <c r="Y686" s="36">
        <f>COUNTIF(Tabla1[[#This Row],[VEHICULOS_ACCIDENTADOS]:[VEHICULOS_ACCIDENTADOS2]],"BUSETA")</f>
        <v>0</v>
      </c>
      <c r="Z686" s="36">
        <f>COUNTIF(Tabla1[[#This Row],[VEHICULOS_ACCIDENTADOS]:[VEHICULOS_ACCIDENTADOS2]],"CAMION")</f>
        <v>0</v>
      </c>
      <c r="AA686" s="36">
        <f>COUNTIF(Tabla1[[#This Row],[VEHICULOS_ACCIDENTADOS]:[VEHICULOS_ACCIDENTADOS2]],"TRACTOCAMION")</f>
        <v>0</v>
      </c>
      <c r="AB686" s="36">
        <f>COUNTIF(Tabla1[[#This Row],[VEHICULOS_ACCIDENTADOS]:[VEHICULOS_ACCIDENTADOS2]],"VOLQUETA")</f>
        <v>0</v>
      </c>
      <c r="AC686" s="36">
        <f>COUNTIF(Tabla1[[#This Row],[VEHICULOS_ACCIDENTADOS]:[VEHICULOS_ACCIDENTADOS2]],"BICICLETA")</f>
        <v>0</v>
      </c>
      <c r="AD686" s="38"/>
      <c r="AE686" s="38" t="s">
        <v>472</v>
      </c>
      <c r="AF686" s="38">
        <f>COUNTIF(Tabla1[[#This Row],[GENERO_MASCULINO]:[GENERO_FEMENINO]],"MASCULINO")</f>
        <v>0</v>
      </c>
      <c r="AG686" s="36">
        <f>COUNTIF(Tabla1[[#This Row],[GENERO_MASCULINO]:[GENERO_FEMENINO]],"FEMENINO")</f>
        <v>1</v>
      </c>
      <c r="AH686" s="73"/>
      <c r="AI686" s="73"/>
      <c r="AJ686" s="73"/>
      <c r="AK686" s="87"/>
      <c r="AL686" s="73"/>
      <c r="AM686" s="7"/>
      <c r="AN686" s="73">
        <v>143</v>
      </c>
      <c r="AO686" s="36" t="str">
        <f>IFERROR(((VLOOKUP(Tabla1[[#This Row],[HIPOTESIS_1]],listas!$D$1:$E$105,2,FALSE))),"SIN INFORMACIÓN")</f>
        <v>Poner en marcha un vehículo sin precauciones.</v>
      </c>
      <c r="AP686" s="7"/>
      <c r="AQ686" s="36" t="str">
        <f>IFERROR(((VLOOKUP(Tabla1[[#This Row],[HIPOTESIS_2]],listas!$D$1:$E$105,2,FALSE))),"")</f>
        <v/>
      </c>
      <c r="AR686" s="1" t="str">
        <f>IF(HOUR(Tabla1[[#This Row],[HORA_ACCIDENTE]])&lt;6,"MAÑANA",
 IF(HOUR(Tabla1[[#This Row],[HORA_ACCIDENTE]])&lt;12,"MAÑANA",
 IF(HOUR(Tabla1[[#This Row],[HORA_ACCIDENTE]])&lt;18,"TARDE","NOCHE")))</f>
        <v>TARDE</v>
      </c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40"/>
    </row>
    <row r="687" spans="1:56" x14ac:dyDescent="0.25">
      <c r="A687" s="12">
        <v>625</v>
      </c>
      <c r="B687" s="38">
        <v>0</v>
      </c>
      <c r="C687" s="7">
        <v>1</v>
      </c>
      <c r="D687" s="7">
        <v>0</v>
      </c>
      <c r="E687" s="18" t="str">
        <f t="shared" si="40"/>
        <v>LESIONADO</v>
      </c>
      <c r="F687" s="29" t="s">
        <v>1115</v>
      </c>
      <c r="G687" s="21">
        <v>5.3451972222222217</v>
      </c>
      <c r="H687" s="21">
        <v>-72.399041666666676</v>
      </c>
      <c r="I687" s="93" t="s">
        <v>697</v>
      </c>
      <c r="J687" s="7" t="s">
        <v>717</v>
      </c>
      <c r="K687" s="24" t="str">
        <f t="shared" si="41"/>
        <v>2023</v>
      </c>
      <c r="L687" s="24" t="str">
        <f t="shared" si="42"/>
        <v>DICIEMBRE</v>
      </c>
      <c r="M687" s="232">
        <v>45265</v>
      </c>
      <c r="N687" s="24" t="str">
        <f t="shared" si="43"/>
        <v>MARTES</v>
      </c>
      <c r="O687" s="106">
        <v>0.2361111111111111</v>
      </c>
      <c r="P687" s="39" t="s">
        <v>469</v>
      </c>
      <c r="Q687" s="39" t="s">
        <v>445</v>
      </c>
      <c r="R687" s="36">
        <f>COUNTIF(Tabla1[[#This Row],[VEHICULOS_ACCIDENTADOS]:[VEHICULOS_ACCIDENTADOS2]],"MOTOCICLETA")</f>
        <v>1</v>
      </c>
      <c r="S687" s="36">
        <f>COUNTIF(Tabla1[[#This Row],[VEHICULOS_ACCIDENTADOS]:[VEHICULOS_ACCIDENTADOS2]],"MOTOCARRO")</f>
        <v>0</v>
      </c>
      <c r="T687" s="36">
        <f>COUNTIF(Tabla1[[#This Row],[VEHICULOS_ACCIDENTADOS]:[VEHICULOS_ACCIDENTADOS2]],"AUTOMOVIL")</f>
        <v>0</v>
      </c>
      <c r="U687" s="36">
        <f>COUNTIF(Tabla1[[#This Row],[VEHICULOS_ACCIDENTADOS]:[VEHICULOS_ACCIDENTADOS2]],"CAMPERO")</f>
        <v>0</v>
      </c>
      <c r="V687" s="36">
        <f>COUNTIF(Tabla1[[#This Row],[VEHICULOS_ACCIDENTADOS]:[VEHICULOS_ACCIDENTADOS2]],"CAMIONETA")</f>
        <v>1</v>
      </c>
      <c r="W687" s="36">
        <f>COUNTIF(Tabla1[[#This Row],[VEHICULOS_ACCIDENTADOS]:[VEHICULOS_ACCIDENTADOS2]],"MICROBUS")</f>
        <v>0</v>
      </c>
      <c r="X687" s="36">
        <f>COUNTIF(Tabla1[[#This Row],[VEHICULOS_ACCIDENTADOS]:[VEHICULOS_ACCIDENTADOS2]],"BUS")</f>
        <v>0</v>
      </c>
      <c r="Y687" s="36">
        <f>COUNTIF(Tabla1[[#This Row],[VEHICULOS_ACCIDENTADOS]:[VEHICULOS_ACCIDENTADOS2]],"BUSETA")</f>
        <v>0</v>
      </c>
      <c r="Z687" s="36">
        <f>COUNTIF(Tabla1[[#This Row],[VEHICULOS_ACCIDENTADOS]:[VEHICULOS_ACCIDENTADOS2]],"CAMION")</f>
        <v>0</v>
      </c>
      <c r="AA687" s="36">
        <f>COUNTIF(Tabla1[[#This Row],[VEHICULOS_ACCIDENTADOS]:[VEHICULOS_ACCIDENTADOS2]],"TRACTOCAMION")</f>
        <v>0</v>
      </c>
      <c r="AB687" s="36">
        <f>COUNTIF(Tabla1[[#This Row],[VEHICULOS_ACCIDENTADOS]:[VEHICULOS_ACCIDENTADOS2]],"VOLQUETA")</f>
        <v>0</v>
      </c>
      <c r="AC687" s="36">
        <f>COUNTIF(Tabla1[[#This Row],[VEHICULOS_ACCIDENTADOS]:[VEHICULOS_ACCIDENTADOS2]],"BICICLETA")</f>
        <v>0</v>
      </c>
      <c r="AD687" s="38" t="s">
        <v>471</v>
      </c>
      <c r="AE687" s="38" t="s">
        <v>472</v>
      </c>
      <c r="AF687" s="38">
        <f>COUNTIF(Tabla1[[#This Row],[GENERO_MASCULINO]:[GENERO_FEMENINO]],"MASCULINO")</f>
        <v>1</v>
      </c>
      <c r="AG687" s="36">
        <f>COUNTIF(Tabla1[[#This Row],[GENERO_MASCULINO]:[GENERO_FEMENINO]],"FEMENINO")</f>
        <v>1</v>
      </c>
      <c r="AH687" s="73">
        <v>46</v>
      </c>
      <c r="AI687" s="73"/>
      <c r="AJ687" s="73"/>
      <c r="AK687" s="73"/>
      <c r="AL687" s="73"/>
      <c r="AM687" s="7"/>
      <c r="AN687" s="73">
        <v>112</v>
      </c>
      <c r="AO687" s="36" t="str">
        <f>IFERROR(((VLOOKUP(Tabla1[[#This Row],[HIPOTESIS_1]],listas!$D$1:$E$105,2,FALSE))),"SIN INFORMACIÓN")</f>
        <v>Desobedecer señales o normas de tránsito.</v>
      </c>
      <c r="AP687" s="7"/>
      <c r="AQ687" s="36" t="str">
        <f>IFERROR(((VLOOKUP(Tabla1[[#This Row],[HIPOTESIS_2]],listas!$D$1:$E$105,2,FALSE))),"")</f>
        <v/>
      </c>
      <c r="AR687" s="1" t="str">
        <f>IF(HOUR(Tabla1[[#This Row],[HORA_ACCIDENTE]])&lt;6,"MAÑANA",
 IF(HOUR(Tabla1[[#This Row],[HORA_ACCIDENTE]])&lt;12,"MAÑANA",
 IF(HOUR(Tabla1[[#This Row],[HORA_ACCIDENTE]])&lt;18,"TARDE","NOCHE")))</f>
        <v>MAÑANA</v>
      </c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40"/>
    </row>
    <row r="688" spans="1:56" x14ac:dyDescent="0.25">
      <c r="A688" s="12">
        <v>786</v>
      </c>
      <c r="B688" s="97">
        <v>0</v>
      </c>
      <c r="C688" s="15">
        <v>1</v>
      </c>
      <c r="D688" s="19">
        <v>0</v>
      </c>
      <c r="E688" s="18" t="str">
        <f t="shared" si="40"/>
        <v>LESIONADO</v>
      </c>
      <c r="F688" s="29" t="s">
        <v>1115</v>
      </c>
      <c r="G688" s="21">
        <v>5.3451972222222217</v>
      </c>
      <c r="H688" s="21">
        <v>-72.399041666666676</v>
      </c>
      <c r="I688" s="93" t="s">
        <v>697</v>
      </c>
      <c r="J688" s="7" t="s">
        <v>717</v>
      </c>
      <c r="K688" s="24" t="str">
        <f t="shared" si="41"/>
        <v>2024</v>
      </c>
      <c r="L688" s="24" t="str">
        <f t="shared" si="42"/>
        <v>OCTUBRE</v>
      </c>
      <c r="M688" s="234">
        <v>45568</v>
      </c>
      <c r="N688" s="24" t="str">
        <f t="shared" si="43"/>
        <v>JUEVES</v>
      </c>
      <c r="O688" s="108">
        <v>0.5854166666666667</v>
      </c>
      <c r="P688" s="44" t="s">
        <v>469</v>
      </c>
      <c r="Q688" s="44"/>
      <c r="R688" s="36">
        <f>COUNTIF(Tabla1[[#This Row],[VEHICULOS_ACCIDENTADOS]:[VEHICULOS_ACCIDENTADOS2]],"MOTOCICLETA")</f>
        <v>1</v>
      </c>
      <c r="S688" s="36">
        <f>COUNTIF(Tabla1[[#This Row],[VEHICULOS_ACCIDENTADOS]:[VEHICULOS_ACCIDENTADOS2]],"MOTOCARRO")</f>
        <v>0</v>
      </c>
      <c r="T688" s="36">
        <f>COUNTIF(Tabla1[[#This Row],[VEHICULOS_ACCIDENTADOS]:[VEHICULOS_ACCIDENTADOS2]],"AUTOMOVIL")</f>
        <v>0</v>
      </c>
      <c r="U688" s="36">
        <f>COUNTIF(Tabla1[[#This Row],[VEHICULOS_ACCIDENTADOS]:[VEHICULOS_ACCIDENTADOS2]],"CAMPERO")</f>
        <v>0</v>
      </c>
      <c r="V688" s="36">
        <f>COUNTIF(Tabla1[[#This Row],[VEHICULOS_ACCIDENTADOS]:[VEHICULOS_ACCIDENTADOS2]],"CAMIONETA")</f>
        <v>0</v>
      </c>
      <c r="W688" s="36">
        <f>COUNTIF(Tabla1[[#This Row],[VEHICULOS_ACCIDENTADOS]:[VEHICULOS_ACCIDENTADOS2]],"MICROBUS")</f>
        <v>0</v>
      </c>
      <c r="X688" s="36">
        <f>COUNTIF(Tabla1[[#This Row],[VEHICULOS_ACCIDENTADOS]:[VEHICULOS_ACCIDENTADOS2]],"BUS")</f>
        <v>0</v>
      </c>
      <c r="Y688" s="36">
        <f>COUNTIF(Tabla1[[#This Row],[VEHICULOS_ACCIDENTADOS]:[VEHICULOS_ACCIDENTADOS2]],"BUSETA")</f>
        <v>0</v>
      </c>
      <c r="Z688" s="36">
        <f>COUNTIF(Tabla1[[#This Row],[VEHICULOS_ACCIDENTADOS]:[VEHICULOS_ACCIDENTADOS2]],"CAMION")</f>
        <v>0</v>
      </c>
      <c r="AA688" s="36">
        <f>COUNTIF(Tabla1[[#This Row],[VEHICULOS_ACCIDENTADOS]:[VEHICULOS_ACCIDENTADOS2]],"TRACTOCAMION")</f>
        <v>0</v>
      </c>
      <c r="AB688" s="36">
        <f>COUNTIF(Tabla1[[#This Row],[VEHICULOS_ACCIDENTADOS]:[VEHICULOS_ACCIDENTADOS2]],"VOLQUETA")</f>
        <v>0</v>
      </c>
      <c r="AC688" s="36">
        <f>COUNTIF(Tabla1[[#This Row],[VEHICULOS_ACCIDENTADOS]:[VEHICULOS_ACCIDENTADOS2]],"BICICLETA")</f>
        <v>0</v>
      </c>
      <c r="AD688" s="43" t="s">
        <v>471</v>
      </c>
      <c r="AE688" s="43"/>
      <c r="AF688" s="43">
        <f>COUNTIF(Tabla1[[#This Row],[GENERO_MASCULINO]:[GENERO_FEMENINO]],"MASCULINO")</f>
        <v>1</v>
      </c>
      <c r="AG688" s="36">
        <f>COUNTIF(Tabla1[[#This Row],[GENERO_MASCULINO]:[GENERO_FEMENINO]],"FEMENINO")</f>
        <v>0</v>
      </c>
      <c r="AH688" s="86">
        <v>49</v>
      </c>
      <c r="AI688" s="86"/>
      <c r="AJ688" s="86"/>
      <c r="AK688" s="86"/>
      <c r="AL688" s="86"/>
      <c r="AM688" s="15"/>
      <c r="AN688" s="86">
        <v>102</v>
      </c>
      <c r="AO688" s="36" t="str">
        <f>IFERROR(((VLOOKUP(Tabla1[[#This Row],[HIPOTESIS_1]],listas!$D$1:$E$105,2,FALSE))),"SIN INFORMACIÓN")</f>
        <v>Adelantar por la derecha.</v>
      </c>
      <c r="AP688" s="15"/>
      <c r="AQ688" s="36" t="str">
        <f>IFERROR(((VLOOKUP(Tabla1[[#This Row],[HIPOTESIS_2]],listas!$D$1:$E$105,2,FALSE))),"")</f>
        <v/>
      </c>
      <c r="AR688" s="1" t="str">
        <f>IF(HOUR(Tabla1[[#This Row],[HORA_ACCIDENTE]])&lt;6,"MAÑANA",
 IF(HOUR(Tabla1[[#This Row],[HORA_ACCIDENTE]])&lt;12,"MAÑANA",
 IF(HOUR(Tabla1[[#This Row],[HORA_ACCIDENTE]])&lt;18,"TARDE","NOCHE")))</f>
        <v>TARDE</v>
      </c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40"/>
    </row>
    <row r="689" spans="1:56" x14ac:dyDescent="0.25">
      <c r="A689" s="12">
        <v>739</v>
      </c>
      <c r="B689" s="97">
        <v>0</v>
      </c>
      <c r="C689" s="7">
        <v>1</v>
      </c>
      <c r="D689" s="7">
        <v>0</v>
      </c>
      <c r="E689" s="18" t="str">
        <f t="shared" si="40"/>
        <v>LESIONADO</v>
      </c>
      <c r="F689" s="29" t="s">
        <v>1116</v>
      </c>
      <c r="G689" s="21">
        <v>5.3428688888888889</v>
      </c>
      <c r="H689" s="21">
        <v>-72.397781388888902</v>
      </c>
      <c r="I689" s="93" t="s">
        <v>697</v>
      </c>
      <c r="J689" s="15" t="s">
        <v>717</v>
      </c>
      <c r="K689" s="24" t="str">
        <f t="shared" si="41"/>
        <v>2024</v>
      </c>
      <c r="L689" s="24" t="str">
        <f t="shared" si="42"/>
        <v>JULIO</v>
      </c>
      <c r="M689" s="232">
        <v>45474</v>
      </c>
      <c r="N689" s="24" t="str">
        <f t="shared" si="43"/>
        <v>LUNES</v>
      </c>
      <c r="O689" s="106">
        <v>0.77083333333333337</v>
      </c>
      <c r="P689" s="39" t="s">
        <v>469</v>
      </c>
      <c r="Q689" s="39" t="s">
        <v>447</v>
      </c>
      <c r="R689" s="36">
        <f>COUNTIF(Tabla1[[#This Row],[VEHICULOS_ACCIDENTADOS]:[VEHICULOS_ACCIDENTADOS2]],"MOTOCICLETA")</f>
        <v>1</v>
      </c>
      <c r="S689" s="36">
        <f>COUNTIF(Tabla1[[#This Row],[VEHICULOS_ACCIDENTADOS]:[VEHICULOS_ACCIDENTADOS2]],"MOTOCARRO")</f>
        <v>0</v>
      </c>
      <c r="T689" s="36">
        <f>COUNTIF(Tabla1[[#This Row],[VEHICULOS_ACCIDENTADOS]:[VEHICULOS_ACCIDENTADOS2]],"AUTOMOVIL")</f>
        <v>1</v>
      </c>
      <c r="U689" s="36">
        <f>COUNTIF(Tabla1[[#This Row],[VEHICULOS_ACCIDENTADOS]:[VEHICULOS_ACCIDENTADOS2]],"CAMPERO")</f>
        <v>0</v>
      </c>
      <c r="V689" s="36">
        <f>COUNTIF(Tabla1[[#This Row],[VEHICULOS_ACCIDENTADOS]:[VEHICULOS_ACCIDENTADOS2]],"CAMIONETA")</f>
        <v>0</v>
      </c>
      <c r="W689" s="36">
        <f>COUNTIF(Tabla1[[#This Row],[VEHICULOS_ACCIDENTADOS]:[VEHICULOS_ACCIDENTADOS2]],"MICROBUS")</f>
        <v>0</v>
      </c>
      <c r="X689" s="36">
        <f>COUNTIF(Tabla1[[#This Row],[VEHICULOS_ACCIDENTADOS]:[VEHICULOS_ACCIDENTADOS2]],"BUS")</f>
        <v>0</v>
      </c>
      <c r="Y689" s="36">
        <f>COUNTIF(Tabla1[[#This Row],[VEHICULOS_ACCIDENTADOS]:[VEHICULOS_ACCIDENTADOS2]],"BUSETA")</f>
        <v>0</v>
      </c>
      <c r="Z689" s="36">
        <f>COUNTIF(Tabla1[[#This Row],[VEHICULOS_ACCIDENTADOS]:[VEHICULOS_ACCIDENTADOS2]],"CAMION")</f>
        <v>0</v>
      </c>
      <c r="AA689" s="36">
        <f>COUNTIF(Tabla1[[#This Row],[VEHICULOS_ACCIDENTADOS]:[VEHICULOS_ACCIDENTADOS2]],"TRACTOCAMION")</f>
        <v>0</v>
      </c>
      <c r="AB689" s="36">
        <f>COUNTIF(Tabla1[[#This Row],[VEHICULOS_ACCIDENTADOS]:[VEHICULOS_ACCIDENTADOS2]],"VOLQUETA")</f>
        <v>0</v>
      </c>
      <c r="AC689" s="36">
        <f>COUNTIF(Tabla1[[#This Row],[VEHICULOS_ACCIDENTADOS]:[VEHICULOS_ACCIDENTADOS2]],"BICICLETA")</f>
        <v>0</v>
      </c>
      <c r="AD689" s="38" t="s">
        <v>471</v>
      </c>
      <c r="AE689" s="38"/>
      <c r="AF689" s="38">
        <f>COUNTIF(Tabla1[[#This Row],[GENERO_MASCULINO]:[GENERO_FEMENINO]],"MASCULINO")</f>
        <v>1</v>
      </c>
      <c r="AG689" s="36">
        <f>COUNTIF(Tabla1[[#This Row],[GENERO_MASCULINO]:[GENERO_FEMENINO]],"FEMENINO")</f>
        <v>0</v>
      </c>
      <c r="AH689" s="73">
        <v>29</v>
      </c>
      <c r="AI689" s="73"/>
      <c r="AJ689" s="73"/>
      <c r="AK689" s="73"/>
      <c r="AL689" s="73"/>
      <c r="AM689" s="7"/>
      <c r="AN689" s="73">
        <v>157</v>
      </c>
      <c r="AO689" s="36" t="str">
        <f>IFERROR(((VLOOKUP(Tabla1[[#This Row],[HIPOTESIS_1]],listas!$D$1:$E$105,2,FALSE))),"SIN INFORMACIÓN")</f>
        <v>Otra</v>
      </c>
      <c r="AP689" s="7"/>
      <c r="AQ689" s="36" t="str">
        <f>IFERROR(((VLOOKUP(Tabla1[[#This Row],[HIPOTESIS_2]],listas!$D$1:$E$105,2,FALSE))),"")</f>
        <v/>
      </c>
      <c r="AR689" s="1" t="str">
        <f>IF(HOUR(Tabla1[[#This Row],[HORA_ACCIDENTE]])&lt;6,"MAÑANA",
 IF(HOUR(Tabla1[[#This Row],[HORA_ACCIDENTE]])&lt;12,"MAÑANA",
 IF(HOUR(Tabla1[[#This Row],[HORA_ACCIDENTE]])&lt;18,"TARDE","NOCHE")))</f>
        <v>NOCHE</v>
      </c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40"/>
    </row>
    <row r="690" spans="1:56" x14ac:dyDescent="0.25">
      <c r="A690" s="12">
        <v>655</v>
      </c>
      <c r="B690" s="97">
        <v>0</v>
      </c>
      <c r="C690" s="15">
        <v>1</v>
      </c>
      <c r="D690" s="15">
        <v>0</v>
      </c>
      <c r="E690" s="18" t="str">
        <f t="shared" si="40"/>
        <v>LESIONADO</v>
      </c>
      <c r="F690" s="26" t="s">
        <v>1117</v>
      </c>
      <c r="G690" s="21">
        <v>5.3404333333333334</v>
      </c>
      <c r="H690" s="21">
        <v>-72.396502777777783</v>
      </c>
      <c r="I690" s="93" t="s">
        <v>697</v>
      </c>
      <c r="J690" s="15" t="s">
        <v>717</v>
      </c>
      <c r="K690" s="24" t="str">
        <f t="shared" si="41"/>
        <v>2024</v>
      </c>
      <c r="L690" s="24" t="str">
        <f t="shared" si="42"/>
        <v>ENERO</v>
      </c>
      <c r="M690" s="234">
        <v>45322</v>
      </c>
      <c r="N690" s="24" t="str">
        <f t="shared" si="43"/>
        <v>MIÉRCOLES</v>
      </c>
      <c r="O690" s="108">
        <v>0.72916666666666663</v>
      </c>
      <c r="P690" s="44" t="s">
        <v>469</v>
      </c>
      <c r="Q690" s="44"/>
      <c r="R690" s="36">
        <f>COUNTIF(Tabla1[[#This Row],[VEHICULOS_ACCIDENTADOS]:[VEHICULOS_ACCIDENTADOS2]],"MOTOCICLETA")</f>
        <v>1</v>
      </c>
      <c r="S690" s="36">
        <f>COUNTIF(Tabla1[[#This Row],[VEHICULOS_ACCIDENTADOS]:[VEHICULOS_ACCIDENTADOS2]],"MOTOCARRO")</f>
        <v>0</v>
      </c>
      <c r="T690" s="36">
        <f>COUNTIF(Tabla1[[#This Row],[VEHICULOS_ACCIDENTADOS]:[VEHICULOS_ACCIDENTADOS2]],"AUTOMOVIL")</f>
        <v>0</v>
      </c>
      <c r="U690" s="36">
        <f>COUNTIF(Tabla1[[#This Row],[VEHICULOS_ACCIDENTADOS]:[VEHICULOS_ACCIDENTADOS2]],"CAMPERO")</f>
        <v>0</v>
      </c>
      <c r="V690" s="36">
        <f>COUNTIF(Tabla1[[#This Row],[VEHICULOS_ACCIDENTADOS]:[VEHICULOS_ACCIDENTADOS2]],"CAMIONETA")</f>
        <v>0</v>
      </c>
      <c r="W690" s="36">
        <f>COUNTIF(Tabla1[[#This Row],[VEHICULOS_ACCIDENTADOS]:[VEHICULOS_ACCIDENTADOS2]],"MICROBUS")</f>
        <v>0</v>
      </c>
      <c r="X690" s="36">
        <f>COUNTIF(Tabla1[[#This Row],[VEHICULOS_ACCIDENTADOS]:[VEHICULOS_ACCIDENTADOS2]],"BUS")</f>
        <v>0</v>
      </c>
      <c r="Y690" s="36">
        <f>COUNTIF(Tabla1[[#This Row],[VEHICULOS_ACCIDENTADOS]:[VEHICULOS_ACCIDENTADOS2]],"BUSETA")</f>
        <v>0</v>
      </c>
      <c r="Z690" s="36">
        <f>COUNTIF(Tabla1[[#This Row],[VEHICULOS_ACCIDENTADOS]:[VEHICULOS_ACCIDENTADOS2]],"CAMION")</f>
        <v>0</v>
      </c>
      <c r="AA690" s="36">
        <f>COUNTIF(Tabla1[[#This Row],[VEHICULOS_ACCIDENTADOS]:[VEHICULOS_ACCIDENTADOS2]],"TRACTOCAMION")</f>
        <v>0</v>
      </c>
      <c r="AB690" s="36">
        <f>COUNTIF(Tabla1[[#This Row],[VEHICULOS_ACCIDENTADOS]:[VEHICULOS_ACCIDENTADOS2]],"VOLQUETA")</f>
        <v>0</v>
      </c>
      <c r="AC690" s="36">
        <f>COUNTIF(Tabla1[[#This Row],[VEHICULOS_ACCIDENTADOS]:[VEHICULOS_ACCIDENTADOS2]],"BICICLETA")</f>
        <v>0</v>
      </c>
      <c r="AD690" s="43" t="s">
        <v>471</v>
      </c>
      <c r="AE690" s="43"/>
      <c r="AF690" s="43">
        <f>COUNTIF(Tabla1[[#This Row],[GENERO_MASCULINO]:[GENERO_FEMENINO]],"MASCULINO")</f>
        <v>1</v>
      </c>
      <c r="AG690" s="36">
        <f>COUNTIF(Tabla1[[#This Row],[GENERO_MASCULINO]:[GENERO_FEMENINO]],"FEMENINO")</f>
        <v>0</v>
      </c>
      <c r="AH690" s="86">
        <v>18</v>
      </c>
      <c r="AI690" s="86">
        <v>73</v>
      </c>
      <c r="AJ690" s="86"/>
      <c r="AK690" s="86"/>
      <c r="AL690" s="86"/>
      <c r="AM690" s="15"/>
      <c r="AN690" s="86">
        <v>139</v>
      </c>
      <c r="AO690" s="36" t="str">
        <f>IFERROR(((VLOOKUP(Tabla1[[#This Row],[HIPOTESIS_1]],listas!$D$1:$E$105,2,FALSE))),"SIN INFORMACIÓN")</f>
        <v>Impericia en el manejo.</v>
      </c>
      <c r="AP690" s="15"/>
      <c r="AQ690" s="36" t="str">
        <f>IFERROR(((VLOOKUP(Tabla1[[#This Row],[HIPOTESIS_2]],listas!$D$1:$E$105,2,FALSE))),"")</f>
        <v/>
      </c>
      <c r="AR690" s="1" t="str">
        <f>IF(HOUR(Tabla1[[#This Row],[HORA_ACCIDENTE]])&lt;6,"MAÑANA",
 IF(HOUR(Tabla1[[#This Row],[HORA_ACCIDENTE]])&lt;12,"MAÑANA",
 IF(HOUR(Tabla1[[#This Row],[HORA_ACCIDENTE]])&lt;18,"TARDE","NOCHE")))</f>
        <v>TARDE</v>
      </c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s="40"/>
    </row>
    <row r="691" spans="1:56" x14ac:dyDescent="0.25">
      <c r="A691" s="12">
        <v>911</v>
      </c>
      <c r="B691" s="38">
        <v>1</v>
      </c>
      <c r="C691" s="7">
        <v>0</v>
      </c>
      <c r="D691" s="15">
        <v>0</v>
      </c>
      <c r="E691" s="18" t="str">
        <f t="shared" si="40"/>
        <v>SOLO DAÑO</v>
      </c>
      <c r="F691" s="29" t="s">
        <v>1117</v>
      </c>
      <c r="G691" s="21">
        <v>5.3404333333333334</v>
      </c>
      <c r="H691" s="21">
        <v>-72.396502777777783</v>
      </c>
      <c r="I691" s="93" t="s">
        <v>697</v>
      </c>
      <c r="J691" s="37" t="s">
        <v>717</v>
      </c>
      <c r="K691" s="24" t="str">
        <f t="shared" si="41"/>
        <v>2025</v>
      </c>
      <c r="L691" s="24" t="str">
        <f t="shared" si="42"/>
        <v>MARZO</v>
      </c>
      <c r="M691" s="232">
        <v>45742</v>
      </c>
      <c r="N691" s="24" t="str">
        <f t="shared" si="43"/>
        <v>MIÉRCOLES</v>
      </c>
      <c r="O691" s="106">
        <v>6.25E-2</v>
      </c>
      <c r="P691" s="39" t="s">
        <v>446</v>
      </c>
      <c r="Q691" s="39"/>
      <c r="R691" s="36">
        <f>COUNTIF(Tabla1[[#This Row],[VEHICULOS_ACCIDENTADOS]:[VEHICULOS_ACCIDENTADOS2]],"MOTOCICLETA")</f>
        <v>0</v>
      </c>
      <c r="S691" s="36">
        <f>COUNTIF(Tabla1[[#This Row],[VEHICULOS_ACCIDENTADOS]:[VEHICULOS_ACCIDENTADOS2]],"MOTOCARRO")</f>
        <v>0</v>
      </c>
      <c r="T691" s="36">
        <f>COUNTIF(Tabla1[[#This Row],[VEHICULOS_ACCIDENTADOS]:[VEHICULOS_ACCIDENTADOS2]],"AUTOMOVIL")</f>
        <v>0</v>
      </c>
      <c r="U691" s="36">
        <f>COUNTIF(Tabla1[[#This Row],[VEHICULOS_ACCIDENTADOS]:[VEHICULOS_ACCIDENTADOS2]],"CAMPERO")</f>
        <v>1</v>
      </c>
      <c r="V691" s="36">
        <f>COUNTIF(Tabla1[[#This Row],[VEHICULOS_ACCIDENTADOS]:[VEHICULOS_ACCIDENTADOS2]],"CAMIONETA")</f>
        <v>0</v>
      </c>
      <c r="W691" s="36">
        <f>COUNTIF(Tabla1[[#This Row],[VEHICULOS_ACCIDENTADOS]:[VEHICULOS_ACCIDENTADOS2]],"MICROBUS")</f>
        <v>0</v>
      </c>
      <c r="X691" s="36">
        <f>COUNTIF(Tabla1[[#This Row],[VEHICULOS_ACCIDENTADOS]:[VEHICULOS_ACCIDENTADOS2]],"BUS")</f>
        <v>0</v>
      </c>
      <c r="Y691" s="36">
        <f>COUNTIF(Tabla1[[#This Row],[VEHICULOS_ACCIDENTADOS]:[VEHICULOS_ACCIDENTADOS2]],"BUSETA")</f>
        <v>0</v>
      </c>
      <c r="Z691" s="36">
        <f>COUNTIF(Tabla1[[#This Row],[VEHICULOS_ACCIDENTADOS]:[VEHICULOS_ACCIDENTADOS2]],"CAMION")</f>
        <v>0</v>
      </c>
      <c r="AA691" s="36">
        <f>COUNTIF(Tabla1[[#This Row],[VEHICULOS_ACCIDENTADOS]:[VEHICULOS_ACCIDENTADOS2]],"TRACTOCAMION")</f>
        <v>0</v>
      </c>
      <c r="AB691" s="36">
        <f>COUNTIF(Tabla1[[#This Row],[VEHICULOS_ACCIDENTADOS]:[VEHICULOS_ACCIDENTADOS2]],"VOLQUETA")</f>
        <v>0</v>
      </c>
      <c r="AC691" s="36">
        <f>COUNTIF(Tabla1[[#This Row],[VEHICULOS_ACCIDENTADOS]:[VEHICULOS_ACCIDENTADOS2]],"BICICLETA")</f>
        <v>0</v>
      </c>
      <c r="AD691" s="38" t="s">
        <v>471</v>
      </c>
      <c r="AE691" s="38"/>
      <c r="AF691" s="38">
        <f>COUNTIF(Tabla1[[#This Row],[GENERO_MASCULINO]:[GENERO_FEMENINO]],"MASCULINO")</f>
        <v>1</v>
      </c>
      <c r="AG691" s="36">
        <f>COUNTIF(Tabla1[[#This Row],[GENERO_MASCULINO]:[GENERO_FEMENINO]],"FEMENINO")</f>
        <v>0</v>
      </c>
      <c r="AH691" s="86">
        <v>28</v>
      </c>
      <c r="AI691" s="86"/>
      <c r="AJ691" s="86"/>
      <c r="AK691" s="73"/>
      <c r="AL691" s="73"/>
      <c r="AM691" s="7"/>
      <c r="AN691" s="73">
        <v>115</v>
      </c>
      <c r="AO691" s="36" t="str">
        <f>IFERROR(((VLOOKUP(Tabla1[[#This Row],[HIPOTESIS_1]],listas!$D$1:$E$105,2,FALSE))),"SIN INFORMACIÓN")</f>
        <v>Embriaguez o Sustancias alucinogenas</v>
      </c>
      <c r="AP691" s="7"/>
      <c r="AQ691" s="36" t="str">
        <f>IFERROR(((VLOOKUP(Tabla1[[#This Row],[HIPOTESIS_2]],listas!$D$1:$E$105,2,FALSE))),"")</f>
        <v/>
      </c>
      <c r="AR691" s="1" t="str">
        <f>IF(HOUR(Tabla1[[#This Row],[HORA_ACCIDENTE]])&lt;6,"MAÑANA",
 IF(HOUR(Tabla1[[#This Row],[HORA_ACCIDENTE]])&lt;12,"MAÑANA",
 IF(HOUR(Tabla1[[#This Row],[HORA_ACCIDENTE]])&lt;18,"TARDE","NOCHE")))</f>
        <v>MAÑANA</v>
      </c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40"/>
    </row>
    <row r="692" spans="1:56" x14ac:dyDescent="0.25">
      <c r="A692" s="12">
        <v>999</v>
      </c>
      <c r="B692" s="47">
        <v>0</v>
      </c>
      <c r="C692" s="24">
        <v>1</v>
      </c>
      <c r="D692" s="24">
        <v>0</v>
      </c>
      <c r="E692" s="18" t="str">
        <f t="shared" si="40"/>
        <v>LESIONADO</v>
      </c>
      <c r="F692" s="152" t="s">
        <v>1119</v>
      </c>
      <c r="G692" s="30">
        <v>5.3380789999999996</v>
      </c>
      <c r="H692" s="30">
        <v>-72.395205000000004</v>
      </c>
      <c r="I692" s="93" t="s">
        <v>697</v>
      </c>
      <c r="J692" s="7" t="s">
        <v>717</v>
      </c>
      <c r="K692" s="24" t="str">
        <f t="shared" si="41"/>
        <v>2025</v>
      </c>
      <c r="L692" s="24" t="str">
        <f t="shared" si="42"/>
        <v>JUNIO</v>
      </c>
      <c r="M692" s="236">
        <v>45829</v>
      </c>
      <c r="N692" s="24" t="str">
        <f t="shared" si="43"/>
        <v>SÁBADO</v>
      </c>
      <c r="O692" s="106">
        <v>0.63194444444444442</v>
      </c>
      <c r="P692" s="8" t="s">
        <v>469</v>
      </c>
      <c r="Q692" s="8" t="s">
        <v>469</v>
      </c>
      <c r="R692" s="36">
        <f>COUNTIF(Tabla1[[#This Row],[VEHICULOS_ACCIDENTADOS]:[VEHICULOS_ACCIDENTADOS2]],"MOTOCICLETA")</f>
        <v>2</v>
      </c>
      <c r="S692" s="36">
        <f>COUNTIF(Tabla1[[#This Row],[VEHICULOS_ACCIDENTADOS]:[VEHICULOS_ACCIDENTADOS2]],"MOTOCARRO")</f>
        <v>0</v>
      </c>
      <c r="T692" s="36">
        <f>COUNTIF(Tabla1[[#This Row],[VEHICULOS_ACCIDENTADOS]:[VEHICULOS_ACCIDENTADOS2]],"AUTOMOVIL")</f>
        <v>0</v>
      </c>
      <c r="U692" s="36">
        <f>COUNTIF(Tabla1[[#This Row],[VEHICULOS_ACCIDENTADOS]:[VEHICULOS_ACCIDENTADOS2]],"CAMPERO")</f>
        <v>0</v>
      </c>
      <c r="V692" s="36">
        <f>COUNTIF(Tabla1[[#This Row],[VEHICULOS_ACCIDENTADOS]:[VEHICULOS_ACCIDENTADOS2]],"CAMIONETA")</f>
        <v>0</v>
      </c>
      <c r="W692" s="36">
        <f>COUNTIF(Tabla1[[#This Row],[VEHICULOS_ACCIDENTADOS]:[VEHICULOS_ACCIDENTADOS2]],"MICROBUS")</f>
        <v>0</v>
      </c>
      <c r="X692" s="36">
        <f>COUNTIF(Tabla1[[#This Row],[VEHICULOS_ACCIDENTADOS]:[VEHICULOS_ACCIDENTADOS2]],"BUS")</f>
        <v>0</v>
      </c>
      <c r="Y692" s="36">
        <f>COUNTIF(Tabla1[[#This Row],[VEHICULOS_ACCIDENTADOS]:[VEHICULOS_ACCIDENTADOS2]],"BUSETA")</f>
        <v>0</v>
      </c>
      <c r="Z692" s="36">
        <f>COUNTIF(Tabla1[[#This Row],[VEHICULOS_ACCIDENTADOS]:[VEHICULOS_ACCIDENTADOS2]],"CAMION")</f>
        <v>0</v>
      </c>
      <c r="AA692" s="36">
        <f>COUNTIF(Tabla1[[#This Row],[VEHICULOS_ACCIDENTADOS]:[VEHICULOS_ACCIDENTADOS2]],"TRACTOCAMION")</f>
        <v>0</v>
      </c>
      <c r="AB692" s="36">
        <f>COUNTIF(Tabla1[[#This Row],[VEHICULOS_ACCIDENTADOS]:[VEHICULOS_ACCIDENTADOS2]],"VOLQUETA")</f>
        <v>0</v>
      </c>
      <c r="AC692" s="36">
        <f>COUNTIF(Tabla1[[#This Row],[VEHICULOS_ACCIDENTADOS]:[VEHICULOS_ACCIDENTADOS2]],"BICICLETA")</f>
        <v>0</v>
      </c>
      <c r="AD692" s="38" t="s">
        <v>471</v>
      </c>
      <c r="AE692" s="38" t="s">
        <v>471</v>
      </c>
      <c r="AF692" s="38">
        <f>COUNTIF(Tabla1[[#This Row],[GENERO_MASCULINO]:[GENERO_FEMENINO]],"MASCULINO")</f>
        <v>2</v>
      </c>
      <c r="AG692" s="36">
        <f>COUNTIF(Tabla1[[#This Row],[GENERO_MASCULINO]:[GENERO_FEMENINO]],"FEMENINO")</f>
        <v>0</v>
      </c>
      <c r="AH692" s="86">
        <v>39</v>
      </c>
      <c r="AI692" s="86">
        <v>39</v>
      </c>
      <c r="AJ692" s="86"/>
      <c r="AK692" s="87"/>
      <c r="AL692" s="87"/>
      <c r="AM692" s="6"/>
      <c r="AN692" s="73">
        <v>127</v>
      </c>
      <c r="AO692" s="36" t="str">
        <f>IFERROR(((VLOOKUP(Tabla1[[#This Row],[HIPOTESIS_1]],listas!$D$1:$E$105,2,FALSE))),"SIN INFORMACIÓN")</f>
        <v>Transitar en contravía.</v>
      </c>
      <c r="AP692" s="7"/>
      <c r="AQ692" s="36" t="str">
        <f>IFERROR(((VLOOKUP(Tabla1[[#This Row],[HIPOTESIS_2]],listas!$D$1:$E$105,2,FALSE))),"")</f>
        <v/>
      </c>
      <c r="AR692" s="1" t="str">
        <f>IF(HOUR(Tabla1[[#This Row],[HORA_ACCIDENTE]])&lt;6,"MAÑANA",
 IF(HOUR(Tabla1[[#This Row],[HORA_ACCIDENTE]])&lt;12,"MAÑANA",
 IF(HOUR(Tabla1[[#This Row],[HORA_ACCIDENTE]])&lt;18,"TARDE","NOCHE")))</f>
        <v>TARDE</v>
      </c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s="40"/>
    </row>
    <row r="693" spans="1:56" x14ac:dyDescent="0.25">
      <c r="A693" s="12">
        <v>764</v>
      </c>
      <c r="B693" s="43">
        <v>1</v>
      </c>
      <c r="C693" s="15">
        <v>0</v>
      </c>
      <c r="D693" s="15">
        <v>0</v>
      </c>
      <c r="E693" s="18" t="str">
        <f t="shared" si="40"/>
        <v>SOLO DAÑO</v>
      </c>
      <c r="F693" s="26" t="s">
        <v>1121</v>
      </c>
      <c r="G693" s="17">
        <v>5.3308972222222222</v>
      </c>
      <c r="H693" s="17">
        <v>-72.391325000000009</v>
      </c>
      <c r="I693" s="93" t="s">
        <v>697</v>
      </c>
      <c r="J693" s="15" t="s">
        <v>717</v>
      </c>
      <c r="K693" s="24" t="str">
        <f t="shared" si="41"/>
        <v>2024</v>
      </c>
      <c r="L693" s="24" t="str">
        <f t="shared" si="42"/>
        <v>AGOSTO</v>
      </c>
      <c r="M693" s="234">
        <v>45523</v>
      </c>
      <c r="N693" s="24" t="str">
        <f t="shared" si="43"/>
        <v>LUNES</v>
      </c>
      <c r="O693" s="108">
        <v>0.6875</v>
      </c>
      <c r="P693" s="44" t="s">
        <v>447</v>
      </c>
      <c r="Q693" s="44" t="s">
        <v>444</v>
      </c>
      <c r="R693" s="36">
        <f>COUNTIF(Tabla1[[#This Row],[VEHICULOS_ACCIDENTADOS]:[VEHICULOS_ACCIDENTADOS2]],"MOTOCICLETA")</f>
        <v>0</v>
      </c>
      <c r="S693" s="36">
        <f>COUNTIF(Tabla1[[#This Row],[VEHICULOS_ACCIDENTADOS]:[VEHICULOS_ACCIDENTADOS2]],"MOTOCARRO")</f>
        <v>0</v>
      </c>
      <c r="T693" s="36">
        <f>COUNTIF(Tabla1[[#This Row],[VEHICULOS_ACCIDENTADOS]:[VEHICULOS_ACCIDENTADOS2]],"AUTOMOVIL")</f>
        <v>1</v>
      </c>
      <c r="U693" s="36">
        <f>COUNTIF(Tabla1[[#This Row],[VEHICULOS_ACCIDENTADOS]:[VEHICULOS_ACCIDENTADOS2]],"CAMPERO")</f>
        <v>0</v>
      </c>
      <c r="V693" s="36">
        <f>COUNTIF(Tabla1[[#This Row],[VEHICULOS_ACCIDENTADOS]:[VEHICULOS_ACCIDENTADOS2]],"CAMIONETA")</f>
        <v>0</v>
      </c>
      <c r="W693" s="36">
        <f>COUNTIF(Tabla1[[#This Row],[VEHICULOS_ACCIDENTADOS]:[VEHICULOS_ACCIDENTADOS2]],"MICROBUS")</f>
        <v>1</v>
      </c>
      <c r="X693" s="36">
        <f>COUNTIF(Tabla1[[#This Row],[VEHICULOS_ACCIDENTADOS]:[VEHICULOS_ACCIDENTADOS2]],"BUS")</f>
        <v>0</v>
      </c>
      <c r="Y693" s="36">
        <f>COUNTIF(Tabla1[[#This Row],[VEHICULOS_ACCIDENTADOS]:[VEHICULOS_ACCIDENTADOS2]],"BUSETA")</f>
        <v>0</v>
      </c>
      <c r="Z693" s="36">
        <f>COUNTIF(Tabla1[[#This Row],[VEHICULOS_ACCIDENTADOS]:[VEHICULOS_ACCIDENTADOS2]],"CAMION")</f>
        <v>0</v>
      </c>
      <c r="AA693" s="36">
        <f>COUNTIF(Tabla1[[#This Row],[VEHICULOS_ACCIDENTADOS]:[VEHICULOS_ACCIDENTADOS2]],"TRACTOCAMION")</f>
        <v>0</v>
      </c>
      <c r="AB693" s="36">
        <f>COUNTIF(Tabla1[[#This Row],[VEHICULOS_ACCIDENTADOS]:[VEHICULOS_ACCIDENTADOS2]],"VOLQUETA")</f>
        <v>0</v>
      </c>
      <c r="AC693" s="36">
        <f>COUNTIF(Tabla1[[#This Row],[VEHICULOS_ACCIDENTADOS]:[VEHICULOS_ACCIDENTADOS2]],"BICICLETA")</f>
        <v>0</v>
      </c>
      <c r="AD693" s="43" t="s">
        <v>471</v>
      </c>
      <c r="AE693" s="43" t="s">
        <v>472</v>
      </c>
      <c r="AF693" s="43">
        <f>COUNTIF(Tabla1[[#This Row],[GENERO_MASCULINO]:[GENERO_FEMENINO]],"MASCULINO")</f>
        <v>1</v>
      </c>
      <c r="AG693" s="36">
        <f>COUNTIF(Tabla1[[#This Row],[GENERO_MASCULINO]:[GENERO_FEMENINO]],"FEMENINO")</f>
        <v>1</v>
      </c>
      <c r="AH693" s="86">
        <v>27</v>
      </c>
      <c r="AI693" s="86">
        <v>51</v>
      </c>
      <c r="AJ693" s="86"/>
      <c r="AK693" s="86"/>
      <c r="AL693" s="86"/>
      <c r="AM693" s="15"/>
      <c r="AN693" s="86">
        <v>157</v>
      </c>
      <c r="AO693" s="36" t="str">
        <f>IFERROR(((VLOOKUP(Tabla1[[#This Row],[HIPOTESIS_1]],listas!$D$1:$E$105,2,FALSE))),"SIN INFORMACIÓN")</f>
        <v>Otra</v>
      </c>
      <c r="AP693" s="15"/>
      <c r="AQ693" s="36" t="str">
        <f>IFERROR(((VLOOKUP(Tabla1[[#This Row],[HIPOTESIS_2]],listas!$D$1:$E$105,2,FALSE))),"")</f>
        <v/>
      </c>
      <c r="AR693" s="1" t="str">
        <f>IF(HOUR(Tabla1[[#This Row],[HORA_ACCIDENTE]])&lt;6,"MAÑANA",
 IF(HOUR(Tabla1[[#This Row],[HORA_ACCIDENTE]])&lt;12,"MAÑANA",
 IF(HOUR(Tabla1[[#This Row],[HORA_ACCIDENTE]])&lt;18,"TARDE","NOCHE")))</f>
        <v>TARDE</v>
      </c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40"/>
    </row>
    <row r="694" spans="1:56" x14ac:dyDescent="0.25">
      <c r="A694" s="12">
        <v>138</v>
      </c>
      <c r="B694" s="38">
        <v>1</v>
      </c>
      <c r="C694" s="7">
        <v>0</v>
      </c>
      <c r="D694" s="7">
        <v>0</v>
      </c>
      <c r="E694" s="18" t="str">
        <f t="shared" si="40"/>
        <v>SOLO DAÑO</v>
      </c>
      <c r="F694" s="29" t="s">
        <v>1121</v>
      </c>
      <c r="G694" s="17">
        <v>5.3308972222222222</v>
      </c>
      <c r="H694" s="17">
        <v>-72.391325000000009</v>
      </c>
      <c r="I694" s="93" t="s">
        <v>697</v>
      </c>
      <c r="J694" s="7" t="s">
        <v>717</v>
      </c>
      <c r="K694" s="24" t="str">
        <f t="shared" si="41"/>
        <v>2022</v>
      </c>
      <c r="L694" s="24" t="str">
        <f t="shared" si="42"/>
        <v>ABRIL</v>
      </c>
      <c r="M694" s="232">
        <v>44667</v>
      </c>
      <c r="N694" s="24" t="str">
        <f t="shared" si="43"/>
        <v>SÁBADO</v>
      </c>
      <c r="O694" s="106">
        <v>0.95833333333333337</v>
      </c>
      <c r="P694" s="8" t="s">
        <v>469</v>
      </c>
      <c r="Q694" s="8" t="s">
        <v>469</v>
      </c>
      <c r="R694" s="36">
        <f>COUNTIF(Tabla1[[#This Row],[VEHICULOS_ACCIDENTADOS]:[VEHICULOS_ACCIDENTADOS2]],"MOTOCICLETA")</f>
        <v>2</v>
      </c>
      <c r="S694" s="36">
        <f>COUNTIF(Tabla1[[#This Row],[VEHICULOS_ACCIDENTADOS]:[VEHICULOS_ACCIDENTADOS2]],"MOTOCARRO")</f>
        <v>0</v>
      </c>
      <c r="T694" s="36">
        <f>COUNTIF(Tabla1[[#This Row],[VEHICULOS_ACCIDENTADOS]:[VEHICULOS_ACCIDENTADOS2]],"AUTOMOVIL")</f>
        <v>0</v>
      </c>
      <c r="U694" s="36">
        <f>COUNTIF(Tabla1[[#This Row],[VEHICULOS_ACCIDENTADOS]:[VEHICULOS_ACCIDENTADOS2]],"CAMPERO")</f>
        <v>0</v>
      </c>
      <c r="V694" s="36">
        <f>COUNTIF(Tabla1[[#This Row],[VEHICULOS_ACCIDENTADOS]:[VEHICULOS_ACCIDENTADOS2]],"CAMIONETA")</f>
        <v>0</v>
      </c>
      <c r="W694" s="36">
        <f>COUNTIF(Tabla1[[#This Row],[VEHICULOS_ACCIDENTADOS]:[VEHICULOS_ACCIDENTADOS2]],"MICROBUS")</f>
        <v>0</v>
      </c>
      <c r="X694" s="36">
        <f>COUNTIF(Tabla1[[#This Row],[VEHICULOS_ACCIDENTADOS]:[VEHICULOS_ACCIDENTADOS2]],"BUS")</f>
        <v>0</v>
      </c>
      <c r="Y694" s="36">
        <f>COUNTIF(Tabla1[[#This Row],[VEHICULOS_ACCIDENTADOS]:[VEHICULOS_ACCIDENTADOS2]],"BUSETA")</f>
        <v>0</v>
      </c>
      <c r="Z694" s="36">
        <f>COUNTIF(Tabla1[[#This Row],[VEHICULOS_ACCIDENTADOS]:[VEHICULOS_ACCIDENTADOS2]],"CAMION")</f>
        <v>0</v>
      </c>
      <c r="AA694" s="36">
        <f>COUNTIF(Tabla1[[#This Row],[VEHICULOS_ACCIDENTADOS]:[VEHICULOS_ACCIDENTADOS2]],"TRACTOCAMION")</f>
        <v>0</v>
      </c>
      <c r="AB694" s="36">
        <f>COUNTIF(Tabla1[[#This Row],[VEHICULOS_ACCIDENTADOS]:[VEHICULOS_ACCIDENTADOS2]],"VOLQUETA")</f>
        <v>0</v>
      </c>
      <c r="AC694" s="36">
        <f>COUNTIF(Tabla1[[#This Row],[VEHICULOS_ACCIDENTADOS]:[VEHICULOS_ACCIDENTADOS2]],"BICICLETA")</f>
        <v>0</v>
      </c>
      <c r="AD694" s="38"/>
      <c r="AE694" s="38" t="s">
        <v>472</v>
      </c>
      <c r="AF694" s="38">
        <f>COUNTIF(Tabla1[[#This Row],[GENERO_MASCULINO]:[GENERO_FEMENINO]],"MASCULINO")</f>
        <v>0</v>
      </c>
      <c r="AG694" s="36">
        <f>COUNTIF(Tabla1[[#This Row],[GENERO_MASCULINO]:[GENERO_FEMENINO]],"FEMENINO")</f>
        <v>1</v>
      </c>
      <c r="AH694" s="73"/>
      <c r="AI694" s="73"/>
      <c r="AJ694" s="73"/>
      <c r="AK694" s="73"/>
      <c r="AL694" s="73"/>
      <c r="AM694" s="7"/>
      <c r="AN694" s="73">
        <v>157</v>
      </c>
      <c r="AO694" s="36" t="str">
        <f>IFERROR(((VLOOKUP(Tabla1[[#This Row],[HIPOTESIS_1]],listas!$D$1:$E$105,2,FALSE))),"SIN INFORMACIÓN")</f>
        <v>Otra</v>
      </c>
      <c r="AP694" s="7"/>
      <c r="AQ694" s="36" t="str">
        <f>IFERROR(((VLOOKUP(Tabla1[[#This Row],[HIPOTESIS_2]],listas!$D$1:$E$105,2,FALSE))),"")</f>
        <v/>
      </c>
      <c r="AR694" s="1" t="str">
        <f>IF(HOUR(Tabla1[[#This Row],[HORA_ACCIDENTE]])&lt;6,"MAÑANA",
 IF(HOUR(Tabla1[[#This Row],[HORA_ACCIDENTE]])&lt;12,"MAÑANA",
 IF(HOUR(Tabla1[[#This Row],[HORA_ACCIDENTE]])&lt;18,"TARDE","NOCHE")))</f>
        <v>NOCHE</v>
      </c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s="40"/>
    </row>
    <row r="695" spans="1:56" x14ac:dyDescent="0.25">
      <c r="A695" s="12">
        <v>649</v>
      </c>
      <c r="B695" s="38">
        <v>0</v>
      </c>
      <c r="C695" s="15">
        <v>2</v>
      </c>
      <c r="D695" s="15">
        <v>0</v>
      </c>
      <c r="E695" s="18" t="str">
        <f t="shared" si="40"/>
        <v>LESIONADO</v>
      </c>
      <c r="F695" s="26" t="s">
        <v>1121</v>
      </c>
      <c r="G695" s="17">
        <v>5.3308972222222222</v>
      </c>
      <c r="H695" s="17">
        <v>-72.391325000000009</v>
      </c>
      <c r="I695" s="93" t="s">
        <v>697</v>
      </c>
      <c r="J695" s="15" t="s">
        <v>717</v>
      </c>
      <c r="K695" s="24" t="str">
        <f t="shared" si="41"/>
        <v>2024</v>
      </c>
      <c r="L695" s="24" t="str">
        <f t="shared" si="42"/>
        <v>ENERO</v>
      </c>
      <c r="M695" s="234">
        <v>45316</v>
      </c>
      <c r="N695" s="24" t="str">
        <f t="shared" si="43"/>
        <v>JUEVES</v>
      </c>
      <c r="O695" s="108">
        <v>0.56944444444444442</v>
      </c>
      <c r="P695" s="44" t="s">
        <v>447</v>
      </c>
      <c r="Q695" s="44" t="s">
        <v>447</v>
      </c>
      <c r="R695" s="36">
        <f>COUNTIF(Tabla1[[#This Row],[VEHICULOS_ACCIDENTADOS]:[VEHICULOS_ACCIDENTADOS2]],"MOTOCICLETA")</f>
        <v>0</v>
      </c>
      <c r="S695" s="36">
        <f>COUNTIF(Tabla1[[#This Row],[VEHICULOS_ACCIDENTADOS]:[VEHICULOS_ACCIDENTADOS2]],"MOTOCARRO")</f>
        <v>0</v>
      </c>
      <c r="T695" s="36">
        <f>COUNTIF(Tabla1[[#This Row],[VEHICULOS_ACCIDENTADOS]:[VEHICULOS_ACCIDENTADOS2]],"AUTOMOVIL")</f>
        <v>2</v>
      </c>
      <c r="U695" s="36">
        <f>COUNTIF(Tabla1[[#This Row],[VEHICULOS_ACCIDENTADOS]:[VEHICULOS_ACCIDENTADOS2]],"CAMPERO")</f>
        <v>0</v>
      </c>
      <c r="V695" s="36">
        <f>COUNTIF(Tabla1[[#This Row],[VEHICULOS_ACCIDENTADOS]:[VEHICULOS_ACCIDENTADOS2]],"CAMIONETA")</f>
        <v>0</v>
      </c>
      <c r="W695" s="36">
        <f>COUNTIF(Tabla1[[#This Row],[VEHICULOS_ACCIDENTADOS]:[VEHICULOS_ACCIDENTADOS2]],"MICROBUS")</f>
        <v>0</v>
      </c>
      <c r="X695" s="36">
        <f>COUNTIF(Tabla1[[#This Row],[VEHICULOS_ACCIDENTADOS]:[VEHICULOS_ACCIDENTADOS2]],"BUS")</f>
        <v>0</v>
      </c>
      <c r="Y695" s="36">
        <f>COUNTIF(Tabla1[[#This Row],[VEHICULOS_ACCIDENTADOS]:[VEHICULOS_ACCIDENTADOS2]],"BUSETA")</f>
        <v>0</v>
      </c>
      <c r="Z695" s="36">
        <f>COUNTIF(Tabla1[[#This Row],[VEHICULOS_ACCIDENTADOS]:[VEHICULOS_ACCIDENTADOS2]],"CAMION")</f>
        <v>0</v>
      </c>
      <c r="AA695" s="36">
        <f>COUNTIF(Tabla1[[#This Row],[VEHICULOS_ACCIDENTADOS]:[VEHICULOS_ACCIDENTADOS2]],"TRACTOCAMION")</f>
        <v>0</v>
      </c>
      <c r="AB695" s="36">
        <f>COUNTIF(Tabla1[[#This Row],[VEHICULOS_ACCIDENTADOS]:[VEHICULOS_ACCIDENTADOS2]],"VOLQUETA")</f>
        <v>0</v>
      </c>
      <c r="AC695" s="36">
        <f>COUNTIF(Tabla1[[#This Row],[VEHICULOS_ACCIDENTADOS]:[VEHICULOS_ACCIDENTADOS2]],"BICICLETA")</f>
        <v>0</v>
      </c>
      <c r="AD695" s="43"/>
      <c r="AE695" s="43" t="s">
        <v>472</v>
      </c>
      <c r="AF695" s="43">
        <f>COUNTIF(Tabla1[[#This Row],[GENERO_MASCULINO]:[GENERO_FEMENINO]],"MASCULINO")</f>
        <v>0</v>
      </c>
      <c r="AG695" s="36">
        <f>COUNTIF(Tabla1[[#This Row],[GENERO_MASCULINO]:[GENERO_FEMENINO]],"FEMENINO")</f>
        <v>1</v>
      </c>
      <c r="AH695" s="86">
        <v>43</v>
      </c>
      <c r="AI695" s="86">
        <v>26</v>
      </c>
      <c r="AJ695" s="86"/>
      <c r="AK695" s="86"/>
      <c r="AL695" s="86"/>
      <c r="AM695" s="15"/>
      <c r="AN695" s="86">
        <v>157</v>
      </c>
      <c r="AO695" s="36" t="str">
        <f>IFERROR(((VLOOKUP(Tabla1[[#This Row],[HIPOTESIS_1]],listas!$D$1:$E$105,2,FALSE))),"SIN INFORMACIÓN")</f>
        <v>Otra</v>
      </c>
      <c r="AP695" s="15"/>
      <c r="AQ695" s="36" t="str">
        <f>IFERROR(((VLOOKUP(Tabla1[[#This Row],[HIPOTESIS_2]],listas!$D$1:$E$105,2,FALSE))),"")</f>
        <v/>
      </c>
      <c r="AR695" s="1" t="str">
        <f>IF(HOUR(Tabla1[[#This Row],[HORA_ACCIDENTE]])&lt;6,"MAÑANA",
 IF(HOUR(Tabla1[[#This Row],[HORA_ACCIDENTE]])&lt;12,"MAÑANA",
 IF(HOUR(Tabla1[[#This Row],[HORA_ACCIDENTE]])&lt;18,"TARDE","NOCHE")))</f>
        <v>TARDE</v>
      </c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40"/>
    </row>
    <row r="696" spans="1:56" x14ac:dyDescent="0.25">
      <c r="A696" s="12">
        <v>150</v>
      </c>
      <c r="B696" s="38">
        <v>1</v>
      </c>
      <c r="C696" s="7">
        <v>0</v>
      </c>
      <c r="D696" s="7">
        <v>0</v>
      </c>
      <c r="E696" s="18" t="str">
        <f t="shared" si="40"/>
        <v>SOLO DAÑO</v>
      </c>
      <c r="F696" s="29" t="s">
        <v>1121</v>
      </c>
      <c r="G696" s="17">
        <v>5.3308972222222222</v>
      </c>
      <c r="H696" s="17">
        <v>-72.391325000000009</v>
      </c>
      <c r="I696" s="93" t="s">
        <v>697</v>
      </c>
      <c r="J696" s="7" t="s">
        <v>717</v>
      </c>
      <c r="K696" s="24" t="str">
        <f t="shared" si="41"/>
        <v>2022</v>
      </c>
      <c r="L696" s="24" t="str">
        <f t="shared" si="42"/>
        <v>ABRIL</v>
      </c>
      <c r="M696" s="232">
        <v>44673</v>
      </c>
      <c r="N696" s="24" t="str">
        <f t="shared" si="43"/>
        <v>VIERNES</v>
      </c>
      <c r="O696" s="106">
        <v>0.27777777777777801</v>
      </c>
      <c r="P696" s="8" t="s">
        <v>447</v>
      </c>
      <c r="Q696" s="8" t="s">
        <v>447</v>
      </c>
      <c r="R696" s="36">
        <f>COUNTIF(Tabla1[[#This Row],[VEHICULOS_ACCIDENTADOS]:[VEHICULOS_ACCIDENTADOS2]],"MOTOCICLETA")</f>
        <v>0</v>
      </c>
      <c r="S696" s="36">
        <f>COUNTIF(Tabla1[[#This Row],[VEHICULOS_ACCIDENTADOS]:[VEHICULOS_ACCIDENTADOS2]],"MOTOCARRO")</f>
        <v>0</v>
      </c>
      <c r="T696" s="36">
        <f>COUNTIF(Tabla1[[#This Row],[VEHICULOS_ACCIDENTADOS]:[VEHICULOS_ACCIDENTADOS2]],"AUTOMOVIL")</f>
        <v>2</v>
      </c>
      <c r="U696" s="36">
        <f>COUNTIF(Tabla1[[#This Row],[VEHICULOS_ACCIDENTADOS]:[VEHICULOS_ACCIDENTADOS2]],"CAMPERO")</f>
        <v>0</v>
      </c>
      <c r="V696" s="36">
        <f>COUNTIF(Tabla1[[#This Row],[VEHICULOS_ACCIDENTADOS]:[VEHICULOS_ACCIDENTADOS2]],"CAMIONETA")</f>
        <v>0</v>
      </c>
      <c r="W696" s="36">
        <f>COUNTIF(Tabla1[[#This Row],[VEHICULOS_ACCIDENTADOS]:[VEHICULOS_ACCIDENTADOS2]],"MICROBUS")</f>
        <v>0</v>
      </c>
      <c r="X696" s="36">
        <f>COUNTIF(Tabla1[[#This Row],[VEHICULOS_ACCIDENTADOS]:[VEHICULOS_ACCIDENTADOS2]],"BUS")</f>
        <v>0</v>
      </c>
      <c r="Y696" s="36">
        <f>COUNTIF(Tabla1[[#This Row],[VEHICULOS_ACCIDENTADOS]:[VEHICULOS_ACCIDENTADOS2]],"BUSETA")</f>
        <v>0</v>
      </c>
      <c r="Z696" s="36">
        <f>COUNTIF(Tabla1[[#This Row],[VEHICULOS_ACCIDENTADOS]:[VEHICULOS_ACCIDENTADOS2]],"CAMION")</f>
        <v>0</v>
      </c>
      <c r="AA696" s="36">
        <f>COUNTIF(Tabla1[[#This Row],[VEHICULOS_ACCIDENTADOS]:[VEHICULOS_ACCIDENTADOS2]],"TRACTOCAMION")</f>
        <v>0</v>
      </c>
      <c r="AB696" s="36">
        <f>COUNTIF(Tabla1[[#This Row],[VEHICULOS_ACCIDENTADOS]:[VEHICULOS_ACCIDENTADOS2]],"VOLQUETA")</f>
        <v>0</v>
      </c>
      <c r="AC696" s="36">
        <f>COUNTIF(Tabla1[[#This Row],[VEHICULOS_ACCIDENTADOS]:[VEHICULOS_ACCIDENTADOS2]],"BICICLETA")</f>
        <v>0</v>
      </c>
      <c r="AD696" s="38" t="s">
        <v>471</v>
      </c>
      <c r="AE696" s="38"/>
      <c r="AF696" s="38">
        <f>COUNTIF(Tabla1[[#This Row],[GENERO_MASCULINO]:[GENERO_FEMENINO]],"MASCULINO")</f>
        <v>1</v>
      </c>
      <c r="AG696" s="36">
        <f>COUNTIF(Tabla1[[#This Row],[GENERO_MASCULINO]:[GENERO_FEMENINO]],"FEMENINO")</f>
        <v>0</v>
      </c>
      <c r="AH696" s="73"/>
      <c r="AI696" s="73"/>
      <c r="AJ696" s="73"/>
      <c r="AK696" s="73"/>
      <c r="AL696" s="73"/>
      <c r="AM696" s="7"/>
      <c r="AN696" s="73">
        <v>122</v>
      </c>
      <c r="AO696" s="36" t="str">
        <f>IFERROR(((VLOOKUP(Tabla1[[#This Row],[HIPOTESIS_1]],listas!$D$1:$E$105,2,FALSE))),"SIN INFORMACIÓN")</f>
        <v>Girar bruscamente.</v>
      </c>
      <c r="AP696" s="7"/>
      <c r="AQ696" s="36" t="str">
        <f>IFERROR(((VLOOKUP(Tabla1[[#This Row],[HIPOTESIS_2]],listas!$D$1:$E$105,2,FALSE))),"")</f>
        <v/>
      </c>
      <c r="AR696" s="1" t="str">
        <f>IF(HOUR(Tabla1[[#This Row],[HORA_ACCIDENTE]])&lt;6,"MAÑANA",
 IF(HOUR(Tabla1[[#This Row],[HORA_ACCIDENTE]])&lt;12,"MAÑANA",
 IF(HOUR(Tabla1[[#This Row],[HORA_ACCIDENTE]])&lt;18,"TARDE","NOCHE")))</f>
        <v>MAÑANA</v>
      </c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s="40"/>
    </row>
    <row r="697" spans="1:56" x14ac:dyDescent="0.25">
      <c r="A697" s="12">
        <v>955</v>
      </c>
      <c r="B697" s="97">
        <v>0</v>
      </c>
      <c r="C697" s="15">
        <v>3</v>
      </c>
      <c r="D697" s="19">
        <v>0</v>
      </c>
      <c r="E697" s="18" t="str">
        <f t="shared" si="40"/>
        <v>LESIONADO</v>
      </c>
      <c r="F697" s="26" t="s">
        <v>1121</v>
      </c>
      <c r="G697" s="21">
        <v>5.3308972222222222</v>
      </c>
      <c r="H697" s="21">
        <v>-72.391325000000009</v>
      </c>
      <c r="I697" s="93" t="s">
        <v>697</v>
      </c>
      <c r="J697" s="16" t="s">
        <v>717</v>
      </c>
      <c r="K697" s="24" t="str">
        <f t="shared" si="41"/>
        <v>2025</v>
      </c>
      <c r="L697" s="24" t="str">
        <f t="shared" si="42"/>
        <v>MAYO</v>
      </c>
      <c r="M697" s="234">
        <v>45781</v>
      </c>
      <c r="N697" s="24" t="str">
        <f t="shared" si="43"/>
        <v>DOMINGO</v>
      </c>
      <c r="O697" s="108">
        <v>8.3333333333333329E-2</v>
      </c>
      <c r="P697" s="8" t="s">
        <v>469</v>
      </c>
      <c r="Q697" s="8"/>
      <c r="R697" s="36">
        <f>COUNTIF(Tabla1[[#This Row],[VEHICULOS_ACCIDENTADOS]:[VEHICULOS_ACCIDENTADOS2]],"MOTOCICLETA")</f>
        <v>1</v>
      </c>
      <c r="S697" s="36">
        <f>COUNTIF(Tabla1[[#This Row],[VEHICULOS_ACCIDENTADOS]:[VEHICULOS_ACCIDENTADOS2]],"MOTOCARRO")</f>
        <v>0</v>
      </c>
      <c r="T697" s="36">
        <f>COUNTIF(Tabla1[[#This Row],[VEHICULOS_ACCIDENTADOS]:[VEHICULOS_ACCIDENTADOS2]],"AUTOMOVIL")</f>
        <v>0</v>
      </c>
      <c r="U697" s="36">
        <f>COUNTIF(Tabla1[[#This Row],[VEHICULOS_ACCIDENTADOS]:[VEHICULOS_ACCIDENTADOS2]],"CAMPERO")</f>
        <v>0</v>
      </c>
      <c r="V697" s="36">
        <f>COUNTIF(Tabla1[[#This Row],[VEHICULOS_ACCIDENTADOS]:[VEHICULOS_ACCIDENTADOS2]],"CAMIONETA")</f>
        <v>0</v>
      </c>
      <c r="W697" s="36">
        <f>COUNTIF(Tabla1[[#This Row],[VEHICULOS_ACCIDENTADOS]:[VEHICULOS_ACCIDENTADOS2]],"MICROBUS")</f>
        <v>0</v>
      </c>
      <c r="X697" s="36">
        <f>COUNTIF(Tabla1[[#This Row],[VEHICULOS_ACCIDENTADOS]:[VEHICULOS_ACCIDENTADOS2]],"BUS")</f>
        <v>0</v>
      </c>
      <c r="Y697" s="36">
        <f>COUNTIF(Tabla1[[#This Row],[VEHICULOS_ACCIDENTADOS]:[VEHICULOS_ACCIDENTADOS2]],"BUSETA")</f>
        <v>0</v>
      </c>
      <c r="Z697" s="36">
        <f>COUNTIF(Tabla1[[#This Row],[VEHICULOS_ACCIDENTADOS]:[VEHICULOS_ACCIDENTADOS2]],"CAMION")</f>
        <v>0</v>
      </c>
      <c r="AA697" s="36">
        <f>COUNTIF(Tabla1[[#This Row],[VEHICULOS_ACCIDENTADOS]:[VEHICULOS_ACCIDENTADOS2]],"TRACTOCAMION")</f>
        <v>0</v>
      </c>
      <c r="AB697" s="36">
        <f>COUNTIF(Tabla1[[#This Row],[VEHICULOS_ACCIDENTADOS]:[VEHICULOS_ACCIDENTADOS2]],"VOLQUETA")</f>
        <v>0</v>
      </c>
      <c r="AC697" s="36">
        <f>COUNTIF(Tabla1[[#This Row],[VEHICULOS_ACCIDENTADOS]:[VEHICULOS_ACCIDENTADOS2]],"BICICLETA")</f>
        <v>0</v>
      </c>
      <c r="AD697" s="38" t="s">
        <v>471</v>
      </c>
      <c r="AE697" s="38" t="s">
        <v>471</v>
      </c>
      <c r="AF697" s="38">
        <f>COUNTIF(Tabla1[[#This Row],[GENERO_MASCULINO]:[GENERO_FEMENINO]],"MASCULINO")</f>
        <v>2</v>
      </c>
      <c r="AG697" s="36">
        <f>COUNTIF(Tabla1[[#This Row],[GENERO_MASCULINO]:[GENERO_FEMENINO]],"FEMENINO")</f>
        <v>0</v>
      </c>
      <c r="AH697" s="86">
        <v>24</v>
      </c>
      <c r="AI697" s="86">
        <v>18</v>
      </c>
      <c r="AJ697" s="86">
        <v>30</v>
      </c>
      <c r="AK697" s="86"/>
      <c r="AL697" s="87"/>
      <c r="AM697" s="6"/>
      <c r="AN697" s="86">
        <v>115</v>
      </c>
      <c r="AO697" s="36" t="str">
        <f>IFERROR(((VLOOKUP(Tabla1[[#This Row],[HIPOTESIS_1]],listas!$D$1:$E$105,2,FALSE))),"SIN INFORMACIÓN")</f>
        <v>Embriaguez o Sustancias alucinogenas</v>
      </c>
      <c r="AP697" s="7"/>
      <c r="AQ697" s="36" t="str">
        <f>IFERROR(((VLOOKUP(Tabla1[[#This Row],[HIPOTESIS_2]],listas!$D$1:$E$105,2,FALSE))),"")</f>
        <v/>
      </c>
      <c r="AR697" s="1" t="str">
        <f>IF(HOUR(Tabla1[[#This Row],[HORA_ACCIDENTE]])&lt;6,"MAÑANA",
 IF(HOUR(Tabla1[[#This Row],[HORA_ACCIDENTE]])&lt;12,"MAÑANA",
 IF(HOUR(Tabla1[[#This Row],[HORA_ACCIDENTE]])&lt;18,"TARDE","NOCHE")))</f>
        <v>MAÑANA</v>
      </c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40"/>
    </row>
    <row r="698" spans="1:56" x14ac:dyDescent="0.25">
      <c r="A698" s="12">
        <v>499</v>
      </c>
      <c r="B698" s="38">
        <v>0</v>
      </c>
      <c r="C698" s="7">
        <v>1</v>
      </c>
      <c r="D698" s="7">
        <v>0</v>
      </c>
      <c r="E698" s="18" t="str">
        <f t="shared" si="40"/>
        <v>LESIONADO</v>
      </c>
      <c r="F698" s="29" t="s">
        <v>1122</v>
      </c>
      <c r="G698" s="17">
        <v>5.328551</v>
      </c>
      <c r="H698" s="17">
        <v>-72.390023999999997</v>
      </c>
      <c r="I698" s="93" t="s">
        <v>697</v>
      </c>
      <c r="J698" s="7" t="s">
        <v>717</v>
      </c>
      <c r="K698" s="24" t="str">
        <f t="shared" si="41"/>
        <v>2023</v>
      </c>
      <c r="L698" s="24" t="str">
        <f t="shared" si="42"/>
        <v>JUNIO</v>
      </c>
      <c r="M698" s="232">
        <v>45083</v>
      </c>
      <c r="N698" s="24" t="str">
        <f t="shared" si="43"/>
        <v>MARTES</v>
      </c>
      <c r="O698" s="106">
        <v>0.59722222222222221</v>
      </c>
      <c r="P698" s="39" t="s">
        <v>469</v>
      </c>
      <c r="Q698" s="39" t="s">
        <v>445</v>
      </c>
      <c r="R698" s="36">
        <f>COUNTIF(Tabla1[[#This Row],[VEHICULOS_ACCIDENTADOS]:[VEHICULOS_ACCIDENTADOS2]],"MOTOCICLETA")</f>
        <v>1</v>
      </c>
      <c r="S698" s="36">
        <f>COUNTIF(Tabla1[[#This Row],[VEHICULOS_ACCIDENTADOS]:[VEHICULOS_ACCIDENTADOS2]],"MOTOCARRO")</f>
        <v>0</v>
      </c>
      <c r="T698" s="36">
        <f>COUNTIF(Tabla1[[#This Row],[VEHICULOS_ACCIDENTADOS]:[VEHICULOS_ACCIDENTADOS2]],"AUTOMOVIL")</f>
        <v>0</v>
      </c>
      <c r="U698" s="36">
        <f>COUNTIF(Tabla1[[#This Row],[VEHICULOS_ACCIDENTADOS]:[VEHICULOS_ACCIDENTADOS2]],"CAMPERO")</f>
        <v>0</v>
      </c>
      <c r="V698" s="36">
        <f>COUNTIF(Tabla1[[#This Row],[VEHICULOS_ACCIDENTADOS]:[VEHICULOS_ACCIDENTADOS2]],"CAMIONETA")</f>
        <v>1</v>
      </c>
      <c r="W698" s="36">
        <f>COUNTIF(Tabla1[[#This Row],[VEHICULOS_ACCIDENTADOS]:[VEHICULOS_ACCIDENTADOS2]],"MICROBUS")</f>
        <v>0</v>
      </c>
      <c r="X698" s="36">
        <f>COUNTIF(Tabla1[[#This Row],[VEHICULOS_ACCIDENTADOS]:[VEHICULOS_ACCIDENTADOS2]],"BUS")</f>
        <v>0</v>
      </c>
      <c r="Y698" s="36">
        <f>COUNTIF(Tabla1[[#This Row],[VEHICULOS_ACCIDENTADOS]:[VEHICULOS_ACCIDENTADOS2]],"BUSETA")</f>
        <v>0</v>
      </c>
      <c r="Z698" s="36">
        <f>COUNTIF(Tabla1[[#This Row],[VEHICULOS_ACCIDENTADOS]:[VEHICULOS_ACCIDENTADOS2]],"CAMION")</f>
        <v>0</v>
      </c>
      <c r="AA698" s="36">
        <f>COUNTIF(Tabla1[[#This Row],[VEHICULOS_ACCIDENTADOS]:[VEHICULOS_ACCIDENTADOS2]],"TRACTOCAMION")</f>
        <v>0</v>
      </c>
      <c r="AB698" s="36">
        <f>COUNTIF(Tabla1[[#This Row],[VEHICULOS_ACCIDENTADOS]:[VEHICULOS_ACCIDENTADOS2]],"VOLQUETA")</f>
        <v>0</v>
      </c>
      <c r="AC698" s="36">
        <f>COUNTIF(Tabla1[[#This Row],[VEHICULOS_ACCIDENTADOS]:[VEHICULOS_ACCIDENTADOS2]],"BICICLETA")</f>
        <v>0</v>
      </c>
      <c r="AD698" s="38" t="s">
        <v>471</v>
      </c>
      <c r="AE698" s="38"/>
      <c r="AF698" s="38">
        <f>COUNTIF(Tabla1[[#This Row],[GENERO_MASCULINO]:[GENERO_FEMENINO]],"MASCULINO")</f>
        <v>1</v>
      </c>
      <c r="AG698" s="36">
        <f>COUNTIF(Tabla1[[#This Row],[GENERO_MASCULINO]:[GENERO_FEMENINO]],"FEMENINO")</f>
        <v>0</v>
      </c>
      <c r="AH698" s="73">
        <v>25</v>
      </c>
      <c r="AI698" s="73"/>
      <c r="AJ698" s="73"/>
      <c r="AK698" s="73"/>
      <c r="AL698" s="73"/>
      <c r="AM698" s="7"/>
      <c r="AN698" s="73">
        <v>157</v>
      </c>
      <c r="AO698" s="36" t="str">
        <f>IFERROR(((VLOOKUP(Tabla1[[#This Row],[HIPOTESIS_1]],listas!$D$1:$E$105,2,FALSE))),"SIN INFORMACIÓN")</f>
        <v>Otra</v>
      </c>
      <c r="AP698" s="7"/>
      <c r="AQ698" s="36" t="str">
        <f>IFERROR(((VLOOKUP(Tabla1[[#This Row],[HIPOTESIS_2]],listas!$D$1:$E$105,2,FALSE))),"")</f>
        <v/>
      </c>
      <c r="AR698" s="1" t="str">
        <f>IF(HOUR(Tabla1[[#This Row],[HORA_ACCIDENTE]])&lt;6,"MAÑANA",
 IF(HOUR(Tabla1[[#This Row],[HORA_ACCIDENTE]])&lt;12,"MAÑANA",
 IF(HOUR(Tabla1[[#This Row],[HORA_ACCIDENTE]])&lt;18,"TARDE","NOCHE")))</f>
        <v>TARDE</v>
      </c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40"/>
    </row>
    <row r="699" spans="1:56" x14ac:dyDescent="0.25">
      <c r="A699" s="12">
        <v>459</v>
      </c>
      <c r="B699" s="38">
        <v>0</v>
      </c>
      <c r="C699" s="7">
        <v>3</v>
      </c>
      <c r="D699" s="7">
        <v>0</v>
      </c>
      <c r="E699" s="18" t="str">
        <f t="shared" si="40"/>
        <v>LESIONADO</v>
      </c>
      <c r="F699" s="29" t="s">
        <v>1123</v>
      </c>
      <c r="G699" s="17">
        <v>5.328551</v>
      </c>
      <c r="H699" s="17">
        <v>-72.390023999999997</v>
      </c>
      <c r="I699" s="93" t="s">
        <v>697</v>
      </c>
      <c r="J699" s="7" t="s">
        <v>717</v>
      </c>
      <c r="K699" s="24" t="str">
        <f t="shared" si="41"/>
        <v>2023</v>
      </c>
      <c r="L699" s="24" t="str">
        <f t="shared" si="42"/>
        <v>ABRIL</v>
      </c>
      <c r="M699" s="232">
        <v>45040</v>
      </c>
      <c r="N699" s="24" t="str">
        <f t="shared" si="43"/>
        <v>LUNES</v>
      </c>
      <c r="O699" s="106">
        <v>0.81944444444444453</v>
      </c>
      <c r="P699" s="39" t="s">
        <v>469</v>
      </c>
      <c r="Q699" s="39" t="s">
        <v>469</v>
      </c>
      <c r="R699" s="36">
        <f>COUNTIF(Tabla1[[#This Row],[VEHICULOS_ACCIDENTADOS]:[VEHICULOS_ACCIDENTADOS2]],"MOTOCICLETA")</f>
        <v>2</v>
      </c>
      <c r="S699" s="36">
        <f>COUNTIF(Tabla1[[#This Row],[VEHICULOS_ACCIDENTADOS]:[VEHICULOS_ACCIDENTADOS2]],"MOTOCARRO")</f>
        <v>0</v>
      </c>
      <c r="T699" s="36">
        <f>COUNTIF(Tabla1[[#This Row],[VEHICULOS_ACCIDENTADOS]:[VEHICULOS_ACCIDENTADOS2]],"AUTOMOVIL")</f>
        <v>0</v>
      </c>
      <c r="U699" s="36">
        <f>COUNTIF(Tabla1[[#This Row],[VEHICULOS_ACCIDENTADOS]:[VEHICULOS_ACCIDENTADOS2]],"CAMPERO")</f>
        <v>0</v>
      </c>
      <c r="V699" s="36">
        <f>COUNTIF(Tabla1[[#This Row],[VEHICULOS_ACCIDENTADOS]:[VEHICULOS_ACCIDENTADOS2]],"CAMIONETA")</f>
        <v>0</v>
      </c>
      <c r="W699" s="36">
        <f>COUNTIF(Tabla1[[#This Row],[VEHICULOS_ACCIDENTADOS]:[VEHICULOS_ACCIDENTADOS2]],"MICROBUS")</f>
        <v>0</v>
      </c>
      <c r="X699" s="36">
        <f>COUNTIF(Tabla1[[#This Row],[VEHICULOS_ACCIDENTADOS]:[VEHICULOS_ACCIDENTADOS2]],"BUS")</f>
        <v>0</v>
      </c>
      <c r="Y699" s="36">
        <f>COUNTIF(Tabla1[[#This Row],[VEHICULOS_ACCIDENTADOS]:[VEHICULOS_ACCIDENTADOS2]],"BUSETA")</f>
        <v>0</v>
      </c>
      <c r="Z699" s="36">
        <f>COUNTIF(Tabla1[[#This Row],[VEHICULOS_ACCIDENTADOS]:[VEHICULOS_ACCIDENTADOS2]],"CAMION")</f>
        <v>0</v>
      </c>
      <c r="AA699" s="36">
        <f>COUNTIF(Tabla1[[#This Row],[VEHICULOS_ACCIDENTADOS]:[VEHICULOS_ACCIDENTADOS2]],"TRACTOCAMION")</f>
        <v>0</v>
      </c>
      <c r="AB699" s="36">
        <f>COUNTIF(Tabla1[[#This Row],[VEHICULOS_ACCIDENTADOS]:[VEHICULOS_ACCIDENTADOS2]],"VOLQUETA")</f>
        <v>0</v>
      </c>
      <c r="AC699" s="36">
        <f>COUNTIF(Tabla1[[#This Row],[VEHICULOS_ACCIDENTADOS]:[VEHICULOS_ACCIDENTADOS2]],"BICICLETA")</f>
        <v>0</v>
      </c>
      <c r="AD699" s="38" t="s">
        <v>471</v>
      </c>
      <c r="AE699" s="38" t="s">
        <v>472</v>
      </c>
      <c r="AF699" s="38">
        <f>COUNTIF(Tabla1[[#This Row],[GENERO_MASCULINO]:[GENERO_FEMENINO]],"MASCULINO")</f>
        <v>1</v>
      </c>
      <c r="AG699" s="36">
        <f>COUNTIF(Tabla1[[#This Row],[GENERO_MASCULINO]:[GENERO_FEMENINO]],"FEMENINO")</f>
        <v>1</v>
      </c>
      <c r="AH699" s="73">
        <v>18</v>
      </c>
      <c r="AI699" s="73">
        <v>56</v>
      </c>
      <c r="AJ699" s="73"/>
      <c r="AK699" s="73"/>
      <c r="AL699" s="73">
        <v>17</v>
      </c>
      <c r="AM699" s="7"/>
      <c r="AN699" s="73">
        <v>112</v>
      </c>
      <c r="AO699" s="36" t="str">
        <f>IFERROR(((VLOOKUP(Tabla1[[#This Row],[HIPOTESIS_1]],listas!$D$1:$E$105,2,FALSE))),"SIN INFORMACIÓN")</f>
        <v>Desobedecer señales o normas de tránsito.</v>
      </c>
      <c r="AP699" s="7"/>
      <c r="AQ699" s="36" t="str">
        <f>IFERROR(((VLOOKUP(Tabla1[[#This Row],[HIPOTESIS_2]],listas!$D$1:$E$105,2,FALSE))),"")</f>
        <v/>
      </c>
      <c r="AR699" s="1" t="str">
        <f>IF(HOUR(Tabla1[[#This Row],[HORA_ACCIDENTE]])&lt;6,"MAÑANA",
 IF(HOUR(Tabla1[[#This Row],[HORA_ACCIDENTE]])&lt;12,"MAÑANA",
 IF(HOUR(Tabla1[[#This Row],[HORA_ACCIDENTE]])&lt;18,"TARDE","NOCHE")))</f>
        <v>NOCHE</v>
      </c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40"/>
    </row>
    <row r="700" spans="1:56" x14ac:dyDescent="0.25">
      <c r="A700" s="12">
        <v>516</v>
      </c>
      <c r="B700" s="38">
        <v>1</v>
      </c>
      <c r="C700" s="7">
        <v>0</v>
      </c>
      <c r="D700" s="7">
        <v>0</v>
      </c>
      <c r="E700" s="18" t="str">
        <f t="shared" si="40"/>
        <v>SOLO DAÑO</v>
      </c>
      <c r="F700" s="29" t="s">
        <v>1123</v>
      </c>
      <c r="G700" s="17">
        <v>5.328551</v>
      </c>
      <c r="H700" s="17">
        <v>-72.390023999999997</v>
      </c>
      <c r="I700" s="93" t="s">
        <v>697</v>
      </c>
      <c r="J700" s="7" t="s">
        <v>717</v>
      </c>
      <c r="K700" s="24" t="str">
        <f t="shared" si="41"/>
        <v>2023</v>
      </c>
      <c r="L700" s="24" t="str">
        <f t="shared" si="42"/>
        <v>JUNIO</v>
      </c>
      <c r="M700" s="232">
        <v>45107</v>
      </c>
      <c r="N700" s="24" t="str">
        <f t="shared" si="43"/>
        <v>VIERNES</v>
      </c>
      <c r="O700" s="106">
        <v>0.41666666666666669</v>
      </c>
      <c r="P700" s="39" t="s">
        <v>447</v>
      </c>
      <c r="Q700" s="39" t="s">
        <v>445</v>
      </c>
      <c r="R700" s="36">
        <f>COUNTIF(Tabla1[[#This Row],[VEHICULOS_ACCIDENTADOS]:[VEHICULOS_ACCIDENTADOS2]],"MOTOCICLETA")</f>
        <v>0</v>
      </c>
      <c r="S700" s="36">
        <f>COUNTIF(Tabla1[[#This Row],[VEHICULOS_ACCIDENTADOS]:[VEHICULOS_ACCIDENTADOS2]],"MOTOCARRO")</f>
        <v>0</v>
      </c>
      <c r="T700" s="36">
        <f>COUNTIF(Tabla1[[#This Row],[VEHICULOS_ACCIDENTADOS]:[VEHICULOS_ACCIDENTADOS2]],"AUTOMOVIL")</f>
        <v>1</v>
      </c>
      <c r="U700" s="36">
        <f>COUNTIF(Tabla1[[#This Row],[VEHICULOS_ACCIDENTADOS]:[VEHICULOS_ACCIDENTADOS2]],"CAMPERO")</f>
        <v>0</v>
      </c>
      <c r="V700" s="36">
        <f>COUNTIF(Tabla1[[#This Row],[VEHICULOS_ACCIDENTADOS]:[VEHICULOS_ACCIDENTADOS2]],"CAMIONETA")</f>
        <v>1</v>
      </c>
      <c r="W700" s="36">
        <f>COUNTIF(Tabla1[[#This Row],[VEHICULOS_ACCIDENTADOS]:[VEHICULOS_ACCIDENTADOS2]],"MICROBUS")</f>
        <v>0</v>
      </c>
      <c r="X700" s="36">
        <f>COUNTIF(Tabla1[[#This Row],[VEHICULOS_ACCIDENTADOS]:[VEHICULOS_ACCIDENTADOS2]],"BUS")</f>
        <v>0</v>
      </c>
      <c r="Y700" s="36">
        <f>COUNTIF(Tabla1[[#This Row],[VEHICULOS_ACCIDENTADOS]:[VEHICULOS_ACCIDENTADOS2]],"BUSETA")</f>
        <v>0</v>
      </c>
      <c r="Z700" s="36">
        <f>COUNTIF(Tabla1[[#This Row],[VEHICULOS_ACCIDENTADOS]:[VEHICULOS_ACCIDENTADOS2]],"CAMION")</f>
        <v>0</v>
      </c>
      <c r="AA700" s="36">
        <f>COUNTIF(Tabla1[[#This Row],[VEHICULOS_ACCIDENTADOS]:[VEHICULOS_ACCIDENTADOS2]],"TRACTOCAMION")</f>
        <v>0</v>
      </c>
      <c r="AB700" s="36">
        <f>COUNTIF(Tabla1[[#This Row],[VEHICULOS_ACCIDENTADOS]:[VEHICULOS_ACCIDENTADOS2]],"VOLQUETA")</f>
        <v>0</v>
      </c>
      <c r="AC700" s="36">
        <f>COUNTIF(Tabla1[[#This Row],[VEHICULOS_ACCIDENTADOS]:[VEHICULOS_ACCIDENTADOS2]],"BICICLETA")</f>
        <v>0</v>
      </c>
      <c r="AD700" s="38"/>
      <c r="AE700" s="38" t="s">
        <v>472</v>
      </c>
      <c r="AF700" s="38">
        <f>COUNTIF(Tabla1[[#This Row],[GENERO_MASCULINO]:[GENERO_FEMENINO]],"MASCULINO")</f>
        <v>0</v>
      </c>
      <c r="AG700" s="36">
        <f>COUNTIF(Tabla1[[#This Row],[GENERO_MASCULINO]:[GENERO_FEMENINO]],"FEMENINO")</f>
        <v>1</v>
      </c>
      <c r="AH700" s="73"/>
      <c r="AI700" s="73"/>
      <c r="AJ700" s="87"/>
      <c r="AK700" s="73"/>
      <c r="AL700" s="73"/>
      <c r="AM700" s="7"/>
      <c r="AN700" s="73">
        <v>112</v>
      </c>
      <c r="AO700" s="36" t="str">
        <f>IFERROR(((VLOOKUP(Tabla1[[#This Row],[HIPOTESIS_1]],listas!$D$1:$E$105,2,FALSE))),"SIN INFORMACIÓN")</f>
        <v>Desobedecer señales o normas de tránsito.</v>
      </c>
      <c r="AP700" s="7"/>
      <c r="AQ700" s="36" t="str">
        <f>IFERROR(((VLOOKUP(Tabla1[[#This Row],[HIPOTESIS_2]],listas!$D$1:$E$105,2,FALSE))),"")</f>
        <v/>
      </c>
      <c r="AR700" s="1" t="str">
        <f>IF(HOUR(Tabla1[[#This Row],[HORA_ACCIDENTE]])&lt;6,"MAÑANA",
 IF(HOUR(Tabla1[[#This Row],[HORA_ACCIDENTE]])&lt;12,"MAÑANA",
 IF(HOUR(Tabla1[[#This Row],[HORA_ACCIDENTE]])&lt;18,"TARDE","NOCHE")))</f>
        <v>MAÑANA</v>
      </c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  <c r="BD700" s="40"/>
    </row>
    <row r="701" spans="1:56" x14ac:dyDescent="0.25">
      <c r="A701" s="12">
        <v>174</v>
      </c>
      <c r="B701" s="38">
        <v>1</v>
      </c>
      <c r="C701" s="7">
        <v>0</v>
      </c>
      <c r="D701" s="7">
        <v>0</v>
      </c>
      <c r="E701" s="18" t="str">
        <f t="shared" si="40"/>
        <v>SOLO DAÑO</v>
      </c>
      <c r="F701" s="29" t="s">
        <v>1124</v>
      </c>
      <c r="G701" s="21">
        <v>5.3223549999999999</v>
      </c>
      <c r="H701" s="21">
        <v>-72.386674722222224</v>
      </c>
      <c r="I701" s="93" t="s">
        <v>697</v>
      </c>
      <c r="J701" s="7" t="s">
        <v>717</v>
      </c>
      <c r="K701" s="24" t="str">
        <f t="shared" si="41"/>
        <v>2022</v>
      </c>
      <c r="L701" s="24" t="str">
        <f t="shared" si="42"/>
        <v>MAYO</v>
      </c>
      <c r="M701" s="232">
        <v>44689</v>
      </c>
      <c r="N701" s="24" t="str">
        <f t="shared" si="43"/>
        <v>DOMINGO</v>
      </c>
      <c r="O701" s="174">
        <v>0.58333333333333304</v>
      </c>
      <c r="P701" s="180" t="s">
        <v>469</v>
      </c>
      <c r="Q701" s="180" t="s">
        <v>447</v>
      </c>
      <c r="R701" s="36">
        <f>COUNTIF(Tabla1[[#This Row],[VEHICULOS_ACCIDENTADOS]:[VEHICULOS_ACCIDENTADOS2]],"MOTOCICLETA")</f>
        <v>1</v>
      </c>
      <c r="S701" s="36">
        <f>COUNTIF(Tabla1[[#This Row],[VEHICULOS_ACCIDENTADOS]:[VEHICULOS_ACCIDENTADOS2]],"MOTOCARRO")</f>
        <v>0</v>
      </c>
      <c r="T701" s="36">
        <f>COUNTIF(Tabla1[[#This Row],[VEHICULOS_ACCIDENTADOS]:[VEHICULOS_ACCIDENTADOS2]],"AUTOMOVIL")</f>
        <v>1</v>
      </c>
      <c r="U701" s="36">
        <f>COUNTIF(Tabla1[[#This Row],[VEHICULOS_ACCIDENTADOS]:[VEHICULOS_ACCIDENTADOS2]],"CAMPERO")</f>
        <v>0</v>
      </c>
      <c r="V701" s="36">
        <f>COUNTIF(Tabla1[[#This Row],[VEHICULOS_ACCIDENTADOS]:[VEHICULOS_ACCIDENTADOS2]],"CAMIONETA")</f>
        <v>0</v>
      </c>
      <c r="W701" s="36">
        <f>COUNTIF(Tabla1[[#This Row],[VEHICULOS_ACCIDENTADOS]:[VEHICULOS_ACCIDENTADOS2]],"MICROBUS")</f>
        <v>0</v>
      </c>
      <c r="X701" s="36">
        <f>COUNTIF(Tabla1[[#This Row],[VEHICULOS_ACCIDENTADOS]:[VEHICULOS_ACCIDENTADOS2]],"BUS")</f>
        <v>0</v>
      </c>
      <c r="Y701" s="36">
        <f>COUNTIF(Tabla1[[#This Row],[VEHICULOS_ACCIDENTADOS]:[VEHICULOS_ACCIDENTADOS2]],"BUSETA")</f>
        <v>0</v>
      </c>
      <c r="Z701" s="36">
        <f>COUNTIF(Tabla1[[#This Row],[VEHICULOS_ACCIDENTADOS]:[VEHICULOS_ACCIDENTADOS2]],"CAMION")</f>
        <v>0</v>
      </c>
      <c r="AA701" s="36">
        <f>COUNTIF(Tabla1[[#This Row],[VEHICULOS_ACCIDENTADOS]:[VEHICULOS_ACCIDENTADOS2]],"TRACTOCAMION")</f>
        <v>0</v>
      </c>
      <c r="AB701" s="36">
        <f>COUNTIF(Tabla1[[#This Row],[VEHICULOS_ACCIDENTADOS]:[VEHICULOS_ACCIDENTADOS2]],"VOLQUETA")</f>
        <v>0</v>
      </c>
      <c r="AC701" s="36">
        <f>COUNTIF(Tabla1[[#This Row],[VEHICULOS_ACCIDENTADOS]:[VEHICULOS_ACCIDENTADOS2]],"BICICLETA")</f>
        <v>0</v>
      </c>
      <c r="AD701" s="38" t="s">
        <v>471</v>
      </c>
      <c r="AE701" s="38"/>
      <c r="AF701" s="38">
        <f>COUNTIF(Tabla1[[#This Row],[GENERO_MASCULINO]:[GENERO_FEMENINO]],"MASCULINO")</f>
        <v>1</v>
      </c>
      <c r="AG701" s="36">
        <f>COUNTIF(Tabla1[[#This Row],[GENERO_MASCULINO]:[GENERO_FEMENINO]],"FEMENINO")</f>
        <v>0</v>
      </c>
      <c r="AH701" s="73"/>
      <c r="AI701" s="73"/>
      <c r="AJ701" s="73"/>
      <c r="AK701" s="73"/>
      <c r="AL701" s="73"/>
      <c r="AM701" s="7"/>
      <c r="AN701" s="73">
        <v>142</v>
      </c>
      <c r="AO701" s="36" t="str">
        <f>IFERROR(((VLOOKUP(Tabla1[[#This Row],[HIPOTESIS_1]],listas!$D$1:$E$105,2,FALSE))),"SIN INFORMACIÓN")</f>
        <v>Semáforo en rojo.</v>
      </c>
      <c r="AP701" s="7"/>
      <c r="AQ701" s="36" t="str">
        <f>IFERROR(((VLOOKUP(Tabla1[[#This Row],[HIPOTESIS_2]],listas!$D$1:$E$105,2,FALSE))),"")</f>
        <v/>
      </c>
      <c r="AR701" s="1" t="str">
        <f>IF(HOUR(Tabla1[[#This Row],[HORA_ACCIDENTE]])&lt;6,"MAÑANA",
 IF(HOUR(Tabla1[[#This Row],[HORA_ACCIDENTE]])&lt;12,"MAÑANA",
 IF(HOUR(Tabla1[[#This Row],[HORA_ACCIDENTE]])&lt;18,"TARDE","NOCHE")))</f>
        <v>TARDE</v>
      </c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40"/>
    </row>
    <row r="702" spans="1:56" x14ac:dyDescent="0.25">
      <c r="A702" s="12">
        <v>425</v>
      </c>
      <c r="B702" s="38">
        <v>0</v>
      </c>
      <c r="C702" s="7">
        <v>1</v>
      </c>
      <c r="D702" s="7">
        <v>0</v>
      </c>
      <c r="E702" s="18" t="str">
        <f t="shared" si="40"/>
        <v>LESIONADO</v>
      </c>
      <c r="F702" s="29" t="s">
        <v>1124</v>
      </c>
      <c r="G702" s="21">
        <v>5.3223549999999999</v>
      </c>
      <c r="H702" s="21">
        <v>-72.386674722222224</v>
      </c>
      <c r="I702" s="93" t="s">
        <v>697</v>
      </c>
      <c r="J702" s="7" t="s">
        <v>717</v>
      </c>
      <c r="K702" s="24" t="str">
        <f t="shared" si="41"/>
        <v>2023</v>
      </c>
      <c r="L702" s="24" t="str">
        <f t="shared" si="42"/>
        <v>MARZO</v>
      </c>
      <c r="M702" s="232">
        <v>44986</v>
      </c>
      <c r="N702" s="24" t="str">
        <f t="shared" si="43"/>
        <v>MIÉRCOLES</v>
      </c>
      <c r="O702" s="106">
        <v>0.65277777777777779</v>
      </c>
      <c r="P702" s="39" t="s">
        <v>469</v>
      </c>
      <c r="Q702" s="39" t="s">
        <v>447</v>
      </c>
      <c r="R702" s="36">
        <f>COUNTIF(Tabla1[[#This Row],[VEHICULOS_ACCIDENTADOS]:[VEHICULOS_ACCIDENTADOS2]],"MOTOCICLETA")</f>
        <v>1</v>
      </c>
      <c r="S702" s="36">
        <f>COUNTIF(Tabla1[[#This Row],[VEHICULOS_ACCIDENTADOS]:[VEHICULOS_ACCIDENTADOS2]],"MOTOCARRO")</f>
        <v>0</v>
      </c>
      <c r="T702" s="36">
        <f>COUNTIF(Tabla1[[#This Row],[VEHICULOS_ACCIDENTADOS]:[VEHICULOS_ACCIDENTADOS2]],"AUTOMOVIL")</f>
        <v>1</v>
      </c>
      <c r="U702" s="36">
        <f>COUNTIF(Tabla1[[#This Row],[VEHICULOS_ACCIDENTADOS]:[VEHICULOS_ACCIDENTADOS2]],"CAMPERO")</f>
        <v>0</v>
      </c>
      <c r="V702" s="36">
        <f>COUNTIF(Tabla1[[#This Row],[VEHICULOS_ACCIDENTADOS]:[VEHICULOS_ACCIDENTADOS2]],"CAMIONETA")</f>
        <v>0</v>
      </c>
      <c r="W702" s="36">
        <f>COUNTIF(Tabla1[[#This Row],[VEHICULOS_ACCIDENTADOS]:[VEHICULOS_ACCIDENTADOS2]],"MICROBUS")</f>
        <v>0</v>
      </c>
      <c r="X702" s="36">
        <f>COUNTIF(Tabla1[[#This Row],[VEHICULOS_ACCIDENTADOS]:[VEHICULOS_ACCIDENTADOS2]],"BUS")</f>
        <v>0</v>
      </c>
      <c r="Y702" s="36">
        <f>COUNTIF(Tabla1[[#This Row],[VEHICULOS_ACCIDENTADOS]:[VEHICULOS_ACCIDENTADOS2]],"BUSETA")</f>
        <v>0</v>
      </c>
      <c r="Z702" s="36">
        <f>COUNTIF(Tabla1[[#This Row],[VEHICULOS_ACCIDENTADOS]:[VEHICULOS_ACCIDENTADOS2]],"CAMION")</f>
        <v>0</v>
      </c>
      <c r="AA702" s="36">
        <f>COUNTIF(Tabla1[[#This Row],[VEHICULOS_ACCIDENTADOS]:[VEHICULOS_ACCIDENTADOS2]],"TRACTOCAMION")</f>
        <v>0</v>
      </c>
      <c r="AB702" s="36">
        <f>COUNTIF(Tabla1[[#This Row],[VEHICULOS_ACCIDENTADOS]:[VEHICULOS_ACCIDENTADOS2]],"VOLQUETA")</f>
        <v>0</v>
      </c>
      <c r="AC702" s="36">
        <f>COUNTIF(Tabla1[[#This Row],[VEHICULOS_ACCIDENTADOS]:[VEHICULOS_ACCIDENTADOS2]],"BICICLETA")</f>
        <v>0</v>
      </c>
      <c r="AD702" s="38"/>
      <c r="AE702" s="38" t="s">
        <v>472</v>
      </c>
      <c r="AF702" s="38">
        <f>COUNTIF(Tabla1[[#This Row],[GENERO_MASCULINO]:[GENERO_FEMENINO]],"MASCULINO")</f>
        <v>0</v>
      </c>
      <c r="AG702" s="36">
        <f>COUNTIF(Tabla1[[#This Row],[GENERO_MASCULINO]:[GENERO_FEMENINO]],"FEMENINO")</f>
        <v>1</v>
      </c>
      <c r="AH702" s="73">
        <v>42</v>
      </c>
      <c r="AI702" s="73"/>
      <c r="AJ702" s="73"/>
      <c r="AK702" s="73"/>
      <c r="AL702" s="73"/>
      <c r="AM702" s="7"/>
      <c r="AN702" s="73">
        <v>122</v>
      </c>
      <c r="AO702" s="36" t="str">
        <f>IFERROR(((VLOOKUP(Tabla1[[#This Row],[HIPOTESIS_1]],listas!$D$1:$E$105,2,FALSE))),"SIN INFORMACIÓN")</f>
        <v>Girar bruscamente.</v>
      </c>
      <c r="AP702" s="7"/>
      <c r="AQ702" s="36" t="str">
        <f>IFERROR(((VLOOKUP(Tabla1[[#This Row],[HIPOTESIS_2]],listas!$D$1:$E$105,2,FALSE))),"")</f>
        <v/>
      </c>
      <c r="AR702" s="1" t="str">
        <f>IF(HOUR(Tabla1[[#This Row],[HORA_ACCIDENTE]])&lt;6,"MAÑANA",
 IF(HOUR(Tabla1[[#This Row],[HORA_ACCIDENTE]])&lt;12,"MAÑANA",
 IF(HOUR(Tabla1[[#This Row],[HORA_ACCIDENTE]])&lt;18,"TARDE","NOCHE")))</f>
        <v>TARDE</v>
      </c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33"/>
    </row>
    <row r="703" spans="1:56" x14ac:dyDescent="0.25">
      <c r="A703" s="12">
        <v>1088</v>
      </c>
      <c r="B703" s="47">
        <v>1</v>
      </c>
      <c r="C703" s="24">
        <v>0</v>
      </c>
      <c r="D703" s="24">
        <v>0</v>
      </c>
      <c r="E703" s="24" t="str">
        <f t="shared" si="40"/>
        <v>SOLO DAÑO</v>
      </c>
      <c r="F703" s="152" t="s">
        <v>926</v>
      </c>
      <c r="G703" s="30">
        <v>5.3452266666666599</v>
      </c>
      <c r="H703" s="30">
        <v>-72.399044999999902</v>
      </c>
      <c r="I703" s="165" t="s">
        <v>697</v>
      </c>
      <c r="J703" s="7" t="s">
        <v>717</v>
      </c>
      <c r="K703" s="24" t="str">
        <f t="shared" si="41"/>
        <v>2025</v>
      </c>
      <c r="L703" s="24" t="str">
        <f t="shared" si="42"/>
        <v>SEPTIEMBRE</v>
      </c>
      <c r="M703" s="232">
        <v>45917</v>
      </c>
      <c r="N703" s="24" t="str">
        <f t="shared" si="43"/>
        <v>MIÉRCOLES</v>
      </c>
      <c r="O703" s="106">
        <v>0.84166666666666667</v>
      </c>
      <c r="P703" s="8" t="s">
        <v>445</v>
      </c>
      <c r="Q703" s="8" t="s">
        <v>469</v>
      </c>
      <c r="R703" s="36">
        <f>COUNTIF(Tabla1[[#This Row],[VEHICULOS_ACCIDENTADOS]:[VEHICULOS_ACCIDENTADOS2]],"MOTOCICLETA")</f>
        <v>1</v>
      </c>
      <c r="S703" s="36">
        <f>COUNTIF(Tabla1[[#This Row],[VEHICULOS_ACCIDENTADOS]:[VEHICULOS_ACCIDENTADOS2]],"MOTOCARRO")</f>
        <v>0</v>
      </c>
      <c r="T703" s="36">
        <f>COUNTIF(Tabla1[[#This Row],[VEHICULOS_ACCIDENTADOS]:[VEHICULOS_ACCIDENTADOS2]],"AUTOMOVIL")</f>
        <v>0</v>
      </c>
      <c r="U703" s="36">
        <f>COUNTIF(Tabla1[[#This Row],[VEHICULOS_ACCIDENTADOS]:[VEHICULOS_ACCIDENTADOS2]],"CAMPERO")</f>
        <v>0</v>
      </c>
      <c r="V703" s="36">
        <f>COUNTIF(Tabla1[[#This Row],[VEHICULOS_ACCIDENTADOS]:[VEHICULOS_ACCIDENTADOS2]],"CAMIONETA")</f>
        <v>1</v>
      </c>
      <c r="W703" s="36">
        <f>COUNTIF(Tabla1[[#This Row],[VEHICULOS_ACCIDENTADOS]:[VEHICULOS_ACCIDENTADOS2]],"MICROBUS")</f>
        <v>0</v>
      </c>
      <c r="X703" s="36">
        <f>COUNTIF(Tabla1[[#This Row],[VEHICULOS_ACCIDENTADOS]:[VEHICULOS_ACCIDENTADOS2]],"BUS")</f>
        <v>0</v>
      </c>
      <c r="Y703" s="36">
        <f>COUNTIF(Tabla1[[#This Row],[VEHICULOS_ACCIDENTADOS]:[VEHICULOS_ACCIDENTADOS2]],"BUSETA")</f>
        <v>0</v>
      </c>
      <c r="Z703" s="36">
        <f>COUNTIF(Tabla1[[#This Row],[VEHICULOS_ACCIDENTADOS]:[VEHICULOS_ACCIDENTADOS2]],"CAMION")</f>
        <v>0</v>
      </c>
      <c r="AA703" s="36">
        <f>COUNTIF(Tabla1[[#This Row],[VEHICULOS_ACCIDENTADOS]:[VEHICULOS_ACCIDENTADOS2]],"TRACTOCAMION")</f>
        <v>0</v>
      </c>
      <c r="AB703" s="36">
        <f>COUNTIF(Tabla1[[#This Row],[VEHICULOS_ACCIDENTADOS]:[VEHICULOS_ACCIDENTADOS2]],"VOLQUETA")</f>
        <v>0</v>
      </c>
      <c r="AC703" s="36">
        <f>COUNTIF(Tabla1[[#This Row],[VEHICULOS_ACCIDENTADOS]:[VEHICULOS_ACCIDENTADOS2]],"BICICLETA")</f>
        <v>0</v>
      </c>
      <c r="AD703" s="189" t="s">
        <v>471</v>
      </c>
      <c r="AE703" s="189" t="s">
        <v>471</v>
      </c>
      <c r="AF703" s="38">
        <f>COUNTIF(Tabla1[[#This Row],[GENERO_MASCULINO]:[GENERO_FEMENINO]],"MASCULINO")</f>
        <v>2</v>
      </c>
      <c r="AG703" s="36">
        <f>COUNTIF(Tabla1[[#This Row],[GENERO_MASCULINO]:[GENERO_FEMENINO]],"FEMENINO")</f>
        <v>0</v>
      </c>
      <c r="AH703" s="86"/>
      <c r="AI703" s="86"/>
      <c r="AJ703" s="86"/>
      <c r="AK703" s="87"/>
      <c r="AL703" s="87"/>
      <c r="AM703" s="6"/>
      <c r="AN703" s="73">
        <v>112</v>
      </c>
      <c r="AO703" s="59" t="str">
        <f>IFERROR(((VLOOKUP(Tabla1[[#This Row],[HIPOTESIS_1]],listas!$D$1:$E$105,2,FALSE))),"SIN INFORMACIÓN")</f>
        <v>Desobedecer señales o normas de tránsito.</v>
      </c>
      <c r="AP703" s="7"/>
      <c r="AQ703" s="36" t="str">
        <f>IFERROR(((VLOOKUP(Tabla1[[#This Row],[HIPOTESIS_2]],listas!$D$1:$E$105,2,FALSE))),"")</f>
        <v/>
      </c>
      <c r="AR703" s="2" t="str">
        <f>IF(HOUR(Tabla1[[#This Row],[HORA_ACCIDENTE]])&lt;6,"MAÑANA",
 IF(HOUR(Tabla1[[#This Row],[HORA_ACCIDENTE]])&lt;12,"MAÑANA",
 IF(HOUR(Tabla1[[#This Row],[HORA_ACCIDENTE]])&lt;18,"TARDE","NOCHE")))</f>
        <v>NOCHE</v>
      </c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</row>
    <row r="704" spans="1:56" x14ac:dyDescent="0.25">
      <c r="A704" s="12">
        <v>1097</v>
      </c>
      <c r="B704" s="47">
        <v>1</v>
      </c>
      <c r="C704" s="24">
        <v>0</v>
      </c>
      <c r="D704" s="24">
        <v>0</v>
      </c>
      <c r="E704" s="24" t="str">
        <f t="shared" si="40"/>
        <v>SOLO DAÑO</v>
      </c>
      <c r="F704" s="152" t="s">
        <v>927</v>
      </c>
      <c r="G704" s="30">
        <v>5.3380696629999598</v>
      </c>
      <c r="H704" s="30">
        <v>-72.395218901998703</v>
      </c>
      <c r="I704" s="165" t="s">
        <v>697</v>
      </c>
      <c r="J704" s="7" t="s">
        <v>717</v>
      </c>
      <c r="K704" s="24" t="str">
        <f t="shared" si="41"/>
        <v>2025</v>
      </c>
      <c r="L704" s="24" t="str">
        <f t="shared" si="42"/>
        <v>SEPTIEMBRE</v>
      </c>
      <c r="M704" s="232">
        <v>45927</v>
      </c>
      <c r="N704" s="24" t="str">
        <f t="shared" si="43"/>
        <v>SÁBADO</v>
      </c>
      <c r="O704" s="106">
        <v>0.32777777777777778</v>
      </c>
      <c r="P704" s="8" t="s">
        <v>447</v>
      </c>
      <c r="Q704" s="8" t="s">
        <v>469</v>
      </c>
      <c r="R704" s="36">
        <f>COUNTIF(Tabla1[[#This Row],[VEHICULOS_ACCIDENTADOS]:[VEHICULOS_ACCIDENTADOS2]],"MOTOCICLETA")</f>
        <v>1</v>
      </c>
      <c r="S704" s="36">
        <f>COUNTIF(Tabla1[[#This Row],[VEHICULOS_ACCIDENTADOS]:[VEHICULOS_ACCIDENTADOS2]],"MOTOCARRO")</f>
        <v>0</v>
      </c>
      <c r="T704" s="36">
        <f>COUNTIF(Tabla1[[#This Row],[VEHICULOS_ACCIDENTADOS]:[VEHICULOS_ACCIDENTADOS2]],"AUTOMOVIL")</f>
        <v>1</v>
      </c>
      <c r="U704" s="36">
        <f>COUNTIF(Tabla1[[#This Row],[VEHICULOS_ACCIDENTADOS]:[VEHICULOS_ACCIDENTADOS2]],"CAMPERO")</f>
        <v>0</v>
      </c>
      <c r="V704" s="36">
        <f>COUNTIF(Tabla1[[#This Row],[VEHICULOS_ACCIDENTADOS]:[VEHICULOS_ACCIDENTADOS2]],"CAMIONETA")</f>
        <v>0</v>
      </c>
      <c r="W704" s="36">
        <f>COUNTIF(Tabla1[[#This Row],[VEHICULOS_ACCIDENTADOS]:[VEHICULOS_ACCIDENTADOS2]],"MICROBUS")</f>
        <v>0</v>
      </c>
      <c r="X704" s="36">
        <f>COUNTIF(Tabla1[[#This Row],[VEHICULOS_ACCIDENTADOS]:[VEHICULOS_ACCIDENTADOS2]],"BUS")</f>
        <v>0</v>
      </c>
      <c r="Y704" s="36">
        <f>COUNTIF(Tabla1[[#This Row],[VEHICULOS_ACCIDENTADOS]:[VEHICULOS_ACCIDENTADOS2]],"BUSETA")</f>
        <v>0</v>
      </c>
      <c r="Z704" s="36">
        <f>COUNTIF(Tabla1[[#This Row],[VEHICULOS_ACCIDENTADOS]:[VEHICULOS_ACCIDENTADOS2]],"CAMION")</f>
        <v>0</v>
      </c>
      <c r="AA704" s="36">
        <f>COUNTIF(Tabla1[[#This Row],[VEHICULOS_ACCIDENTADOS]:[VEHICULOS_ACCIDENTADOS2]],"TRACTOCAMION")</f>
        <v>0</v>
      </c>
      <c r="AB704" s="36">
        <f>COUNTIF(Tabla1[[#This Row],[VEHICULOS_ACCIDENTADOS]:[VEHICULOS_ACCIDENTADOS2]],"VOLQUETA")</f>
        <v>0</v>
      </c>
      <c r="AC704" s="36">
        <f>COUNTIF(Tabla1[[#This Row],[VEHICULOS_ACCIDENTADOS]:[VEHICULOS_ACCIDENTADOS2]],"BICICLETA")</f>
        <v>0</v>
      </c>
      <c r="AD704" s="189" t="s">
        <v>471</v>
      </c>
      <c r="AE704" s="189" t="s">
        <v>471</v>
      </c>
      <c r="AF704" s="38">
        <f>COUNTIF(Tabla1[[#This Row],[GENERO_MASCULINO]:[GENERO_FEMENINO]],"MASCULINO")</f>
        <v>2</v>
      </c>
      <c r="AG704" s="36">
        <f>COUNTIF(Tabla1[[#This Row],[GENERO_MASCULINO]:[GENERO_FEMENINO]],"FEMENINO")</f>
        <v>0</v>
      </c>
      <c r="AH704" s="86"/>
      <c r="AI704" s="86"/>
      <c r="AJ704" s="86"/>
      <c r="AK704" s="87"/>
      <c r="AL704" s="87"/>
      <c r="AM704" s="6"/>
      <c r="AN704" s="73">
        <v>157</v>
      </c>
      <c r="AO704" s="59" t="str">
        <f>IFERROR(((VLOOKUP(Tabla1[[#This Row],[HIPOTESIS_1]],listas!$D$1:$E$105,2,FALSE))),"SIN INFORMACIÓN")</f>
        <v>Otra</v>
      </c>
      <c r="AP704" s="7"/>
      <c r="AQ704" s="36" t="str">
        <f>IFERROR(((VLOOKUP(Tabla1[[#This Row],[HIPOTESIS_2]],listas!$D$1:$E$105,2,FALSE))),"")</f>
        <v/>
      </c>
      <c r="AR704" s="2" t="str">
        <f>IF(HOUR(Tabla1[[#This Row],[HORA_ACCIDENTE]])&lt;6,"MAÑANA",
 IF(HOUR(Tabla1[[#This Row],[HORA_ACCIDENTE]])&lt;12,"MAÑANA",
 IF(HOUR(Tabla1[[#This Row],[HORA_ACCIDENTE]])&lt;18,"TARDE","NOCHE")))</f>
        <v>MAÑANA</v>
      </c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33"/>
    </row>
    <row r="705" spans="1:56" x14ac:dyDescent="0.25">
      <c r="A705" s="12">
        <v>1100</v>
      </c>
      <c r="B705" s="47">
        <v>1</v>
      </c>
      <c r="C705" s="24">
        <v>0</v>
      </c>
      <c r="D705" s="24">
        <v>0</v>
      </c>
      <c r="E705" s="24" t="str">
        <f t="shared" si="40"/>
        <v>SOLO DAÑO</v>
      </c>
      <c r="F705" s="152" t="s">
        <v>928</v>
      </c>
      <c r="G705" s="30">
        <v>5.3223963221534998</v>
      </c>
      <c r="H705" s="30">
        <v>-72.386745689436793</v>
      </c>
      <c r="I705" s="165" t="s">
        <v>697</v>
      </c>
      <c r="J705" s="7" t="s">
        <v>717</v>
      </c>
      <c r="K705" s="24" t="str">
        <f t="shared" si="41"/>
        <v>2025</v>
      </c>
      <c r="L705" s="24" t="str">
        <f t="shared" si="42"/>
        <v>OCTUBRE</v>
      </c>
      <c r="M705" s="232">
        <v>45931</v>
      </c>
      <c r="N705" s="24" t="str">
        <f t="shared" si="43"/>
        <v>MIÉRCOLES</v>
      </c>
      <c r="O705" s="106">
        <v>0.57638888888888884</v>
      </c>
      <c r="P705" s="8" t="s">
        <v>447</v>
      </c>
      <c r="Q705" s="8" t="s">
        <v>445</v>
      </c>
      <c r="R705" s="36">
        <f>COUNTIF(Tabla1[[#This Row],[VEHICULOS_ACCIDENTADOS]:[VEHICULOS_ACCIDENTADOS2]],"MOTOCICLETA")</f>
        <v>0</v>
      </c>
      <c r="S705" s="36">
        <f>COUNTIF(Tabla1[[#This Row],[VEHICULOS_ACCIDENTADOS]:[VEHICULOS_ACCIDENTADOS2]],"MOTOCARRO")</f>
        <v>0</v>
      </c>
      <c r="T705" s="36">
        <f>COUNTIF(Tabla1[[#This Row],[VEHICULOS_ACCIDENTADOS]:[VEHICULOS_ACCIDENTADOS2]],"AUTOMOVIL")</f>
        <v>1</v>
      </c>
      <c r="U705" s="36">
        <f>COUNTIF(Tabla1[[#This Row],[VEHICULOS_ACCIDENTADOS]:[VEHICULOS_ACCIDENTADOS2]],"CAMPERO")</f>
        <v>0</v>
      </c>
      <c r="V705" s="36">
        <f>COUNTIF(Tabla1[[#This Row],[VEHICULOS_ACCIDENTADOS]:[VEHICULOS_ACCIDENTADOS2]],"CAMIONETA")</f>
        <v>1</v>
      </c>
      <c r="W705" s="36">
        <f>COUNTIF(Tabla1[[#This Row],[VEHICULOS_ACCIDENTADOS]:[VEHICULOS_ACCIDENTADOS2]],"MICROBUS")</f>
        <v>0</v>
      </c>
      <c r="X705" s="36">
        <f>COUNTIF(Tabla1[[#This Row],[VEHICULOS_ACCIDENTADOS]:[VEHICULOS_ACCIDENTADOS2]],"BUS")</f>
        <v>0</v>
      </c>
      <c r="Y705" s="36">
        <f>COUNTIF(Tabla1[[#This Row],[VEHICULOS_ACCIDENTADOS]:[VEHICULOS_ACCIDENTADOS2]],"BUSETA")</f>
        <v>0</v>
      </c>
      <c r="Z705" s="36">
        <f>COUNTIF(Tabla1[[#This Row],[VEHICULOS_ACCIDENTADOS]:[VEHICULOS_ACCIDENTADOS2]],"CAMION")</f>
        <v>0</v>
      </c>
      <c r="AA705" s="36">
        <f>COUNTIF(Tabla1[[#This Row],[VEHICULOS_ACCIDENTADOS]:[VEHICULOS_ACCIDENTADOS2]],"TRACTOCAMION")</f>
        <v>0</v>
      </c>
      <c r="AB705" s="36">
        <f>COUNTIF(Tabla1[[#This Row],[VEHICULOS_ACCIDENTADOS]:[VEHICULOS_ACCIDENTADOS2]],"VOLQUETA")</f>
        <v>0</v>
      </c>
      <c r="AC705" s="36">
        <f>COUNTIF(Tabla1[[#This Row],[VEHICULOS_ACCIDENTADOS]:[VEHICULOS_ACCIDENTADOS2]],"BICICLETA")</f>
        <v>0</v>
      </c>
      <c r="AD705" s="189" t="s">
        <v>471</v>
      </c>
      <c r="AE705" s="189" t="s">
        <v>471</v>
      </c>
      <c r="AF705" s="38">
        <f>COUNTIF(Tabla1[[#This Row],[GENERO_MASCULINO]:[GENERO_FEMENINO]],"MASCULINO")</f>
        <v>2</v>
      </c>
      <c r="AG705" s="36">
        <f>COUNTIF(Tabla1[[#This Row],[GENERO_MASCULINO]:[GENERO_FEMENINO]],"FEMENINO")</f>
        <v>0</v>
      </c>
      <c r="AH705" s="86"/>
      <c r="AI705" s="86"/>
      <c r="AJ705" s="86"/>
      <c r="AK705" s="87"/>
      <c r="AL705" s="87"/>
      <c r="AM705" s="6"/>
      <c r="AN705" s="73">
        <v>157</v>
      </c>
      <c r="AO705" s="59" t="str">
        <f>IFERROR(((VLOOKUP(Tabla1[[#This Row],[HIPOTESIS_1]],listas!$D$1:$E$105,2,FALSE))),"SIN INFORMACIÓN")</f>
        <v>Otra</v>
      </c>
      <c r="AP705" s="7"/>
      <c r="AQ705" s="36" t="str">
        <f>IFERROR(((VLOOKUP(Tabla1[[#This Row],[HIPOTESIS_2]],listas!$D$1:$E$105,2,FALSE))),"")</f>
        <v/>
      </c>
      <c r="AR705" s="2" t="str">
        <f>IF(HOUR(Tabla1[[#This Row],[HORA_ACCIDENTE]])&lt;6,"MAÑANA",
 IF(HOUR(Tabla1[[#This Row],[HORA_ACCIDENTE]])&lt;12,"MAÑANA",
 IF(HOUR(Tabla1[[#This Row],[HORA_ACCIDENTE]])&lt;18,"TARDE","NOCHE")))</f>
        <v>TARDE</v>
      </c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33"/>
    </row>
    <row r="706" spans="1:56" x14ac:dyDescent="0.25">
      <c r="A706" s="12">
        <v>482</v>
      </c>
      <c r="B706" s="38">
        <v>0</v>
      </c>
      <c r="C706" s="7">
        <v>0</v>
      </c>
      <c r="D706" s="7">
        <v>1</v>
      </c>
      <c r="E706" s="18" t="str">
        <f t="shared" ref="E706:E769" si="44">IF(D706&gt;=1,"FALLECIDO",IF(C706&gt;=1,"LESIONADO",IF(B706&gt;=1,"SOLO DAÑO","")))</f>
        <v>FALLECIDO</v>
      </c>
      <c r="F706" s="29" t="s">
        <v>243</v>
      </c>
      <c r="G706" s="21">
        <v>5.332588888888889</v>
      </c>
      <c r="H706" s="21">
        <v>-72.392172222222229</v>
      </c>
      <c r="I706" s="93" t="s">
        <v>697</v>
      </c>
      <c r="J706" s="7" t="s">
        <v>717</v>
      </c>
      <c r="K706" s="24" t="str">
        <f t="shared" ref="K706:K769" si="45">UPPER(TEXT(M706,"YYYY"))</f>
        <v>2023</v>
      </c>
      <c r="L706" s="24" t="str">
        <f t="shared" ref="L706:L769" si="46">UPPER(TEXT(M706,"MMMM"))</f>
        <v>MAYO</v>
      </c>
      <c r="M706" s="232">
        <v>45060</v>
      </c>
      <c r="N706" s="24" t="str">
        <f t="shared" ref="N706:N769" si="47">UPPER(TEXT(M706,"DDDD"))</f>
        <v>DOMINGO</v>
      </c>
      <c r="O706" s="106">
        <v>0.44444444444444442</v>
      </c>
      <c r="P706" s="39" t="s">
        <v>469</v>
      </c>
      <c r="Q706" s="39" t="s">
        <v>446</v>
      </c>
      <c r="R706" s="36">
        <f>COUNTIF(Tabla1[[#This Row],[VEHICULOS_ACCIDENTADOS]:[VEHICULOS_ACCIDENTADOS2]],"MOTOCICLETA")</f>
        <v>1</v>
      </c>
      <c r="S706" s="36">
        <f>COUNTIF(Tabla1[[#This Row],[VEHICULOS_ACCIDENTADOS]:[VEHICULOS_ACCIDENTADOS2]],"MOTOCARRO")</f>
        <v>0</v>
      </c>
      <c r="T706" s="36">
        <f>COUNTIF(Tabla1[[#This Row],[VEHICULOS_ACCIDENTADOS]:[VEHICULOS_ACCIDENTADOS2]],"AUTOMOVIL")</f>
        <v>0</v>
      </c>
      <c r="U706" s="36">
        <f>COUNTIF(Tabla1[[#This Row],[VEHICULOS_ACCIDENTADOS]:[VEHICULOS_ACCIDENTADOS2]],"CAMPERO")</f>
        <v>1</v>
      </c>
      <c r="V706" s="36">
        <f>COUNTIF(Tabla1[[#This Row],[VEHICULOS_ACCIDENTADOS]:[VEHICULOS_ACCIDENTADOS2]],"CAMIONETA")</f>
        <v>0</v>
      </c>
      <c r="W706" s="36">
        <f>COUNTIF(Tabla1[[#This Row],[VEHICULOS_ACCIDENTADOS]:[VEHICULOS_ACCIDENTADOS2]],"MICROBUS")</f>
        <v>0</v>
      </c>
      <c r="X706" s="36">
        <f>COUNTIF(Tabla1[[#This Row],[VEHICULOS_ACCIDENTADOS]:[VEHICULOS_ACCIDENTADOS2]],"BUS")</f>
        <v>0</v>
      </c>
      <c r="Y706" s="36">
        <f>COUNTIF(Tabla1[[#This Row],[VEHICULOS_ACCIDENTADOS]:[VEHICULOS_ACCIDENTADOS2]],"BUSETA")</f>
        <v>0</v>
      </c>
      <c r="Z706" s="36">
        <f>COUNTIF(Tabla1[[#This Row],[VEHICULOS_ACCIDENTADOS]:[VEHICULOS_ACCIDENTADOS2]],"CAMION")</f>
        <v>0</v>
      </c>
      <c r="AA706" s="36">
        <f>COUNTIF(Tabla1[[#This Row],[VEHICULOS_ACCIDENTADOS]:[VEHICULOS_ACCIDENTADOS2]],"TRACTOCAMION")</f>
        <v>0</v>
      </c>
      <c r="AB706" s="36">
        <f>COUNTIF(Tabla1[[#This Row],[VEHICULOS_ACCIDENTADOS]:[VEHICULOS_ACCIDENTADOS2]],"VOLQUETA")</f>
        <v>0</v>
      </c>
      <c r="AC706" s="36">
        <f>COUNTIF(Tabla1[[#This Row],[VEHICULOS_ACCIDENTADOS]:[VEHICULOS_ACCIDENTADOS2]],"BICICLETA")</f>
        <v>0</v>
      </c>
      <c r="AD706" s="38"/>
      <c r="AE706" s="38" t="s">
        <v>472</v>
      </c>
      <c r="AF706" s="38">
        <f>COUNTIF(Tabla1[[#This Row],[GENERO_MASCULINO]:[GENERO_FEMENINO]],"MASCULINO")</f>
        <v>0</v>
      </c>
      <c r="AG706" s="36">
        <f>COUNTIF(Tabla1[[#This Row],[GENERO_MASCULINO]:[GENERO_FEMENINO]],"FEMENINO")</f>
        <v>1</v>
      </c>
      <c r="AH706" s="73"/>
      <c r="AI706" s="73"/>
      <c r="AJ706" s="73"/>
      <c r="AK706" s="73"/>
      <c r="AL706" s="73"/>
      <c r="AM706" s="7"/>
      <c r="AN706" s="73">
        <v>1</v>
      </c>
      <c r="AO706" s="36" t="str">
        <f>IFERROR(((VLOOKUP(Tabla1[[#This Row],[HIPOTESIS_1]],listas!$D$1:$E$105,2,FALSE))),"SIN INFORMACIÓN")</f>
        <v>SIN INFORMACIÓN</v>
      </c>
      <c r="AP706" s="7"/>
      <c r="AQ706" s="36" t="str">
        <f>IFERROR(((VLOOKUP(Tabla1[[#This Row],[HIPOTESIS_2]],listas!$D$1:$E$105,2,FALSE))),"")</f>
        <v/>
      </c>
      <c r="AR706" s="1" t="str">
        <f>IF(HOUR(Tabla1[[#This Row],[HORA_ACCIDENTE]])&lt;6,"MAÑANA",
 IF(HOUR(Tabla1[[#This Row],[HORA_ACCIDENTE]])&lt;12,"MAÑANA",
 IF(HOUR(Tabla1[[#This Row],[HORA_ACCIDENTE]])&lt;18,"TARDE","NOCHE")))</f>
        <v>MAÑANA</v>
      </c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33"/>
    </row>
    <row r="707" spans="1:56" x14ac:dyDescent="0.25">
      <c r="A707" s="12">
        <v>477</v>
      </c>
      <c r="B707" s="38">
        <v>1</v>
      </c>
      <c r="C707" s="7">
        <v>0</v>
      </c>
      <c r="D707" s="7">
        <v>0</v>
      </c>
      <c r="E707" s="18" t="str">
        <f t="shared" si="44"/>
        <v>SOLO DAÑO</v>
      </c>
      <c r="F707" s="29" t="s">
        <v>247</v>
      </c>
      <c r="G707" s="21">
        <v>5.3237555555555556</v>
      </c>
      <c r="H707" s="21">
        <v>-72.387486111111116</v>
      </c>
      <c r="I707" s="93" t="s">
        <v>697</v>
      </c>
      <c r="J707" s="7" t="s">
        <v>717</v>
      </c>
      <c r="K707" s="24" t="str">
        <f t="shared" si="45"/>
        <v>2023</v>
      </c>
      <c r="L707" s="24" t="str">
        <f t="shared" si="46"/>
        <v>MAYO</v>
      </c>
      <c r="M707" s="232">
        <v>45058</v>
      </c>
      <c r="N707" s="24" t="str">
        <f t="shared" si="47"/>
        <v>VIERNES</v>
      </c>
      <c r="O707" s="106">
        <v>0.64583333333333337</v>
      </c>
      <c r="P707" s="39" t="s">
        <v>469</v>
      </c>
      <c r="Q707" s="39" t="s">
        <v>447</v>
      </c>
      <c r="R707" s="36">
        <f>COUNTIF(Tabla1[[#This Row],[VEHICULOS_ACCIDENTADOS]:[VEHICULOS_ACCIDENTADOS2]],"MOTOCICLETA")</f>
        <v>1</v>
      </c>
      <c r="S707" s="36">
        <f>COUNTIF(Tabla1[[#This Row],[VEHICULOS_ACCIDENTADOS]:[VEHICULOS_ACCIDENTADOS2]],"MOTOCARRO")</f>
        <v>0</v>
      </c>
      <c r="T707" s="36">
        <f>COUNTIF(Tabla1[[#This Row],[VEHICULOS_ACCIDENTADOS]:[VEHICULOS_ACCIDENTADOS2]],"AUTOMOVIL")</f>
        <v>1</v>
      </c>
      <c r="U707" s="36">
        <f>COUNTIF(Tabla1[[#This Row],[VEHICULOS_ACCIDENTADOS]:[VEHICULOS_ACCIDENTADOS2]],"CAMPERO")</f>
        <v>0</v>
      </c>
      <c r="V707" s="36">
        <f>COUNTIF(Tabla1[[#This Row],[VEHICULOS_ACCIDENTADOS]:[VEHICULOS_ACCIDENTADOS2]],"CAMIONETA")</f>
        <v>0</v>
      </c>
      <c r="W707" s="36">
        <f>COUNTIF(Tabla1[[#This Row],[VEHICULOS_ACCIDENTADOS]:[VEHICULOS_ACCIDENTADOS2]],"MICROBUS")</f>
        <v>0</v>
      </c>
      <c r="X707" s="36">
        <f>COUNTIF(Tabla1[[#This Row],[VEHICULOS_ACCIDENTADOS]:[VEHICULOS_ACCIDENTADOS2]],"BUS")</f>
        <v>0</v>
      </c>
      <c r="Y707" s="36">
        <f>COUNTIF(Tabla1[[#This Row],[VEHICULOS_ACCIDENTADOS]:[VEHICULOS_ACCIDENTADOS2]],"BUSETA")</f>
        <v>0</v>
      </c>
      <c r="Z707" s="36">
        <f>COUNTIF(Tabla1[[#This Row],[VEHICULOS_ACCIDENTADOS]:[VEHICULOS_ACCIDENTADOS2]],"CAMION")</f>
        <v>0</v>
      </c>
      <c r="AA707" s="36">
        <f>COUNTIF(Tabla1[[#This Row],[VEHICULOS_ACCIDENTADOS]:[VEHICULOS_ACCIDENTADOS2]],"TRACTOCAMION")</f>
        <v>0</v>
      </c>
      <c r="AB707" s="36">
        <f>COUNTIF(Tabla1[[#This Row],[VEHICULOS_ACCIDENTADOS]:[VEHICULOS_ACCIDENTADOS2]],"VOLQUETA")</f>
        <v>0</v>
      </c>
      <c r="AC707" s="36">
        <f>COUNTIF(Tabla1[[#This Row],[VEHICULOS_ACCIDENTADOS]:[VEHICULOS_ACCIDENTADOS2]],"BICICLETA")</f>
        <v>0</v>
      </c>
      <c r="AD707" s="38" t="s">
        <v>471</v>
      </c>
      <c r="AE707" s="38"/>
      <c r="AF707" s="38">
        <f>COUNTIF(Tabla1[[#This Row],[GENERO_MASCULINO]:[GENERO_FEMENINO]],"MASCULINO")</f>
        <v>1</v>
      </c>
      <c r="AG707" s="36">
        <f>COUNTIF(Tabla1[[#This Row],[GENERO_MASCULINO]:[GENERO_FEMENINO]],"FEMENINO")</f>
        <v>0</v>
      </c>
      <c r="AH707" s="73"/>
      <c r="AI707" s="73"/>
      <c r="AJ707" s="73"/>
      <c r="AK707" s="73"/>
      <c r="AL707" s="73"/>
      <c r="AM707" s="7"/>
      <c r="AN707" s="73">
        <v>139</v>
      </c>
      <c r="AO707" s="36" t="str">
        <f>IFERROR(((VLOOKUP(Tabla1[[#This Row],[HIPOTESIS_1]],listas!$D$1:$E$105,2,FALSE))),"SIN INFORMACIÓN")</f>
        <v>Impericia en el manejo.</v>
      </c>
      <c r="AP707" s="7"/>
      <c r="AQ707" s="36" t="str">
        <f>IFERROR(((VLOOKUP(Tabla1[[#This Row],[HIPOTESIS_2]],listas!$D$1:$E$105,2,FALSE))),"")</f>
        <v/>
      </c>
      <c r="AR707" s="1" t="str">
        <f>IF(HOUR(Tabla1[[#This Row],[HORA_ACCIDENTE]])&lt;6,"MAÑANA",
 IF(HOUR(Tabla1[[#This Row],[HORA_ACCIDENTE]])&lt;12,"MAÑANA",
 IF(HOUR(Tabla1[[#This Row],[HORA_ACCIDENTE]])&lt;18,"TARDE","NOCHE")))</f>
        <v>TARDE</v>
      </c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33"/>
    </row>
    <row r="708" spans="1:56" x14ac:dyDescent="0.25">
      <c r="A708" s="12">
        <v>989</v>
      </c>
      <c r="B708" s="47">
        <v>1</v>
      </c>
      <c r="C708" s="24">
        <v>0</v>
      </c>
      <c r="D708" s="24">
        <v>0</v>
      </c>
      <c r="E708" s="18" t="str">
        <f t="shared" si="44"/>
        <v>SOLO DAÑO</v>
      </c>
      <c r="F708" s="152" t="s">
        <v>11</v>
      </c>
      <c r="G708" s="30">
        <v>5.3141470000000002</v>
      </c>
      <c r="H708" s="30">
        <v>-72.386382999999995</v>
      </c>
      <c r="I708" s="93" t="s">
        <v>697</v>
      </c>
      <c r="J708" s="7" t="s">
        <v>717</v>
      </c>
      <c r="K708" s="24" t="str">
        <f t="shared" si="45"/>
        <v>2025</v>
      </c>
      <c r="L708" s="24" t="str">
        <f t="shared" si="46"/>
        <v>JUNIO</v>
      </c>
      <c r="M708" s="236">
        <v>45822</v>
      </c>
      <c r="N708" s="24" t="str">
        <f t="shared" si="47"/>
        <v>SÁBADO</v>
      </c>
      <c r="O708" s="106">
        <v>0.12152777777777778</v>
      </c>
      <c r="P708" s="8" t="s">
        <v>469</v>
      </c>
      <c r="Q708" s="8" t="s">
        <v>469</v>
      </c>
      <c r="R708" s="36">
        <f>COUNTIF(Tabla1[[#This Row],[VEHICULOS_ACCIDENTADOS]:[VEHICULOS_ACCIDENTADOS2]],"MOTOCICLETA")</f>
        <v>2</v>
      </c>
      <c r="S708" s="36">
        <f>COUNTIF(Tabla1[[#This Row],[VEHICULOS_ACCIDENTADOS]:[VEHICULOS_ACCIDENTADOS2]],"MOTOCARRO")</f>
        <v>0</v>
      </c>
      <c r="T708" s="36">
        <f>COUNTIF(Tabla1[[#This Row],[VEHICULOS_ACCIDENTADOS]:[VEHICULOS_ACCIDENTADOS2]],"AUTOMOVIL")</f>
        <v>0</v>
      </c>
      <c r="U708" s="36">
        <f>COUNTIF(Tabla1[[#This Row],[VEHICULOS_ACCIDENTADOS]:[VEHICULOS_ACCIDENTADOS2]],"CAMPERO")</f>
        <v>0</v>
      </c>
      <c r="V708" s="36">
        <f>COUNTIF(Tabla1[[#This Row],[VEHICULOS_ACCIDENTADOS]:[VEHICULOS_ACCIDENTADOS2]],"CAMIONETA")</f>
        <v>0</v>
      </c>
      <c r="W708" s="36">
        <f>COUNTIF(Tabla1[[#This Row],[VEHICULOS_ACCIDENTADOS]:[VEHICULOS_ACCIDENTADOS2]],"MICROBUS")</f>
        <v>0</v>
      </c>
      <c r="X708" s="36">
        <f>COUNTIF(Tabla1[[#This Row],[VEHICULOS_ACCIDENTADOS]:[VEHICULOS_ACCIDENTADOS2]],"BUS")</f>
        <v>0</v>
      </c>
      <c r="Y708" s="36">
        <f>COUNTIF(Tabla1[[#This Row],[VEHICULOS_ACCIDENTADOS]:[VEHICULOS_ACCIDENTADOS2]],"BUSETA")</f>
        <v>0</v>
      </c>
      <c r="Z708" s="36">
        <f>COUNTIF(Tabla1[[#This Row],[VEHICULOS_ACCIDENTADOS]:[VEHICULOS_ACCIDENTADOS2]],"CAMION")</f>
        <v>0</v>
      </c>
      <c r="AA708" s="36">
        <f>COUNTIF(Tabla1[[#This Row],[VEHICULOS_ACCIDENTADOS]:[VEHICULOS_ACCIDENTADOS2]],"TRACTOCAMION")</f>
        <v>0</v>
      </c>
      <c r="AB708" s="36">
        <f>COUNTIF(Tabla1[[#This Row],[VEHICULOS_ACCIDENTADOS]:[VEHICULOS_ACCIDENTADOS2]],"VOLQUETA")</f>
        <v>0</v>
      </c>
      <c r="AC708" s="36">
        <f>COUNTIF(Tabla1[[#This Row],[VEHICULOS_ACCIDENTADOS]:[VEHICULOS_ACCIDENTADOS2]],"BICICLETA")</f>
        <v>0</v>
      </c>
      <c r="AD708" s="38" t="s">
        <v>471</v>
      </c>
      <c r="AE708" s="38" t="s">
        <v>471</v>
      </c>
      <c r="AF708" s="38">
        <f>COUNTIF(Tabla1[[#This Row],[GENERO_MASCULINO]:[GENERO_FEMENINO]],"MASCULINO")</f>
        <v>2</v>
      </c>
      <c r="AG708" s="36">
        <f>COUNTIF(Tabla1[[#This Row],[GENERO_MASCULINO]:[GENERO_FEMENINO]],"FEMENINO")</f>
        <v>0</v>
      </c>
      <c r="AH708" s="86">
        <v>25</v>
      </c>
      <c r="AI708" s="86">
        <v>40</v>
      </c>
      <c r="AJ708" s="86"/>
      <c r="AK708" s="87"/>
      <c r="AL708" s="87"/>
      <c r="AM708" s="6"/>
      <c r="AN708" s="73">
        <v>139</v>
      </c>
      <c r="AO708" s="36" t="str">
        <f>IFERROR(((VLOOKUP(Tabla1[[#This Row],[HIPOTESIS_1]],listas!$D$1:$E$105,2,FALSE))),"SIN INFORMACIÓN")</f>
        <v>Impericia en el manejo.</v>
      </c>
      <c r="AP708" s="7"/>
      <c r="AQ708" s="36" t="str">
        <f>IFERROR(((VLOOKUP(Tabla1[[#This Row],[HIPOTESIS_2]],listas!$D$1:$E$105,2,FALSE))),"")</f>
        <v/>
      </c>
      <c r="AR708" s="1" t="str">
        <f>IF(HOUR(Tabla1[[#This Row],[HORA_ACCIDENTE]])&lt;6,"MAÑANA",
 IF(HOUR(Tabla1[[#This Row],[HORA_ACCIDENTE]])&lt;12,"MAÑANA",
 IF(HOUR(Tabla1[[#This Row],[HORA_ACCIDENTE]])&lt;18,"TARDE","NOCHE")))</f>
        <v>MAÑANA</v>
      </c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33"/>
    </row>
    <row r="709" spans="1:56" x14ac:dyDescent="0.25">
      <c r="A709" s="12">
        <v>236</v>
      </c>
      <c r="B709" s="38">
        <v>0</v>
      </c>
      <c r="C709" s="7">
        <v>1</v>
      </c>
      <c r="D709" s="7">
        <v>0</v>
      </c>
      <c r="E709" s="18" t="str">
        <f t="shared" si="44"/>
        <v>LESIONADO</v>
      </c>
      <c r="F709" s="29" t="s">
        <v>348</v>
      </c>
      <c r="G709" s="17">
        <v>5.3495830555555557</v>
      </c>
      <c r="H709" s="17">
        <v>-72.401347222222228</v>
      </c>
      <c r="I709" s="93" t="s">
        <v>697</v>
      </c>
      <c r="J709" s="7" t="s">
        <v>717</v>
      </c>
      <c r="K709" s="24" t="str">
        <f t="shared" si="45"/>
        <v>2022</v>
      </c>
      <c r="L709" s="24" t="str">
        <f t="shared" si="46"/>
        <v>JULIO</v>
      </c>
      <c r="M709" s="232">
        <v>44761</v>
      </c>
      <c r="N709" s="24" t="str">
        <f t="shared" si="47"/>
        <v>MARTES</v>
      </c>
      <c r="O709" s="174">
        <v>0.73611111111111105</v>
      </c>
      <c r="P709" s="180" t="s">
        <v>469</v>
      </c>
      <c r="Q709" s="180"/>
      <c r="R709" s="36">
        <f>COUNTIF(Tabla1[[#This Row],[VEHICULOS_ACCIDENTADOS]:[VEHICULOS_ACCIDENTADOS2]],"MOTOCICLETA")</f>
        <v>1</v>
      </c>
      <c r="S709" s="36">
        <f>COUNTIF(Tabla1[[#This Row],[VEHICULOS_ACCIDENTADOS]:[VEHICULOS_ACCIDENTADOS2]],"MOTOCARRO")</f>
        <v>0</v>
      </c>
      <c r="T709" s="36">
        <f>COUNTIF(Tabla1[[#This Row],[VEHICULOS_ACCIDENTADOS]:[VEHICULOS_ACCIDENTADOS2]],"AUTOMOVIL")</f>
        <v>0</v>
      </c>
      <c r="U709" s="36">
        <f>COUNTIF(Tabla1[[#This Row],[VEHICULOS_ACCIDENTADOS]:[VEHICULOS_ACCIDENTADOS2]],"CAMPERO")</f>
        <v>0</v>
      </c>
      <c r="V709" s="36">
        <f>COUNTIF(Tabla1[[#This Row],[VEHICULOS_ACCIDENTADOS]:[VEHICULOS_ACCIDENTADOS2]],"CAMIONETA")</f>
        <v>0</v>
      </c>
      <c r="W709" s="36">
        <f>COUNTIF(Tabla1[[#This Row],[VEHICULOS_ACCIDENTADOS]:[VEHICULOS_ACCIDENTADOS2]],"MICROBUS")</f>
        <v>0</v>
      </c>
      <c r="X709" s="36">
        <f>COUNTIF(Tabla1[[#This Row],[VEHICULOS_ACCIDENTADOS]:[VEHICULOS_ACCIDENTADOS2]],"BUS")</f>
        <v>0</v>
      </c>
      <c r="Y709" s="36">
        <f>COUNTIF(Tabla1[[#This Row],[VEHICULOS_ACCIDENTADOS]:[VEHICULOS_ACCIDENTADOS2]],"BUSETA")</f>
        <v>0</v>
      </c>
      <c r="Z709" s="36">
        <f>COUNTIF(Tabla1[[#This Row],[VEHICULOS_ACCIDENTADOS]:[VEHICULOS_ACCIDENTADOS2]],"CAMION")</f>
        <v>0</v>
      </c>
      <c r="AA709" s="36">
        <f>COUNTIF(Tabla1[[#This Row],[VEHICULOS_ACCIDENTADOS]:[VEHICULOS_ACCIDENTADOS2]],"TRACTOCAMION")</f>
        <v>0</v>
      </c>
      <c r="AB709" s="36">
        <f>COUNTIF(Tabla1[[#This Row],[VEHICULOS_ACCIDENTADOS]:[VEHICULOS_ACCIDENTADOS2]],"VOLQUETA")</f>
        <v>0</v>
      </c>
      <c r="AC709" s="36">
        <f>COUNTIF(Tabla1[[#This Row],[VEHICULOS_ACCIDENTADOS]:[VEHICULOS_ACCIDENTADOS2]],"BICICLETA")</f>
        <v>0</v>
      </c>
      <c r="AD709" s="38"/>
      <c r="AE709" s="38" t="s">
        <v>472</v>
      </c>
      <c r="AF709" s="38">
        <f>COUNTIF(Tabla1[[#This Row],[GENERO_MASCULINO]:[GENERO_FEMENINO]],"MASCULINO")</f>
        <v>0</v>
      </c>
      <c r="AG709" s="36">
        <f>COUNTIF(Tabla1[[#This Row],[GENERO_MASCULINO]:[GENERO_FEMENINO]],"FEMENINO")</f>
        <v>1</v>
      </c>
      <c r="AH709" s="73"/>
      <c r="AI709" s="73"/>
      <c r="AJ709" s="73"/>
      <c r="AK709" s="73"/>
      <c r="AL709" s="73">
        <v>26</v>
      </c>
      <c r="AM709" s="7"/>
      <c r="AN709" s="73">
        <v>1</v>
      </c>
      <c r="AO709" s="36" t="str">
        <f>IFERROR(((VLOOKUP(Tabla1[[#This Row],[HIPOTESIS_1]],listas!$D$1:$E$105,2,FALSE))),"SIN INFORMACIÓN")</f>
        <v>SIN INFORMACIÓN</v>
      </c>
      <c r="AP709" s="7"/>
      <c r="AQ709" s="36" t="str">
        <f>IFERROR(((VLOOKUP(Tabla1[[#This Row],[HIPOTESIS_2]],listas!$D$1:$E$105,2,FALSE))),"")</f>
        <v/>
      </c>
      <c r="AR709" s="1" t="str">
        <f>IF(HOUR(Tabla1[[#This Row],[HORA_ACCIDENTE]])&lt;6,"MAÑANA",
 IF(HOUR(Tabla1[[#This Row],[HORA_ACCIDENTE]])&lt;12,"MAÑANA",
 IF(HOUR(Tabla1[[#This Row],[HORA_ACCIDENTE]])&lt;18,"TARDE","NOCHE")))</f>
        <v>TARDE</v>
      </c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33"/>
    </row>
    <row r="710" spans="1:56" x14ac:dyDescent="0.25">
      <c r="A710" s="12">
        <v>855</v>
      </c>
      <c r="B710" s="97">
        <v>0</v>
      </c>
      <c r="C710" s="15">
        <v>1</v>
      </c>
      <c r="D710" s="15">
        <v>0</v>
      </c>
      <c r="E710" s="18" t="str">
        <f t="shared" si="44"/>
        <v>LESIONADO</v>
      </c>
      <c r="F710" s="26" t="s">
        <v>84</v>
      </c>
      <c r="G710" s="21">
        <v>5.332986</v>
      </c>
      <c r="H710" s="21">
        <v>-72.392478999999994</v>
      </c>
      <c r="I710" s="93" t="s">
        <v>697</v>
      </c>
      <c r="J710" s="21" t="s">
        <v>717</v>
      </c>
      <c r="K710" s="24" t="str">
        <f t="shared" si="45"/>
        <v>2025</v>
      </c>
      <c r="L710" s="24" t="str">
        <f t="shared" si="46"/>
        <v>ENERO</v>
      </c>
      <c r="M710" s="234">
        <v>45669</v>
      </c>
      <c r="N710" s="24" t="str">
        <f t="shared" si="47"/>
        <v>DOMINGO</v>
      </c>
      <c r="O710" s="108">
        <v>0.4201388888888889</v>
      </c>
      <c r="P710" s="44" t="s">
        <v>469</v>
      </c>
      <c r="Q710" s="44"/>
      <c r="R710" s="36">
        <f>COUNTIF(Tabla1[[#This Row],[VEHICULOS_ACCIDENTADOS]:[VEHICULOS_ACCIDENTADOS2]],"MOTOCICLETA")</f>
        <v>1</v>
      </c>
      <c r="S710" s="36">
        <f>COUNTIF(Tabla1[[#This Row],[VEHICULOS_ACCIDENTADOS]:[VEHICULOS_ACCIDENTADOS2]],"MOTOCARRO")</f>
        <v>0</v>
      </c>
      <c r="T710" s="36">
        <f>COUNTIF(Tabla1[[#This Row],[VEHICULOS_ACCIDENTADOS]:[VEHICULOS_ACCIDENTADOS2]],"AUTOMOVIL")</f>
        <v>0</v>
      </c>
      <c r="U710" s="36">
        <f>COUNTIF(Tabla1[[#This Row],[VEHICULOS_ACCIDENTADOS]:[VEHICULOS_ACCIDENTADOS2]],"CAMPERO")</f>
        <v>0</v>
      </c>
      <c r="V710" s="36">
        <f>COUNTIF(Tabla1[[#This Row],[VEHICULOS_ACCIDENTADOS]:[VEHICULOS_ACCIDENTADOS2]],"CAMIONETA")</f>
        <v>0</v>
      </c>
      <c r="W710" s="36">
        <f>COUNTIF(Tabla1[[#This Row],[VEHICULOS_ACCIDENTADOS]:[VEHICULOS_ACCIDENTADOS2]],"MICROBUS")</f>
        <v>0</v>
      </c>
      <c r="X710" s="36">
        <f>COUNTIF(Tabla1[[#This Row],[VEHICULOS_ACCIDENTADOS]:[VEHICULOS_ACCIDENTADOS2]],"BUS")</f>
        <v>0</v>
      </c>
      <c r="Y710" s="36">
        <f>COUNTIF(Tabla1[[#This Row],[VEHICULOS_ACCIDENTADOS]:[VEHICULOS_ACCIDENTADOS2]],"BUSETA")</f>
        <v>0</v>
      </c>
      <c r="Z710" s="36">
        <f>COUNTIF(Tabla1[[#This Row],[VEHICULOS_ACCIDENTADOS]:[VEHICULOS_ACCIDENTADOS2]],"CAMION")</f>
        <v>0</v>
      </c>
      <c r="AA710" s="36">
        <f>COUNTIF(Tabla1[[#This Row],[VEHICULOS_ACCIDENTADOS]:[VEHICULOS_ACCIDENTADOS2]],"TRACTOCAMION")</f>
        <v>0</v>
      </c>
      <c r="AB710" s="36">
        <f>COUNTIF(Tabla1[[#This Row],[VEHICULOS_ACCIDENTADOS]:[VEHICULOS_ACCIDENTADOS2]],"VOLQUETA")</f>
        <v>0</v>
      </c>
      <c r="AC710" s="36">
        <f>COUNTIF(Tabla1[[#This Row],[VEHICULOS_ACCIDENTADOS]:[VEHICULOS_ACCIDENTADOS2]],"BICICLETA")</f>
        <v>0</v>
      </c>
      <c r="AD710" s="43" t="s">
        <v>472</v>
      </c>
      <c r="AE710" s="43"/>
      <c r="AF710" s="43">
        <f>COUNTIF(Tabla1[[#This Row],[GENERO_MASCULINO]:[GENERO_FEMENINO]],"MASCULINO")</f>
        <v>0</v>
      </c>
      <c r="AG710" s="36">
        <f>COUNTIF(Tabla1[[#This Row],[GENERO_MASCULINO]:[GENERO_FEMENINO]],"FEMENINO")</f>
        <v>1</v>
      </c>
      <c r="AH710" s="86">
        <v>25</v>
      </c>
      <c r="AI710" s="86"/>
      <c r="AJ710" s="86"/>
      <c r="AK710" s="86"/>
      <c r="AL710" s="86"/>
      <c r="AM710" s="15"/>
      <c r="AN710" s="86">
        <v>157</v>
      </c>
      <c r="AO710" s="36" t="str">
        <f>IFERROR(((VLOOKUP(Tabla1[[#This Row],[HIPOTESIS_1]],listas!$D$1:$E$105,2,FALSE))),"SIN INFORMACIÓN")</f>
        <v>Otra</v>
      </c>
      <c r="AP710" s="15"/>
      <c r="AQ710" s="36" t="str">
        <f>IFERROR(((VLOOKUP(Tabla1[[#This Row],[HIPOTESIS_2]],listas!$D$1:$E$105,2,FALSE))),"")</f>
        <v/>
      </c>
      <c r="AR710" s="1" t="str">
        <f>IF(HOUR(Tabla1[[#This Row],[HORA_ACCIDENTE]])&lt;6,"MAÑANA",
 IF(HOUR(Tabla1[[#This Row],[HORA_ACCIDENTE]])&lt;12,"MAÑANA",
 IF(HOUR(Tabla1[[#This Row],[HORA_ACCIDENTE]])&lt;18,"TARDE","NOCHE")))</f>
        <v>MAÑANA</v>
      </c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33"/>
    </row>
    <row r="711" spans="1:56" x14ac:dyDescent="0.25">
      <c r="A711" s="12">
        <v>143</v>
      </c>
      <c r="B711" s="38">
        <v>0</v>
      </c>
      <c r="C711" s="7">
        <v>1</v>
      </c>
      <c r="D711" s="7">
        <v>0</v>
      </c>
      <c r="E711" s="18" t="str">
        <f t="shared" si="44"/>
        <v>LESIONADO</v>
      </c>
      <c r="F711" s="29" t="s">
        <v>1125</v>
      </c>
      <c r="G711" s="17">
        <v>5.3386189999999996</v>
      </c>
      <c r="H711" s="17">
        <v>-72.396057999999996</v>
      </c>
      <c r="I711" s="93" t="s">
        <v>697</v>
      </c>
      <c r="J711" s="7" t="s">
        <v>717</v>
      </c>
      <c r="K711" s="24" t="str">
        <f t="shared" si="45"/>
        <v>2022</v>
      </c>
      <c r="L711" s="24" t="str">
        <f t="shared" si="46"/>
        <v>ABRIL</v>
      </c>
      <c r="M711" s="232">
        <v>44671</v>
      </c>
      <c r="N711" s="24" t="str">
        <f t="shared" si="47"/>
        <v>MIÉRCOLES</v>
      </c>
      <c r="O711" s="106">
        <v>0.93055555555555503</v>
      </c>
      <c r="P711" s="8" t="s">
        <v>469</v>
      </c>
      <c r="Q711" s="8" t="s">
        <v>469</v>
      </c>
      <c r="R711" s="36">
        <f>COUNTIF(Tabla1[[#This Row],[VEHICULOS_ACCIDENTADOS]:[VEHICULOS_ACCIDENTADOS2]],"MOTOCICLETA")</f>
        <v>2</v>
      </c>
      <c r="S711" s="36">
        <f>COUNTIF(Tabla1[[#This Row],[VEHICULOS_ACCIDENTADOS]:[VEHICULOS_ACCIDENTADOS2]],"MOTOCARRO")</f>
        <v>0</v>
      </c>
      <c r="T711" s="36">
        <f>COUNTIF(Tabla1[[#This Row],[VEHICULOS_ACCIDENTADOS]:[VEHICULOS_ACCIDENTADOS2]],"AUTOMOVIL")</f>
        <v>0</v>
      </c>
      <c r="U711" s="36">
        <f>COUNTIF(Tabla1[[#This Row],[VEHICULOS_ACCIDENTADOS]:[VEHICULOS_ACCIDENTADOS2]],"CAMPERO")</f>
        <v>0</v>
      </c>
      <c r="V711" s="36">
        <f>COUNTIF(Tabla1[[#This Row],[VEHICULOS_ACCIDENTADOS]:[VEHICULOS_ACCIDENTADOS2]],"CAMIONETA")</f>
        <v>0</v>
      </c>
      <c r="W711" s="36">
        <f>COUNTIF(Tabla1[[#This Row],[VEHICULOS_ACCIDENTADOS]:[VEHICULOS_ACCIDENTADOS2]],"MICROBUS")</f>
        <v>0</v>
      </c>
      <c r="X711" s="36">
        <f>COUNTIF(Tabla1[[#This Row],[VEHICULOS_ACCIDENTADOS]:[VEHICULOS_ACCIDENTADOS2]],"BUS")</f>
        <v>0</v>
      </c>
      <c r="Y711" s="36">
        <f>COUNTIF(Tabla1[[#This Row],[VEHICULOS_ACCIDENTADOS]:[VEHICULOS_ACCIDENTADOS2]],"BUSETA")</f>
        <v>0</v>
      </c>
      <c r="Z711" s="36">
        <f>COUNTIF(Tabla1[[#This Row],[VEHICULOS_ACCIDENTADOS]:[VEHICULOS_ACCIDENTADOS2]],"CAMION")</f>
        <v>0</v>
      </c>
      <c r="AA711" s="36">
        <f>COUNTIF(Tabla1[[#This Row],[VEHICULOS_ACCIDENTADOS]:[VEHICULOS_ACCIDENTADOS2]],"TRACTOCAMION")</f>
        <v>0</v>
      </c>
      <c r="AB711" s="36">
        <f>COUNTIF(Tabla1[[#This Row],[VEHICULOS_ACCIDENTADOS]:[VEHICULOS_ACCIDENTADOS2]],"VOLQUETA")</f>
        <v>0</v>
      </c>
      <c r="AC711" s="36">
        <f>COUNTIF(Tabla1[[#This Row],[VEHICULOS_ACCIDENTADOS]:[VEHICULOS_ACCIDENTADOS2]],"BICICLETA")</f>
        <v>0</v>
      </c>
      <c r="AD711" s="38" t="s">
        <v>471</v>
      </c>
      <c r="AE711" s="38"/>
      <c r="AF711" s="38">
        <f>COUNTIF(Tabla1[[#This Row],[GENERO_MASCULINO]:[GENERO_FEMENINO]],"MASCULINO")</f>
        <v>1</v>
      </c>
      <c r="AG711" s="36">
        <f>COUNTIF(Tabla1[[#This Row],[GENERO_MASCULINO]:[GENERO_FEMENINO]],"FEMENINO")</f>
        <v>0</v>
      </c>
      <c r="AH711" s="73">
        <v>23</v>
      </c>
      <c r="AI711" s="73"/>
      <c r="AJ711" s="73"/>
      <c r="AK711" s="73"/>
      <c r="AL711" s="73"/>
      <c r="AM711" s="7"/>
      <c r="AN711" s="73">
        <v>122</v>
      </c>
      <c r="AO711" s="36" t="str">
        <f>IFERROR(((VLOOKUP(Tabla1[[#This Row],[HIPOTESIS_1]],listas!$D$1:$E$105,2,FALSE))),"SIN INFORMACIÓN")</f>
        <v>Girar bruscamente.</v>
      </c>
      <c r="AP711" s="7"/>
      <c r="AQ711" s="36" t="str">
        <f>IFERROR(((VLOOKUP(Tabla1[[#This Row],[HIPOTESIS_2]],listas!$D$1:$E$105,2,FALSE))),"")</f>
        <v/>
      </c>
      <c r="AR711" s="1" t="str">
        <f>IF(HOUR(Tabla1[[#This Row],[HORA_ACCIDENTE]])&lt;6,"MAÑANA",
 IF(HOUR(Tabla1[[#This Row],[HORA_ACCIDENTE]])&lt;12,"MAÑANA",
 IF(HOUR(Tabla1[[#This Row],[HORA_ACCIDENTE]])&lt;18,"TARDE","NOCHE")))</f>
        <v>NOCHE</v>
      </c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33"/>
    </row>
    <row r="712" spans="1:56" x14ac:dyDescent="0.25">
      <c r="A712" s="12">
        <v>130</v>
      </c>
      <c r="B712" s="38">
        <v>0</v>
      </c>
      <c r="C712" s="7">
        <v>1</v>
      </c>
      <c r="D712" s="7">
        <v>0</v>
      </c>
      <c r="E712" s="18" t="str">
        <f t="shared" si="44"/>
        <v>LESIONADO</v>
      </c>
      <c r="F712" s="29" t="s">
        <v>1125</v>
      </c>
      <c r="G712" s="17">
        <v>5.3386189999999996</v>
      </c>
      <c r="H712" s="17">
        <v>-72.396057999999996</v>
      </c>
      <c r="I712" s="93" t="s">
        <v>697</v>
      </c>
      <c r="J712" s="7" t="s">
        <v>717</v>
      </c>
      <c r="K712" s="24" t="str">
        <f t="shared" si="45"/>
        <v>2022</v>
      </c>
      <c r="L712" s="24" t="str">
        <f t="shared" si="46"/>
        <v>ABRIL</v>
      </c>
      <c r="M712" s="232">
        <v>44662</v>
      </c>
      <c r="N712" s="24" t="str">
        <f t="shared" si="47"/>
        <v>LUNES</v>
      </c>
      <c r="O712" s="106">
        <v>0.65972222222222199</v>
      </c>
      <c r="P712" s="8" t="s">
        <v>439</v>
      </c>
      <c r="Q712" s="8" t="s">
        <v>438</v>
      </c>
      <c r="R712" s="36">
        <f>COUNTIF(Tabla1[[#This Row],[VEHICULOS_ACCIDENTADOS]:[VEHICULOS_ACCIDENTADOS2]],"MOTOCICLETA")</f>
        <v>0</v>
      </c>
      <c r="S712" s="36">
        <f>COUNTIF(Tabla1[[#This Row],[VEHICULOS_ACCIDENTADOS]:[VEHICULOS_ACCIDENTADOS2]],"MOTOCARRO")</f>
        <v>0</v>
      </c>
      <c r="T712" s="36">
        <f>COUNTIF(Tabla1[[#This Row],[VEHICULOS_ACCIDENTADOS]:[VEHICULOS_ACCIDENTADOS2]],"AUTOMOVIL")</f>
        <v>0</v>
      </c>
      <c r="U712" s="36">
        <f>COUNTIF(Tabla1[[#This Row],[VEHICULOS_ACCIDENTADOS]:[VEHICULOS_ACCIDENTADOS2]],"CAMPERO")</f>
        <v>0</v>
      </c>
      <c r="V712" s="36">
        <f>COUNTIF(Tabla1[[#This Row],[VEHICULOS_ACCIDENTADOS]:[VEHICULOS_ACCIDENTADOS2]],"CAMIONETA")</f>
        <v>0</v>
      </c>
      <c r="W712" s="36">
        <f>COUNTIF(Tabla1[[#This Row],[VEHICULOS_ACCIDENTADOS]:[VEHICULOS_ACCIDENTADOS2]],"MICROBUS")</f>
        <v>0</v>
      </c>
      <c r="X712" s="36">
        <f>COUNTIF(Tabla1[[#This Row],[VEHICULOS_ACCIDENTADOS]:[VEHICULOS_ACCIDENTADOS2]],"BUS")</f>
        <v>0</v>
      </c>
      <c r="Y712" s="36">
        <f>COUNTIF(Tabla1[[#This Row],[VEHICULOS_ACCIDENTADOS]:[VEHICULOS_ACCIDENTADOS2]],"BUSETA")</f>
        <v>0</v>
      </c>
      <c r="Z712" s="36">
        <f>COUNTIF(Tabla1[[#This Row],[VEHICULOS_ACCIDENTADOS]:[VEHICULOS_ACCIDENTADOS2]],"CAMION")</f>
        <v>0</v>
      </c>
      <c r="AA712" s="36">
        <f>COUNTIF(Tabla1[[#This Row],[VEHICULOS_ACCIDENTADOS]:[VEHICULOS_ACCIDENTADOS2]],"TRACTOCAMION")</f>
        <v>0</v>
      </c>
      <c r="AB712" s="36">
        <f>COUNTIF(Tabla1[[#This Row],[VEHICULOS_ACCIDENTADOS]:[VEHICULOS_ACCIDENTADOS2]],"VOLQUETA")</f>
        <v>1</v>
      </c>
      <c r="AC712" s="36">
        <f>COUNTIF(Tabla1[[#This Row],[VEHICULOS_ACCIDENTADOS]:[VEHICULOS_ACCIDENTADOS2]],"BICICLETA")</f>
        <v>1</v>
      </c>
      <c r="AD712" s="38" t="s">
        <v>471</v>
      </c>
      <c r="AE712" s="38"/>
      <c r="AF712" s="38">
        <f>COUNTIF(Tabla1[[#This Row],[GENERO_MASCULINO]:[GENERO_FEMENINO]],"MASCULINO")</f>
        <v>1</v>
      </c>
      <c r="AG712" s="36">
        <f>COUNTIF(Tabla1[[#This Row],[GENERO_MASCULINO]:[GENERO_FEMENINO]],"FEMENINO")</f>
        <v>0</v>
      </c>
      <c r="AH712" s="193">
        <v>65</v>
      </c>
      <c r="AI712" s="193"/>
      <c r="AJ712" s="89"/>
      <c r="AK712" s="193"/>
      <c r="AL712" s="193"/>
      <c r="AM712" s="32"/>
      <c r="AN712" s="193">
        <v>114</v>
      </c>
      <c r="AO712" s="36" t="str">
        <f>IFERROR(((VLOOKUP(Tabla1[[#This Row],[HIPOTESIS_1]],listas!$D$1:$E$105,2,FALSE))),"SIN INFORMACIÓN")</f>
        <v>Embriaguez aparente.</v>
      </c>
      <c r="AP712" s="32"/>
      <c r="AQ712" s="36" t="str">
        <f>IFERROR(((VLOOKUP(Tabla1[[#This Row],[HIPOTESIS_2]],listas!$D$1:$E$105,2,FALSE))),"")</f>
        <v/>
      </c>
      <c r="AR712" s="1" t="str">
        <f>IF(HOUR(Tabla1[[#This Row],[HORA_ACCIDENTE]])&lt;6,"MAÑANA",
 IF(HOUR(Tabla1[[#This Row],[HORA_ACCIDENTE]])&lt;12,"MAÑANA",
 IF(HOUR(Tabla1[[#This Row],[HORA_ACCIDENTE]])&lt;18,"TARDE","NOCHE")))</f>
        <v>TARDE</v>
      </c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</row>
    <row r="713" spans="1:56" x14ac:dyDescent="0.25">
      <c r="A713" s="12">
        <v>711</v>
      </c>
      <c r="B713" s="38">
        <v>1</v>
      </c>
      <c r="C713" s="15">
        <v>0</v>
      </c>
      <c r="D713" s="7">
        <v>0</v>
      </c>
      <c r="E713" s="18" t="str">
        <f t="shared" si="44"/>
        <v>SOLO DAÑO</v>
      </c>
      <c r="F713" s="29" t="s">
        <v>929</v>
      </c>
      <c r="G713" s="21">
        <v>5.3382194444444444</v>
      </c>
      <c r="H713" s="21">
        <v>-72.394208333333339</v>
      </c>
      <c r="I713" s="93" t="s">
        <v>697</v>
      </c>
      <c r="J713" s="15" t="s">
        <v>717</v>
      </c>
      <c r="K713" s="24" t="str">
        <f t="shared" si="45"/>
        <v>2024</v>
      </c>
      <c r="L713" s="24" t="str">
        <f t="shared" si="46"/>
        <v>MAYO</v>
      </c>
      <c r="M713" s="232">
        <v>45425</v>
      </c>
      <c r="N713" s="24" t="str">
        <f t="shared" si="47"/>
        <v>LUNES</v>
      </c>
      <c r="O713" s="109">
        <v>0.83194444444444438</v>
      </c>
      <c r="P713" s="39" t="s">
        <v>469</v>
      </c>
      <c r="Q713" s="39" t="s">
        <v>469</v>
      </c>
      <c r="R713" s="36">
        <f>COUNTIF(Tabla1[[#This Row],[VEHICULOS_ACCIDENTADOS]:[VEHICULOS_ACCIDENTADOS2]],"MOTOCICLETA")</f>
        <v>2</v>
      </c>
      <c r="S713" s="36">
        <f>COUNTIF(Tabla1[[#This Row],[VEHICULOS_ACCIDENTADOS]:[VEHICULOS_ACCIDENTADOS2]],"MOTOCARRO")</f>
        <v>0</v>
      </c>
      <c r="T713" s="36">
        <f>COUNTIF(Tabla1[[#This Row],[VEHICULOS_ACCIDENTADOS]:[VEHICULOS_ACCIDENTADOS2]],"AUTOMOVIL")</f>
        <v>0</v>
      </c>
      <c r="U713" s="36">
        <f>COUNTIF(Tabla1[[#This Row],[VEHICULOS_ACCIDENTADOS]:[VEHICULOS_ACCIDENTADOS2]],"CAMPERO")</f>
        <v>0</v>
      </c>
      <c r="V713" s="36">
        <f>COUNTIF(Tabla1[[#This Row],[VEHICULOS_ACCIDENTADOS]:[VEHICULOS_ACCIDENTADOS2]],"CAMIONETA")</f>
        <v>0</v>
      </c>
      <c r="W713" s="36">
        <f>COUNTIF(Tabla1[[#This Row],[VEHICULOS_ACCIDENTADOS]:[VEHICULOS_ACCIDENTADOS2]],"MICROBUS")</f>
        <v>0</v>
      </c>
      <c r="X713" s="36">
        <f>COUNTIF(Tabla1[[#This Row],[VEHICULOS_ACCIDENTADOS]:[VEHICULOS_ACCIDENTADOS2]],"BUS")</f>
        <v>0</v>
      </c>
      <c r="Y713" s="36">
        <f>COUNTIF(Tabla1[[#This Row],[VEHICULOS_ACCIDENTADOS]:[VEHICULOS_ACCIDENTADOS2]],"BUSETA")</f>
        <v>0</v>
      </c>
      <c r="Z713" s="36">
        <f>COUNTIF(Tabla1[[#This Row],[VEHICULOS_ACCIDENTADOS]:[VEHICULOS_ACCIDENTADOS2]],"CAMION")</f>
        <v>0</v>
      </c>
      <c r="AA713" s="36">
        <f>COUNTIF(Tabla1[[#This Row],[VEHICULOS_ACCIDENTADOS]:[VEHICULOS_ACCIDENTADOS2]],"TRACTOCAMION")</f>
        <v>0</v>
      </c>
      <c r="AB713" s="36">
        <f>COUNTIF(Tabla1[[#This Row],[VEHICULOS_ACCIDENTADOS]:[VEHICULOS_ACCIDENTADOS2]],"VOLQUETA")</f>
        <v>0</v>
      </c>
      <c r="AC713" s="36">
        <f>COUNTIF(Tabla1[[#This Row],[VEHICULOS_ACCIDENTADOS]:[VEHICULOS_ACCIDENTADOS2]],"BICICLETA")</f>
        <v>0</v>
      </c>
      <c r="AD713" s="7" t="s">
        <v>471</v>
      </c>
      <c r="AE713" s="7"/>
      <c r="AF713" s="7">
        <f>COUNTIF(Tabla1[[#This Row],[GENERO_MASCULINO]:[GENERO_FEMENINO]],"MASCULINO")</f>
        <v>1</v>
      </c>
      <c r="AG713" s="36">
        <f>COUNTIF(Tabla1[[#This Row],[GENERO_MASCULINO]:[GENERO_FEMENINO]],"FEMENINO")</f>
        <v>0</v>
      </c>
      <c r="AH713" s="73">
        <v>40</v>
      </c>
      <c r="AI713" s="73"/>
      <c r="AJ713" s="73"/>
      <c r="AK713" s="73"/>
      <c r="AL713" s="73"/>
      <c r="AM713" s="7"/>
      <c r="AN713" s="73">
        <v>115</v>
      </c>
      <c r="AO713" s="36" t="str">
        <f>IFERROR(((VLOOKUP(Tabla1[[#This Row],[HIPOTESIS_1]],listas!$D$1:$E$105,2,FALSE))),"SIN INFORMACIÓN")</f>
        <v>Embriaguez o Sustancias alucinogenas</v>
      </c>
      <c r="AP713" s="7"/>
      <c r="AQ713" s="36" t="str">
        <f>IFERROR(((VLOOKUP(Tabla1[[#This Row],[HIPOTESIS_2]],listas!$D$1:$E$105,2,FALSE))),"")</f>
        <v/>
      </c>
      <c r="AR713" s="1" t="str">
        <f>IF(HOUR(Tabla1[[#This Row],[HORA_ACCIDENTE]])&lt;6,"MAÑANA",
 IF(HOUR(Tabla1[[#This Row],[HORA_ACCIDENTE]])&lt;12,"MAÑANA",
 IF(HOUR(Tabla1[[#This Row],[HORA_ACCIDENTE]])&lt;18,"TARDE","NOCHE")))</f>
        <v>NOCHE</v>
      </c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</row>
    <row r="714" spans="1:56" x14ac:dyDescent="0.25">
      <c r="A714" s="12">
        <v>17</v>
      </c>
      <c r="B714" s="38">
        <v>1</v>
      </c>
      <c r="C714" s="7">
        <v>0</v>
      </c>
      <c r="D714" s="7">
        <v>0</v>
      </c>
      <c r="E714" s="18" t="str">
        <f t="shared" si="44"/>
        <v>SOLO DAÑO</v>
      </c>
      <c r="F714" s="29" t="s">
        <v>931</v>
      </c>
      <c r="G714" s="17">
        <v>5.3350638888888886</v>
      </c>
      <c r="H714" s="17">
        <v>-72.392494444444452</v>
      </c>
      <c r="I714" s="93" t="s">
        <v>697</v>
      </c>
      <c r="J714" s="7" t="s">
        <v>717</v>
      </c>
      <c r="K714" s="24" t="str">
        <f t="shared" si="45"/>
        <v>2022</v>
      </c>
      <c r="L714" s="24" t="str">
        <f t="shared" si="46"/>
        <v>ENERO</v>
      </c>
      <c r="M714" s="232">
        <v>44579</v>
      </c>
      <c r="N714" s="24" t="str">
        <f t="shared" si="47"/>
        <v>MARTES</v>
      </c>
      <c r="O714" s="106">
        <v>0.42708333333333298</v>
      </c>
      <c r="P714" s="8" t="s">
        <v>445</v>
      </c>
      <c r="Q714" s="8" t="s">
        <v>444</v>
      </c>
      <c r="R714" s="36">
        <f>COUNTIF(Tabla1[[#This Row],[VEHICULOS_ACCIDENTADOS]:[VEHICULOS_ACCIDENTADOS2]],"MOTOCICLETA")</f>
        <v>0</v>
      </c>
      <c r="S714" s="36">
        <f>COUNTIF(Tabla1[[#This Row],[VEHICULOS_ACCIDENTADOS]:[VEHICULOS_ACCIDENTADOS2]],"MOTOCARRO")</f>
        <v>0</v>
      </c>
      <c r="T714" s="36">
        <f>COUNTIF(Tabla1[[#This Row],[VEHICULOS_ACCIDENTADOS]:[VEHICULOS_ACCIDENTADOS2]],"AUTOMOVIL")</f>
        <v>0</v>
      </c>
      <c r="U714" s="36">
        <f>COUNTIF(Tabla1[[#This Row],[VEHICULOS_ACCIDENTADOS]:[VEHICULOS_ACCIDENTADOS2]],"CAMPERO")</f>
        <v>0</v>
      </c>
      <c r="V714" s="36">
        <f>COUNTIF(Tabla1[[#This Row],[VEHICULOS_ACCIDENTADOS]:[VEHICULOS_ACCIDENTADOS2]],"CAMIONETA")</f>
        <v>1</v>
      </c>
      <c r="W714" s="36">
        <f>COUNTIF(Tabla1[[#This Row],[VEHICULOS_ACCIDENTADOS]:[VEHICULOS_ACCIDENTADOS2]],"MICROBUS")</f>
        <v>1</v>
      </c>
      <c r="X714" s="36">
        <f>COUNTIF(Tabla1[[#This Row],[VEHICULOS_ACCIDENTADOS]:[VEHICULOS_ACCIDENTADOS2]],"BUS")</f>
        <v>0</v>
      </c>
      <c r="Y714" s="36">
        <f>COUNTIF(Tabla1[[#This Row],[VEHICULOS_ACCIDENTADOS]:[VEHICULOS_ACCIDENTADOS2]],"BUSETA")</f>
        <v>0</v>
      </c>
      <c r="Z714" s="36">
        <f>COUNTIF(Tabla1[[#This Row],[VEHICULOS_ACCIDENTADOS]:[VEHICULOS_ACCIDENTADOS2]],"CAMION")</f>
        <v>0</v>
      </c>
      <c r="AA714" s="36">
        <f>COUNTIF(Tabla1[[#This Row],[VEHICULOS_ACCIDENTADOS]:[VEHICULOS_ACCIDENTADOS2]],"TRACTOCAMION")</f>
        <v>0</v>
      </c>
      <c r="AB714" s="36">
        <f>COUNTIF(Tabla1[[#This Row],[VEHICULOS_ACCIDENTADOS]:[VEHICULOS_ACCIDENTADOS2]],"VOLQUETA")</f>
        <v>0</v>
      </c>
      <c r="AC714" s="36">
        <f>COUNTIF(Tabla1[[#This Row],[VEHICULOS_ACCIDENTADOS]:[VEHICULOS_ACCIDENTADOS2]],"BICICLETA")</f>
        <v>0</v>
      </c>
      <c r="AD714" s="38" t="s">
        <v>471</v>
      </c>
      <c r="AE714" s="38"/>
      <c r="AF714" s="38">
        <f>COUNTIF(Tabla1[[#This Row],[GENERO_MASCULINO]:[GENERO_FEMENINO]],"MASCULINO")</f>
        <v>1</v>
      </c>
      <c r="AG714" s="36">
        <f>COUNTIF(Tabla1[[#This Row],[GENERO_MASCULINO]:[GENERO_FEMENINO]],"FEMENINO")</f>
        <v>0</v>
      </c>
      <c r="AH714" s="73"/>
      <c r="AI714" s="73"/>
      <c r="AJ714" s="73"/>
      <c r="AK714" s="73"/>
      <c r="AL714" s="73"/>
      <c r="AM714" s="7"/>
      <c r="AN714" s="73">
        <v>122</v>
      </c>
      <c r="AO714" s="36" t="str">
        <f>IFERROR(((VLOOKUP(Tabla1[[#This Row],[HIPOTESIS_1]],listas!$D$1:$E$105,2,FALSE))),"SIN INFORMACIÓN")</f>
        <v>Girar bruscamente.</v>
      </c>
      <c r="AP714" s="7"/>
      <c r="AQ714" s="36" t="str">
        <f>IFERROR(((VLOOKUP(Tabla1[[#This Row],[HIPOTESIS_2]],listas!$D$1:$E$105,2,FALSE))),"")</f>
        <v/>
      </c>
      <c r="AR714" s="1" t="str">
        <f>IF(HOUR(Tabla1[[#This Row],[HORA_ACCIDENTE]])&lt;6,"MAÑANA",
 IF(HOUR(Tabla1[[#This Row],[HORA_ACCIDENTE]])&lt;12,"MAÑANA",
 IF(HOUR(Tabla1[[#This Row],[HORA_ACCIDENTE]])&lt;18,"TARDE","NOCHE")))</f>
        <v>MAÑANA</v>
      </c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33"/>
    </row>
    <row r="715" spans="1:56" x14ac:dyDescent="0.25">
      <c r="A715" s="12">
        <v>1096</v>
      </c>
      <c r="B715" s="47">
        <v>0</v>
      </c>
      <c r="C715" s="24">
        <v>1</v>
      </c>
      <c r="D715" s="24">
        <v>0</v>
      </c>
      <c r="E715" s="24" t="str">
        <f t="shared" si="44"/>
        <v>LESIONADO</v>
      </c>
      <c r="F715" s="152" t="s">
        <v>1126</v>
      </c>
      <c r="G715" s="30">
        <v>5.33622833333333</v>
      </c>
      <c r="H715" s="30">
        <v>-72.393045000000001</v>
      </c>
      <c r="I715" s="165" t="s">
        <v>697</v>
      </c>
      <c r="J715" s="7" t="s">
        <v>717</v>
      </c>
      <c r="K715" s="24" t="str">
        <f t="shared" si="45"/>
        <v>2025</v>
      </c>
      <c r="L715" s="24" t="str">
        <f t="shared" si="46"/>
        <v>SEPTIEMBRE</v>
      </c>
      <c r="M715" s="232">
        <v>45926</v>
      </c>
      <c r="N715" s="24" t="str">
        <f t="shared" si="47"/>
        <v>VIERNES</v>
      </c>
      <c r="O715" s="106">
        <v>0.60763888888888884</v>
      </c>
      <c r="P715" s="8" t="s">
        <v>469</v>
      </c>
      <c r="Q715" s="8" t="s">
        <v>469</v>
      </c>
      <c r="R715" s="36">
        <f>COUNTIF(Tabla1[[#This Row],[VEHICULOS_ACCIDENTADOS]:[VEHICULOS_ACCIDENTADOS2]],"MOTOCICLETA")</f>
        <v>2</v>
      </c>
      <c r="S715" s="36">
        <f>COUNTIF(Tabla1[[#This Row],[VEHICULOS_ACCIDENTADOS]:[VEHICULOS_ACCIDENTADOS2]],"MOTOCARRO")</f>
        <v>0</v>
      </c>
      <c r="T715" s="36">
        <f>COUNTIF(Tabla1[[#This Row],[VEHICULOS_ACCIDENTADOS]:[VEHICULOS_ACCIDENTADOS2]],"AUTOMOVIL")</f>
        <v>0</v>
      </c>
      <c r="U715" s="36">
        <f>COUNTIF(Tabla1[[#This Row],[VEHICULOS_ACCIDENTADOS]:[VEHICULOS_ACCIDENTADOS2]],"CAMPERO")</f>
        <v>0</v>
      </c>
      <c r="V715" s="36">
        <f>COUNTIF(Tabla1[[#This Row],[VEHICULOS_ACCIDENTADOS]:[VEHICULOS_ACCIDENTADOS2]],"CAMIONETA")</f>
        <v>0</v>
      </c>
      <c r="W715" s="36">
        <f>COUNTIF(Tabla1[[#This Row],[VEHICULOS_ACCIDENTADOS]:[VEHICULOS_ACCIDENTADOS2]],"MICROBUS")</f>
        <v>0</v>
      </c>
      <c r="X715" s="36">
        <f>COUNTIF(Tabla1[[#This Row],[VEHICULOS_ACCIDENTADOS]:[VEHICULOS_ACCIDENTADOS2]],"BUS")</f>
        <v>0</v>
      </c>
      <c r="Y715" s="36">
        <f>COUNTIF(Tabla1[[#This Row],[VEHICULOS_ACCIDENTADOS]:[VEHICULOS_ACCIDENTADOS2]],"BUSETA")</f>
        <v>0</v>
      </c>
      <c r="Z715" s="36">
        <f>COUNTIF(Tabla1[[#This Row],[VEHICULOS_ACCIDENTADOS]:[VEHICULOS_ACCIDENTADOS2]],"CAMION")</f>
        <v>0</v>
      </c>
      <c r="AA715" s="36">
        <f>COUNTIF(Tabla1[[#This Row],[VEHICULOS_ACCIDENTADOS]:[VEHICULOS_ACCIDENTADOS2]],"TRACTOCAMION")</f>
        <v>0</v>
      </c>
      <c r="AB715" s="36">
        <f>COUNTIF(Tabla1[[#This Row],[VEHICULOS_ACCIDENTADOS]:[VEHICULOS_ACCIDENTADOS2]],"VOLQUETA")</f>
        <v>0</v>
      </c>
      <c r="AC715" s="36">
        <f>COUNTIF(Tabla1[[#This Row],[VEHICULOS_ACCIDENTADOS]:[VEHICULOS_ACCIDENTADOS2]],"BICICLETA")</f>
        <v>0</v>
      </c>
      <c r="AD715" s="189" t="s">
        <v>472</v>
      </c>
      <c r="AE715" s="189" t="s">
        <v>471</v>
      </c>
      <c r="AF715" s="38">
        <f>COUNTIF(Tabla1[[#This Row],[GENERO_MASCULINO]:[GENERO_FEMENINO]],"MASCULINO")</f>
        <v>1</v>
      </c>
      <c r="AG715" s="36">
        <f>COUNTIF(Tabla1[[#This Row],[GENERO_MASCULINO]:[GENERO_FEMENINO]],"FEMENINO")</f>
        <v>1</v>
      </c>
      <c r="AH715" s="86">
        <v>25</v>
      </c>
      <c r="AI715" s="86"/>
      <c r="AJ715" s="86"/>
      <c r="AK715" s="87"/>
      <c r="AL715" s="87"/>
      <c r="AM715" s="6"/>
      <c r="AN715" s="73">
        <v>142</v>
      </c>
      <c r="AO715" s="59" t="str">
        <f>IFERROR(((VLOOKUP(Tabla1[[#This Row],[HIPOTESIS_1]],listas!$D$1:$E$105,2,FALSE))),"SIN INFORMACIÓN")</f>
        <v>Semáforo en rojo.</v>
      </c>
      <c r="AP715" s="7"/>
      <c r="AQ715" s="36" t="str">
        <f>IFERROR(((VLOOKUP(Tabla1[[#This Row],[HIPOTESIS_2]],listas!$D$1:$E$105,2,FALSE))),"")</f>
        <v/>
      </c>
      <c r="AR715" s="2" t="str">
        <f>IF(HOUR(Tabla1[[#This Row],[HORA_ACCIDENTE]])&lt;6,"MAÑANA",
 IF(HOUR(Tabla1[[#This Row],[HORA_ACCIDENTE]])&lt;12,"MAÑANA",
 IF(HOUR(Tabla1[[#This Row],[HORA_ACCIDENTE]])&lt;18,"TARDE","NOCHE")))</f>
        <v>TARDE</v>
      </c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33"/>
    </row>
    <row r="716" spans="1:56" x14ac:dyDescent="0.25">
      <c r="A716" s="12">
        <v>141</v>
      </c>
      <c r="B716" s="38">
        <v>0</v>
      </c>
      <c r="C716" s="7">
        <v>1</v>
      </c>
      <c r="D716" s="7">
        <v>0</v>
      </c>
      <c r="E716" s="18" t="str">
        <f t="shared" si="44"/>
        <v>LESIONADO</v>
      </c>
      <c r="F716" s="29" t="s">
        <v>1129</v>
      </c>
      <c r="G716" s="17">
        <v>5.3424480000000001</v>
      </c>
      <c r="H716" s="17">
        <v>-72.396553999999995</v>
      </c>
      <c r="I716" s="93" t="s">
        <v>697</v>
      </c>
      <c r="J716" s="7" t="s">
        <v>717</v>
      </c>
      <c r="K716" s="24" t="str">
        <f t="shared" si="45"/>
        <v>2022</v>
      </c>
      <c r="L716" s="24" t="str">
        <f t="shared" si="46"/>
        <v>ABRIL</v>
      </c>
      <c r="M716" s="232">
        <v>44672</v>
      </c>
      <c r="N716" s="24" t="str">
        <f t="shared" si="47"/>
        <v>JUEVES</v>
      </c>
      <c r="O716" s="106">
        <v>0.39583333333333298</v>
      </c>
      <c r="P716" s="8" t="s">
        <v>447</v>
      </c>
      <c r="Q716" s="8" t="s">
        <v>445</v>
      </c>
      <c r="R716" s="36">
        <f>COUNTIF(Tabla1[[#This Row],[VEHICULOS_ACCIDENTADOS]:[VEHICULOS_ACCIDENTADOS2]],"MOTOCICLETA")</f>
        <v>0</v>
      </c>
      <c r="S716" s="36">
        <f>COUNTIF(Tabla1[[#This Row],[VEHICULOS_ACCIDENTADOS]:[VEHICULOS_ACCIDENTADOS2]],"MOTOCARRO")</f>
        <v>0</v>
      </c>
      <c r="T716" s="36">
        <f>COUNTIF(Tabla1[[#This Row],[VEHICULOS_ACCIDENTADOS]:[VEHICULOS_ACCIDENTADOS2]],"AUTOMOVIL")</f>
        <v>1</v>
      </c>
      <c r="U716" s="36">
        <f>COUNTIF(Tabla1[[#This Row],[VEHICULOS_ACCIDENTADOS]:[VEHICULOS_ACCIDENTADOS2]],"CAMPERO")</f>
        <v>0</v>
      </c>
      <c r="V716" s="36">
        <f>COUNTIF(Tabla1[[#This Row],[VEHICULOS_ACCIDENTADOS]:[VEHICULOS_ACCIDENTADOS2]],"CAMIONETA")</f>
        <v>1</v>
      </c>
      <c r="W716" s="36">
        <f>COUNTIF(Tabla1[[#This Row],[VEHICULOS_ACCIDENTADOS]:[VEHICULOS_ACCIDENTADOS2]],"MICROBUS")</f>
        <v>0</v>
      </c>
      <c r="X716" s="36">
        <f>COUNTIF(Tabla1[[#This Row],[VEHICULOS_ACCIDENTADOS]:[VEHICULOS_ACCIDENTADOS2]],"BUS")</f>
        <v>0</v>
      </c>
      <c r="Y716" s="36">
        <f>COUNTIF(Tabla1[[#This Row],[VEHICULOS_ACCIDENTADOS]:[VEHICULOS_ACCIDENTADOS2]],"BUSETA")</f>
        <v>0</v>
      </c>
      <c r="Z716" s="36">
        <f>COUNTIF(Tabla1[[#This Row],[VEHICULOS_ACCIDENTADOS]:[VEHICULOS_ACCIDENTADOS2]],"CAMION")</f>
        <v>0</v>
      </c>
      <c r="AA716" s="36">
        <f>COUNTIF(Tabla1[[#This Row],[VEHICULOS_ACCIDENTADOS]:[VEHICULOS_ACCIDENTADOS2]],"TRACTOCAMION")</f>
        <v>0</v>
      </c>
      <c r="AB716" s="36">
        <f>COUNTIF(Tabla1[[#This Row],[VEHICULOS_ACCIDENTADOS]:[VEHICULOS_ACCIDENTADOS2]],"VOLQUETA")</f>
        <v>0</v>
      </c>
      <c r="AC716" s="36">
        <f>COUNTIF(Tabla1[[#This Row],[VEHICULOS_ACCIDENTADOS]:[VEHICULOS_ACCIDENTADOS2]],"BICICLETA")</f>
        <v>0</v>
      </c>
      <c r="AD716" s="38" t="s">
        <v>471</v>
      </c>
      <c r="AE716" s="38"/>
      <c r="AF716" s="38">
        <f>COUNTIF(Tabla1[[#This Row],[GENERO_MASCULINO]:[GENERO_FEMENINO]],"MASCULINO")</f>
        <v>1</v>
      </c>
      <c r="AG716" s="36">
        <f>COUNTIF(Tabla1[[#This Row],[GENERO_MASCULINO]:[GENERO_FEMENINO]],"FEMENINO")</f>
        <v>0</v>
      </c>
      <c r="AH716" s="73">
        <v>45</v>
      </c>
      <c r="AI716" s="73"/>
      <c r="AJ716" s="73"/>
      <c r="AK716" s="73"/>
      <c r="AL716" s="73"/>
      <c r="AM716" s="7"/>
      <c r="AN716" s="73">
        <v>157</v>
      </c>
      <c r="AO716" s="36" t="str">
        <f>IFERROR(((VLOOKUP(Tabla1[[#This Row],[HIPOTESIS_1]],listas!$D$1:$E$105,2,FALSE))),"SIN INFORMACIÓN")</f>
        <v>Otra</v>
      </c>
      <c r="AP716" s="7"/>
      <c r="AQ716" s="36" t="str">
        <f>IFERROR(((VLOOKUP(Tabla1[[#This Row],[HIPOTESIS_2]],listas!$D$1:$E$105,2,FALSE))),"")</f>
        <v/>
      </c>
      <c r="AR716" s="1" t="str">
        <f>IF(HOUR(Tabla1[[#This Row],[HORA_ACCIDENTE]])&lt;6,"MAÑANA",
 IF(HOUR(Tabla1[[#This Row],[HORA_ACCIDENTE]])&lt;12,"MAÑANA",
 IF(HOUR(Tabla1[[#This Row],[HORA_ACCIDENTE]])&lt;18,"TARDE","NOCHE")))</f>
        <v>MAÑANA</v>
      </c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33"/>
    </row>
    <row r="717" spans="1:56" x14ac:dyDescent="0.25">
      <c r="A717" s="12">
        <v>195</v>
      </c>
      <c r="B717" s="38">
        <v>0</v>
      </c>
      <c r="C717" s="7">
        <v>1</v>
      </c>
      <c r="D717" s="7">
        <v>0</v>
      </c>
      <c r="E717" s="18" t="str">
        <f t="shared" si="44"/>
        <v>LESIONADO</v>
      </c>
      <c r="F717" s="29" t="s">
        <v>1130</v>
      </c>
      <c r="G717" s="17">
        <v>5.3409055555555556</v>
      </c>
      <c r="H717" s="17">
        <v>-72.395700000000005</v>
      </c>
      <c r="I717" s="93" t="s">
        <v>697</v>
      </c>
      <c r="J717" s="7" t="s">
        <v>717</v>
      </c>
      <c r="K717" s="24" t="str">
        <f t="shared" si="45"/>
        <v>2022</v>
      </c>
      <c r="L717" s="24" t="str">
        <f t="shared" si="46"/>
        <v>MAYO</v>
      </c>
      <c r="M717" s="232">
        <v>44707</v>
      </c>
      <c r="N717" s="24" t="str">
        <f t="shared" si="47"/>
        <v>JUEVES</v>
      </c>
      <c r="O717" s="106">
        <v>0.73958333333333304</v>
      </c>
      <c r="P717" s="8" t="s">
        <v>469</v>
      </c>
      <c r="Q717" s="8" t="s">
        <v>445</v>
      </c>
      <c r="R717" s="36">
        <f>COUNTIF(Tabla1[[#This Row],[VEHICULOS_ACCIDENTADOS]:[VEHICULOS_ACCIDENTADOS2]],"MOTOCICLETA")</f>
        <v>1</v>
      </c>
      <c r="S717" s="36">
        <f>COUNTIF(Tabla1[[#This Row],[VEHICULOS_ACCIDENTADOS]:[VEHICULOS_ACCIDENTADOS2]],"MOTOCARRO")</f>
        <v>0</v>
      </c>
      <c r="T717" s="36">
        <f>COUNTIF(Tabla1[[#This Row],[VEHICULOS_ACCIDENTADOS]:[VEHICULOS_ACCIDENTADOS2]],"AUTOMOVIL")</f>
        <v>0</v>
      </c>
      <c r="U717" s="36">
        <f>COUNTIF(Tabla1[[#This Row],[VEHICULOS_ACCIDENTADOS]:[VEHICULOS_ACCIDENTADOS2]],"CAMPERO")</f>
        <v>0</v>
      </c>
      <c r="V717" s="36">
        <f>COUNTIF(Tabla1[[#This Row],[VEHICULOS_ACCIDENTADOS]:[VEHICULOS_ACCIDENTADOS2]],"CAMIONETA")</f>
        <v>1</v>
      </c>
      <c r="W717" s="36">
        <f>COUNTIF(Tabla1[[#This Row],[VEHICULOS_ACCIDENTADOS]:[VEHICULOS_ACCIDENTADOS2]],"MICROBUS")</f>
        <v>0</v>
      </c>
      <c r="X717" s="36">
        <f>COUNTIF(Tabla1[[#This Row],[VEHICULOS_ACCIDENTADOS]:[VEHICULOS_ACCIDENTADOS2]],"BUS")</f>
        <v>0</v>
      </c>
      <c r="Y717" s="36">
        <f>COUNTIF(Tabla1[[#This Row],[VEHICULOS_ACCIDENTADOS]:[VEHICULOS_ACCIDENTADOS2]],"BUSETA")</f>
        <v>0</v>
      </c>
      <c r="Z717" s="36">
        <f>COUNTIF(Tabla1[[#This Row],[VEHICULOS_ACCIDENTADOS]:[VEHICULOS_ACCIDENTADOS2]],"CAMION")</f>
        <v>0</v>
      </c>
      <c r="AA717" s="36">
        <f>COUNTIF(Tabla1[[#This Row],[VEHICULOS_ACCIDENTADOS]:[VEHICULOS_ACCIDENTADOS2]],"TRACTOCAMION")</f>
        <v>0</v>
      </c>
      <c r="AB717" s="36">
        <f>COUNTIF(Tabla1[[#This Row],[VEHICULOS_ACCIDENTADOS]:[VEHICULOS_ACCIDENTADOS2]],"VOLQUETA")</f>
        <v>0</v>
      </c>
      <c r="AC717" s="36">
        <f>COUNTIF(Tabla1[[#This Row],[VEHICULOS_ACCIDENTADOS]:[VEHICULOS_ACCIDENTADOS2]],"BICICLETA")</f>
        <v>0</v>
      </c>
      <c r="AD717" s="38" t="s">
        <v>471</v>
      </c>
      <c r="AE717" s="38"/>
      <c r="AF717" s="38">
        <f>COUNTIF(Tabla1[[#This Row],[GENERO_MASCULINO]:[GENERO_FEMENINO]],"MASCULINO")</f>
        <v>1</v>
      </c>
      <c r="AG717" s="36">
        <f>COUNTIF(Tabla1[[#This Row],[GENERO_MASCULINO]:[GENERO_FEMENINO]],"FEMENINO")</f>
        <v>0</v>
      </c>
      <c r="AH717" s="73">
        <v>21</v>
      </c>
      <c r="AI717" s="73"/>
      <c r="AJ717" s="73"/>
      <c r="AK717" s="73"/>
      <c r="AL717" s="73"/>
      <c r="AM717" s="7"/>
      <c r="AN717" s="73">
        <v>112</v>
      </c>
      <c r="AO717" s="36" t="str">
        <f>IFERROR(((VLOOKUP(Tabla1[[#This Row],[HIPOTESIS_1]],listas!$D$1:$E$105,2,FALSE))),"SIN INFORMACIÓN")</f>
        <v>Desobedecer señales o normas de tránsito.</v>
      </c>
      <c r="AP717" s="7"/>
      <c r="AQ717" s="36" t="str">
        <f>IFERROR(((VLOOKUP(Tabla1[[#This Row],[HIPOTESIS_2]],listas!$D$1:$E$105,2,FALSE))),"")</f>
        <v/>
      </c>
      <c r="AR717" s="1" t="str">
        <f>IF(HOUR(Tabla1[[#This Row],[HORA_ACCIDENTE]])&lt;6,"MAÑANA",
 IF(HOUR(Tabla1[[#This Row],[HORA_ACCIDENTE]])&lt;12,"MAÑANA",
 IF(HOUR(Tabla1[[#This Row],[HORA_ACCIDENTE]])&lt;18,"TARDE","NOCHE")))</f>
        <v>TARDE</v>
      </c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33"/>
    </row>
    <row r="718" spans="1:56" x14ac:dyDescent="0.25">
      <c r="A718" s="12">
        <v>432</v>
      </c>
      <c r="B718" s="38">
        <v>0</v>
      </c>
      <c r="C718" s="7">
        <v>1</v>
      </c>
      <c r="D718" s="7">
        <v>0</v>
      </c>
      <c r="E718" s="18" t="str">
        <f t="shared" si="44"/>
        <v>LESIONADO</v>
      </c>
      <c r="F718" s="29" t="s">
        <v>1130</v>
      </c>
      <c r="G718" s="17">
        <v>5.3409055555555556</v>
      </c>
      <c r="H718" s="17">
        <v>-72.395700000000005</v>
      </c>
      <c r="I718" s="93" t="s">
        <v>697</v>
      </c>
      <c r="J718" s="7" t="s">
        <v>717</v>
      </c>
      <c r="K718" s="24" t="str">
        <f t="shared" si="45"/>
        <v>2023</v>
      </c>
      <c r="L718" s="24" t="str">
        <f t="shared" si="46"/>
        <v>MARZO</v>
      </c>
      <c r="M718" s="232">
        <v>45003</v>
      </c>
      <c r="N718" s="24" t="str">
        <f t="shared" si="47"/>
        <v>SÁBADO</v>
      </c>
      <c r="O718" s="106">
        <v>0.87777777777777777</v>
      </c>
      <c r="P718" s="39" t="s">
        <v>469</v>
      </c>
      <c r="Q718" s="39" t="s">
        <v>469</v>
      </c>
      <c r="R718" s="36">
        <f>COUNTIF(Tabla1[[#This Row],[VEHICULOS_ACCIDENTADOS]:[VEHICULOS_ACCIDENTADOS2]],"MOTOCICLETA")</f>
        <v>2</v>
      </c>
      <c r="S718" s="36">
        <f>COUNTIF(Tabla1[[#This Row],[VEHICULOS_ACCIDENTADOS]:[VEHICULOS_ACCIDENTADOS2]],"MOTOCARRO")</f>
        <v>0</v>
      </c>
      <c r="T718" s="36">
        <f>COUNTIF(Tabla1[[#This Row],[VEHICULOS_ACCIDENTADOS]:[VEHICULOS_ACCIDENTADOS2]],"AUTOMOVIL")</f>
        <v>0</v>
      </c>
      <c r="U718" s="36">
        <f>COUNTIF(Tabla1[[#This Row],[VEHICULOS_ACCIDENTADOS]:[VEHICULOS_ACCIDENTADOS2]],"CAMPERO")</f>
        <v>0</v>
      </c>
      <c r="V718" s="36">
        <f>COUNTIF(Tabla1[[#This Row],[VEHICULOS_ACCIDENTADOS]:[VEHICULOS_ACCIDENTADOS2]],"CAMIONETA")</f>
        <v>0</v>
      </c>
      <c r="W718" s="36">
        <f>COUNTIF(Tabla1[[#This Row],[VEHICULOS_ACCIDENTADOS]:[VEHICULOS_ACCIDENTADOS2]],"MICROBUS")</f>
        <v>0</v>
      </c>
      <c r="X718" s="36">
        <f>COUNTIF(Tabla1[[#This Row],[VEHICULOS_ACCIDENTADOS]:[VEHICULOS_ACCIDENTADOS2]],"BUS")</f>
        <v>0</v>
      </c>
      <c r="Y718" s="36">
        <f>COUNTIF(Tabla1[[#This Row],[VEHICULOS_ACCIDENTADOS]:[VEHICULOS_ACCIDENTADOS2]],"BUSETA")</f>
        <v>0</v>
      </c>
      <c r="Z718" s="36">
        <f>COUNTIF(Tabla1[[#This Row],[VEHICULOS_ACCIDENTADOS]:[VEHICULOS_ACCIDENTADOS2]],"CAMION")</f>
        <v>0</v>
      </c>
      <c r="AA718" s="36">
        <f>COUNTIF(Tabla1[[#This Row],[VEHICULOS_ACCIDENTADOS]:[VEHICULOS_ACCIDENTADOS2]],"TRACTOCAMION")</f>
        <v>0</v>
      </c>
      <c r="AB718" s="36">
        <f>COUNTIF(Tabla1[[#This Row],[VEHICULOS_ACCIDENTADOS]:[VEHICULOS_ACCIDENTADOS2]],"VOLQUETA")</f>
        <v>0</v>
      </c>
      <c r="AC718" s="36">
        <f>COUNTIF(Tabla1[[#This Row],[VEHICULOS_ACCIDENTADOS]:[VEHICULOS_ACCIDENTADOS2]],"BICICLETA")</f>
        <v>0</v>
      </c>
      <c r="AD718" s="38" t="s">
        <v>471</v>
      </c>
      <c r="AE718" s="38"/>
      <c r="AF718" s="38">
        <f>COUNTIF(Tabla1[[#This Row],[GENERO_MASCULINO]:[GENERO_FEMENINO]],"MASCULINO")</f>
        <v>1</v>
      </c>
      <c r="AG718" s="36">
        <f>COUNTIF(Tabla1[[#This Row],[GENERO_MASCULINO]:[GENERO_FEMENINO]],"FEMENINO")</f>
        <v>0</v>
      </c>
      <c r="AH718" s="73">
        <v>18</v>
      </c>
      <c r="AI718" s="73"/>
      <c r="AJ718" s="73"/>
      <c r="AK718" s="73"/>
      <c r="AL718" s="73"/>
      <c r="AM718" s="7"/>
      <c r="AN718" s="73">
        <v>112</v>
      </c>
      <c r="AO718" s="36" t="str">
        <f>IFERROR(((VLOOKUP(Tabla1[[#This Row],[HIPOTESIS_1]],listas!$D$1:$E$105,2,FALSE))),"SIN INFORMACIÓN")</f>
        <v>Desobedecer señales o normas de tránsito.</v>
      </c>
      <c r="AP718" s="7"/>
      <c r="AQ718" s="36" t="str">
        <f>IFERROR(((VLOOKUP(Tabla1[[#This Row],[HIPOTESIS_2]],listas!$D$1:$E$105,2,FALSE))),"")</f>
        <v/>
      </c>
      <c r="AR718" s="1" t="str">
        <f>IF(HOUR(Tabla1[[#This Row],[HORA_ACCIDENTE]])&lt;6,"MAÑANA",
 IF(HOUR(Tabla1[[#This Row],[HORA_ACCIDENTE]])&lt;12,"MAÑANA",
 IF(HOUR(Tabla1[[#This Row],[HORA_ACCIDENTE]])&lt;18,"TARDE","NOCHE")))</f>
        <v>NOCHE</v>
      </c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</row>
    <row r="719" spans="1:56" x14ac:dyDescent="0.25">
      <c r="A719" s="12">
        <v>885</v>
      </c>
      <c r="B719" s="47">
        <v>1</v>
      </c>
      <c r="C719" s="46">
        <v>0</v>
      </c>
      <c r="D719" s="15">
        <v>0</v>
      </c>
      <c r="E719" s="18" t="str">
        <f t="shared" si="44"/>
        <v>SOLO DAÑO</v>
      </c>
      <c r="F719" s="26" t="s">
        <v>1131</v>
      </c>
      <c r="G719" s="17">
        <v>5.3376944444444439</v>
      </c>
      <c r="H719" s="17">
        <v>-72.393930555555556</v>
      </c>
      <c r="I719" s="93" t="s">
        <v>697</v>
      </c>
      <c r="J719" s="21" t="s">
        <v>717</v>
      </c>
      <c r="K719" s="24" t="str">
        <f t="shared" si="45"/>
        <v>2025</v>
      </c>
      <c r="L719" s="24" t="str">
        <f t="shared" si="46"/>
        <v>FEBRERO</v>
      </c>
      <c r="M719" s="234">
        <v>45716</v>
      </c>
      <c r="N719" s="24" t="str">
        <f t="shared" si="47"/>
        <v>VIERNES</v>
      </c>
      <c r="O719" s="108">
        <v>0.27083333333333331</v>
      </c>
      <c r="P719" s="44" t="s">
        <v>447</v>
      </c>
      <c r="Q719" s="44"/>
      <c r="R719" s="36">
        <f>COUNTIF(Tabla1[[#This Row],[VEHICULOS_ACCIDENTADOS]:[VEHICULOS_ACCIDENTADOS2]],"MOTOCICLETA")</f>
        <v>0</v>
      </c>
      <c r="S719" s="36">
        <f>COUNTIF(Tabla1[[#This Row],[VEHICULOS_ACCIDENTADOS]:[VEHICULOS_ACCIDENTADOS2]],"MOTOCARRO")</f>
        <v>0</v>
      </c>
      <c r="T719" s="36">
        <f>COUNTIF(Tabla1[[#This Row],[VEHICULOS_ACCIDENTADOS]:[VEHICULOS_ACCIDENTADOS2]],"AUTOMOVIL")</f>
        <v>1</v>
      </c>
      <c r="U719" s="36">
        <f>COUNTIF(Tabla1[[#This Row],[VEHICULOS_ACCIDENTADOS]:[VEHICULOS_ACCIDENTADOS2]],"CAMPERO")</f>
        <v>0</v>
      </c>
      <c r="V719" s="36">
        <f>COUNTIF(Tabla1[[#This Row],[VEHICULOS_ACCIDENTADOS]:[VEHICULOS_ACCIDENTADOS2]],"CAMIONETA")</f>
        <v>0</v>
      </c>
      <c r="W719" s="36">
        <f>COUNTIF(Tabla1[[#This Row],[VEHICULOS_ACCIDENTADOS]:[VEHICULOS_ACCIDENTADOS2]],"MICROBUS")</f>
        <v>0</v>
      </c>
      <c r="X719" s="36">
        <f>COUNTIF(Tabla1[[#This Row],[VEHICULOS_ACCIDENTADOS]:[VEHICULOS_ACCIDENTADOS2]],"BUS")</f>
        <v>0</v>
      </c>
      <c r="Y719" s="36">
        <f>COUNTIF(Tabla1[[#This Row],[VEHICULOS_ACCIDENTADOS]:[VEHICULOS_ACCIDENTADOS2]],"BUSETA")</f>
        <v>0</v>
      </c>
      <c r="Z719" s="36">
        <f>COUNTIF(Tabla1[[#This Row],[VEHICULOS_ACCIDENTADOS]:[VEHICULOS_ACCIDENTADOS2]],"CAMION")</f>
        <v>0</v>
      </c>
      <c r="AA719" s="36">
        <f>COUNTIF(Tabla1[[#This Row],[VEHICULOS_ACCIDENTADOS]:[VEHICULOS_ACCIDENTADOS2]],"TRACTOCAMION")</f>
        <v>0</v>
      </c>
      <c r="AB719" s="36">
        <f>COUNTIF(Tabla1[[#This Row],[VEHICULOS_ACCIDENTADOS]:[VEHICULOS_ACCIDENTADOS2]],"VOLQUETA")</f>
        <v>0</v>
      </c>
      <c r="AC719" s="36">
        <f>COUNTIF(Tabla1[[#This Row],[VEHICULOS_ACCIDENTADOS]:[VEHICULOS_ACCIDENTADOS2]],"BICICLETA")</f>
        <v>0</v>
      </c>
      <c r="AD719" s="43" t="s">
        <v>471</v>
      </c>
      <c r="AE719" s="43" t="s">
        <v>472</v>
      </c>
      <c r="AF719" s="43">
        <f>COUNTIF(Tabla1[[#This Row],[GENERO_MASCULINO]:[GENERO_FEMENINO]],"MASCULINO")</f>
        <v>1</v>
      </c>
      <c r="AG719" s="36">
        <f>COUNTIF(Tabla1[[#This Row],[GENERO_MASCULINO]:[GENERO_FEMENINO]],"FEMENINO")</f>
        <v>1</v>
      </c>
      <c r="AH719" s="86">
        <v>40</v>
      </c>
      <c r="AI719" s="86">
        <v>22</v>
      </c>
      <c r="AJ719" s="86"/>
      <c r="AK719" s="86"/>
      <c r="AL719" s="86"/>
      <c r="AM719" s="15"/>
      <c r="AN719" s="86">
        <v>114</v>
      </c>
      <c r="AO719" s="36" t="str">
        <f>IFERROR(((VLOOKUP(Tabla1[[#This Row],[HIPOTESIS_1]],listas!$D$1:$E$105,2,FALSE))),"SIN INFORMACIÓN")</f>
        <v>Embriaguez aparente.</v>
      </c>
      <c r="AP719" s="15"/>
      <c r="AQ719" s="36" t="str">
        <f>IFERROR(((VLOOKUP(Tabla1[[#This Row],[HIPOTESIS_2]],listas!$D$1:$E$105,2,FALSE))),"")</f>
        <v/>
      </c>
      <c r="AR719" s="1" t="str">
        <f>IF(HOUR(Tabla1[[#This Row],[HORA_ACCIDENTE]])&lt;6,"MAÑANA",
 IF(HOUR(Tabla1[[#This Row],[HORA_ACCIDENTE]])&lt;12,"MAÑANA",
 IF(HOUR(Tabla1[[#This Row],[HORA_ACCIDENTE]])&lt;18,"TARDE","NOCHE")))</f>
        <v>MAÑANA</v>
      </c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33"/>
    </row>
    <row r="720" spans="1:56" x14ac:dyDescent="0.25">
      <c r="A720" s="12">
        <v>90</v>
      </c>
      <c r="B720" s="38">
        <v>0</v>
      </c>
      <c r="C720" s="7">
        <v>1</v>
      </c>
      <c r="D720" s="7">
        <v>0</v>
      </c>
      <c r="E720" s="18" t="str">
        <f t="shared" si="44"/>
        <v>LESIONADO</v>
      </c>
      <c r="F720" s="29" t="s">
        <v>1131</v>
      </c>
      <c r="G720" s="17">
        <v>5.3376944444444439</v>
      </c>
      <c r="H720" s="17">
        <v>-72.393930555555556</v>
      </c>
      <c r="I720" s="93" t="s">
        <v>697</v>
      </c>
      <c r="J720" s="7" t="s">
        <v>717</v>
      </c>
      <c r="K720" s="24" t="str">
        <f t="shared" si="45"/>
        <v>2022</v>
      </c>
      <c r="L720" s="24" t="str">
        <f t="shared" si="46"/>
        <v>MARZO</v>
      </c>
      <c r="M720" s="232">
        <v>44637</v>
      </c>
      <c r="N720" s="24" t="str">
        <f t="shared" si="47"/>
        <v>JUEVES</v>
      </c>
      <c r="O720" s="106">
        <v>0.85416666666666696</v>
      </c>
      <c r="P720" s="8" t="s">
        <v>469</v>
      </c>
      <c r="Q720" s="8" t="s">
        <v>447</v>
      </c>
      <c r="R720" s="36">
        <f>COUNTIF(Tabla1[[#This Row],[VEHICULOS_ACCIDENTADOS]:[VEHICULOS_ACCIDENTADOS2]],"MOTOCICLETA")</f>
        <v>1</v>
      </c>
      <c r="S720" s="36">
        <f>COUNTIF(Tabla1[[#This Row],[VEHICULOS_ACCIDENTADOS]:[VEHICULOS_ACCIDENTADOS2]],"MOTOCARRO")</f>
        <v>0</v>
      </c>
      <c r="T720" s="36">
        <f>COUNTIF(Tabla1[[#This Row],[VEHICULOS_ACCIDENTADOS]:[VEHICULOS_ACCIDENTADOS2]],"AUTOMOVIL")</f>
        <v>1</v>
      </c>
      <c r="U720" s="36">
        <f>COUNTIF(Tabla1[[#This Row],[VEHICULOS_ACCIDENTADOS]:[VEHICULOS_ACCIDENTADOS2]],"CAMPERO")</f>
        <v>0</v>
      </c>
      <c r="V720" s="36">
        <f>COUNTIF(Tabla1[[#This Row],[VEHICULOS_ACCIDENTADOS]:[VEHICULOS_ACCIDENTADOS2]],"CAMIONETA")</f>
        <v>0</v>
      </c>
      <c r="W720" s="36">
        <f>COUNTIF(Tabla1[[#This Row],[VEHICULOS_ACCIDENTADOS]:[VEHICULOS_ACCIDENTADOS2]],"MICROBUS")</f>
        <v>0</v>
      </c>
      <c r="X720" s="36">
        <f>COUNTIF(Tabla1[[#This Row],[VEHICULOS_ACCIDENTADOS]:[VEHICULOS_ACCIDENTADOS2]],"BUS")</f>
        <v>0</v>
      </c>
      <c r="Y720" s="36">
        <f>COUNTIF(Tabla1[[#This Row],[VEHICULOS_ACCIDENTADOS]:[VEHICULOS_ACCIDENTADOS2]],"BUSETA")</f>
        <v>0</v>
      </c>
      <c r="Z720" s="36">
        <f>COUNTIF(Tabla1[[#This Row],[VEHICULOS_ACCIDENTADOS]:[VEHICULOS_ACCIDENTADOS2]],"CAMION")</f>
        <v>0</v>
      </c>
      <c r="AA720" s="36">
        <f>COUNTIF(Tabla1[[#This Row],[VEHICULOS_ACCIDENTADOS]:[VEHICULOS_ACCIDENTADOS2]],"TRACTOCAMION")</f>
        <v>0</v>
      </c>
      <c r="AB720" s="36">
        <f>COUNTIF(Tabla1[[#This Row],[VEHICULOS_ACCIDENTADOS]:[VEHICULOS_ACCIDENTADOS2]],"VOLQUETA")</f>
        <v>0</v>
      </c>
      <c r="AC720" s="36">
        <f>COUNTIF(Tabla1[[#This Row],[VEHICULOS_ACCIDENTADOS]:[VEHICULOS_ACCIDENTADOS2]],"BICICLETA")</f>
        <v>0</v>
      </c>
      <c r="AD720" s="38" t="s">
        <v>471</v>
      </c>
      <c r="AE720" s="38"/>
      <c r="AF720" s="38">
        <f>COUNTIF(Tabla1[[#This Row],[GENERO_MASCULINO]:[GENERO_FEMENINO]],"MASCULINO")</f>
        <v>1</v>
      </c>
      <c r="AG720" s="36">
        <f>COUNTIF(Tabla1[[#This Row],[GENERO_MASCULINO]:[GENERO_FEMENINO]],"FEMENINO")</f>
        <v>0</v>
      </c>
      <c r="AH720" s="73">
        <v>23</v>
      </c>
      <c r="AI720" s="73"/>
      <c r="AJ720" s="73"/>
      <c r="AK720" s="73"/>
      <c r="AL720" s="73"/>
      <c r="AM720" s="7"/>
      <c r="AN720" s="73">
        <v>112</v>
      </c>
      <c r="AO720" s="36" t="str">
        <f>IFERROR(((VLOOKUP(Tabla1[[#This Row],[HIPOTESIS_1]],listas!$D$1:$E$105,2,FALSE))),"SIN INFORMACIÓN")</f>
        <v>Desobedecer señales o normas de tránsito.</v>
      </c>
      <c r="AP720" s="7"/>
      <c r="AQ720" s="36" t="str">
        <f>IFERROR(((VLOOKUP(Tabla1[[#This Row],[HIPOTESIS_2]],listas!$D$1:$E$105,2,FALSE))),"")</f>
        <v/>
      </c>
      <c r="AR720" s="1" t="str">
        <f>IF(HOUR(Tabla1[[#This Row],[HORA_ACCIDENTE]])&lt;6,"MAÑANA",
 IF(HOUR(Tabla1[[#This Row],[HORA_ACCIDENTE]])&lt;12,"MAÑANA",
 IF(HOUR(Tabla1[[#This Row],[HORA_ACCIDENTE]])&lt;18,"TARDE","NOCHE")))</f>
        <v>NOCHE</v>
      </c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33"/>
    </row>
    <row r="721" spans="1:56" x14ac:dyDescent="0.25">
      <c r="A721" s="12">
        <v>659</v>
      </c>
      <c r="B721" s="43">
        <v>0</v>
      </c>
      <c r="C721" s="15">
        <v>1</v>
      </c>
      <c r="D721" s="15">
        <v>0</v>
      </c>
      <c r="E721" s="18" t="str">
        <f t="shared" si="44"/>
        <v>LESIONADO</v>
      </c>
      <c r="F721" s="26" t="s">
        <v>1132</v>
      </c>
      <c r="G721" s="17">
        <v>5.3314491666666664</v>
      </c>
      <c r="H721" s="17">
        <v>-72.39049694444445</v>
      </c>
      <c r="I721" s="93" t="s">
        <v>697</v>
      </c>
      <c r="J721" s="15" t="s">
        <v>717</v>
      </c>
      <c r="K721" s="24" t="str">
        <f t="shared" si="45"/>
        <v>2024</v>
      </c>
      <c r="L721" s="24" t="str">
        <f t="shared" si="46"/>
        <v>FEBRERO</v>
      </c>
      <c r="M721" s="234">
        <v>45329</v>
      </c>
      <c r="N721" s="24" t="str">
        <f t="shared" si="47"/>
        <v>MIÉRCOLES</v>
      </c>
      <c r="O721" s="108">
        <v>0.6791666666666667</v>
      </c>
      <c r="P721" s="44" t="s">
        <v>469</v>
      </c>
      <c r="Q721" s="44" t="s">
        <v>447</v>
      </c>
      <c r="R721" s="36">
        <f>COUNTIF(Tabla1[[#This Row],[VEHICULOS_ACCIDENTADOS]:[VEHICULOS_ACCIDENTADOS2]],"MOTOCICLETA")</f>
        <v>1</v>
      </c>
      <c r="S721" s="36">
        <f>COUNTIF(Tabla1[[#This Row],[VEHICULOS_ACCIDENTADOS]:[VEHICULOS_ACCIDENTADOS2]],"MOTOCARRO")</f>
        <v>0</v>
      </c>
      <c r="T721" s="36">
        <f>COUNTIF(Tabla1[[#This Row],[VEHICULOS_ACCIDENTADOS]:[VEHICULOS_ACCIDENTADOS2]],"AUTOMOVIL")</f>
        <v>1</v>
      </c>
      <c r="U721" s="36">
        <f>COUNTIF(Tabla1[[#This Row],[VEHICULOS_ACCIDENTADOS]:[VEHICULOS_ACCIDENTADOS2]],"CAMPERO")</f>
        <v>0</v>
      </c>
      <c r="V721" s="36">
        <f>COUNTIF(Tabla1[[#This Row],[VEHICULOS_ACCIDENTADOS]:[VEHICULOS_ACCIDENTADOS2]],"CAMIONETA")</f>
        <v>0</v>
      </c>
      <c r="W721" s="36">
        <f>COUNTIF(Tabla1[[#This Row],[VEHICULOS_ACCIDENTADOS]:[VEHICULOS_ACCIDENTADOS2]],"MICROBUS")</f>
        <v>0</v>
      </c>
      <c r="X721" s="36">
        <f>COUNTIF(Tabla1[[#This Row],[VEHICULOS_ACCIDENTADOS]:[VEHICULOS_ACCIDENTADOS2]],"BUS")</f>
        <v>0</v>
      </c>
      <c r="Y721" s="36">
        <f>COUNTIF(Tabla1[[#This Row],[VEHICULOS_ACCIDENTADOS]:[VEHICULOS_ACCIDENTADOS2]],"BUSETA")</f>
        <v>0</v>
      </c>
      <c r="Z721" s="36">
        <f>COUNTIF(Tabla1[[#This Row],[VEHICULOS_ACCIDENTADOS]:[VEHICULOS_ACCIDENTADOS2]],"CAMION")</f>
        <v>0</v>
      </c>
      <c r="AA721" s="36">
        <f>COUNTIF(Tabla1[[#This Row],[VEHICULOS_ACCIDENTADOS]:[VEHICULOS_ACCIDENTADOS2]],"TRACTOCAMION")</f>
        <v>0</v>
      </c>
      <c r="AB721" s="36">
        <f>COUNTIF(Tabla1[[#This Row],[VEHICULOS_ACCIDENTADOS]:[VEHICULOS_ACCIDENTADOS2]],"VOLQUETA")</f>
        <v>0</v>
      </c>
      <c r="AC721" s="36">
        <f>COUNTIF(Tabla1[[#This Row],[VEHICULOS_ACCIDENTADOS]:[VEHICULOS_ACCIDENTADOS2]],"BICICLETA")</f>
        <v>0</v>
      </c>
      <c r="AD721" s="43"/>
      <c r="AE721" s="43" t="s">
        <v>472</v>
      </c>
      <c r="AF721" s="43">
        <f>COUNTIF(Tabla1[[#This Row],[GENERO_MASCULINO]:[GENERO_FEMENINO]],"MASCULINO")</f>
        <v>0</v>
      </c>
      <c r="AG721" s="36">
        <f>COUNTIF(Tabla1[[#This Row],[GENERO_MASCULINO]:[GENERO_FEMENINO]],"FEMENINO")</f>
        <v>1</v>
      </c>
      <c r="AH721" s="86">
        <v>22</v>
      </c>
      <c r="AI721" s="86">
        <v>20</v>
      </c>
      <c r="AJ721" s="86"/>
      <c r="AK721" s="86"/>
      <c r="AL721" s="86"/>
      <c r="AM721" s="15"/>
      <c r="AN721" s="86">
        <v>106</v>
      </c>
      <c r="AO721" s="36" t="str">
        <f>IFERROR(((VLOOKUP(Tabla1[[#This Row],[HIPOTESIS_1]],listas!$D$1:$E$105,2,FALSE))),"SIN INFORMACIÓN")</f>
        <v>Adelantar invadiendo carril del mismo sentido en ZigZag</v>
      </c>
      <c r="AP721" s="15"/>
      <c r="AQ721" s="36" t="str">
        <f>IFERROR(((VLOOKUP(Tabla1[[#This Row],[HIPOTESIS_2]],listas!$D$1:$E$105,2,FALSE))),"")</f>
        <v/>
      </c>
      <c r="AR721" s="1" t="str">
        <f>IF(HOUR(Tabla1[[#This Row],[HORA_ACCIDENTE]])&lt;6,"MAÑANA",
 IF(HOUR(Tabla1[[#This Row],[HORA_ACCIDENTE]])&lt;12,"MAÑANA",
 IF(HOUR(Tabla1[[#This Row],[HORA_ACCIDENTE]])&lt;18,"TARDE","NOCHE")))</f>
        <v>TARDE</v>
      </c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33"/>
    </row>
    <row r="722" spans="1:56" x14ac:dyDescent="0.25">
      <c r="A722" s="12">
        <v>219</v>
      </c>
      <c r="B722" s="38">
        <v>0</v>
      </c>
      <c r="C722" s="7">
        <v>1</v>
      </c>
      <c r="D722" s="7">
        <v>0</v>
      </c>
      <c r="E722" s="18" t="str">
        <f t="shared" si="44"/>
        <v>LESIONADO</v>
      </c>
      <c r="F722" s="29" t="s">
        <v>1133</v>
      </c>
      <c r="G722" s="17">
        <v>5.3250277777777777</v>
      </c>
      <c r="H722" s="17">
        <v>-72.387027777777789</v>
      </c>
      <c r="I722" s="93" t="s">
        <v>697</v>
      </c>
      <c r="J722" s="7" t="s">
        <v>717</v>
      </c>
      <c r="K722" s="24" t="str">
        <f t="shared" si="45"/>
        <v>2022</v>
      </c>
      <c r="L722" s="24" t="str">
        <f t="shared" si="46"/>
        <v>JUNIO</v>
      </c>
      <c r="M722" s="232">
        <v>44730</v>
      </c>
      <c r="N722" s="24" t="str">
        <f t="shared" si="47"/>
        <v>SÁBADO</v>
      </c>
      <c r="O722" s="174">
        <v>0.118055555555556</v>
      </c>
      <c r="P722" s="180" t="s">
        <v>469</v>
      </c>
      <c r="Q722" s="180" t="s">
        <v>447</v>
      </c>
      <c r="R722" s="36">
        <f>COUNTIF(Tabla1[[#This Row],[VEHICULOS_ACCIDENTADOS]:[VEHICULOS_ACCIDENTADOS2]],"MOTOCICLETA")</f>
        <v>1</v>
      </c>
      <c r="S722" s="36">
        <f>COUNTIF(Tabla1[[#This Row],[VEHICULOS_ACCIDENTADOS]:[VEHICULOS_ACCIDENTADOS2]],"MOTOCARRO")</f>
        <v>0</v>
      </c>
      <c r="T722" s="36">
        <f>COUNTIF(Tabla1[[#This Row],[VEHICULOS_ACCIDENTADOS]:[VEHICULOS_ACCIDENTADOS2]],"AUTOMOVIL")</f>
        <v>1</v>
      </c>
      <c r="U722" s="36">
        <f>COUNTIF(Tabla1[[#This Row],[VEHICULOS_ACCIDENTADOS]:[VEHICULOS_ACCIDENTADOS2]],"CAMPERO")</f>
        <v>0</v>
      </c>
      <c r="V722" s="36">
        <f>COUNTIF(Tabla1[[#This Row],[VEHICULOS_ACCIDENTADOS]:[VEHICULOS_ACCIDENTADOS2]],"CAMIONETA")</f>
        <v>0</v>
      </c>
      <c r="W722" s="36">
        <f>COUNTIF(Tabla1[[#This Row],[VEHICULOS_ACCIDENTADOS]:[VEHICULOS_ACCIDENTADOS2]],"MICROBUS")</f>
        <v>0</v>
      </c>
      <c r="X722" s="36">
        <f>COUNTIF(Tabla1[[#This Row],[VEHICULOS_ACCIDENTADOS]:[VEHICULOS_ACCIDENTADOS2]],"BUS")</f>
        <v>0</v>
      </c>
      <c r="Y722" s="36">
        <f>COUNTIF(Tabla1[[#This Row],[VEHICULOS_ACCIDENTADOS]:[VEHICULOS_ACCIDENTADOS2]],"BUSETA")</f>
        <v>0</v>
      </c>
      <c r="Z722" s="36">
        <f>COUNTIF(Tabla1[[#This Row],[VEHICULOS_ACCIDENTADOS]:[VEHICULOS_ACCIDENTADOS2]],"CAMION")</f>
        <v>0</v>
      </c>
      <c r="AA722" s="36">
        <f>COUNTIF(Tabla1[[#This Row],[VEHICULOS_ACCIDENTADOS]:[VEHICULOS_ACCIDENTADOS2]],"TRACTOCAMION")</f>
        <v>0</v>
      </c>
      <c r="AB722" s="36">
        <f>COUNTIF(Tabla1[[#This Row],[VEHICULOS_ACCIDENTADOS]:[VEHICULOS_ACCIDENTADOS2]],"VOLQUETA")</f>
        <v>0</v>
      </c>
      <c r="AC722" s="36">
        <f>COUNTIF(Tabla1[[#This Row],[VEHICULOS_ACCIDENTADOS]:[VEHICULOS_ACCIDENTADOS2]],"BICICLETA")</f>
        <v>0</v>
      </c>
      <c r="AD722" s="38" t="s">
        <v>471</v>
      </c>
      <c r="AE722" s="38"/>
      <c r="AF722" s="38">
        <f>COUNTIF(Tabla1[[#This Row],[GENERO_MASCULINO]:[GENERO_FEMENINO]],"MASCULINO")</f>
        <v>1</v>
      </c>
      <c r="AG722" s="36">
        <f>COUNTIF(Tabla1[[#This Row],[GENERO_MASCULINO]:[GENERO_FEMENINO]],"FEMENINO")</f>
        <v>0</v>
      </c>
      <c r="AH722" s="73">
        <v>27</v>
      </c>
      <c r="AI722" s="73"/>
      <c r="AJ722" s="73"/>
      <c r="AK722" s="73"/>
      <c r="AL722" s="73"/>
      <c r="AM722" s="7"/>
      <c r="AN722" s="73">
        <v>127</v>
      </c>
      <c r="AO722" s="36" t="str">
        <f>IFERROR(((VLOOKUP(Tabla1[[#This Row],[HIPOTESIS_1]],listas!$D$1:$E$105,2,FALSE))),"SIN INFORMACIÓN")</f>
        <v>Transitar en contravía.</v>
      </c>
      <c r="AP722" s="7"/>
      <c r="AQ722" s="36" t="str">
        <f>IFERROR(((VLOOKUP(Tabla1[[#This Row],[HIPOTESIS_2]],listas!$D$1:$E$105,2,FALSE))),"")</f>
        <v/>
      </c>
      <c r="AR722" s="1" t="str">
        <f>IF(HOUR(Tabla1[[#This Row],[HORA_ACCIDENTE]])&lt;6,"MAÑANA",
 IF(HOUR(Tabla1[[#This Row],[HORA_ACCIDENTE]])&lt;12,"MAÑANA",
 IF(HOUR(Tabla1[[#This Row],[HORA_ACCIDENTE]])&lt;18,"TARDE","NOCHE")))</f>
        <v>MAÑANA</v>
      </c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40"/>
    </row>
    <row r="723" spans="1:56" x14ac:dyDescent="0.25">
      <c r="A723" s="12">
        <v>224</v>
      </c>
      <c r="B723" s="38">
        <v>0</v>
      </c>
      <c r="C723" s="7">
        <v>1</v>
      </c>
      <c r="D723" s="7">
        <v>0</v>
      </c>
      <c r="E723" s="18" t="str">
        <f t="shared" si="44"/>
        <v>LESIONADO</v>
      </c>
      <c r="F723" s="29" t="s">
        <v>1133</v>
      </c>
      <c r="G723" s="17">
        <v>5.3250305555555553</v>
      </c>
      <c r="H723" s="17">
        <v>-72.387027777777789</v>
      </c>
      <c r="I723" s="93" t="s">
        <v>697</v>
      </c>
      <c r="J723" s="7" t="s">
        <v>717</v>
      </c>
      <c r="K723" s="24" t="str">
        <f t="shared" si="45"/>
        <v>2022</v>
      </c>
      <c r="L723" s="24" t="str">
        <f t="shared" si="46"/>
        <v>JUNIO</v>
      </c>
      <c r="M723" s="232">
        <v>44730</v>
      </c>
      <c r="N723" s="24" t="str">
        <f t="shared" si="47"/>
        <v>SÁBADO</v>
      </c>
      <c r="O723" s="174">
        <v>0.118055555555556</v>
      </c>
      <c r="P723" s="180" t="s">
        <v>469</v>
      </c>
      <c r="Q723" s="180" t="s">
        <v>447</v>
      </c>
      <c r="R723" s="36">
        <f>COUNTIF(Tabla1[[#This Row],[VEHICULOS_ACCIDENTADOS]:[VEHICULOS_ACCIDENTADOS2]],"MOTOCICLETA")</f>
        <v>1</v>
      </c>
      <c r="S723" s="36">
        <f>COUNTIF(Tabla1[[#This Row],[VEHICULOS_ACCIDENTADOS]:[VEHICULOS_ACCIDENTADOS2]],"MOTOCARRO")</f>
        <v>0</v>
      </c>
      <c r="T723" s="36">
        <f>COUNTIF(Tabla1[[#This Row],[VEHICULOS_ACCIDENTADOS]:[VEHICULOS_ACCIDENTADOS2]],"AUTOMOVIL")</f>
        <v>1</v>
      </c>
      <c r="U723" s="36">
        <f>COUNTIF(Tabla1[[#This Row],[VEHICULOS_ACCIDENTADOS]:[VEHICULOS_ACCIDENTADOS2]],"CAMPERO")</f>
        <v>0</v>
      </c>
      <c r="V723" s="36">
        <f>COUNTIF(Tabla1[[#This Row],[VEHICULOS_ACCIDENTADOS]:[VEHICULOS_ACCIDENTADOS2]],"CAMIONETA")</f>
        <v>0</v>
      </c>
      <c r="W723" s="36">
        <f>COUNTIF(Tabla1[[#This Row],[VEHICULOS_ACCIDENTADOS]:[VEHICULOS_ACCIDENTADOS2]],"MICROBUS")</f>
        <v>0</v>
      </c>
      <c r="X723" s="36">
        <f>COUNTIF(Tabla1[[#This Row],[VEHICULOS_ACCIDENTADOS]:[VEHICULOS_ACCIDENTADOS2]],"BUS")</f>
        <v>0</v>
      </c>
      <c r="Y723" s="36">
        <f>COUNTIF(Tabla1[[#This Row],[VEHICULOS_ACCIDENTADOS]:[VEHICULOS_ACCIDENTADOS2]],"BUSETA")</f>
        <v>0</v>
      </c>
      <c r="Z723" s="36">
        <f>COUNTIF(Tabla1[[#This Row],[VEHICULOS_ACCIDENTADOS]:[VEHICULOS_ACCIDENTADOS2]],"CAMION")</f>
        <v>0</v>
      </c>
      <c r="AA723" s="36">
        <f>COUNTIF(Tabla1[[#This Row],[VEHICULOS_ACCIDENTADOS]:[VEHICULOS_ACCIDENTADOS2]],"TRACTOCAMION")</f>
        <v>0</v>
      </c>
      <c r="AB723" s="36">
        <f>COUNTIF(Tabla1[[#This Row],[VEHICULOS_ACCIDENTADOS]:[VEHICULOS_ACCIDENTADOS2]],"VOLQUETA")</f>
        <v>0</v>
      </c>
      <c r="AC723" s="36">
        <f>COUNTIF(Tabla1[[#This Row],[VEHICULOS_ACCIDENTADOS]:[VEHICULOS_ACCIDENTADOS2]],"BICICLETA")</f>
        <v>0</v>
      </c>
      <c r="AD723" s="38" t="s">
        <v>471</v>
      </c>
      <c r="AE723" s="38"/>
      <c r="AF723" s="38">
        <f>COUNTIF(Tabla1[[#This Row],[GENERO_MASCULINO]:[GENERO_FEMENINO]],"MASCULINO")</f>
        <v>1</v>
      </c>
      <c r="AG723" s="36">
        <f>COUNTIF(Tabla1[[#This Row],[GENERO_MASCULINO]:[GENERO_FEMENINO]],"FEMENINO")</f>
        <v>0</v>
      </c>
      <c r="AH723" s="73">
        <v>27</v>
      </c>
      <c r="AI723" s="73"/>
      <c r="AJ723" s="73"/>
      <c r="AK723" s="73"/>
      <c r="AL723" s="73"/>
      <c r="AM723" s="7"/>
      <c r="AN723" s="73">
        <v>127</v>
      </c>
      <c r="AO723" s="36" t="str">
        <f>IFERROR(((VLOOKUP(Tabla1[[#This Row],[HIPOTESIS_1]],listas!$D$1:$E$105,2,FALSE))),"SIN INFORMACIÓN")</f>
        <v>Transitar en contravía.</v>
      </c>
      <c r="AP723" s="7"/>
      <c r="AQ723" s="36" t="str">
        <f>IFERROR(((VLOOKUP(Tabla1[[#This Row],[HIPOTESIS_2]],listas!$D$1:$E$105,2,FALSE))),"")</f>
        <v/>
      </c>
      <c r="AR723" s="1" t="str">
        <f>IF(HOUR(Tabla1[[#This Row],[HORA_ACCIDENTE]])&lt;6,"MAÑANA",
 IF(HOUR(Tabla1[[#This Row],[HORA_ACCIDENTE]])&lt;12,"MAÑANA",
 IF(HOUR(Tabla1[[#This Row],[HORA_ACCIDENTE]])&lt;18,"TARDE","NOCHE")))</f>
        <v>MAÑANA</v>
      </c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40"/>
    </row>
    <row r="724" spans="1:56" x14ac:dyDescent="0.25">
      <c r="A724" s="12">
        <v>209</v>
      </c>
      <c r="B724" s="38">
        <v>1</v>
      </c>
      <c r="C724" s="7">
        <v>0</v>
      </c>
      <c r="D724" s="7">
        <v>0</v>
      </c>
      <c r="E724" s="18" t="str">
        <f t="shared" si="44"/>
        <v>SOLO DAÑO</v>
      </c>
      <c r="F724" s="29" t="s">
        <v>1134</v>
      </c>
      <c r="G724" s="17">
        <v>5.3230416666666667</v>
      </c>
      <c r="H724" s="17">
        <v>-72.385938888888901</v>
      </c>
      <c r="I724" s="93" t="s">
        <v>697</v>
      </c>
      <c r="J724" s="7" t="s">
        <v>717</v>
      </c>
      <c r="K724" s="24" t="str">
        <f t="shared" si="45"/>
        <v>2022</v>
      </c>
      <c r="L724" s="24" t="str">
        <f t="shared" si="46"/>
        <v>JUNIO</v>
      </c>
      <c r="M724" s="232">
        <v>44720</v>
      </c>
      <c r="N724" s="24" t="str">
        <f t="shared" si="47"/>
        <v>MIÉRCOLES</v>
      </c>
      <c r="O724" s="174">
        <v>0.54861111111111105</v>
      </c>
      <c r="P724" s="180" t="s">
        <v>447</v>
      </c>
      <c r="Q724" s="180" t="s">
        <v>441</v>
      </c>
      <c r="R724" s="36">
        <f>COUNTIF(Tabla1[[#This Row],[VEHICULOS_ACCIDENTADOS]:[VEHICULOS_ACCIDENTADOS2]],"MOTOCICLETA")</f>
        <v>0</v>
      </c>
      <c r="S724" s="36">
        <f>COUNTIF(Tabla1[[#This Row],[VEHICULOS_ACCIDENTADOS]:[VEHICULOS_ACCIDENTADOS2]],"MOTOCARRO")</f>
        <v>0</v>
      </c>
      <c r="T724" s="36">
        <f>COUNTIF(Tabla1[[#This Row],[VEHICULOS_ACCIDENTADOS]:[VEHICULOS_ACCIDENTADOS2]],"AUTOMOVIL")</f>
        <v>1</v>
      </c>
      <c r="U724" s="36">
        <f>COUNTIF(Tabla1[[#This Row],[VEHICULOS_ACCIDENTADOS]:[VEHICULOS_ACCIDENTADOS2]],"CAMPERO")</f>
        <v>0</v>
      </c>
      <c r="V724" s="36">
        <f>COUNTIF(Tabla1[[#This Row],[VEHICULOS_ACCIDENTADOS]:[VEHICULOS_ACCIDENTADOS2]],"CAMIONETA")</f>
        <v>0</v>
      </c>
      <c r="W724" s="36">
        <f>COUNTIF(Tabla1[[#This Row],[VEHICULOS_ACCIDENTADOS]:[VEHICULOS_ACCIDENTADOS2]],"MICROBUS")</f>
        <v>0</v>
      </c>
      <c r="X724" s="36">
        <f>COUNTIF(Tabla1[[#This Row],[VEHICULOS_ACCIDENTADOS]:[VEHICULOS_ACCIDENTADOS2]],"BUS")</f>
        <v>0</v>
      </c>
      <c r="Y724" s="36">
        <f>COUNTIF(Tabla1[[#This Row],[VEHICULOS_ACCIDENTADOS]:[VEHICULOS_ACCIDENTADOS2]],"BUSETA")</f>
        <v>0</v>
      </c>
      <c r="Z724" s="36">
        <f>COUNTIF(Tabla1[[#This Row],[VEHICULOS_ACCIDENTADOS]:[VEHICULOS_ACCIDENTADOS2]],"CAMION")</f>
        <v>1</v>
      </c>
      <c r="AA724" s="36">
        <f>COUNTIF(Tabla1[[#This Row],[VEHICULOS_ACCIDENTADOS]:[VEHICULOS_ACCIDENTADOS2]],"TRACTOCAMION")</f>
        <v>0</v>
      </c>
      <c r="AB724" s="36">
        <f>COUNTIF(Tabla1[[#This Row],[VEHICULOS_ACCIDENTADOS]:[VEHICULOS_ACCIDENTADOS2]],"VOLQUETA")</f>
        <v>0</v>
      </c>
      <c r="AC724" s="36">
        <f>COUNTIF(Tabla1[[#This Row],[VEHICULOS_ACCIDENTADOS]:[VEHICULOS_ACCIDENTADOS2]],"BICICLETA")</f>
        <v>0</v>
      </c>
      <c r="AD724" s="38"/>
      <c r="AE724" s="38" t="s">
        <v>472</v>
      </c>
      <c r="AF724" s="38">
        <f>COUNTIF(Tabla1[[#This Row],[GENERO_MASCULINO]:[GENERO_FEMENINO]],"MASCULINO")</f>
        <v>0</v>
      </c>
      <c r="AG724" s="36">
        <f>COUNTIF(Tabla1[[#This Row],[GENERO_MASCULINO]:[GENERO_FEMENINO]],"FEMENINO")</f>
        <v>1</v>
      </c>
      <c r="AH724" s="73"/>
      <c r="AI724" s="73"/>
      <c r="AJ724" s="73"/>
      <c r="AK724" s="73"/>
      <c r="AL724" s="73"/>
      <c r="AM724" s="7"/>
      <c r="AN724" s="73">
        <v>157</v>
      </c>
      <c r="AO724" s="36" t="str">
        <f>IFERROR(((VLOOKUP(Tabla1[[#This Row],[HIPOTESIS_1]],listas!$D$1:$E$105,2,FALSE))),"SIN INFORMACIÓN")</f>
        <v>Otra</v>
      </c>
      <c r="AP724" s="7"/>
      <c r="AQ724" s="36" t="str">
        <f>IFERROR(((VLOOKUP(Tabla1[[#This Row],[HIPOTESIS_2]],listas!$D$1:$E$105,2,FALSE))),"")</f>
        <v/>
      </c>
      <c r="AR724" s="1" t="str">
        <f>IF(HOUR(Tabla1[[#This Row],[HORA_ACCIDENTE]])&lt;6,"MAÑANA",
 IF(HOUR(Tabla1[[#This Row],[HORA_ACCIDENTE]])&lt;12,"MAÑANA",
 IF(HOUR(Tabla1[[#This Row],[HORA_ACCIDENTE]])&lt;18,"TARDE","NOCHE")))</f>
        <v>TARDE</v>
      </c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  <c r="BD724" s="40"/>
    </row>
    <row r="725" spans="1:56" x14ac:dyDescent="0.25">
      <c r="A725" s="12">
        <v>353</v>
      </c>
      <c r="B725" s="38">
        <v>0</v>
      </c>
      <c r="C725" s="7">
        <v>1</v>
      </c>
      <c r="D725" s="7">
        <v>0</v>
      </c>
      <c r="E725" s="18" t="str">
        <f t="shared" si="44"/>
        <v>LESIONADO</v>
      </c>
      <c r="F725" s="29" t="s">
        <v>933</v>
      </c>
      <c r="G725" s="17">
        <v>5.3361840000000003</v>
      </c>
      <c r="H725" s="17">
        <v>-72.393091999999996</v>
      </c>
      <c r="I725" s="93" t="s">
        <v>697</v>
      </c>
      <c r="J725" s="7" t="s">
        <v>717</v>
      </c>
      <c r="K725" s="24" t="str">
        <f t="shared" si="45"/>
        <v>2022</v>
      </c>
      <c r="L725" s="24" t="str">
        <f t="shared" si="46"/>
        <v>NOVIEMBRE</v>
      </c>
      <c r="M725" s="232">
        <v>44877</v>
      </c>
      <c r="N725" s="24" t="str">
        <f t="shared" si="47"/>
        <v>SÁBADO</v>
      </c>
      <c r="O725" s="174">
        <v>0.35416666666666702</v>
      </c>
      <c r="P725" s="180" t="s">
        <v>469</v>
      </c>
      <c r="Q725" s="180" t="s">
        <v>469</v>
      </c>
      <c r="R725" s="36">
        <f>COUNTIF(Tabla1[[#This Row],[VEHICULOS_ACCIDENTADOS]:[VEHICULOS_ACCIDENTADOS2]],"MOTOCICLETA")</f>
        <v>2</v>
      </c>
      <c r="S725" s="36">
        <f>COUNTIF(Tabla1[[#This Row],[VEHICULOS_ACCIDENTADOS]:[VEHICULOS_ACCIDENTADOS2]],"MOTOCARRO")</f>
        <v>0</v>
      </c>
      <c r="T725" s="36">
        <f>COUNTIF(Tabla1[[#This Row],[VEHICULOS_ACCIDENTADOS]:[VEHICULOS_ACCIDENTADOS2]],"AUTOMOVIL")</f>
        <v>0</v>
      </c>
      <c r="U725" s="36">
        <f>COUNTIF(Tabla1[[#This Row],[VEHICULOS_ACCIDENTADOS]:[VEHICULOS_ACCIDENTADOS2]],"CAMPERO")</f>
        <v>0</v>
      </c>
      <c r="V725" s="36">
        <f>COUNTIF(Tabla1[[#This Row],[VEHICULOS_ACCIDENTADOS]:[VEHICULOS_ACCIDENTADOS2]],"CAMIONETA")</f>
        <v>0</v>
      </c>
      <c r="W725" s="36">
        <f>COUNTIF(Tabla1[[#This Row],[VEHICULOS_ACCIDENTADOS]:[VEHICULOS_ACCIDENTADOS2]],"MICROBUS")</f>
        <v>0</v>
      </c>
      <c r="X725" s="36">
        <f>COUNTIF(Tabla1[[#This Row],[VEHICULOS_ACCIDENTADOS]:[VEHICULOS_ACCIDENTADOS2]],"BUS")</f>
        <v>0</v>
      </c>
      <c r="Y725" s="36">
        <f>COUNTIF(Tabla1[[#This Row],[VEHICULOS_ACCIDENTADOS]:[VEHICULOS_ACCIDENTADOS2]],"BUSETA")</f>
        <v>0</v>
      </c>
      <c r="Z725" s="36">
        <f>COUNTIF(Tabla1[[#This Row],[VEHICULOS_ACCIDENTADOS]:[VEHICULOS_ACCIDENTADOS2]],"CAMION")</f>
        <v>0</v>
      </c>
      <c r="AA725" s="36">
        <f>COUNTIF(Tabla1[[#This Row],[VEHICULOS_ACCIDENTADOS]:[VEHICULOS_ACCIDENTADOS2]],"TRACTOCAMION")</f>
        <v>0</v>
      </c>
      <c r="AB725" s="36">
        <f>COUNTIF(Tabla1[[#This Row],[VEHICULOS_ACCIDENTADOS]:[VEHICULOS_ACCIDENTADOS2]],"VOLQUETA")</f>
        <v>0</v>
      </c>
      <c r="AC725" s="36">
        <f>COUNTIF(Tabla1[[#This Row],[VEHICULOS_ACCIDENTADOS]:[VEHICULOS_ACCIDENTADOS2]],"BICICLETA")</f>
        <v>0</v>
      </c>
      <c r="AD725" s="38" t="s">
        <v>471</v>
      </c>
      <c r="AE725" s="38"/>
      <c r="AF725" s="38">
        <f>COUNTIF(Tabla1[[#This Row],[GENERO_MASCULINO]:[GENERO_FEMENINO]],"MASCULINO")</f>
        <v>1</v>
      </c>
      <c r="AG725" s="36">
        <f>COUNTIF(Tabla1[[#This Row],[GENERO_MASCULINO]:[GENERO_FEMENINO]],"FEMENINO")</f>
        <v>0</v>
      </c>
      <c r="AH725" s="73"/>
      <c r="AI725" s="73"/>
      <c r="AJ725" s="73"/>
      <c r="AK725" s="73"/>
      <c r="AL725" s="73">
        <v>1</v>
      </c>
      <c r="AM725" s="7"/>
      <c r="AN725" s="73">
        <v>157</v>
      </c>
      <c r="AO725" s="36" t="str">
        <f>IFERROR(((VLOOKUP(Tabla1[[#This Row],[HIPOTESIS_1]],listas!$D$1:$E$105,2,FALSE))),"SIN INFORMACIÓN")</f>
        <v>Otra</v>
      </c>
      <c r="AP725" s="7"/>
      <c r="AQ725" s="36" t="str">
        <f>IFERROR(((VLOOKUP(Tabla1[[#This Row],[HIPOTESIS_2]],listas!$D$1:$E$105,2,FALSE))),"")</f>
        <v/>
      </c>
      <c r="AR725" s="1" t="str">
        <f>IF(HOUR(Tabla1[[#This Row],[HORA_ACCIDENTE]])&lt;6,"MAÑANA",
 IF(HOUR(Tabla1[[#This Row],[HORA_ACCIDENTE]])&lt;12,"MAÑANA",
 IF(HOUR(Tabla1[[#This Row],[HORA_ACCIDENTE]])&lt;18,"TARDE","NOCHE")))</f>
        <v>MAÑANA</v>
      </c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33"/>
    </row>
    <row r="726" spans="1:56" x14ac:dyDescent="0.25">
      <c r="A726" s="12">
        <v>251</v>
      </c>
      <c r="B726" s="38">
        <v>0</v>
      </c>
      <c r="C726" s="7">
        <v>1</v>
      </c>
      <c r="D726" s="7">
        <v>0</v>
      </c>
      <c r="E726" s="18" t="str">
        <f t="shared" si="44"/>
        <v>LESIONADO</v>
      </c>
      <c r="F726" s="29" t="s">
        <v>340</v>
      </c>
      <c r="G726" s="17">
        <v>5.3471891666666664</v>
      </c>
      <c r="H726" s="17">
        <v>-72.399117500000003</v>
      </c>
      <c r="I726" s="93" t="s">
        <v>697</v>
      </c>
      <c r="J726" s="7" t="s">
        <v>717</v>
      </c>
      <c r="K726" s="24" t="str">
        <f t="shared" si="45"/>
        <v>2022</v>
      </c>
      <c r="L726" s="24" t="str">
        <f t="shared" si="46"/>
        <v>JULIO</v>
      </c>
      <c r="M726" s="232">
        <v>44757</v>
      </c>
      <c r="N726" s="24" t="str">
        <f t="shared" si="47"/>
        <v>VIERNES</v>
      </c>
      <c r="O726" s="174">
        <v>0.66666666666666696</v>
      </c>
      <c r="P726" s="180" t="s">
        <v>469</v>
      </c>
      <c r="Q726" s="180" t="s">
        <v>447</v>
      </c>
      <c r="R726" s="36">
        <f>COUNTIF(Tabla1[[#This Row],[VEHICULOS_ACCIDENTADOS]:[VEHICULOS_ACCIDENTADOS2]],"MOTOCICLETA")</f>
        <v>1</v>
      </c>
      <c r="S726" s="36">
        <f>COUNTIF(Tabla1[[#This Row],[VEHICULOS_ACCIDENTADOS]:[VEHICULOS_ACCIDENTADOS2]],"MOTOCARRO")</f>
        <v>0</v>
      </c>
      <c r="T726" s="36">
        <f>COUNTIF(Tabla1[[#This Row],[VEHICULOS_ACCIDENTADOS]:[VEHICULOS_ACCIDENTADOS2]],"AUTOMOVIL")</f>
        <v>1</v>
      </c>
      <c r="U726" s="36">
        <f>COUNTIF(Tabla1[[#This Row],[VEHICULOS_ACCIDENTADOS]:[VEHICULOS_ACCIDENTADOS2]],"CAMPERO")</f>
        <v>0</v>
      </c>
      <c r="V726" s="36">
        <f>COUNTIF(Tabla1[[#This Row],[VEHICULOS_ACCIDENTADOS]:[VEHICULOS_ACCIDENTADOS2]],"CAMIONETA")</f>
        <v>0</v>
      </c>
      <c r="W726" s="36">
        <f>COUNTIF(Tabla1[[#This Row],[VEHICULOS_ACCIDENTADOS]:[VEHICULOS_ACCIDENTADOS2]],"MICROBUS")</f>
        <v>0</v>
      </c>
      <c r="X726" s="36">
        <f>COUNTIF(Tabla1[[#This Row],[VEHICULOS_ACCIDENTADOS]:[VEHICULOS_ACCIDENTADOS2]],"BUS")</f>
        <v>0</v>
      </c>
      <c r="Y726" s="36">
        <f>COUNTIF(Tabla1[[#This Row],[VEHICULOS_ACCIDENTADOS]:[VEHICULOS_ACCIDENTADOS2]],"BUSETA")</f>
        <v>0</v>
      </c>
      <c r="Z726" s="36">
        <f>COUNTIF(Tabla1[[#This Row],[VEHICULOS_ACCIDENTADOS]:[VEHICULOS_ACCIDENTADOS2]],"CAMION")</f>
        <v>0</v>
      </c>
      <c r="AA726" s="36">
        <f>COUNTIF(Tabla1[[#This Row],[VEHICULOS_ACCIDENTADOS]:[VEHICULOS_ACCIDENTADOS2]],"TRACTOCAMION")</f>
        <v>0</v>
      </c>
      <c r="AB726" s="36">
        <f>COUNTIF(Tabla1[[#This Row],[VEHICULOS_ACCIDENTADOS]:[VEHICULOS_ACCIDENTADOS2]],"VOLQUETA")</f>
        <v>0</v>
      </c>
      <c r="AC726" s="36">
        <f>COUNTIF(Tabla1[[#This Row],[VEHICULOS_ACCIDENTADOS]:[VEHICULOS_ACCIDENTADOS2]],"BICICLETA")</f>
        <v>0</v>
      </c>
      <c r="AD726" s="38" t="s">
        <v>471</v>
      </c>
      <c r="AE726" s="38"/>
      <c r="AF726" s="38">
        <f>COUNTIF(Tabla1[[#This Row],[GENERO_MASCULINO]:[GENERO_FEMENINO]],"MASCULINO")</f>
        <v>1</v>
      </c>
      <c r="AG726" s="36">
        <f>COUNTIF(Tabla1[[#This Row],[GENERO_MASCULINO]:[GENERO_FEMENINO]],"FEMENINO")</f>
        <v>0</v>
      </c>
      <c r="AH726" s="73">
        <v>32</v>
      </c>
      <c r="AI726" s="73"/>
      <c r="AJ726" s="87"/>
      <c r="AK726" s="73"/>
      <c r="AL726" s="73"/>
      <c r="AM726" s="7"/>
      <c r="AN726" s="73">
        <v>157</v>
      </c>
      <c r="AO726" s="36" t="str">
        <f>IFERROR(((VLOOKUP(Tabla1[[#This Row],[HIPOTESIS_1]],listas!$D$1:$E$105,2,FALSE))),"SIN INFORMACIÓN")</f>
        <v>Otra</v>
      </c>
      <c r="AP726" s="7"/>
      <c r="AQ726" s="36" t="str">
        <f>IFERROR(((VLOOKUP(Tabla1[[#This Row],[HIPOTESIS_2]],listas!$D$1:$E$105,2,FALSE))),"")</f>
        <v/>
      </c>
      <c r="AR726" s="1" t="str">
        <f>IF(HOUR(Tabla1[[#This Row],[HORA_ACCIDENTE]])&lt;6,"MAÑANA",
 IF(HOUR(Tabla1[[#This Row],[HORA_ACCIDENTE]])&lt;12,"MAÑANA",
 IF(HOUR(Tabla1[[#This Row],[HORA_ACCIDENTE]])&lt;18,"TARDE","NOCHE")))</f>
        <v>TARDE</v>
      </c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33"/>
    </row>
    <row r="727" spans="1:56" x14ac:dyDescent="0.25">
      <c r="A727" s="12">
        <v>229</v>
      </c>
      <c r="B727" s="38">
        <v>0</v>
      </c>
      <c r="C727" s="7">
        <v>1</v>
      </c>
      <c r="D727" s="7">
        <v>0</v>
      </c>
      <c r="E727" s="18" t="str">
        <f t="shared" si="44"/>
        <v>LESIONADO</v>
      </c>
      <c r="F727" s="29" t="s">
        <v>351</v>
      </c>
      <c r="G727" s="21">
        <v>5.3448574999999998</v>
      </c>
      <c r="H727" s="21">
        <v>-72.397820277777782</v>
      </c>
      <c r="I727" s="93" t="s">
        <v>697</v>
      </c>
      <c r="J727" s="7" t="s">
        <v>717</v>
      </c>
      <c r="K727" s="24" t="str">
        <f t="shared" si="45"/>
        <v>2022</v>
      </c>
      <c r="L727" s="24" t="str">
        <f t="shared" si="46"/>
        <v>JUNIO</v>
      </c>
      <c r="M727" s="232">
        <v>44735</v>
      </c>
      <c r="N727" s="24" t="str">
        <f t="shared" si="47"/>
        <v>JUEVES</v>
      </c>
      <c r="O727" s="174">
        <v>0.86111111111111105</v>
      </c>
      <c r="P727" s="180" t="s">
        <v>469</v>
      </c>
      <c r="Q727" s="180" t="s">
        <v>469</v>
      </c>
      <c r="R727" s="36">
        <f>COUNTIF(Tabla1[[#This Row],[VEHICULOS_ACCIDENTADOS]:[VEHICULOS_ACCIDENTADOS2]],"MOTOCICLETA")</f>
        <v>2</v>
      </c>
      <c r="S727" s="36">
        <f>COUNTIF(Tabla1[[#This Row],[VEHICULOS_ACCIDENTADOS]:[VEHICULOS_ACCIDENTADOS2]],"MOTOCARRO")</f>
        <v>0</v>
      </c>
      <c r="T727" s="36">
        <f>COUNTIF(Tabla1[[#This Row],[VEHICULOS_ACCIDENTADOS]:[VEHICULOS_ACCIDENTADOS2]],"AUTOMOVIL")</f>
        <v>0</v>
      </c>
      <c r="U727" s="36">
        <f>COUNTIF(Tabla1[[#This Row],[VEHICULOS_ACCIDENTADOS]:[VEHICULOS_ACCIDENTADOS2]],"CAMPERO")</f>
        <v>0</v>
      </c>
      <c r="V727" s="36">
        <f>COUNTIF(Tabla1[[#This Row],[VEHICULOS_ACCIDENTADOS]:[VEHICULOS_ACCIDENTADOS2]],"CAMIONETA")</f>
        <v>0</v>
      </c>
      <c r="W727" s="36">
        <f>COUNTIF(Tabla1[[#This Row],[VEHICULOS_ACCIDENTADOS]:[VEHICULOS_ACCIDENTADOS2]],"MICROBUS")</f>
        <v>0</v>
      </c>
      <c r="X727" s="36">
        <f>COUNTIF(Tabla1[[#This Row],[VEHICULOS_ACCIDENTADOS]:[VEHICULOS_ACCIDENTADOS2]],"BUS")</f>
        <v>0</v>
      </c>
      <c r="Y727" s="36">
        <f>COUNTIF(Tabla1[[#This Row],[VEHICULOS_ACCIDENTADOS]:[VEHICULOS_ACCIDENTADOS2]],"BUSETA")</f>
        <v>0</v>
      </c>
      <c r="Z727" s="36">
        <f>COUNTIF(Tabla1[[#This Row],[VEHICULOS_ACCIDENTADOS]:[VEHICULOS_ACCIDENTADOS2]],"CAMION")</f>
        <v>0</v>
      </c>
      <c r="AA727" s="36">
        <f>COUNTIF(Tabla1[[#This Row],[VEHICULOS_ACCIDENTADOS]:[VEHICULOS_ACCIDENTADOS2]],"TRACTOCAMION")</f>
        <v>0</v>
      </c>
      <c r="AB727" s="36">
        <f>COUNTIF(Tabla1[[#This Row],[VEHICULOS_ACCIDENTADOS]:[VEHICULOS_ACCIDENTADOS2]],"VOLQUETA")</f>
        <v>0</v>
      </c>
      <c r="AC727" s="36">
        <f>COUNTIF(Tabla1[[#This Row],[VEHICULOS_ACCIDENTADOS]:[VEHICULOS_ACCIDENTADOS2]],"BICICLETA")</f>
        <v>0</v>
      </c>
      <c r="AD727" s="38" t="s">
        <v>471</v>
      </c>
      <c r="AE727" s="38"/>
      <c r="AF727" s="38">
        <f>COUNTIF(Tabla1[[#This Row],[GENERO_MASCULINO]:[GENERO_FEMENINO]],"MASCULINO")</f>
        <v>1</v>
      </c>
      <c r="AG727" s="36">
        <f>COUNTIF(Tabla1[[#This Row],[GENERO_MASCULINO]:[GENERO_FEMENINO]],"FEMENINO")</f>
        <v>0</v>
      </c>
      <c r="AH727" s="73">
        <v>19</v>
      </c>
      <c r="AI727" s="73"/>
      <c r="AJ727" s="73"/>
      <c r="AK727" s="73"/>
      <c r="AL727" s="73"/>
      <c r="AM727" s="7"/>
      <c r="AN727" s="73">
        <v>112</v>
      </c>
      <c r="AO727" s="36" t="str">
        <f>IFERROR(((VLOOKUP(Tabla1[[#This Row],[HIPOTESIS_1]],listas!$D$1:$E$105,2,FALSE))),"SIN INFORMACIÓN")</f>
        <v>Desobedecer señales o normas de tránsito.</v>
      </c>
      <c r="AP727" s="7"/>
      <c r="AQ727" s="36" t="str">
        <f>IFERROR(((VLOOKUP(Tabla1[[#This Row],[HIPOTESIS_2]],listas!$D$1:$E$105,2,FALSE))),"")</f>
        <v/>
      </c>
      <c r="AR727" s="1" t="str">
        <f>IF(HOUR(Tabla1[[#This Row],[HORA_ACCIDENTE]])&lt;6,"MAÑANA",
 IF(HOUR(Tabla1[[#This Row],[HORA_ACCIDENTE]])&lt;12,"MAÑANA",
 IF(HOUR(Tabla1[[#This Row],[HORA_ACCIDENTE]])&lt;18,"TARDE","NOCHE")))</f>
        <v>NOCHE</v>
      </c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33"/>
    </row>
    <row r="728" spans="1:56" x14ac:dyDescent="0.25">
      <c r="A728" s="12">
        <v>674</v>
      </c>
      <c r="B728" s="97">
        <v>0</v>
      </c>
      <c r="C728" s="15">
        <v>1</v>
      </c>
      <c r="D728" s="15">
        <v>0</v>
      </c>
      <c r="E728" s="18" t="str">
        <f t="shared" si="44"/>
        <v>LESIONADO</v>
      </c>
      <c r="F728" s="26" t="s">
        <v>158</v>
      </c>
      <c r="G728" s="21">
        <v>5.3416499999999996</v>
      </c>
      <c r="H728" s="21">
        <v>-72.396113888888891</v>
      </c>
      <c r="I728" s="93" t="s">
        <v>697</v>
      </c>
      <c r="J728" s="15" t="s">
        <v>717</v>
      </c>
      <c r="K728" s="24" t="str">
        <f t="shared" si="45"/>
        <v>2024</v>
      </c>
      <c r="L728" s="24" t="str">
        <f t="shared" si="46"/>
        <v>MARZO</v>
      </c>
      <c r="M728" s="234">
        <v>45357</v>
      </c>
      <c r="N728" s="24" t="str">
        <f t="shared" si="47"/>
        <v>MIÉRCOLES</v>
      </c>
      <c r="O728" s="108">
        <v>0.73611111111111116</v>
      </c>
      <c r="P728" s="44" t="s">
        <v>447</v>
      </c>
      <c r="Q728" s="44" t="s">
        <v>438</v>
      </c>
      <c r="R728" s="36">
        <f>COUNTIF(Tabla1[[#This Row],[VEHICULOS_ACCIDENTADOS]:[VEHICULOS_ACCIDENTADOS2]],"MOTOCICLETA")</f>
        <v>0</v>
      </c>
      <c r="S728" s="36">
        <f>COUNTIF(Tabla1[[#This Row],[VEHICULOS_ACCIDENTADOS]:[VEHICULOS_ACCIDENTADOS2]],"MOTOCARRO")</f>
        <v>0</v>
      </c>
      <c r="T728" s="36">
        <f>COUNTIF(Tabla1[[#This Row],[VEHICULOS_ACCIDENTADOS]:[VEHICULOS_ACCIDENTADOS2]],"AUTOMOVIL")</f>
        <v>1</v>
      </c>
      <c r="U728" s="36">
        <f>COUNTIF(Tabla1[[#This Row],[VEHICULOS_ACCIDENTADOS]:[VEHICULOS_ACCIDENTADOS2]],"CAMPERO")</f>
        <v>0</v>
      </c>
      <c r="V728" s="36">
        <f>COUNTIF(Tabla1[[#This Row],[VEHICULOS_ACCIDENTADOS]:[VEHICULOS_ACCIDENTADOS2]],"CAMIONETA")</f>
        <v>0</v>
      </c>
      <c r="W728" s="36">
        <f>COUNTIF(Tabla1[[#This Row],[VEHICULOS_ACCIDENTADOS]:[VEHICULOS_ACCIDENTADOS2]],"MICROBUS")</f>
        <v>0</v>
      </c>
      <c r="X728" s="36">
        <f>COUNTIF(Tabla1[[#This Row],[VEHICULOS_ACCIDENTADOS]:[VEHICULOS_ACCIDENTADOS2]],"BUS")</f>
        <v>0</v>
      </c>
      <c r="Y728" s="36">
        <f>COUNTIF(Tabla1[[#This Row],[VEHICULOS_ACCIDENTADOS]:[VEHICULOS_ACCIDENTADOS2]],"BUSETA")</f>
        <v>0</v>
      </c>
      <c r="Z728" s="36">
        <f>COUNTIF(Tabla1[[#This Row],[VEHICULOS_ACCIDENTADOS]:[VEHICULOS_ACCIDENTADOS2]],"CAMION")</f>
        <v>0</v>
      </c>
      <c r="AA728" s="36">
        <f>COUNTIF(Tabla1[[#This Row],[VEHICULOS_ACCIDENTADOS]:[VEHICULOS_ACCIDENTADOS2]],"TRACTOCAMION")</f>
        <v>0</v>
      </c>
      <c r="AB728" s="36">
        <f>COUNTIF(Tabla1[[#This Row],[VEHICULOS_ACCIDENTADOS]:[VEHICULOS_ACCIDENTADOS2]],"VOLQUETA")</f>
        <v>0</v>
      </c>
      <c r="AC728" s="36">
        <f>COUNTIF(Tabla1[[#This Row],[VEHICULOS_ACCIDENTADOS]:[VEHICULOS_ACCIDENTADOS2]],"BICICLETA")</f>
        <v>1</v>
      </c>
      <c r="AD728" s="43" t="s">
        <v>471</v>
      </c>
      <c r="AE728" s="43" t="s">
        <v>472</v>
      </c>
      <c r="AF728" s="43">
        <f>COUNTIF(Tabla1[[#This Row],[GENERO_MASCULINO]:[GENERO_FEMENINO]],"MASCULINO")</f>
        <v>1</v>
      </c>
      <c r="AG728" s="36">
        <f>COUNTIF(Tabla1[[#This Row],[GENERO_MASCULINO]:[GENERO_FEMENINO]],"FEMENINO")</f>
        <v>1</v>
      </c>
      <c r="AH728" s="86">
        <v>44</v>
      </c>
      <c r="AI728" s="86">
        <v>49</v>
      </c>
      <c r="AJ728" s="86"/>
      <c r="AK728" s="86"/>
      <c r="AL728" s="86"/>
      <c r="AM728" s="15"/>
      <c r="AN728" s="86">
        <v>112</v>
      </c>
      <c r="AO728" s="36" t="str">
        <f>IFERROR(((VLOOKUP(Tabla1[[#This Row],[HIPOTESIS_1]],listas!$D$1:$E$105,2,FALSE))),"SIN INFORMACIÓN")</f>
        <v>Desobedecer señales o normas de tránsito.</v>
      </c>
      <c r="AP728" s="15"/>
      <c r="AQ728" s="36" t="str">
        <f>IFERROR(((VLOOKUP(Tabla1[[#This Row],[HIPOTESIS_2]],listas!$D$1:$E$105,2,FALSE))),"")</f>
        <v/>
      </c>
      <c r="AR728" s="1" t="str">
        <f>IF(HOUR(Tabla1[[#This Row],[HORA_ACCIDENTE]])&lt;6,"MAÑANA",
 IF(HOUR(Tabla1[[#This Row],[HORA_ACCIDENTE]])&lt;12,"MAÑANA",
 IF(HOUR(Tabla1[[#This Row],[HORA_ACCIDENTE]])&lt;18,"TARDE","NOCHE")))</f>
        <v>TARDE</v>
      </c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33"/>
    </row>
    <row r="729" spans="1:56" x14ac:dyDescent="0.25">
      <c r="A729" s="12">
        <v>75</v>
      </c>
      <c r="B729" s="38">
        <v>0</v>
      </c>
      <c r="C729" s="7">
        <v>2</v>
      </c>
      <c r="D729" s="7">
        <v>0</v>
      </c>
      <c r="E729" s="18" t="str">
        <f t="shared" si="44"/>
        <v>LESIONADO</v>
      </c>
      <c r="F729" s="29" t="s">
        <v>414</v>
      </c>
      <c r="G729" s="17">
        <v>5.3337916666666665</v>
      </c>
      <c r="H729" s="17">
        <v>-72.391783333333336</v>
      </c>
      <c r="I729" s="93" t="s">
        <v>697</v>
      </c>
      <c r="J729" s="7" t="s">
        <v>717</v>
      </c>
      <c r="K729" s="24" t="str">
        <f t="shared" si="45"/>
        <v>2022</v>
      </c>
      <c r="L729" s="24" t="str">
        <f t="shared" si="46"/>
        <v>MARZO</v>
      </c>
      <c r="M729" s="232">
        <v>44623</v>
      </c>
      <c r="N729" s="24" t="str">
        <f t="shared" si="47"/>
        <v>JUEVES</v>
      </c>
      <c r="O729" s="106">
        <v>0.58194444444444404</v>
      </c>
      <c r="P729" s="8" t="s">
        <v>469</v>
      </c>
      <c r="Q729" s="8" t="s">
        <v>469</v>
      </c>
      <c r="R729" s="36">
        <f>COUNTIF(Tabla1[[#This Row],[VEHICULOS_ACCIDENTADOS]:[VEHICULOS_ACCIDENTADOS2]],"MOTOCICLETA")</f>
        <v>2</v>
      </c>
      <c r="S729" s="36">
        <f>COUNTIF(Tabla1[[#This Row],[VEHICULOS_ACCIDENTADOS]:[VEHICULOS_ACCIDENTADOS2]],"MOTOCARRO")</f>
        <v>0</v>
      </c>
      <c r="T729" s="36">
        <f>COUNTIF(Tabla1[[#This Row],[VEHICULOS_ACCIDENTADOS]:[VEHICULOS_ACCIDENTADOS2]],"AUTOMOVIL")</f>
        <v>0</v>
      </c>
      <c r="U729" s="36">
        <f>COUNTIF(Tabla1[[#This Row],[VEHICULOS_ACCIDENTADOS]:[VEHICULOS_ACCIDENTADOS2]],"CAMPERO")</f>
        <v>0</v>
      </c>
      <c r="V729" s="36">
        <f>COUNTIF(Tabla1[[#This Row],[VEHICULOS_ACCIDENTADOS]:[VEHICULOS_ACCIDENTADOS2]],"CAMIONETA")</f>
        <v>0</v>
      </c>
      <c r="W729" s="36">
        <f>COUNTIF(Tabla1[[#This Row],[VEHICULOS_ACCIDENTADOS]:[VEHICULOS_ACCIDENTADOS2]],"MICROBUS")</f>
        <v>0</v>
      </c>
      <c r="X729" s="36">
        <f>COUNTIF(Tabla1[[#This Row],[VEHICULOS_ACCIDENTADOS]:[VEHICULOS_ACCIDENTADOS2]],"BUS")</f>
        <v>0</v>
      </c>
      <c r="Y729" s="36">
        <f>COUNTIF(Tabla1[[#This Row],[VEHICULOS_ACCIDENTADOS]:[VEHICULOS_ACCIDENTADOS2]],"BUSETA")</f>
        <v>0</v>
      </c>
      <c r="Z729" s="36">
        <f>COUNTIF(Tabla1[[#This Row],[VEHICULOS_ACCIDENTADOS]:[VEHICULOS_ACCIDENTADOS2]],"CAMION")</f>
        <v>0</v>
      </c>
      <c r="AA729" s="36">
        <f>COUNTIF(Tabla1[[#This Row],[VEHICULOS_ACCIDENTADOS]:[VEHICULOS_ACCIDENTADOS2]],"TRACTOCAMION")</f>
        <v>0</v>
      </c>
      <c r="AB729" s="36">
        <f>COUNTIF(Tabla1[[#This Row],[VEHICULOS_ACCIDENTADOS]:[VEHICULOS_ACCIDENTADOS2]],"VOLQUETA")</f>
        <v>0</v>
      </c>
      <c r="AC729" s="36">
        <f>COUNTIF(Tabla1[[#This Row],[VEHICULOS_ACCIDENTADOS]:[VEHICULOS_ACCIDENTADOS2]],"BICICLETA")</f>
        <v>0</v>
      </c>
      <c r="AD729" s="38" t="s">
        <v>471</v>
      </c>
      <c r="AE729" s="38" t="s">
        <v>472</v>
      </c>
      <c r="AF729" s="38">
        <f>COUNTIF(Tabla1[[#This Row],[GENERO_MASCULINO]:[GENERO_FEMENINO]],"MASCULINO")</f>
        <v>1</v>
      </c>
      <c r="AG729" s="36">
        <f>COUNTIF(Tabla1[[#This Row],[GENERO_MASCULINO]:[GENERO_FEMENINO]],"FEMENINO")</f>
        <v>1</v>
      </c>
      <c r="AH729" s="73">
        <v>18</v>
      </c>
      <c r="AI729" s="73">
        <v>27</v>
      </c>
      <c r="AJ729" s="73">
        <v>14</v>
      </c>
      <c r="AK729" s="73">
        <v>15</v>
      </c>
      <c r="AL729" s="73">
        <v>35</v>
      </c>
      <c r="AM729" s="7" t="str">
        <f>IFERROR(IF(_xlfn.AGGREGATE(15,6,#REF!/(#REF!&gt;0),1)=_xlfn.AGGREGATE(14,6,#REF!/(#REF!&gt;0),1),_xlfn.AGGREGATE(14,6,#REF!/(#REF!&gt;0),1),_xlfn.AGGREGATE(15,6,#REF!/(#REF!&gt;0),1) &amp; "-" &amp; _xlfn.AGGREGATE(14,6,#REF!/(#REF!&gt;0),1)),"")</f>
        <v/>
      </c>
      <c r="AN729" s="73">
        <v>112</v>
      </c>
      <c r="AO729" s="36" t="str">
        <f>IFERROR(((VLOOKUP(Tabla1[[#This Row],[HIPOTESIS_1]],listas!$D$1:$E$105,2,FALSE))),"SIN INFORMACIÓN")</f>
        <v>Desobedecer señales o normas de tránsito.</v>
      </c>
      <c r="AP729" s="7"/>
      <c r="AQ729" s="36" t="str">
        <f>IFERROR(((VLOOKUP(Tabla1[[#This Row],[HIPOTESIS_2]],listas!$D$1:$E$105,2,FALSE))),"")</f>
        <v/>
      </c>
      <c r="AR729" s="1" t="str">
        <f>IF(HOUR(Tabla1[[#This Row],[HORA_ACCIDENTE]])&lt;6,"MAÑANA",
 IF(HOUR(Tabla1[[#This Row],[HORA_ACCIDENTE]])&lt;12,"MAÑANA",
 IF(HOUR(Tabla1[[#This Row],[HORA_ACCIDENTE]])&lt;18,"TARDE","NOCHE")))</f>
        <v>TARDE</v>
      </c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7"/>
    </row>
    <row r="730" spans="1:56" x14ac:dyDescent="0.25">
      <c r="A730" s="12">
        <v>996</v>
      </c>
      <c r="B730" s="47">
        <v>0</v>
      </c>
      <c r="C730" s="24">
        <v>1</v>
      </c>
      <c r="D730" s="24">
        <v>1</v>
      </c>
      <c r="E730" s="18" t="str">
        <f t="shared" si="44"/>
        <v>FALLECIDO</v>
      </c>
      <c r="F730" s="152" t="s">
        <v>4</v>
      </c>
      <c r="G730" s="30">
        <v>5.3321420000000002</v>
      </c>
      <c r="H730" s="30">
        <v>-72.390901999999997</v>
      </c>
      <c r="I730" s="93" t="s">
        <v>697</v>
      </c>
      <c r="J730" s="7" t="s">
        <v>717</v>
      </c>
      <c r="K730" s="24" t="str">
        <f t="shared" si="45"/>
        <v>2025</v>
      </c>
      <c r="L730" s="24" t="str">
        <f t="shared" si="46"/>
        <v>JUNIO</v>
      </c>
      <c r="M730" s="236">
        <v>45828</v>
      </c>
      <c r="N730" s="24" t="str">
        <f t="shared" si="47"/>
        <v>VIERNES</v>
      </c>
      <c r="O730" s="106">
        <v>7.9166666666666663E-2</v>
      </c>
      <c r="P730" s="8" t="s">
        <v>469</v>
      </c>
      <c r="Q730" s="8" t="s">
        <v>447</v>
      </c>
      <c r="R730" s="36">
        <f>COUNTIF(Tabla1[[#This Row],[VEHICULOS_ACCIDENTADOS]:[VEHICULOS_ACCIDENTADOS2]],"MOTOCICLETA")</f>
        <v>1</v>
      </c>
      <c r="S730" s="36">
        <f>COUNTIF(Tabla1[[#This Row],[VEHICULOS_ACCIDENTADOS]:[VEHICULOS_ACCIDENTADOS2]],"MOTOCARRO")</f>
        <v>0</v>
      </c>
      <c r="T730" s="36">
        <f>COUNTIF(Tabla1[[#This Row],[VEHICULOS_ACCIDENTADOS]:[VEHICULOS_ACCIDENTADOS2]],"AUTOMOVIL")</f>
        <v>1</v>
      </c>
      <c r="U730" s="36">
        <f>COUNTIF(Tabla1[[#This Row],[VEHICULOS_ACCIDENTADOS]:[VEHICULOS_ACCIDENTADOS2]],"CAMPERO")</f>
        <v>0</v>
      </c>
      <c r="V730" s="36">
        <f>COUNTIF(Tabla1[[#This Row],[VEHICULOS_ACCIDENTADOS]:[VEHICULOS_ACCIDENTADOS2]],"CAMIONETA")</f>
        <v>0</v>
      </c>
      <c r="W730" s="36">
        <f>COUNTIF(Tabla1[[#This Row],[VEHICULOS_ACCIDENTADOS]:[VEHICULOS_ACCIDENTADOS2]],"MICROBUS")</f>
        <v>0</v>
      </c>
      <c r="X730" s="36">
        <f>COUNTIF(Tabla1[[#This Row],[VEHICULOS_ACCIDENTADOS]:[VEHICULOS_ACCIDENTADOS2]],"BUS")</f>
        <v>0</v>
      </c>
      <c r="Y730" s="36">
        <f>COUNTIF(Tabla1[[#This Row],[VEHICULOS_ACCIDENTADOS]:[VEHICULOS_ACCIDENTADOS2]],"BUSETA")</f>
        <v>0</v>
      </c>
      <c r="Z730" s="36">
        <f>COUNTIF(Tabla1[[#This Row],[VEHICULOS_ACCIDENTADOS]:[VEHICULOS_ACCIDENTADOS2]],"CAMION")</f>
        <v>0</v>
      </c>
      <c r="AA730" s="36">
        <f>COUNTIF(Tabla1[[#This Row],[VEHICULOS_ACCIDENTADOS]:[VEHICULOS_ACCIDENTADOS2]],"TRACTOCAMION")</f>
        <v>0</v>
      </c>
      <c r="AB730" s="36">
        <f>COUNTIF(Tabla1[[#This Row],[VEHICULOS_ACCIDENTADOS]:[VEHICULOS_ACCIDENTADOS2]],"VOLQUETA")</f>
        <v>0</v>
      </c>
      <c r="AC730" s="36">
        <f>COUNTIF(Tabla1[[#This Row],[VEHICULOS_ACCIDENTADOS]:[VEHICULOS_ACCIDENTADOS2]],"BICICLETA")</f>
        <v>0</v>
      </c>
      <c r="AD730" s="38" t="s">
        <v>472</v>
      </c>
      <c r="AE730" s="38" t="s">
        <v>472</v>
      </c>
      <c r="AF730" s="38">
        <f>COUNTIF(Tabla1[[#This Row],[GENERO_MASCULINO]:[GENERO_FEMENINO]],"MASCULINO")</f>
        <v>0</v>
      </c>
      <c r="AG730" s="36">
        <f>COUNTIF(Tabla1[[#This Row],[GENERO_MASCULINO]:[GENERO_FEMENINO]],"FEMENINO")</f>
        <v>2</v>
      </c>
      <c r="AH730" s="86">
        <v>21</v>
      </c>
      <c r="AI730" s="86">
        <v>33</v>
      </c>
      <c r="AJ730" s="86"/>
      <c r="AK730" s="87"/>
      <c r="AL730" s="87"/>
      <c r="AM730" s="6"/>
      <c r="AN730" s="73">
        <v>132</v>
      </c>
      <c r="AO730" s="36" t="str">
        <f>IFERROR(((VLOOKUP(Tabla1[[#This Row],[HIPOTESIS_1]],listas!$D$1:$E$105,2,FALSE))),"SIN INFORMACIÓN")</f>
        <v>No respetar prelación.</v>
      </c>
      <c r="AP730" s="7"/>
      <c r="AQ730" s="36" t="str">
        <f>IFERROR(((VLOOKUP(Tabla1[[#This Row],[HIPOTESIS_2]],listas!$D$1:$E$105,2,FALSE))),"")</f>
        <v/>
      </c>
      <c r="AR730" s="1" t="str">
        <f>IF(HOUR(Tabla1[[#This Row],[HORA_ACCIDENTE]])&lt;6,"MAÑANA",
 IF(HOUR(Tabla1[[#This Row],[HORA_ACCIDENTE]])&lt;12,"MAÑANA",
 IF(HOUR(Tabla1[[#This Row],[HORA_ACCIDENTE]])&lt;18,"TARDE","NOCHE")))</f>
        <v>MAÑANA</v>
      </c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33"/>
    </row>
    <row r="731" spans="1:56" x14ac:dyDescent="0.25">
      <c r="A731" s="12">
        <v>423</v>
      </c>
      <c r="B731" s="38">
        <v>0</v>
      </c>
      <c r="C731" s="7">
        <v>1</v>
      </c>
      <c r="D731" s="7">
        <v>0</v>
      </c>
      <c r="E731" s="18" t="str">
        <f t="shared" si="44"/>
        <v>LESIONADO</v>
      </c>
      <c r="F731" s="29" t="s">
        <v>275</v>
      </c>
      <c r="G731" s="21">
        <v>5.3258427777777779</v>
      </c>
      <c r="H731" s="21">
        <v>-72.3874675</v>
      </c>
      <c r="I731" s="93" t="s">
        <v>697</v>
      </c>
      <c r="J731" s="7" t="s">
        <v>717</v>
      </c>
      <c r="K731" s="24" t="str">
        <f t="shared" si="45"/>
        <v>2023</v>
      </c>
      <c r="L731" s="24" t="str">
        <f t="shared" si="46"/>
        <v>FEBRERO</v>
      </c>
      <c r="M731" s="232">
        <v>44985</v>
      </c>
      <c r="N731" s="24" t="str">
        <f t="shared" si="47"/>
        <v>MARTES</v>
      </c>
      <c r="O731" s="106">
        <v>0.50694444444444442</v>
      </c>
      <c r="P731" s="39" t="s">
        <v>447</v>
      </c>
      <c r="Q731" s="39"/>
      <c r="R731" s="36">
        <f>COUNTIF(Tabla1[[#This Row],[VEHICULOS_ACCIDENTADOS]:[VEHICULOS_ACCIDENTADOS2]],"MOTOCICLETA")</f>
        <v>0</v>
      </c>
      <c r="S731" s="36">
        <f>COUNTIF(Tabla1[[#This Row],[VEHICULOS_ACCIDENTADOS]:[VEHICULOS_ACCIDENTADOS2]],"MOTOCARRO")</f>
        <v>0</v>
      </c>
      <c r="T731" s="36">
        <f>COUNTIF(Tabla1[[#This Row],[VEHICULOS_ACCIDENTADOS]:[VEHICULOS_ACCIDENTADOS2]],"AUTOMOVIL")</f>
        <v>1</v>
      </c>
      <c r="U731" s="36">
        <f>COUNTIF(Tabla1[[#This Row],[VEHICULOS_ACCIDENTADOS]:[VEHICULOS_ACCIDENTADOS2]],"CAMPERO")</f>
        <v>0</v>
      </c>
      <c r="V731" s="36">
        <f>COUNTIF(Tabla1[[#This Row],[VEHICULOS_ACCIDENTADOS]:[VEHICULOS_ACCIDENTADOS2]],"CAMIONETA")</f>
        <v>0</v>
      </c>
      <c r="W731" s="36">
        <f>COUNTIF(Tabla1[[#This Row],[VEHICULOS_ACCIDENTADOS]:[VEHICULOS_ACCIDENTADOS2]],"MICROBUS")</f>
        <v>0</v>
      </c>
      <c r="X731" s="36">
        <f>COUNTIF(Tabla1[[#This Row],[VEHICULOS_ACCIDENTADOS]:[VEHICULOS_ACCIDENTADOS2]],"BUS")</f>
        <v>0</v>
      </c>
      <c r="Y731" s="36">
        <f>COUNTIF(Tabla1[[#This Row],[VEHICULOS_ACCIDENTADOS]:[VEHICULOS_ACCIDENTADOS2]],"BUSETA")</f>
        <v>0</v>
      </c>
      <c r="Z731" s="36">
        <f>COUNTIF(Tabla1[[#This Row],[VEHICULOS_ACCIDENTADOS]:[VEHICULOS_ACCIDENTADOS2]],"CAMION")</f>
        <v>0</v>
      </c>
      <c r="AA731" s="36">
        <f>COUNTIF(Tabla1[[#This Row],[VEHICULOS_ACCIDENTADOS]:[VEHICULOS_ACCIDENTADOS2]],"TRACTOCAMION")</f>
        <v>0</v>
      </c>
      <c r="AB731" s="36">
        <f>COUNTIF(Tabla1[[#This Row],[VEHICULOS_ACCIDENTADOS]:[VEHICULOS_ACCIDENTADOS2]],"VOLQUETA")</f>
        <v>0</v>
      </c>
      <c r="AC731" s="36">
        <f>COUNTIF(Tabla1[[#This Row],[VEHICULOS_ACCIDENTADOS]:[VEHICULOS_ACCIDENTADOS2]],"BICICLETA")</f>
        <v>0</v>
      </c>
      <c r="AD731" s="38" t="s">
        <v>471</v>
      </c>
      <c r="AE731" s="38"/>
      <c r="AF731" s="38">
        <f>COUNTIF(Tabla1[[#This Row],[GENERO_MASCULINO]:[GENERO_FEMENINO]],"MASCULINO")</f>
        <v>1</v>
      </c>
      <c r="AG731" s="36">
        <f>COUNTIF(Tabla1[[#This Row],[GENERO_MASCULINO]:[GENERO_FEMENINO]],"FEMENINO")</f>
        <v>0</v>
      </c>
      <c r="AH731" s="73"/>
      <c r="AI731" s="73"/>
      <c r="AJ731" s="87"/>
      <c r="AK731" s="73">
        <v>44</v>
      </c>
      <c r="AL731" s="73"/>
      <c r="AM731" s="7"/>
      <c r="AN731" s="73">
        <v>113</v>
      </c>
      <c r="AO731" s="36" t="str">
        <f>IFERROR(((VLOOKUP(Tabla1[[#This Row],[HIPOTESIS_1]],listas!$D$1:$E$105,2,FALSE))),"SIN INFORMACIÓN")</f>
        <v>Desobedecer al agente.</v>
      </c>
      <c r="AP731" s="7"/>
      <c r="AQ731" s="36" t="str">
        <f>IFERROR(((VLOOKUP(Tabla1[[#This Row],[HIPOTESIS_2]],listas!$D$1:$E$105,2,FALSE))),"")</f>
        <v/>
      </c>
      <c r="AR731" s="1" t="str">
        <f>IF(HOUR(Tabla1[[#This Row],[HORA_ACCIDENTE]])&lt;6,"MAÑANA",
 IF(HOUR(Tabla1[[#This Row],[HORA_ACCIDENTE]])&lt;12,"MAÑANA",
 IF(HOUR(Tabla1[[#This Row],[HORA_ACCIDENTE]])&lt;18,"TARDE","NOCHE")))</f>
        <v>TARDE</v>
      </c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33"/>
    </row>
    <row r="732" spans="1:56" x14ac:dyDescent="0.25">
      <c r="A732" s="12">
        <v>7</v>
      </c>
      <c r="B732" s="38">
        <v>0</v>
      </c>
      <c r="C732" s="7">
        <v>1</v>
      </c>
      <c r="D732" s="7">
        <v>0</v>
      </c>
      <c r="E732" s="18" t="str">
        <f t="shared" si="44"/>
        <v>LESIONADO</v>
      </c>
      <c r="F732" s="29" t="s">
        <v>436</v>
      </c>
      <c r="G732" s="17">
        <v>5.3482055555555554</v>
      </c>
      <c r="H732" s="17">
        <v>-72.399650000000008</v>
      </c>
      <c r="I732" s="93" t="s">
        <v>697</v>
      </c>
      <c r="J732" s="7" t="s">
        <v>717</v>
      </c>
      <c r="K732" s="24" t="str">
        <f t="shared" si="45"/>
        <v>2022</v>
      </c>
      <c r="L732" s="24" t="str">
        <f t="shared" si="46"/>
        <v>ENERO</v>
      </c>
      <c r="M732" s="232">
        <v>44573</v>
      </c>
      <c r="N732" s="24" t="str">
        <f t="shared" si="47"/>
        <v>MIÉRCOLES</v>
      </c>
      <c r="O732" s="106">
        <v>0.30555555555555558</v>
      </c>
      <c r="P732" s="8" t="s">
        <v>469</v>
      </c>
      <c r="Q732" s="8" t="s">
        <v>445</v>
      </c>
      <c r="R732" s="36">
        <f>COUNTIF(Tabla1[[#This Row],[VEHICULOS_ACCIDENTADOS]:[VEHICULOS_ACCIDENTADOS2]],"MOTOCICLETA")</f>
        <v>1</v>
      </c>
      <c r="S732" s="36">
        <f>COUNTIF(Tabla1[[#This Row],[VEHICULOS_ACCIDENTADOS]:[VEHICULOS_ACCIDENTADOS2]],"MOTOCARRO")</f>
        <v>0</v>
      </c>
      <c r="T732" s="36">
        <f>COUNTIF(Tabla1[[#This Row],[VEHICULOS_ACCIDENTADOS]:[VEHICULOS_ACCIDENTADOS2]],"AUTOMOVIL")</f>
        <v>0</v>
      </c>
      <c r="U732" s="36">
        <f>COUNTIF(Tabla1[[#This Row],[VEHICULOS_ACCIDENTADOS]:[VEHICULOS_ACCIDENTADOS2]],"CAMPERO")</f>
        <v>0</v>
      </c>
      <c r="V732" s="36">
        <f>COUNTIF(Tabla1[[#This Row],[VEHICULOS_ACCIDENTADOS]:[VEHICULOS_ACCIDENTADOS2]],"CAMIONETA")</f>
        <v>1</v>
      </c>
      <c r="W732" s="36">
        <f>COUNTIF(Tabla1[[#This Row],[VEHICULOS_ACCIDENTADOS]:[VEHICULOS_ACCIDENTADOS2]],"MICROBUS")</f>
        <v>0</v>
      </c>
      <c r="X732" s="36">
        <f>COUNTIF(Tabla1[[#This Row],[VEHICULOS_ACCIDENTADOS]:[VEHICULOS_ACCIDENTADOS2]],"BUS")</f>
        <v>0</v>
      </c>
      <c r="Y732" s="36">
        <f>COUNTIF(Tabla1[[#This Row],[VEHICULOS_ACCIDENTADOS]:[VEHICULOS_ACCIDENTADOS2]],"BUSETA")</f>
        <v>0</v>
      </c>
      <c r="Z732" s="36">
        <f>COUNTIF(Tabla1[[#This Row],[VEHICULOS_ACCIDENTADOS]:[VEHICULOS_ACCIDENTADOS2]],"CAMION")</f>
        <v>0</v>
      </c>
      <c r="AA732" s="36">
        <f>COUNTIF(Tabla1[[#This Row],[VEHICULOS_ACCIDENTADOS]:[VEHICULOS_ACCIDENTADOS2]],"TRACTOCAMION")</f>
        <v>0</v>
      </c>
      <c r="AB732" s="36">
        <f>COUNTIF(Tabla1[[#This Row],[VEHICULOS_ACCIDENTADOS]:[VEHICULOS_ACCIDENTADOS2]],"VOLQUETA")</f>
        <v>0</v>
      </c>
      <c r="AC732" s="36">
        <f>COUNTIF(Tabla1[[#This Row],[VEHICULOS_ACCIDENTADOS]:[VEHICULOS_ACCIDENTADOS2]],"BICICLETA")</f>
        <v>0</v>
      </c>
      <c r="AD732" s="38"/>
      <c r="AE732" s="38" t="s">
        <v>472</v>
      </c>
      <c r="AF732" s="38">
        <f>COUNTIF(Tabla1[[#This Row],[GENERO_MASCULINO]:[GENERO_FEMENINO]],"MASCULINO")</f>
        <v>0</v>
      </c>
      <c r="AG732" s="36">
        <f>COUNTIF(Tabla1[[#This Row],[GENERO_MASCULINO]:[GENERO_FEMENINO]],"FEMENINO")</f>
        <v>1</v>
      </c>
      <c r="AH732" s="73">
        <v>25</v>
      </c>
      <c r="AI732" s="73"/>
      <c r="AJ732" s="73"/>
      <c r="AK732" s="73"/>
      <c r="AL732" s="73"/>
      <c r="AM732" s="7"/>
      <c r="AN732" s="73">
        <v>112</v>
      </c>
      <c r="AO732" s="36" t="str">
        <f>IFERROR(((VLOOKUP(Tabla1[[#This Row],[HIPOTESIS_1]],listas!$D$1:$E$105,2,FALSE))),"SIN INFORMACIÓN")</f>
        <v>Desobedecer señales o normas de tránsito.</v>
      </c>
      <c r="AP732" s="7"/>
      <c r="AQ732" s="36" t="str">
        <f>IFERROR(((VLOOKUP(Tabla1[[#This Row],[HIPOTESIS_2]],listas!$D$1:$E$105,2,FALSE))),"")</f>
        <v/>
      </c>
      <c r="AR732" s="1" t="str">
        <f>IF(HOUR(Tabla1[[#This Row],[HORA_ACCIDENTE]])&lt;6,"MAÑANA",
 IF(HOUR(Tabla1[[#This Row],[HORA_ACCIDENTE]])&lt;12,"MAÑANA",
 IF(HOUR(Tabla1[[#This Row],[HORA_ACCIDENTE]])&lt;18,"TARDE","NOCHE")))</f>
        <v>MAÑANA</v>
      </c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33"/>
    </row>
    <row r="733" spans="1:56" x14ac:dyDescent="0.25">
      <c r="A733" s="12">
        <v>700</v>
      </c>
      <c r="B733" s="43">
        <v>0</v>
      </c>
      <c r="C733" s="15">
        <v>1</v>
      </c>
      <c r="D733" s="15">
        <v>0</v>
      </c>
      <c r="E733" s="18" t="str">
        <f t="shared" si="44"/>
        <v>LESIONADO</v>
      </c>
      <c r="F733" s="26" t="s">
        <v>147</v>
      </c>
      <c r="G733" s="21">
        <v>5.3308916666666661</v>
      </c>
      <c r="H733" s="21">
        <v>-72.390197222222227</v>
      </c>
      <c r="I733" s="93" t="s">
        <v>697</v>
      </c>
      <c r="J733" s="15" t="s">
        <v>717</v>
      </c>
      <c r="K733" s="24" t="str">
        <f t="shared" si="45"/>
        <v>2024</v>
      </c>
      <c r="L733" s="24" t="str">
        <f t="shared" si="46"/>
        <v>ABRIL</v>
      </c>
      <c r="M733" s="234">
        <v>45410</v>
      </c>
      <c r="N733" s="24" t="str">
        <f t="shared" si="47"/>
        <v>DOMINGO</v>
      </c>
      <c r="O733" s="108">
        <v>0.21527777777777779</v>
      </c>
      <c r="P733" s="44" t="s">
        <v>469</v>
      </c>
      <c r="Q733" s="44"/>
      <c r="R733" s="36">
        <f>COUNTIF(Tabla1[[#This Row],[VEHICULOS_ACCIDENTADOS]:[VEHICULOS_ACCIDENTADOS2]],"MOTOCICLETA")</f>
        <v>1</v>
      </c>
      <c r="S733" s="36">
        <f>COUNTIF(Tabla1[[#This Row],[VEHICULOS_ACCIDENTADOS]:[VEHICULOS_ACCIDENTADOS2]],"MOTOCARRO")</f>
        <v>0</v>
      </c>
      <c r="T733" s="36">
        <f>COUNTIF(Tabla1[[#This Row],[VEHICULOS_ACCIDENTADOS]:[VEHICULOS_ACCIDENTADOS2]],"AUTOMOVIL")</f>
        <v>0</v>
      </c>
      <c r="U733" s="36">
        <f>COUNTIF(Tabla1[[#This Row],[VEHICULOS_ACCIDENTADOS]:[VEHICULOS_ACCIDENTADOS2]],"CAMPERO")</f>
        <v>0</v>
      </c>
      <c r="V733" s="36">
        <f>COUNTIF(Tabla1[[#This Row],[VEHICULOS_ACCIDENTADOS]:[VEHICULOS_ACCIDENTADOS2]],"CAMIONETA")</f>
        <v>0</v>
      </c>
      <c r="W733" s="36">
        <f>COUNTIF(Tabla1[[#This Row],[VEHICULOS_ACCIDENTADOS]:[VEHICULOS_ACCIDENTADOS2]],"MICROBUS")</f>
        <v>0</v>
      </c>
      <c r="X733" s="36">
        <f>COUNTIF(Tabla1[[#This Row],[VEHICULOS_ACCIDENTADOS]:[VEHICULOS_ACCIDENTADOS2]],"BUS")</f>
        <v>0</v>
      </c>
      <c r="Y733" s="36">
        <f>COUNTIF(Tabla1[[#This Row],[VEHICULOS_ACCIDENTADOS]:[VEHICULOS_ACCIDENTADOS2]],"BUSETA")</f>
        <v>0</v>
      </c>
      <c r="Z733" s="36">
        <f>COUNTIF(Tabla1[[#This Row],[VEHICULOS_ACCIDENTADOS]:[VEHICULOS_ACCIDENTADOS2]],"CAMION")</f>
        <v>0</v>
      </c>
      <c r="AA733" s="36">
        <f>COUNTIF(Tabla1[[#This Row],[VEHICULOS_ACCIDENTADOS]:[VEHICULOS_ACCIDENTADOS2]],"TRACTOCAMION")</f>
        <v>0</v>
      </c>
      <c r="AB733" s="36">
        <f>COUNTIF(Tabla1[[#This Row],[VEHICULOS_ACCIDENTADOS]:[VEHICULOS_ACCIDENTADOS2]],"VOLQUETA")</f>
        <v>0</v>
      </c>
      <c r="AC733" s="36">
        <f>COUNTIF(Tabla1[[#This Row],[VEHICULOS_ACCIDENTADOS]:[VEHICULOS_ACCIDENTADOS2]],"BICICLETA")</f>
        <v>0</v>
      </c>
      <c r="AD733" s="43"/>
      <c r="AE733" s="43" t="s">
        <v>472</v>
      </c>
      <c r="AF733" s="43">
        <f>COUNTIF(Tabla1[[#This Row],[GENERO_MASCULINO]:[GENERO_FEMENINO]],"MASCULINO")</f>
        <v>0</v>
      </c>
      <c r="AG733" s="36">
        <f>COUNTIF(Tabla1[[#This Row],[GENERO_MASCULINO]:[GENERO_FEMENINO]],"FEMENINO")</f>
        <v>1</v>
      </c>
      <c r="AH733" s="86">
        <v>44</v>
      </c>
      <c r="AI733" s="86"/>
      <c r="AJ733" s="86"/>
      <c r="AK733" s="86"/>
      <c r="AL733" s="86"/>
      <c r="AM733" s="15"/>
      <c r="AN733" s="86">
        <v>114</v>
      </c>
      <c r="AO733" s="36" t="str">
        <f>IFERROR(((VLOOKUP(Tabla1[[#This Row],[HIPOTESIS_1]],listas!$D$1:$E$105,2,FALSE))),"SIN INFORMACIÓN")</f>
        <v>Embriaguez aparente.</v>
      </c>
      <c r="AP733" s="15"/>
      <c r="AQ733" s="36" t="str">
        <f>IFERROR(((VLOOKUP(Tabla1[[#This Row],[HIPOTESIS_2]],listas!$D$1:$E$105,2,FALSE))),"")</f>
        <v/>
      </c>
      <c r="AR733" s="1" t="str">
        <f>IF(HOUR(Tabla1[[#This Row],[HORA_ACCIDENTE]])&lt;6,"MAÑANA",
 IF(HOUR(Tabla1[[#This Row],[HORA_ACCIDENTE]])&lt;12,"MAÑANA",
 IF(HOUR(Tabla1[[#This Row],[HORA_ACCIDENTE]])&lt;18,"TARDE","NOCHE")))</f>
        <v>MAÑANA</v>
      </c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33"/>
    </row>
    <row r="734" spans="1:56" x14ac:dyDescent="0.25">
      <c r="A734" s="12">
        <v>1035</v>
      </c>
      <c r="B734" s="47">
        <v>0</v>
      </c>
      <c r="C734" s="24">
        <v>2</v>
      </c>
      <c r="D734" s="24">
        <v>0</v>
      </c>
      <c r="E734" s="18" t="str">
        <f t="shared" si="44"/>
        <v>LESIONADO</v>
      </c>
      <c r="F734" s="152" t="s">
        <v>672</v>
      </c>
      <c r="G734" s="30">
        <v>5.3409180000000003</v>
      </c>
      <c r="H734" s="30">
        <v>-72.395709999999994</v>
      </c>
      <c r="I734" s="93" t="s">
        <v>697</v>
      </c>
      <c r="J734" s="7" t="s">
        <v>717</v>
      </c>
      <c r="K734" s="24" t="str">
        <f t="shared" si="45"/>
        <v>2025</v>
      </c>
      <c r="L734" s="24" t="str">
        <f t="shared" si="46"/>
        <v>AGOSTO</v>
      </c>
      <c r="M734" s="232">
        <v>45873</v>
      </c>
      <c r="N734" s="24" t="str">
        <f t="shared" si="47"/>
        <v>LUNES</v>
      </c>
      <c r="O734" s="106">
        <v>0.72916666666666663</v>
      </c>
      <c r="P734" s="8" t="s">
        <v>469</v>
      </c>
      <c r="Q734" s="8" t="s">
        <v>447</v>
      </c>
      <c r="R734" s="36">
        <f>COUNTIF(Tabla1[[#This Row],[VEHICULOS_ACCIDENTADOS]:[VEHICULOS_ACCIDENTADOS2]],"MOTOCICLETA")</f>
        <v>1</v>
      </c>
      <c r="S734" s="36">
        <f>COUNTIF(Tabla1[[#This Row],[VEHICULOS_ACCIDENTADOS]:[VEHICULOS_ACCIDENTADOS2]],"MOTOCARRO")</f>
        <v>0</v>
      </c>
      <c r="T734" s="36">
        <f>COUNTIF(Tabla1[[#This Row],[VEHICULOS_ACCIDENTADOS]:[VEHICULOS_ACCIDENTADOS2]],"AUTOMOVIL")</f>
        <v>1</v>
      </c>
      <c r="U734" s="36">
        <f>COUNTIF(Tabla1[[#This Row],[VEHICULOS_ACCIDENTADOS]:[VEHICULOS_ACCIDENTADOS2]],"CAMPERO")</f>
        <v>0</v>
      </c>
      <c r="V734" s="36">
        <f>COUNTIF(Tabla1[[#This Row],[VEHICULOS_ACCIDENTADOS]:[VEHICULOS_ACCIDENTADOS2]],"CAMIONETA")</f>
        <v>0</v>
      </c>
      <c r="W734" s="36">
        <f>COUNTIF(Tabla1[[#This Row],[VEHICULOS_ACCIDENTADOS]:[VEHICULOS_ACCIDENTADOS2]],"MICROBUS")</f>
        <v>0</v>
      </c>
      <c r="X734" s="36">
        <f>COUNTIF(Tabla1[[#This Row],[VEHICULOS_ACCIDENTADOS]:[VEHICULOS_ACCIDENTADOS2]],"BUS")</f>
        <v>0</v>
      </c>
      <c r="Y734" s="36">
        <f>COUNTIF(Tabla1[[#This Row],[VEHICULOS_ACCIDENTADOS]:[VEHICULOS_ACCIDENTADOS2]],"BUSETA")</f>
        <v>0</v>
      </c>
      <c r="Z734" s="36">
        <f>COUNTIF(Tabla1[[#This Row],[VEHICULOS_ACCIDENTADOS]:[VEHICULOS_ACCIDENTADOS2]],"CAMION")</f>
        <v>0</v>
      </c>
      <c r="AA734" s="36">
        <f>COUNTIF(Tabla1[[#This Row],[VEHICULOS_ACCIDENTADOS]:[VEHICULOS_ACCIDENTADOS2]],"TRACTOCAMION")</f>
        <v>0</v>
      </c>
      <c r="AB734" s="36">
        <f>COUNTIF(Tabla1[[#This Row],[VEHICULOS_ACCIDENTADOS]:[VEHICULOS_ACCIDENTADOS2]],"VOLQUETA")</f>
        <v>0</v>
      </c>
      <c r="AC734" s="36">
        <f>COUNTIF(Tabla1[[#This Row],[VEHICULOS_ACCIDENTADOS]:[VEHICULOS_ACCIDENTADOS2]],"BICICLETA")</f>
        <v>0</v>
      </c>
      <c r="AD734" s="189" t="s">
        <v>472</v>
      </c>
      <c r="AE734" s="189" t="s">
        <v>471</v>
      </c>
      <c r="AF734" s="38">
        <f>COUNTIF(Tabla1[[#This Row],[GENERO_MASCULINO]:[GENERO_FEMENINO]],"MASCULINO")</f>
        <v>1</v>
      </c>
      <c r="AG734" s="36">
        <f>COUNTIF(Tabla1[[#This Row],[GENERO_MASCULINO]:[GENERO_FEMENINO]],"FEMENINO")</f>
        <v>1</v>
      </c>
      <c r="AH734" s="86">
        <v>39</v>
      </c>
      <c r="AI734" s="86">
        <v>60</v>
      </c>
      <c r="AJ734" s="86">
        <v>10</v>
      </c>
      <c r="AK734" s="87"/>
      <c r="AL734" s="87"/>
      <c r="AM734" s="6"/>
      <c r="AN734" s="73">
        <v>157</v>
      </c>
      <c r="AO734" s="59" t="str">
        <f>IFERROR(((VLOOKUP(Tabla1[[#This Row],[HIPOTESIS_1]],listas!$D$1:$E$105,2,FALSE))),"SIN INFORMACIÓN")</f>
        <v>Otra</v>
      </c>
      <c r="AP734" s="7"/>
      <c r="AQ734" s="36" t="str">
        <f>IFERROR(((VLOOKUP(Tabla1[[#This Row],[HIPOTESIS_2]],listas!$D$1:$E$105,2,FALSE))),"")</f>
        <v/>
      </c>
      <c r="AR734" s="1" t="str">
        <f>IF(HOUR(Tabla1[[#This Row],[HORA_ACCIDENTE]])&lt;6,"MAÑANA",
 IF(HOUR(Tabla1[[#This Row],[HORA_ACCIDENTE]])&lt;12,"MAÑANA",
 IF(HOUR(Tabla1[[#This Row],[HORA_ACCIDENTE]])&lt;18,"TARDE","NOCHE")))</f>
        <v>TARDE</v>
      </c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33"/>
    </row>
    <row r="735" spans="1:56" x14ac:dyDescent="0.25">
      <c r="A735" s="12">
        <v>335</v>
      </c>
      <c r="B735" s="38">
        <v>1</v>
      </c>
      <c r="C735" s="7">
        <v>0</v>
      </c>
      <c r="D735" s="7">
        <v>0</v>
      </c>
      <c r="E735" s="18" t="str">
        <f t="shared" si="44"/>
        <v>SOLO DAÑO</v>
      </c>
      <c r="F735" s="29" t="s">
        <v>1136</v>
      </c>
      <c r="G735" s="17">
        <v>5.3423138888888886</v>
      </c>
      <c r="H735" s="17">
        <v>-72.394836111111118</v>
      </c>
      <c r="I735" s="93" t="s">
        <v>697</v>
      </c>
      <c r="J735" s="7" t="s">
        <v>717</v>
      </c>
      <c r="K735" s="24" t="str">
        <f t="shared" si="45"/>
        <v>2022</v>
      </c>
      <c r="L735" s="24" t="str">
        <f t="shared" si="46"/>
        <v>OCTUBRE</v>
      </c>
      <c r="M735" s="232">
        <v>44853</v>
      </c>
      <c r="N735" s="24" t="str">
        <f t="shared" si="47"/>
        <v>MIÉRCOLES</v>
      </c>
      <c r="O735" s="174">
        <v>0.51041666666666696</v>
      </c>
      <c r="P735" s="180" t="s">
        <v>447</v>
      </c>
      <c r="Q735" s="180" t="s">
        <v>447</v>
      </c>
      <c r="R735" s="36">
        <f>COUNTIF(Tabla1[[#This Row],[VEHICULOS_ACCIDENTADOS]:[VEHICULOS_ACCIDENTADOS2]],"MOTOCICLETA")</f>
        <v>0</v>
      </c>
      <c r="S735" s="36">
        <f>COUNTIF(Tabla1[[#This Row],[VEHICULOS_ACCIDENTADOS]:[VEHICULOS_ACCIDENTADOS2]],"MOTOCARRO")</f>
        <v>0</v>
      </c>
      <c r="T735" s="36">
        <f>COUNTIF(Tabla1[[#This Row],[VEHICULOS_ACCIDENTADOS]:[VEHICULOS_ACCIDENTADOS2]],"AUTOMOVIL")</f>
        <v>2</v>
      </c>
      <c r="U735" s="36">
        <f>COUNTIF(Tabla1[[#This Row],[VEHICULOS_ACCIDENTADOS]:[VEHICULOS_ACCIDENTADOS2]],"CAMPERO")</f>
        <v>0</v>
      </c>
      <c r="V735" s="36">
        <f>COUNTIF(Tabla1[[#This Row],[VEHICULOS_ACCIDENTADOS]:[VEHICULOS_ACCIDENTADOS2]],"CAMIONETA")</f>
        <v>0</v>
      </c>
      <c r="W735" s="36">
        <f>COUNTIF(Tabla1[[#This Row],[VEHICULOS_ACCIDENTADOS]:[VEHICULOS_ACCIDENTADOS2]],"MICROBUS")</f>
        <v>0</v>
      </c>
      <c r="X735" s="36">
        <f>COUNTIF(Tabla1[[#This Row],[VEHICULOS_ACCIDENTADOS]:[VEHICULOS_ACCIDENTADOS2]],"BUS")</f>
        <v>0</v>
      </c>
      <c r="Y735" s="36">
        <f>COUNTIF(Tabla1[[#This Row],[VEHICULOS_ACCIDENTADOS]:[VEHICULOS_ACCIDENTADOS2]],"BUSETA")</f>
        <v>0</v>
      </c>
      <c r="Z735" s="36">
        <f>COUNTIF(Tabla1[[#This Row],[VEHICULOS_ACCIDENTADOS]:[VEHICULOS_ACCIDENTADOS2]],"CAMION")</f>
        <v>0</v>
      </c>
      <c r="AA735" s="36">
        <f>COUNTIF(Tabla1[[#This Row],[VEHICULOS_ACCIDENTADOS]:[VEHICULOS_ACCIDENTADOS2]],"TRACTOCAMION")</f>
        <v>0</v>
      </c>
      <c r="AB735" s="36">
        <f>COUNTIF(Tabla1[[#This Row],[VEHICULOS_ACCIDENTADOS]:[VEHICULOS_ACCIDENTADOS2]],"VOLQUETA")</f>
        <v>0</v>
      </c>
      <c r="AC735" s="36">
        <f>COUNTIF(Tabla1[[#This Row],[VEHICULOS_ACCIDENTADOS]:[VEHICULOS_ACCIDENTADOS2]],"BICICLETA")</f>
        <v>0</v>
      </c>
      <c r="AD735" s="38"/>
      <c r="AE735" s="38" t="s">
        <v>472</v>
      </c>
      <c r="AF735" s="38">
        <f>COUNTIF(Tabla1[[#This Row],[GENERO_MASCULINO]:[GENERO_FEMENINO]],"MASCULINO")</f>
        <v>0</v>
      </c>
      <c r="AG735" s="36">
        <f>COUNTIF(Tabla1[[#This Row],[GENERO_MASCULINO]:[GENERO_FEMENINO]],"FEMENINO")</f>
        <v>1</v>
      </c>
      <c r="AH735" s="73"/>
      <c r="AI735" s="73"/>
      <c r="AJ735" s="73"/>
      <c r="AK735" s="73"/>
      <c r="AL735" s="73"/>
      <c r="AM735" s="7"/>
      <c r="AN735" s="73">
        <v>112</v>
      </c>
      <c r="AO735" s="36" t="str">
        <f>IFERROR(((VLOOKUP(Tabla1[[#This Row],[HIPOTESIS_1]],listas!$D$1:$E$105,2,FALSE))),"SIN INFORMACIÓN")</f>
        <v>Desobedecer señales o normas de tránsito.</v>
      </c>
      <c r="AP735" s="7"/>
      <c r="AQ735" s="36" t="str">
        <f>IFERROR(((VLOOKUP(Tabla1[[#This Row],[HIPOTESIS_2]],listas!$D$1:$E$105,2,FALSE))),"")</f>
        <v/>
      </c>
      <c r="AR735" s="1" t="str">
        <f>IF(HOUR(Tabla1[[#This Row],[HORA_ACCIDENTE]])&lt;6,"MAÑANA",
 IF(HOUR(Tabla1[[#This Row],[HORA_ACCIDENTE]])&lt;12,"MAÑANA",
 IF(HOUR(Tabla1[[#This Row],[HORA_ACCIDENTE]])&lt;18,"TARDE","NOCHE")))</f>
        <v>TARDE</v>
      </c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33"/>
    </row>
    <row r="736" spans="1:56" x14ac:dyDescent="0.25">
      <c r="A736" s="12">
        <v>861</v>
      </c>
      <c r="B736" s="43">
        <v>1</v>
      </c>
      <c r="C736" s="15">
        <v>0</v>
      </c>
      <c r="D736" s="15">
        <v>0</v>
      </c>
      <c r="E736" s="18" t="str">
        <f t="shared" si="44"/>
        <v>SOLO DAÑO</v>
      </c>
      <c r="F736" s="26" t="s">
        <v>1137</v>
      </c>
      <c r="G736" s="21">
        <v>5.3504999999999994</v>
      </c>
      <c r="H736" s="21">
        <v>-72.399627777777781</v>
      </c>
      <c r="I736" s="93" t="s">
        <v>697</v>
      </c>
      <c r="J736" s="21" t="s">
        <v>717</v>
      </c>
      <c r="K736" s="24" t="str">
        <f t="shared" si="45"/>
        <v>2025</v>
      </c>
      <c r="L736" s="24" t="str">
        <f t="shared" si="46"/>
        <v>ENERO</v>
      </c>
      <c r="M736" s="234">
        <v>45677</v>
      </c>
      <c r="N736" s="24" t="str">
        <f t="shared" si="47"/>
        <v>LUNES</v>
      </c>
      <c r="O736" s="108">
        <v>0.4375</v>
      </c>
      <c r="P736" s="44" t="s">
        <v>445</v>
      </c>
      <c r="Q736" s="44" t="s">
        <v>469</v>
      </c>
      <c r="R736" s="36">
        <f>COUNTIF(Tabla1[[#This Row],[VEHICULOS_ACCIDENTADOS]:[VEHICULOS_ACCIDENTADOS2]],"MOTOCICLETA")</f>
        <v>1</v>
      </c>
      <c r="S736" s="36">
        <f>COUNTIF(Tabla1[[#This Row],[VEHICULOS_ACCIDENTADOS]:[VEHICULOS_ACCIDENTADOS2]],"MOTOCARRO")</f>
        <v>0</v>
      </c>
      <c r="T736" s="36">
        <f>COUNTIF(Tabla1[[#This Row],[VEHICULOS_ACCIDENTADOS]:[VEHICULOS_ACCIDENTADOS2]],"AUTOMOVIL")</f>
        <v>0</v>
      </c>
      <c r="U736" s="36">
        <f>COUNTIF(Tabla1[[#This Row],[VEHICULOS_ACCIDENTADOS]:[VEHICULOS_ACCIDENTADOS2]],"CAMPERO")</f>
        <v>0</v>
      </c>
      <c r="V736" s="36">
        <f>COUNTIF(Tabla1[[#This Row],[VEHICULOS_ACCIDENTADOS]:[VEHICULOS_ACCIDENTADOS2]],"CAMIONETA")</f>
        <v>1</v>
      </c>
      <c r="W736" s="36">
        <f>COUNTIF(Tabla1[[#This Row],[VEHICULOS_ACCIDENTADOS]:[VEHICULOS_ACCIDENTADOS2]],"MICROBUS")</f>
        <v>0</v>
      </c>
      <c r="X736" s="36">
        <f>COUNTIF(Tabla1[[#This Row],[VEHICULOS_ACCIDENTADOS]:[VEHICULOS_ACCIDENTADOS2]],"BUS")</f>
        <v>0</v>
      </c>
      <c r="Y736" s="36">
        <f>COUNTIF(Tabla1[[#This Row],[VEHICULOS_ACCIDENTADOS]:[VEHICULOS_ACCIDENTADOS2]],"BUSETA")</f>
        <v>0</v>
      </c>
      <c r="Z736" s="36">
        <f>COUNTIF(Tabla1[[#This Row],[VEHICULOS_ACCIDENTADOS]:[VEHICULOS_ACCIDENTADOS2]],"CAMION")</f>
        <v>0</v>
      </c>
      <c r="AA736" s="36">
        <f>COUNTIF(Tabla1[[#This Row],[VEHICULOS_ACCIDENTADOS]:[VEHICULOS_ACCIDENTADOS2]],"TRACTOCAMION")</f>
        <v>0</v>
      </c>
      <c r="AB736" s="36">
        <f>COUNTIF(Tabla1[[#This Row],[VEHICULOS_ACCIDENTADOS]:[VEHICULOS_ACCIDENTADOS2]],"VOLQUETA")</f>
        <v>0</v>
      </c>
      <c r="AC736" s="36">
        <f>COUNTIF(Tabla1[[#This Row],[VEHICULOS_ACCIDENTADOS]:[VEHICULOS_ACCIDENTADOS2]],"BICICLETA")</f>
        <v>0</v>
      </c>
      <c r="AD736" s="43" t="s">
        <v>472</v>
      </c>
      <c r="AE736" s="43" t="s">
        <v>472</v>
      </c>
      <c r="AF736" s="43">
        <f>COUNTIF(Tabla1[[#This Row],[GENERO_MASCULINO]:[GENERO_FEMENINO]],"MASCULINO")</f>
        <v>0</v>
      </c>
      <c r="AG736" s="36">
        <f>COUNTIF(Tabla1[[#This Row],[GENERO_MASCULINO]:[GENERO_FEMENINO]],"FEMENINO")</f>
        <v>2</v>
      </c>
      <c r="AH736" s="86">
        <v>57</v>
      </c>
      <c r="AI736" s="86">
        <v>54</v>
      </c>
      <c r="AJ736" s="86">
        <v>27</v>
      </c>
      <c r="AK736" s="86"/>
      <c r="AL736" s="86"/>
      <c r="AM736" s="15"/>
      <c r="AN736" s="86">
        <v>157</v>
      </c>
      <c r="AO736" s="36" t="str">
        <f>IFERROR(((VLOOKUP(Tabla1[[#This Row],[HIPOTESIS_1]],listas!$D$1:$E$105,2,FALSE))),"SIN INFORMACIÓN")</f>
        <v>Otra</v>
      </c>
      <c r="AP736" s="15"/>
      <c r="AQ736" s="36" t="str">
        <f>IFERROR(((VLOOKUP(Tabla1[[#This Row],[HIPOTESIS_2]],listas!$D$1:$E$105,2,FALSE))),"")</f>
        <v/>
      </c>
      <c r="AR736" s="1" t="str">
        <f>IF(HOUR(Tabla1[[#This Row],[HORA_ACCIDENTE]])&lt;6,"MAÑANA",
 IF(HOUR(Tabla1[[#This Row],[HORA_ACCIDENTE]])&lt;12,"MAÑANA",
 IF(HOUR(Tabla1[[#This Row],[HORA_ACCIDENTE]])&lt;18,"TARDE","NOCHE")))</f>
        <v>MAÑANA</v>
      </c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33"/>
    </row>
    <row r="737" spans="1:56" x14ac:dyDescent="0.25">
      <c r="A737" s="12">
        <v>231</v>
      </c>
      <c r="B737" s="38">
        <v>1</v>
      </c>
      <c r="C737" s="7">
        <v>0</v>
      </c>
      <c r="D737" s="7">
        <v>0</v>
      </c>
      <c r="E737" s="18" t="str">
        <f t="shared" si="44"/>
        <v>SOLO DAÑO</v>
      </c>
      <c r="F737" s="29" t="s">
        <v>350</v>
      </c>
      <c r="G737" s="17">
        <v>5.3416044444444442</v>
      </c>
      <c r="H737" s="17">
        <v>-72.394416111111113</v>
      </c>
      <c r="I737" s="93" t="s">
        <v>697</v>
      </c>
      <c r="J737" s="7" t="s">
        <v>717</v>
      </c>
      <c r="K737" s="24" t="str">
        <f t="shared" si="45"/>
        <v>2022</v>
      </c>
      <c r="L737" s="24" t="str">
        <f t="shared" si="46"/>
        <v>JUNIO</v>
      </c>
      <c r="M737" s="232">
        <v>44736</v>
      </c>
      <c r="N737" s="24" t="str">
        <f t="shared" si="47"/>
        <v>VIERNES</v>
      </c>
      <c r="O737" s="174">
        <v>0.4513888888888889</v>
      </c>
      <c r="P737" s="180" t="s">
        <v>447</v>
      </c>
      <c r="Q737" s="180" t="s">
        <v>446</v>
      </c>
      <c r="R737" s="36">
        <f>COUNTIF(Tabla1[[#This Row],[VEHICULOS_ACCIDENTADOS]:[VEHICULOS_ACCIDENTADOS2]],"MOTOCICLETA")</f>
        <v>0</v>
      </c>
      <c r="S737" s="36">
        <f>COUNTIF(Tabla1[[#This Row],[VEHICULOS_ACCIDENTADOS]:[VEHICULOS_ACCIDENTADOS2]],"MOTOCARRO")</f>
        <v>0</v>
      </c>
      <c r="T737" s="36">
        <f>COUNTIF(Tabla1[[#This Row],[VEHICULOS_ACCIDENTADOS]:[VEHICULOS_ACCIDENTADOS2]],"AUTOMOVIL")</f>
        <v>1</v>
      </c>
      <c r="U737" s="36">
        <f>COUNTIF(Tabla1[[#This Row],[VEHICULOS_ACCIDENTADOS]:[VEHICULOS_ACCIDENTADOS2]],"CAMPERO")</f>
        <v>1</v>
      </c>
      <c r="V737" s="36">
        <f>COUNTIF(Tabla1[[#This Row],[VEHICULOS_ACCIDENTADOS]:[VEHICULOS_ACCIDENTADOS2]],"CAMIONETA")</f>
        <v>0</v>
      </c>
      <c r="W737" s="36">
        <f>COUNTIF(Tabla1[[#This Row],[VEHICULOS_ACCIDENTADOS]:[VEHICULOS_ACCIDENTADOS2]],"MICROBUS")</f>
        <v>0</v>
      </c>
      <c r="X737" s="36">
        <f>COUNTIF(Tabla1[[#This Row],[VEHICULOS_ACCIDENTADOS]:[VEHICULOS_ACCIDENTADOS2]],"BUS")</f>
        <v>0</v>
      </c>
      <c r="Y737" s="36">
        <f>COUNTIF(Tabla1[[#This Row],[VEHICULOS_ACCIDENTADOS]:[VEHICULOS_ACCIDENTADOS2]],"BUSETA")</f>
        <v>0</v>
      </c>
      <c r="Z737" s="36">
        <f>COUNTIF(Tabla1[[#This Row],[VEHICULOS_ACCIDENTADOS]:[VEHICULOS_ACCIDENTADOS2]],"CAMION")</f>
        <v>0</v>
      </c>
      <c r="AA737" s="36">
        <f>COUNTIF(Tabla1[[#This Row],[VEHICULOS_ACCIDENTADOS]:[VEHICULOS_ACCIDENTADOS2]],"TRACTOCAMION")</f>
        <v>0</v>
      </c>
      <c r="AB737" s="36">
        <f>COUNTIF(Tabla1[[#This Row],[VEHICULOS_ACCIDENTADOS]:[VEHICULOS_ACCIDENTADOS2]],"VOLQUETA")</f>
        <v>0</v>
      </c>
      <c r="AC737" s="36">
        <f>COUNTIF(Tabla1[[#This Row],[VEHICULOS_ACCIDENTADOS]:[VEHICULOS_ACCIDENTADOS2]],"BICICLETA")</f>
        <v>0</v>
      </c>
      <c r="AD737" s="38"/>
      <c r="AE737" s="38" t="s">
        <v>472</v>
      </c>
      <c r="AF737" s="38">
        <f>COUNTIF(Tabla1[[#This Row],[GENERO_MASCULINO]:[GENERO_FEMENINO]],"MASCULINO")</f>
        <v>0</v>
      </c>
      <c r="AG737" s="36">
        <f>COUNTIF(Tabla1[[#This Row],[GENERO_MASCULINO]:[GENERO_FEMENINO]],"FEMENINO")</f>
        <v>1</v>
      </c>
      <c r="AH737" s="73"/>
      <c r="AI737" s="73"/>
      <c r="AJ737" s="73"/>
      <c r="AK737" s="73"/>
      <c r="AL737" s="73"/>
      <c r="AM737" s="7"/>
      <c r="AN737" s="73">
        <v>143</v>
      </c>
      <c r="AO737" s="36" t="str">
        <f>IFERROR(((VLOOKUP(Tabla1[[#This Row],[HIPOTESIS_1]],listas!$D$1:$E$105,2,FALSE))),"SIN INFORMACIÓN")</f>
        <v>Poner en marcha un vehículo sin precauciones.</v>
      </c>
      <c r="AP737" s="7"/>
      <c r="AQ737" s="36" t="str">
        <f>IFERROR(((VLOOKUP(Tabla1[[#This Row],[HIPOTESIS_2]],listas!$D$1:$E$105,2,FALSE))),"")</f>
        <v/>
      </c>
      <c r="AR737" s="1" t="str">
        <f>IF(HOUR(Tabla1[[#This Row],[HORA_ACCIDENTE]])&lt;6,"MAÑANA",
 IF(HOUR(Tabla1[[#This Row],[HORA_ACCIDENTE]])&lt;12,"MAÑANA",
 IF(HOUR(Tabla1[[#This Row],[HORA_ACCIDENTE]])&lt;18,"TARDE","NOCHE")))</f>
        <v>MAÑANA</v>
      </c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33"/>
    </row>
    <row r="738" spans="1:56" x14ac:dyDescent="0.25">
      <c r="A738" s="12">
        <v>433</v>
      </c>
      <c r="B738" s="38">
        <v>0</v>
      </c>
      <c r="C738" s="7">
        <v>2</v>
      </c>
      <c r="D738" s="7">
        <v>0</v>
      </c>
      <c r="E738" s="18" t="str">
        <f t="shared" si="44"/>
        <v>LESIONADO</v>
      </c>
      <c r="F738" s="29" t="s">
        <v>269</v>
      </c>
      <c r="G738" s="21">
        <v>5.3497530555555555</v>
      </c>
      <c r="H738" s="21">
        <v>-72.39920583333334</v>
      </c>
      <c r="I738" s="93" t="s">
        <v>697</v>
      </c>
      <c r="J738" s="7" t="s">
        <v>717</v>
      </c>
      <c r="K738" s="24" t="str">
        <f t="shared" si="45"/>
        <v>2023</v>
      </c>
      <c r="L738" s="24" t="str">
        <f t="shared" si="46"/>
        <v>MARZO</v>
      </c>
      <c r="M738" s="232">
        <v>45003</v>
      </c>
      <c r="N738" s="24" t="str">
        <f t="shared" si="47"/>
        <v>SÁBADO</v>
      </c>
      <c r="O738" s="106">
        <v>0.76250000000000007</v>
      </c>
      <c r="P738" s="39" t="s">
        <v>469</v>
      </c>
      <c r="Q738" s="39" t="s">
        <v>447</v>
      </c>
      <c r="R738" s="36">
        <f>COUNTIF(Tabla1[[#This Row],[VEHICULOS_ACCIDENTADOS]:[VEHICULOS_ACCIDENTADOS2]],"MOTOCICLETA")</f>
        <v>1</v>
      </c>
      <c r="S738" s="36">
        <f>COUNTIF(Tabla1[[#This Row],[VEHICULOS_ACCIDENTADOS]:[VEHICULOS_ACCIDENTADOS2]],"MOTOCARRO")</f>
        <v>0</v>
      </c>
      <c r="T738" s="36">
        <f>COUNTIF(Tabla1[[#This Row],[VEHICULOS_ACCIDENTADOS]:[VEHICULOS_ACCIDENTADOS2]],"AUTOMOVIL")</f>
        <v>1</v>
      </c>
      <c r="U738" s="36">
        <f>COUNTIF(Tabla1[[#This Row],[VEHICULOS_ACCIDENTADOS]:[VEHICULOS_ACCIDENTADOS2]],"CAMPERO")</f>
        <v>0</v>
      </c>
      <c r="V738" s="36">
        <f>COUNTIF(Tabla1[[#This Row],[VEHICULOS_ACCIDENTADOS]:[VEHICULOS_ACCIDENTADOS2]],"CAMIONETA")</f>
        <v>0</v>
      </c>
      <c r="W738" s="36">
        <f>COUNTIF(Tabla1[[#This Row],[VEHICULOS_ACCIDENTADOS]:[VEHICULOS_ACCIDENTADOS2]],"MICROBUS")</f>
        <v>0</v>
      </c>
      <c r="X738" s="36">
        <f>COUNTIF(Tabla1[[#This Row],[VEHICULOS_ACCIDENTADOS]:[VEHICULOS_ACCIDENTADOS2]],"BUS")</f>
        <v>0</v>
      </c>
      <c r="Y738" s="36">
        <f>COUNTIF(Tabla1[[#This Row],[VEHICULOS_ACCIDENTADOS]:[VEHICULOS_ACCIDENTADOS2]],"BUSETA")</f>
        <v>0</v>
      </c>
      <c r="Z738" s="36">
        <f>COUNTIF(Tabla1[[#This Row],[VEHICULOS_ACCIDENTADOS]:[VEHICULOS_ACCIDENTADOS2]],"CAMION")</f>
        <v>0</v>
      </c>
      <c r="AA738" s="36">
        <f>COUNTIF(Tabla1[[#This Row],[VEHICULOS_ACCIDENTADOS]:[VEHICULOS_ACCIDENTADOS2]],"TRACTOCAMION")</f>
        <v>0</v>
      </c>
      <c r="AB738" s="36">
        <f>COUNTIF(Tabla1[[#This Row],[VEHICULOS_ACCIDENTADOS]:[VEHICULOS_ACCIDENTADOS2]],"VOLQUETA")</f>
        <v>0</v>
      </c>
      <c r="AC738" s="36">
        <f>COUNTIF(Tabla1[[#This Row],[VEHICULOS_ACCIDENTADOS]:[VEHICULOS_ACCIDENTADOS2]],"BICICLETA")</f>
        <v>0</v>
      </c>
      <c r="AD738" s="38" t="s">
        <v>471</v>
      </c>
      <c r="AE738" s="38"/>
      <c r="AF738" s="38">
        <f>COUNTIF(Tabla1[[#This Row],[GENERO_MASCULINO]:[GENERO_FEMENINO]],"MASCULINO")</f>
        <v>1</v>
      </c>
      <c r="AG738" s="36">
        <f>COUNTIF(Tabla1[[#This Row],[GENERO_MASCULINO]:[GENERO_FEMENINO]],"FEMENINO")</f>
        <v>0</v>
      </c>
      <c r="AH738" s="73">
        <v>16</v>
      </c>
      <c r="AI738" s="73"/>
      <c r="AJ738" s="73"/>
      <c r="AK738" s="73"/>
      <c r="AL738" s="73">
        <v>16</v>
      </c>
      <c r="AM738" s="7"/>
      <c r="AN738" s="73">
        <v>139</v>
      </c>
      <c r="AO738" s="36" t="str">
        <f>IFERROR(((VLOOKUP(Tabla1[[#This Row],[HIPOTESIS_1]],listas!$D$1:$E$105,2,FALSE))),"SIN INFORMACIÓN")</f>
        <v>Impericia en el manejo.</v>
      </c>
      <c r="AP738" s="7"/>
      <c r="AQ738" s="36" t="str">
        <f>IFERROR(((VLOOKUP(Tabla1[[#This Row],[HIPOTESIS_2]],listas!$D$1:$E$105,2,FALSE))),"")</f>
        <v/>
      </c>
      <c r="AR738" s="1" t="str">
        <f>IF(HOUR(Tabla1[[#This Row],[HORA_ACCIDENTE]])&lt;6,"MAÑANA",
 IF(HOUR(Tabla1[[#This Row],[HORA_ACCIDENTE]])&lt;12,"MAÑANA",
 IF(HOUR(Tabla1[[#This Row],[HORA_ACCIDENTE]])&lt;18,"TARDE","NOCHE")))</f>
        <v>NOCHE</v>
      </c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33"/>
    </row>
    <row r="739" spans="1:56" x14ac:dyDescent="0.25">
      <c r="A739" s="12">
        <v>171</v>
      </c>
      <c r="B739" s="38">
        <v>0</v>
      </c>
      <c r="C739" s="7">
        <v>1</v>
      </c>
      <c r="D739" s="7">
        <v>0</v>
      </c>
      <c r="E739" s="18" t="str">
        <f t="shared" si="44"/>
        <v>LESIONADO</v>
      </c>
      <c r="F739" s="29" t="s">
        <v>937</v>
      </c>
      <c r="G739" s="17">
        <v>5.3429805555555552</v>
      </c>
      <c r="H739" s="17">
        <v>-72.394155555555557</v>
      </c>
      <c r="I739" s="93" t="s">
        <v>697</v>
      </c>
      <c r="J739" s="7" t="s">
        <v>717</v>
      </c>
      <c r="K739" s="24" t="str">
        <f t="shared" si="45"/>
        <v>2022</v>
      </c>
      <c r="L739" s="24" t="str">
        <f t="shared" si="46"/>
        <v>MAYO</v>
      </c>
      <c r="M739" s="232">
        <v>44688</v>
      </c>
      <c r="N739" s="24" t="str">
        <f t="shared" si="47"/>
        <v>SÁBADO</v>
      </c>
      <c r="O739" s="174">
        <v>0.84027777777777801</v>
      </c>
      <c r="P739" s="180" t="s">
        <v>469</v>
      </c>
      <c r="Q739" s="180"/>
      <c r="R739" s="36">
        <f>COUNTIF(Tabla1[[#This Row],[VEHICULOS_ACCIDENTADOS]:[VEHICULOS_ACCIDENTADOS2]],"MOTOCICLETA")</f>
        <v>1</v>
      </c>
      <c r="S739" s="36">
        <f>COUNTIF(Tabla1[[#This Row],[VEHICULOS_ACCIDENTADOS]:[VEHICULOS_ACCIDENTADOS2]],"MOTOCARRO")</f>
        <v>0</v>
      </c>
      <c r="T739" s="36">
        <f>COUNTIF(Tabla1[[#This Row],[VEHICULOS_ACCIDENTADOS]:[VEHICULOS_ACCIDENTADOS2]],"AUTOMOVIL")</f>
        <v>0</v>
      </c>
      <c r="U739" s="36">
        <f>COUNTIF(Tabla1[[#This Row],[VEHICULOS_ACCIDENTADOS]:[VEHICULOS_ACCIDENTADOS2]],"CAMPERO")</f>
        <v>0</v>
      </c>
      <c r="V739" s="36">
        <f>COUNTIF(Tabla1[[#This Row],[VEHICULOS_ACCIDENTADOS]:[VEHICULOS_ACCIDENTADOS2]],"CAMIONETA")</f>
        <v>0</v>
      </c>
      <c r="W739" s="36">
        <f>COUNTIF(Tabla1[[#This Row],[VEHICULOS_ACCIDENTADOS]:[VEHICULOS_ACCIDENTADOS2]],"MICROBUS")</f>
        <v>0</v>
      </c>
      <c r="X739" s="36">
        <f>COUNTIF(Tabla1[[#This Row],[VEHICULOS_ACCIDENTADOS]:[VEHICULOS_ACCIDENTADOS2]],"BUS")</f>
        <v>0</v>
      </c>
      <c r="Y739" s="36">
        <f>COUNTIF(Tabla1[[#This Row],[VEHICULOS_ACCIDENTADOS]:[VEHICULOS_ACCIDENTADOS2]],"BUSETA")</f>
        <v>0</v>
      </c>
      <c r="Z739" s="36">
        <f>COUNTIF(Tabla1[[#This Row],[VEHICULOS_ACCIDENTADOS]:[VEHICULOS_ACCIDENTADOS2]],"CAMION")</f>
        <v>0</v>
      </c>
      <c r="AA739" s="36">
        <f>COUNTIF(Tabla1[[#This Row],[VEHICULOS_ACCIDENTADOS]:[VEHICULOS_ACCIDENTADOS2]],"TRACTOCAMION")</f>
        <v>0</v>
      </c>
      <c r="AB739" s="36">
        <f>COUNTIF(Tabla1[[#This Row],[VEHICULOS_ACCIDENTADOS]:[VEHICULOS_ACCIDENTADOS2]],"VOLQUETA")</f>
        <v>0</v>
      </c>
      <c r="AC739" s="36">
        <f>COUNTIF(Tabla1[[#This Row],[VEHICULOS_ACCIDENTADOS]:[VEHICULOS_ACCIDENTADOS2]],"BICICLETA")</f>
        <v>0</v>
      </c>
      <c r="AD739" s="38"/>
      <c r="AE739" s="38" t="s">
        <v>472</v>
      </c>
      <c r="AF739" s="38">
        <f>COUNTIF(Tabla1[[#This Row],[GENERO_MASCULINO]:[GENERO_FEMENINO]],"MASCULINO")</f>
        <v>0</v>
      </c>
      <c r="AG739" s="36">
        <f>COUNTIF(Tabla1[[#This Row],[GENERO_MASCULINO]:[GENERO_FEMENINO]],"FEMENINO")</f>
        <v>1</v>
      </c>
      <c r="AH739" s="73">
        <v>43</v>
      </c>
      <c r="AI739" s="73"/>
      <c r="AJ739" s="73"/>
      <c r="AK739" s="73"/>
      <c r="AL739" s="73"/>
      <c r="AM739" s="7"/>
      <c r="AN739" s="73">
        <v>157</v>
      </c>
      <c r="AO739" s="36" t="str">
        <f>IFERROR(((VLOOKUP(Tabla1[[#This Row],[HIPOTESIS_1]],listas!$D$1:$E$105,2,FALSE))),"SIN INFORMACIÓN")</f>
        <v>Otra</v>
      </c>
      <c r="AP739" s="7"/>
      <c r="AQ739" s="36" t="str">
        <f>IFERROR(((VLOOKUP(Tabla1[[#This Row],[HIPOTESIS_2]],listas!$D$1:$E$105,2,FALSE))),"")</f>
        <v/>
      </c>
      <c r="AR739" s="1" t="str">
        <f>IF(HOUR(Tabla1[[#This Row],[HORA_ACCIDENTE]])&lt;6,"MAÑANA",
 IF(HOUR(Tabla1[[#This Row],[HORA_ACCIDENTE]])&lt;12,"MAÑANA",
 IF(HOUR(Tabla1[[#This Row],[HORA_ACCIDENTE]])&lt;18,"TARDE","NOCHE")))</f>
        <v>NOCHE</v>
      </c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33"/>
    </row>
    <row r="740" spans="1:56" x14ac:dyDescent="0.25">
      <c r="A740" s="12">
        <v>252</v>
      </c>
      <c r="B740" s="38">
        <v>0</v>
      </c>
      <c r="C740" s="7">
        <v>0</v>
      </c>
      <c r="D740" s="7">
        <v>1</v>
      </c>
      <c r="E740" s="18" t="str">
        <f t="shared" si="44"/>
        <v>FALLECIDO</v>
      </c>
      <c r="F740" s="29" t="s">
        <v>938</v>
      </c>
      <c r="G740" s="17">
        <v>5.338261666666666</v>
      </c>
      <c r="H740" s="17">
        <v>-72.391476111111118</v>
      </c>
      <c r="I740" s="93" t="s">
        <v>697</v>
      </c>
      <c r="J740" s="7" t="s">
        <v>717</v>
      </c>
      <c r="K740" s="24" t="str">
        <f t="shared" si="45"/>
        <v>2022</v>
      </c>
      <c r="L740" s="24" t="str">
        <f t="shared" si="46"/>
        <v>JULIO</v>
      </c>
      <c r="M740" s="232">
        <v>44757</v>
      </c>
      <c r="N740" s="24" t="str">
        <f t="shared" si="47"/>
        <v>VIERNES</v>
      </c>
      <c r="O740" s="174">
        <v>0.73958333333333337</v>
      </c>
      <c r="P740" s="180" t="s">
        <v>440</v>
      </c>
      <c r="Q740" s="180"/>
      <c r="R740" s="36">
        <f>COUNTIF(Tabla1[[#This Row],[VEHICULOS_ACCIDENTADOS]:[VEHICULOS_ACCIDENTADOS2]],"MOTOCICLETA")</f>
        <v>0</v>
      </c>
      <c r="S740" s="36">
        <f>COUNTIF(Tabla1[[#This Row],[VEHICULOS_ACCIDENTADOS]:[VEHICULOS_ACCIDENTADOS2]],"MOTOCARRO")</f>
        <v>0</v>
      </c>
      <c r="T740" s="36">
        <f>COUNTIF(Tabla1[[#This Row],[VEHICULOS_ACCIDENTADOS]:[VEHICULOS_ACCIDENTADOS2]],"AUTOMOVIL")</f>
        <v>0</v>
      </c>
      <c r="U740" s="36">
        <f>COUNTIF(Tabla1[[#This Row],[VEHICULOS_ACCIDENTADOS]:[VEHICULOS_ACCIDENTADOS2]],"CAMPERO")</f>
        <v>0</v>
      </c>
      <c r="V740" s="36">
        <f>COUNTIF(Tabla1[[#This Row],[VEHICULOS_ACCIDENTADOS]:[VEHICULOS_ACCIDENTADOS2]],"CAMIONETA")</f>
        <v>0</v>
      </c>
      <c r="W740" s="36">
        <f>COUNTIF(Tabla1[[#This Row],[VEHICULOS_ACCIDENTADOS]:[VEHICULOS_ACCIDENTADOS2]],"MICROBUS")</f>
        <v>0</v>
      </c>
      <c r="X740" s="36">
        <f>COUNTIF(Tabla1[[#This Row],[VEHICULOS_ACCIDENTADOS]:[VEHICULOS_ACCIDENTADOS2]],"BUS")</f>
        <v>0</v>
      </c>
      <c r="Y740" s="36">
        <f>COUNTIF(Tabla1[[#This Row],[VEHICULOS_ACCIDENTADOS]:[VEHICULOS_ACCIDENTADOS2]],"BUSETA")</f>
        <v>0</v>
      </c>
      <c r="Z740" s="36">
        <f>COUNTIF(Tabla1[[#This Row],[VEHICULOS_ACCIDENTADOS]:[VEHICULOS_ACCIDENTADOS2]],"CAMION")</f>
        <v>0</v>
      </c>
      <c r="AA740" s="36">
        <f>COUNTIF(Tabla1[[#This Row],[VEHICULOS_ACCIDENTADOS]:[VEHICULOS_ACCIDENTADOS2]],"TRACTOCAMION")</f>
        <v>1</v>
      </c>
      <c r="AB740" s="36">
        <f>COUNTIF(Tabla1[[#This Row],[VEHICULOS_ACCIDENTADOS]:[VEHICULOS_ACCIDENTADOS2]],"VOLQUETA")</f>
        <v>0</v>
      </c>
      <c r="AC740" s="36">
        <f>COUNTIF(Tabla1[[#This Row],[VEHICULOS_ACCIDENTADOS]:[VEHICULOS_ACCIDENTADOS2]],"BICICLETA")</f>
        <v>0</v>
      </c>
      <c r="AD740" s="38"/>
      <c r="AE740" s="38" t="s">
        <v>472</v>
      </c>
      <c r="AF740" s="38">
        <f>COUNTIF(Tabla1[[#This Row],[GENERO_MASCULINO]:[GENERO_FEMENINO]],"MASCULINO")</f>
        <v>0</v>
      </c>
      <c r="AG740" s="36">
        <f>COUNTIF(Tabla1[[#This Row],[GENERO_MASCULINO]:[GENERO_FEMENINO]],"FEMENINO")</f>
        <v>1</v>
      </c>
      <c r="AH740" s="73"/>
      <c r="AI740" s="73"/>
      <c r="AJ740" s="87"/>
      <c r="AK740" s="73"/>
      <c r="AL740" s="73"/>
      <c r="AM740" s="7">
        <v>62</v>
      </c>
      <c r="AN740" s="73">
        <v>410</v>
      </c>
      <c r="AO740" s="36" t="str">
        <f>IFERROR(((VLOOKUP(Tabla1[[#This Row],[HIPOTESIS_1]],listas!$D$1:$E$105,2,FALSE))),"SIN INFORMACIÓN")</f>
        <v>Cruzar en estado de embriaguez.</v>
      </c>
      <c r="AP740" s="7"/>
      <c r="AQ740" s="36" t="str">
        <f>IFERROR(((VLOOKUP(Tabla1[[#This Row],[HIPOTESIS_2]],listas!$D$1:$E$105,2,FALSE))),"")</f>
        <v/>
      </c>
      <c r="AR740" s="1" t="str">
        <f>IF(HOUR(Tabla1[[#This Row],[HORA_ACCIDENTE]])&lt;6,"MAÑANA",
 IF(HOUR(Tabla1[[#This Row],[HORA_ACCIDENTE]])&lt;12,"MAÑANA",
 IF(HOUR(Tabla1[[#This Row],[HORA_ACCIDENTE]])&lt;18,"TARDE","NOCHE")))</f>
        <v>TARDE</v>
      </c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</row>
    <row r="741" spans="1:56" x14ac:dyDescent="0.25">
      <c r="A741" s="12">
        <v>38</v>
      </c>
      <c r="B741" s="38">
        <v>1</v>
      </c>
      <c r="C741" s="7">
        <v>0</v>
      </c>
      <c r="D741" s="7">
        <v>0</v>
      </c>
      <c r="E741" s="18" t="str">
        <f t="shared" si="44"/>
        <v>SOLO DAÑO</v>
      </c>
      <c r="F741" s="29" t="s">
        <v>940</v>
      </c>
      <c r="G741" s="17">
        <v>5.330019444444444</v>
      </c>
      <c r="H741" s="17">
        <v>-72.387025000000008</v>
      </c>
      <c r="I741" s="93" t="s">
        <v>697</v>
      </c>
      <c r="J741" s="7" t="s">
        <v>717</v>
      </c>
      <c r="K741" s="24" t="str">
        <f t="shared" si="45"/>
        <v>2022</v>
      </c>
      <c r="L741" s="24" t="str">
        <f t="shared" si="46"/>
        <v>FEBRERO</v>
      </c>
      <c r="M741" s="232">
        <v>44594</v>
      </c>
      <c r="N741" s="24" t="str">
        <f t="shared" si="47"/>
        <v>MIÉRCOLES</v>
      </c>
      <c r="O741" s="106">
        <v>0.45138888888888901</v>
      </c>
      <c r="P741" s="8" t="s">
        <v>447</v>
      </c>
      <c r="Q741" s="8"/>
      <c r="R741" s="36">
        <f>COUNTIF(Tabla1[[#This Row],[VEHICULOS_ACCIDENTADOS]:[VEHICULOS_ACCIDENTADOS2]],"MOTOCICLETA")</f>
        <v>0</v>
      </c>
      <c r="S741" s="36">
        <f>COUNTIF(Tabla1[[#This Row],[VEHICULOS_ACCIDENTADOS]:[VEHICULOS_ACCIDENTADOS2]],"MOTOCARRO")</f>
        <v>0</v>
      </c>
      <c r="T741" s="36">
        <f>COUNTIF(Tabla1[[#This Row],[VEHICULOS_ACCIDENTADOS]:[VEHICULOS_ACCIDENTADOS2]],"AUTOMOVIL")</f>
        <v>1</v>
      </c>
      <c r="U741" s="36">
        <f>COUNTIF(Tabla1[[#This Row],[VEHICULOS_ACCIDENTADOS]:[VEHICULOS_ACCIDENTADOS2]],"CAMPERO")</f>
        <v>0</v>
      </c>
      <c r="V741" s="36">
        <f>COUNTIF(Tabla1[[#This Row],[VEHICULOS_ACCIDENTADOS]:[VEHICULOS_ACCIDENTADOS2]],"CAMIONETA")</f>
        <v>0</v>
      </c>
      <c r="W741" s="36">
        <f>COUNTIF(Tabla1[[#This Row],[VEHICULOS_ACCIDENTADOS]:[VEHICULOS_ACCIDENTADOS2]],"MICROBUS")</f>
        <v>0</v>
      </c>
      <c r="X741" s="36">
        <f>COUNTIF(Tabla1[[#This Row],[VEHICULOS_ACCIDENTADOS]:[VEHICULOS_ACCIDENTADOS2]],"BUS")</f>
        <v>0</v>
      </c>
      <c r="Y741" s="36">
        <f>COUNTIF(Tabla1[[#This Row],[VEHICULOS_ACCIDENTADOS]:[VEHICULOS_ACCIDENTADOS2]],"BUSETA")</f>
        <v>0</v>
      </c>
      <c r="Z741" s="36">
        <f>COUNTIF(Tabla1[[#This Row],[VEHICULOS_ACCIDENTADOS]:[VEHICULOS_ACCIDENTADOS2]],"CAMION")</f>
        <v>0</v>
      </c>
      <c r="AA741" s="36">
        <f>COUNTIF(Tabla1[[#This Row],[VEHICULOS_ACCIDENTADOS]:[VEHICULOS_ACCIDENTADOS2]],"TRACTOCAMION")</f>
        <v>0</v>
      </c>
      <c r="AB741" s="36">
        <f>COUNTIF(Tabla1[[#This Row],[VEHICULOS_ACCIDENTADOS]:[VEHICULOS_ACCIDENTADOS2]],"VOLQUETA")</f>
        <v>0</v>
      </c>
      <c r="AC741" s="36">
        <f>COUNTIF(Tabla1[[#This Row],[VEHICULOS_ACCIDENTADOS]:[VEHICULOS_ACCIDENTADOS2]],"BICICLETA")</f>
        <v>0</v>
      </c>
      <c r="AD741" s="38"/>
      <c r="AE741" s="38" t="s">
        <v>472</v>
      </c>
      <c r="AF741" s="38">
        <f>COUNTIF(Tabla1[[#This Row],[GENERO_MASCULINO]:[GENERO_FEMENINO]],"MASCULINO")</f>
        <v>0</v>
      </c>
      <c r="AG741" s="36">
        <f>COUNTIF(Tabla1[[#This Row],[GENERO_MASCULINO]:[GENERO_FEMENINO]],"FEMENINO")</f>
        <v>1</v>
      </c>
      <c r="AH741" s="73"/>
      <c r="AI741" s="73"/>
      <c r="AJ741" s="87"/>
      <c r="AK741" s="73"/>
      <c r="AL741" s="73"/>
      <c r="AM741" s="7"/>
      <c r="AN741" s="73">
        <v>157</v>
      </c>
      <c r="AO741" s="36" t="str">
        <f>IFERROR(((VLOOKUP(Tabla1[[#This Row],[HIPOTESIS_1]],listas!$D$1:$E$105,2,FALSE))),"SIN INFORMACIÓN")</f>
        <v>Otra</v>
      </c>
      <c r="AP741" s="7"/>
      <c r="AQ741" s="36" t="str">
        <f>IFERROR(((VLOOKUP(Tabla1[[#This Row],[HIPOTESIS_2]],listas!$D$1:$E$105,2,FALSE))),"")</f>
        <v/>
      </c>
      <c r="AR741" s="1" t="str">
        <f>IF(HOUR(Tabla1[[#This Row],[HORA_ACCIDENTE]])&lt;6,"MAÑANA",
 IF(HOUR(Tabla1[[#This Row],[HORA_ACCIDENTE]])&lt;12,"MAÑANA",
 IF(HOUR(Tabla1[[#This Row],[HORA_ACCIDENTE]])&lt;18,"TARDE","NOCHE")))</f>
        <v>MAÑANA</v>
      </c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</row>
    <row r="742" spans="1:56" x14ac:dyDescent="0.25">
      <c r="A742" s="12">
        <v>871</v>
      </c>
      <c r="B742" s="97">
        <v>0</v>
      </c>
      <c r="C742" s="15">
        <v>2</v>
      </c>
      <c r="D742" s="15">
        <v>0</v>
      </c>
      <c r="E742" s="18" t="str">
        <f t="shared" si="44"/>
        <v>LESIONADO</v>
      </c>
      <c r="F742" s="26" t="s">
        <v>1138</v>
      </c>
      <c r="G742" s="17">
        <v>5.3373536111111104</v>
      </c>
      <c r="H742" s="17">
        <v>-72.391008888888891</v>
      </c>
      <c r="I742" s="93" t="s">
        <v>697</v>
      </c>
      <c r="J742" s="21" t="s">
        <v>717</v>
      </c>
      <c r="K742" s="24" t="str">
        <f t="shared" si="45"/>
        <v>2025</v>
      </c>
      <c r="L742" s="24" t="str">
        <f t="shared" si="46"/>
        <v>FEBRERO</v>
      </c>
      <c r="M742" s="234">
        <v>45701</v>
      </c>
      <c r="N742" s="24" t="str">
        <f t="shared" si="47"/>
        <v>JUEVES</v>
      </c>
      <c r="O742" s="108">
        <v>0.51388888888888895</v>
      </c>
      <c r="P742" s="44" t="s">
        <v>469</v>
      </c>
      <c r="Q742" s="44" t="s">
        <v>445</v>
      </c>
      <c r="R742" s="36">
        <f>COUNTIF(Tabla1[[#This Row],[VEHICULOS_ACCIDENTADOS]:[VEHICULOS_ACCIDENTADOS2]],"MOTOCICLETA")</f>
        <v>1</v>
      </c>
      <c r="S742" s="36">
        <f>COUNTIF(Tabla1[[#This Row],[VEHICULOS_ACCIDENTADOS]:[VEHICULOS_ACCIDENTADOS2]],"MOTOCARRO")</f>
        <v>0</v>
      </c>
      <c r="T742" s="36">
        <f>COUNTIF(Tabla1[[#This Row],[VEHICULOS_ACCIDENTADOS]:[VEHICULOS_ACCIDENTADOS2]],"AUTOMOVIL")</f>
        <v>0</v>
      </c>
      <c r="U742" s="36">
        <f>COUNTIF(Tabla1[[#This Row],[VEHICULOS_ACCIDENTADOS]:[VEHICULOS_ACCIDENTADOS2]],"CAMPERO")</f>
        <v>0</v>
      </c>
      <c r="V742" s="36">
        <f>COUNTIF(Tabla1[[#This Row],[VEHICULOS_ACCIDENTADOS]:[VEHICULOS_ACCIDENTADOS2]],"CAMIONETA")</f>
        <v>1</v>
      </c>
      <c r="W742" s="36">
        <f>COUNTIF(Tabla1[[#This Row],[VEHICULOS_ACCIDENTADOS]:[VEHICULOS_ACCIDENTADOS2]],"MICROBUS")</f>
        <v>0</v>
      </c>
      <c r="X742" s="36">
        <f>COUNTIF(Tabla1[[#This Row],[VEHICULOS_ACCIDENTADOS]:[VEHICULOS_ACCIDENTADOS2]],"BUS")</f>
        <v>0</v>
      </c>
      <c r="Y742" s="36">
        <f>COUNTIF(Tabla1[[#This Row],[VEHICULOS_ACCIDENTADOS]:[VEHICULOS_ACCIDENTADOS2]],"BUSETA")</f>
        <v>0</v>
      </c>
      <c r="Z742" s="36">
        <f>COUNTIF(Tabla1[[#This Row],[VEHICULOS_ACCIDENTADOS]:[VEHICULOS_ACCIDENTADOS2]],"CAMION")</f>
        <v>0</v>
      </c>
      <c r="AA742" s="36">
        <f>COUNTIF(Tabla1[[#This Row],[VEHICULOS_ACCIDENTADOS]:[VEHICULOS_ACCIDENTADOS2]],"TRACTOCAMION")</f>
        <v>0</v>
      </c>
      <c r="AB742" s="36">
        <f>COUNTIF(Tabla1[[#This Row],[VEHICULOS_ACCIDENTADOS]:[VEHICULOS_ACCIDENTADOS2]],"VOLQUETA")</f>
        <v>0</v>
      </c>
      <c r="AC742" s="36">
        <f>COUNTIF(Tabla1[[#This Row],[VEHICULOS_ACCIDENTADOS]:[VEHICULOS_ACCIDENTADOS2]],"BICICLETA")</f>
        <v>0</v>
      </c>
      <c r="AD742" s="43" t="s">
        <v>472</v>
      </c>
      <c r="AE742" s="43" t="s">
        <v>471</v>
      </c>
      <c r="AF742" s="43">
        <f>COUNTIF(Tabla1[[#This Row],[GENERO_MASCULINO]:[GENERO_FEMENINO]],"MASCULINO")</f>
        <v>1</v>
      </c>
      <c r="AG742" s="36">
        <f>COUNTIF(Tabla1[[#This Row],[GENERO_MASCULINO]:[GENERO_FEMENINO]],"FEMENINO")</f>
        <v>1</v>
      </c>
      <c r="AH742" s="86">
        <v>32</v>
      </c>
      <c r="AI742" s="86">
        <v>27</v>
      </c>
      <c r="AJ742" s="86">
        <v>14</v>
      </c>
      <c r="AK742" s="86"/>
      <c r="AL742" s="86"/>
      <c r="AM742" s="15"/>
      <c r="AN742" s="86">
        <v>142</v>
      </c>
      <c r="AO742" s="36" t="str">
        <f>IFERROR(((VLOOKUP(Tabla1[[#This Row],[HIPOTESIS_1]],listas!$D$1:$E$105,2,FALSE))),"SIN INFORMACIÓN")</f>
        <v>Semáforo en rojo.</v>
      </c>
      <c r="AP742" s="15"/>
      <c r="AQ742" s="36" t="str">
        <f>IFERROR(((VLOOKUP(Tabla1[[#This Row],[HIPOTESIS_2]],listas!$D$1:$E$105,2,FALSE))),"")</f>
        <v/>
      </c>
      <c r="AR742" s="1" t="str">
        <f>IF(HOUR(Tabla1[[#This Row],[HORA_ACCIDENTE]])&lt;6,"MAÑANA",
 IF(HOUR(Tabla1[[#This Row],[HORA_ACCIDENTE]])&lt;12,"MAÑANA",
 IF(HOUR(Tabla1[[#This Row],[HORA_ACCIDENTE]])&lt;18,"TARDE","NOCHE")))</f>
        <v>TARDE</v>
      </c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33"/>
    </row>
    <row r="743" spans="1:56" x14ac:dyDescent="0.25">
      <c r="A743" s="12">
        <v>299</v>
      </c>
      <c r="B743" s="38">
        <v>0</v>
      </c>
      <c r="C743" s="7">
        <v>1</v>
      </c>
      <c r="D743" s="7">
        <v>0</v>
      </c>
      <c r="E743" s="18" t="str">
        <f t="shared" si="44"/>
        <v>LESIONADO</v>
      </c>
      <c r="F743" s="29" t="s">
        <v>1138</v>
      </c>
      <c r="G743" s="17">
        <v>5.3373536111111104</v>
      </c>
      <c r="H743" s="17">
        <v>-72.391008888888891</v>
      </c>
      <c r="I743" s="93" t="s">
        <v>697</v>
      </c>
      <c r="J743" s="7" t="s">
        <v>717</v>
      </c>
      <c r="K743" s="24" t="str">
        <f t="shared" si="45"/>
        <v>2022</v>
      </c>
      <c r="L743" s="24" t="str">
        <f t="shared" si="46"/>
        <v>SEPTIEMBRE</v>
      </c>
      <c r="M743" s="232">
        <v>44807</v>
      </c>
      <c r="N743" s="24" t="str">
        <f t="shared" si="47"/>
        <v>SÁBADO</v>
      </c>
      <c r="O743" s="174">
        <v>0.90625</v>
      </c>
      <c r="P743" s="180" t="s">
        <v>469</v>
      </c>
      <c r="Q743" s="180" t="s">
        <v>445</v>
      </c>
      <c r="R743" s="36">
        <f>COUNTIF(Tabla1[[#This Row],[VEHICULOS_ACCIDENTADOS]:[VEHICULOS_ACCIDENTADOS2]],"MOTOCICLETA")</f>
        <v>1</v>
      </c>
      <c r="S743" s="36">
        <f>COUNTIF(Tabla1[[#This Row],[VEHICULOS_ACCIDENTADOS]:[VEHICULOS_ACCIDENTADOS2]],"MOTOCARRO")</f>
        <v>0</v>
      </c>
      <c r="T743" s="36">
        <f>COUNTIF(Tabla1[[#This Row],[VEHICULOS_ACCIDENTADOS]:[VEHICULOS_ACCIDENTADOS2]],"AUTOMOVIL")</f>
        <v>0</v>
      </c>
      <c r="U743" s="36">
        <f>COUNTIF(Tabla1[[#This Row],[VEHICULOS_ACCIDENTADOS]:[VEHICULOS_ACCIDENTADOS2]],"CAMPERO")</f>
        <v>0</v>
      </c>
      <c r="V743" s="36">
        <f>COUNTIF(Tabla1[[#This Row],[VEHICULOS_ACCIDENTADOS]:[VEHICULOS_ACCIDENTADOS2]],"CAMIONETA")</f>
        <v>1</v>
      </c>
      <c r="W743" s="36">
        <f>COUNTIF(Tabla1[[#This Row],[VEHICULOS_ACCIDENTADOS]:[VEHICULOS_ACCIDENTADOS2]],"MICROBUS")</f>
        <v>0</v>
      </c>
      <c r="X743" s="36">
        <f>COUNTIF(Tabla1[[#This Row],[VEHICULOS_ACCIDENTADOS]:[VEHICULOS_ACCIDENTADOS2]],"BUS")</f>
        <v>0</v>
      </c>
      <c r="Y743" s="36">
        <f>COUNTIF(Tabla1[[#This Row],[VEHICULOS_ACCIDENTADOS]:[VEHICULOS_ACCIDENTADOS2]],"BUSETA")</f>
        <v>0</v>
      </c>
      <c r="Z743" s="36">
        <f>COUNTIF(Tabla1[[#This Row],[VEHICULOS_ACCIDENTADOS]:[VEHICULOS_ACCIDENTADOS2]],"CAMION")</f>
        <v>0</v>
      </c>
      <c r="AA743" s="36">
        <f>COUNTIF(Tabla1[[#This Row],[VEHICULOS_ACCIDENTADOS]:[VEHICULOS_ACCIDENTADOS2]],"TRACTOCAMION")</f>
        <v>0</v>
      </c>
      <c r="AB743" s="36">
        <f>COUNTIF(Tabla1[[#This Row],[VEHICULOS_ACCIDENTADOS]:[VEHICULOS_ACCIDENTADOS2]],"VOLQUETA")</f>
        <v>0</v>
      </c>
      <c r="AC743" s="36">
        <f>COUNTIF(Tabla1[[#This Row],[VEHICULOS_ACCIDENTADOS]:[VEHICULOS_ACCIDENTADOS2]],"BICICLETA")</f>
        <v>0</v>
      </c>
      <c r="AD743" s="38"/>
      <c r="AE743" s="38" t="s">
        <v>472</v>
      </c>
      <c r="AF743" s="38">
        <f>COUNTIF(Tabla1[[#This Row],[GENERO_MASCULINO]:[GENERO_FEMENINO]],"MASCULINO")</f>
        <v>0</v>
      </c>
      <c r="AG743" s="36">
        <f>COUNTIF(Tabla1[[#This Row],[GENERO_MASCULINO]:[GENERO_FEMENINO]],"FEMENINO")</f>
        <v>1</v>
      </c>
      <c r="AH743" s="73">
        <v>30</v>
      </c>
      <c r="AI743" s="73"/>
      <c r="AJ743" s="87"/>
      <c r="AK743" s="73"/>
      <c r="AL743" s="73"/>
      <c r="AM743" s="7"/>
      <c r="AN743" s="73">
        <v>121</v>
      </c>
      <c r="AO743" s="36" t="str">
        <f>IFERROR(((VLOOKUP(Tabla1[[#This Row],[HIPOTESIS_1]],listas!$D$1:$E$105,2,FALSE))),"SIN INFORMACIÓN")</f>
        <v>No mantener distancia de seguridad.</v>
      </c>
      <c r="AP743" s="7"/>
      <c r="AQ743" s="36" t="str">
        <f>IFERROR(((VLOOKUP(Tabla1[[#This Row],[HIPOTESIS_2]],listas!$D$1:$E$105,2,FALSE))),"")</f>
        <v/>
      </c>
      <c r="AR743" s="1" t="str">
        <f>IF(HOUR(Tabla1[[#This Row],[HORA_ACCIDENTE]])&lt;6,"MAÑANA",
 IF(HOUR(Tabla1[[#This Row],[HORA_ACCIDENTE]])&lt;12,"MAÑANA",
 IF(HOUR(Tabla1[[#This Row],[HORA_ACCIDENTE]])&lt;18,"TARDE","NOCHE")))</f>
        <v>NOCHE</v>
      </c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33"/>
    </row>
    <row r="744" spans="1:56" x14ac:dyDescent="0.25">
      <c r="A744" s="12">
        <v>812</v>
      </c>
      <c r="B744" s="97">
        <v>0</v>
      </c>
      <c r="C744" s="15">
        <v>1</v>
      </c>
      <c r="D744" s="19">
        <v>0</v>
      </c>
      <c r="E744" s="18" t="str">
        <f t="shared" si="44"/>
        <v>LESIONADO</v>
      </c>
      <c r="F744" s="26" t="s">
        <v>1139</v>
      </c>
      <c r="G744" s="21">
        <v>5.3468272222222222</v>
      </c>
      <c r="H744" s="21">
        <v>-72.396191944444453</v>
      </c>
      <c r="I744" s="93" t="s">
        <v>697</v>
      </c>
      <c r="J744" s="7" t="s">
        <v>717</v>
      </c>
      <c r="K744" s="24" t="str">
        <f t="shared" si="45"/>
        <v>2024</v>
      </c>
      <c r="L744" s="24" t="str">
        <f t="shared" si="46"/>
        <v>NOVIEMBRE</v>
      </c>
      <c r="M744" s="234">
        <v>45608</v>
      </c>
      <c r="N744" s="24" t="str">
        <f t="shared" si="47"/>
        <v>MARTES</v>
      </c>
      <c r="O744" s="108">
        <v>0.3888888888888889</v>
      </c>
      <c r="P744" s="44" t="s">
        <v>469</v>
      </c>
      <c r="Q744" s="44" t="s">
        <v>447</v>
      </c>
      <c r="R744" s="36">
        <f>COUNTIF(Tabla1[[#This Row],[VEHICULOS_ACCIDENTADOS]:[VEHICULOS_ACCIDENTADOS2]],"MOTOCICLETA")</f>
        <v>1</v>
      </c>
      <c r="S744" s="36">
        <f>COUNTIF(Tabla1[[#This Row],[VEHICULOS_ACCIDENTADOS]:[VEHICULOS_ACCIDENTADOS2]],"MOTOCARRO")</f>
        <v>0</v>
      </c>
      <c r="T744" s="36">
        <f>COUNTIF(Tabla1[[#This Row],[VEHICULOS_ACCIDENTADOS]:[VEHICULOS_ACCIDENTADOS2]],"AUTOMOVIL")</f>
        <v>1</v>
      </c>
      <c r="U744" s="36">
        <f>COUNTIF(Tabla1[[#This Row],[VEHICULOS_ACCIDENTADOS]:[VEHICULOS_ACCIDENTADOS2]],"CAMPERO")</f>
        <v>0</v>
      </c>
      <c r="V744" s="36">
        <f>COUNTIF(Tabla1[[#This Row],[VEHICULOS_ACCIDENTADOS]:[VEHICULOS_ACCIDENTADOS2]],"CAMIONETA")</f>
        <v>0</v>
      </c>
      <c r="W744" s="36">
        <f>COUNTIF(Tabla1[[#This Row],[VEHICULOS_ACCIDENTADOS]:[VEHICULOS_ACCIDENTADOS2]],"MICROBUS")</f>
        <v>0</v>
      </c>
      <c r="X744" s="36">
        <f>COUNTIF(Tabla1[[#This Row],[VEHICULOS_ACCIDENTADOS]:[VEHICULOS_ACCIDENTADOS2]],"BUS")</f>
        <v>0</v>
      </c>
      <c r="Y744" s="36">
        <f>COUNTIF(Tabla1[[#This Row],[VEHICULOS_ACCIDENTADOS]:[VEHICULOS_ACCIDENTADOS2]],"BUSETA")</f>
        <v>0</v>
      </c>
      <c r="Z744" s="36">
        <f>COUNTIF(Tabla1[[#This Row],[VEHICULOS_ACCIDENTADOS]:[VEHICULOS_ACCIDENTADOS2]],"CAMION")</f>
        <v>0</v>
      </c>
      <c r="AA744" s="36">
        <f>COUNTIF(Tabla1[[#This Row],[VEHICULOS_ACCIDENTADOS]:[VEHICULOS_ACCIDENTADOS2]],"TRACTOCAMION")</f>
        <v>0</v>
      </c>
      <c r="AB744" s="36">
        <f>COUNTIF(Tabla1[[#This Row],[VEHICULOS_ACCIDENTADOS]:[VEHICULOS_ACCIDENTADOS2]],"VOLQUETA")</f>
        <v>0</v>
      </c>
      <c r="AC744" s="36">
        <f>COUNTIF(Tabla1[[#This Row],[VEHICULOS_ACCIDENTADOS]:[VEHICULOS_ACCIDENTADOS2]],"BICICLETA")</f>
        <v>0</v>
      </c>
      <c r="AD744" s="43" t="s">
        <v>471</v>
      </c>
      <c r="AE744" s="43" t="s">
        <v>472</v>
      </c>
      <c r="AF744" s="43">
        <f>COUNTIF(Tabla1[[#This Row],[GENERO_MASCULINO]:[GENERO_FEMENINO]],"MASCULINO")</f>
        <v>1</v>
      </c>
      <c r="AG744" s="36">
        <f>COUNTIF(Tabla1[[#This Row],[GENERO_MASCULINO]:[GENERO_FEMENINO]],"FEMENINO")</f>
        <v>1</v>
      </c>
      <c r="AH744" s="86">
        <v>70</v>
      </c>
      <c r="AI744" s="86">
        <v>48</v>
      </c>
      <c r="AJ744" s="86"/>
      <c r="AK744" s="86"/>
      <c r="AL744" s="86"/>
      <c r="AM744" s="15"/>
      <c r="AN744" s="86">
        <v>112</v>
      </c>
      <c r="AO744" s="36" t="str">
        <f>IFERROR(((VLOOKUP(Tabla1[[#This Row],[HIPOTESIS_1]],listas!$D$1:$E$105,2,FALSE))),"SIN INFORMACIÓN")</f>
        <v>Desobedecer señales o normas de tránsito.</v>
      </c>
      <c r="AP744" s="15"/>
      <c r="AQ744" s="36" t="str">
        <f>IFERROR(((VLOOKUP(Tabla1[[#This Row],[HIPOTESIS_2]],listas!$D$1:$E$105,2,FALSE))),"")</f>
        <v/>
      </c>
      <c r="AR744" s="1" t="str">
        <f>IF(HOUR(Tabla1[[#This Row],[HORA_ACCIDENTE]])&lt;6,"MAÑANA",
 IF(HOUR(Tabla1[[#This Row],[HORA_ACCIDENTE]])&lt;12,"MAÑANA",
 IF(HOUR(Tabla1[[#This Row],[HORA_ACCIDENTE]])&lt;18,"TARDE","NOCHE")))</f>
        <v>MAÑANA</v>
      </c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</row>
    <row r="745" spans="1:56" x14ac:dyDescent="0.25">
      <c r="A745" s="12">
        <v>722</v>
      </c>
      <c r="B745" s="97">
        <v>0</v>
      </c>
      <c r="C745" s="15">
        <v>2</v>
      </c>
      <c r="D745" s="15">
        <v>0</v>
      </c>
      <c r="E745" s="18" t="str">
        <f t="shared" si="44"/>
        <v>LESIONADO</v>
      </c>
      <c r="F745" s="26" t="s">
        <v>1140</v>
      </c>
      <c r="G745" s="21">
        <v>5.3444249999999993</v>
      </c>
      <c r="H745" s="21">
        <v>-72.394850000000005</v>
      </c>
      <c r="I745" s="93" t="s">
        <v>697</v>
      </c>
      <c r="J745" s="15" t="s">
        <v>717</v>
      </c>
      <c r="K745" s="24" t="str">
        <f t="shared" si="45"/>
        <v>2024</v>
      </c>
      <c r="L745" s="24" t="str">
        <f t="shared" si="46"/>
        <v>JUNIO</v>
      </c>
      <c r="M745" s="234">
        <v>45444</v>
      </c>
      <c r="N745" s="24" t="str">
        <f t="shared" si="47"/>
        <v>SÁBADO</v>
      </c>
      <c r="O745" s="108">
        <v>8.3333333333333329E-2</v>
      </c>
      <c r="P745" s="44" t="s">
        <v>469</v>
      </c>
      <c r="Q745" s="44" t="s">
        <v>447</v>
      </c>
      <c r="R745" s="36">
        <f>COUNTIF(Tabla1[[#This Row],[VEHICULOS_ACCIDENTADOS]:[VEHICULOS_ACCIDENTADOS2]],"MOTOCICLETA")</f>
        <v>1</v>
      </c>
      <c r="S745" s="36">
        <f>COUNTIF(Tabla1[[#This Row],[VEHICULOS_ACCIDENTADOS]:[VEHICULOS_ACCIDENTADOS2]],"MOTOCARRO")</f>
        <v>0</v>
      </c>
      <c r="T745" s="36">
        <f>COUNTIF(Tabla1[[#This Row],[VEHICULOS_ACCIDENTADOS]:[VEHICULOS_ACCIDENTADOS2]],"AUTOMOVIL")</f>
        <v>1</v>
      </c>
      <c r="U745" s="36">
        <f>COUNTIF(Tabla1[[#This Row],[VEHICULOS_ACCIDENTADOS]:[VEHICULOS_ACCIDENTADOS2]],"CAMPERO")</f>
        <v>0</v>
      </c>
      <c r="V745" s="36">
        <f>COUNTIF(Tabla1[[#This Row],[VEHICULOS_ACCIDENTADOS]:[VEHICULOS_ACCIDENTADOS2]],"CAMIONETA")</f>
        <v>0</v>
      </c>
      <c r="W745" s="36">
        <f>COUNTIF(Tabla1[[#This Row],[VEHICULOS_ACCIDENTADOS]:[VEHICULOS_ACCIDENTADOS2]],"MICROBUS")</f>
        <v>0</v>
      </c>
      <c r="X745" s="36">
        <f>COUNTIF(Tabla1[[#This Row],[VEHICULOS_ACCIDENTADOS]:[VEHICULOS_ACCIDENTADOS2]],"BUS")</f>
        <v>0</v>
      </c>
      <c r="Y745" s="36">
        <f>COUNTIF(Tabla1[[#This Row],[VEHICULOS_ACCIDENTADOS]:[VEHICULOS_ACCIDENTADOS2]],"BUSETA")</f>
        <v>0</v>
      </c>
      <c r="Z745" s="36">
        <f>COUNTIF(Tabla1[[#This Row],[VEHICULOS_ACCIDENTADOS]:[VEHICULOS_ACCIDENTADOS2]],"CAMION")</f>
        <v>0</v>
      </c>
      <c r="AA745" s="36">
        <f>COUNTIF(Tabla1[[#This Row],[VEHICULOS_ACCIDENTADOS]:[VEHICULOS_ACCIDENTADOS2]],"TRACTOCAMION")</f>
        <v>0</v>
      </c>
      <c r="AB745" s="36">
        <f>COUNTIF(Tabla1[[#This Row],[VEHICULOS_ACCIDENTADOS]:[VEHICULOS_ACCIDENTADOS2]],"VOLQUETA")</f>
        <v>0</v>
      </c>
      <c r="AC745" s="36">
        <f>COUNTIF(Tabla1[[#This Row],[VEHICULOS_ACCIDENTADOS]:[VEHICULOS_ACCIDENTADOS2]],"BICICLETA")</f>
        <v>0</v>
      </c>
      <c r="AD745" s="43" t="s">
        <v>471</v>
      </c>
      <c r="AE745" s="43"/>
      <c r="AF745" s="43">
        <f>COUNTIF(Tabla1[[#This Row],[GENERO_MASCULINO]:[GENERO_FEMENINO]],"MASCULINO")</f>
        <v>1</v>
      </c>
      <c r="AG745" s="36">
        <f>COUNTIF(Tabla1[[#This Row],[GENERO_MASCULINO]:[GENERO_FEMENINO]],"FEMENINO")</f>
        <v>0</v>
      </c>
      <c r="AH745" s="86">
        <v>17</v>
      </c>
      <c r="AI745" s="86"/>
      <c r="AJ745" s="86">
        <v>17</v>
      </c>
      <c r="AK745" s="86"/>
      <c r="AL745" s="86"/>
      <c r="AM745" s="15"/>
      <c r="AN745" s="86">
        <v>157</v>
      </c>
      <c r="AO745" s="36" t="str">
        <f>IFERROR(((VLOOKUP(Tabla1[[#This Row],[HIPOTESIS_1]],listas!$D$1:$E$105,2,FALSE))),"SIN INFORMACIÓN")</f>
        <v>Otra</v>
      </c>
      <c r="AP745" s="15"/>
      <c r="AQ745" s="36" t="str">
        <f>IFERROR(((VLOOKUP(Tabla1[[#This Row],[HIPOTESIS_2]],listas!$D$1:$E$105,2,FALSE))),"")</f>
        <v/>
      </c>
      <c r="AR745" s="1" t="str">
        <f>IF(HOUR(Tabla1[[#This Row],[HORA_ACCIDENTE]])&lt;6,"MAÑANA",
 IF(HOUR(Tabla1[[#This Row],[HORA_ACCIDENTE]])&lt;12,"MAÑANA",
 IF(HOUR(Tabla1[[#This Row],[HORA_ACCIDENTE]])&lt;18,"TARDE","NOCHE")))</f>
        <v>MAÑANA</v>
      </c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40"/>
    </row>
    <row r="746" spans="1:56" x14ac:dyDescent="0.25">
      <c r="A746" s="12">
        <v>468</v>
      </c>
      <c r="B746" s="38">
        <v>0</v>
      </c>
      <c r="C746" s="7">
        <v>1</v>
      </c>
      <c r="D746" s="7">
        <v>0</v>
      </c>
      <c r="E746" s="18" t="str">
        <f t="shared" si="44"/>
        <v>LESIONADO</v>
      </c>
      <c r="F746" s="29" t="s">
        <v>1140</v>
      </c>
      <c r="G746" s="21">
        <v>5.3444249999999993</v>
      </c>
      <c r="H746" s="21">
        <v>-72.394850000000005</v>
      </c>
      <c r="I746" s="93" t="s">
        <v>697</v>
      </c>
      <c r="J746" s="7" t="s">
        <v>717</v>
      </c>
      <c r="K746" s="24" t="str">
        <f t="shared" si="45"/>
        <v>2023</v>
      </c>
      <c r="L746" s="24" t="str">
        <f t="shared" si="46"/>
        <v>MAYO</v>
      </c>
      <c r="M746" s="232">
        <v>45050</v>
      </c>
      <c r="N746" s="24" t="str">
        <f t="shared" si="47"/>
        <v>JUEVES</v>
      </c>
      <c r="O746" s="106">
        <v>0.4375</v>
      </c>
      <c r="P746" s="39" t="s">
        <v>469</v>
      </c>
      <c r="Q746" s="39" t="s">
        <v>447</v>
      </c>
      <c r="R746" s="36">
        <f>COUNTIF(Tabla1[[#This Row],[VEHICULOS_ACCIDENTADOS]:[VEHICULOS_ACCIDENTADOS2]],"MOTOCICLETA")</f>
        <v>1</v>
      </c>
      <c r="S746" s="36">
        <f>COUNTIF(Tabla1[[#This Row],[VEHICULOS_ACCIDENTADOS]:[VEHICULOS_ACCIDENTADOS2]],"MOTOCARRO")</f>
        <v>0</v>
      </c>
      <c r="T746" s="36">
        <f>COUNTIF(Tabla1[[#This Row],[VEHICULOS_ACCIDENTADOS]:[VEHICULOS_ACCIDENTADOS2]],"AUTOMOVIL")</f>
        <v>1</v>
      </c>
      <c r="U746" s="36">
        <f>COUNTIF(Tabla1[[#This Row],[VEHICULOS_ACCIDENTADOS]:[VEHICULOS_ACCIDENTADOS2]],"CAMPERO")</f>
        <v>0</v>
      </c>
      <c r="V746" s="36">
        <f>COUNTIF(Tabla1[[#This Row],[VEHICULOS_ACCIDENTADOS]:[VEHICULOS_ACCIDENTADOS2]],"CAMIONETA")</f>
        <v>0</v>
      </c>
      <c r="W746" s="36">
        <f>COUNTIF(Tabla1[[#This Row],[VEHICULOS_ACCIDENTADOS]:[VEHICULOS_ACCIDENTADOS2]],"MICROBUS")</f>
        <v>0</v>
      </c>
      <c r="X746" s="36">
        <f>COUNTIF(Tabla1[[#This Row],[VEHICULOS_ACCIDENTADOS]:[VEHICULOS_ACCIDENTADOS2]],"BUS")</f>
        <v>0</v>
      </c>
      <c r="Y746" s="36">
        <f>COUNTIF(Tabla1[[#This Row],[VEHICULOS_ACCIDENTADOS]:[VEHICULOS_ACCIDENTADOS2]],"BUSETA")</f>
        <v>0</v>
      </c>
      <c r="Z746" s="36">
        <f>COUNTIF(Tabla1[[#This Row],[VEHICULOS_ACCIDENTADOS]:[VEHICULOS_ACCIDENTADOS2]],"CAMION")</f>
        <v>0</v>
      </c>
      <c r="AA746" s="36">
        <f>COUNTIF(Tabla1[[#This Row],[VEHICULOS_ACCIDENTADOS]:[VEHICULOS_ACCIDENTADOS2]],"TRACTOCAMION")</f>
        <v>0</v>
      </c>
      <c r="AB746" s="36">
        <f>COUNTIF(Tabla1[[#This Row],[VEHICULOS_ACCIDENTADOS]:[VEHICULOS_ACCIDENTADOS2]],"VOLQUETA")</f>
        <v>0</v>
      </c>
      <c r="AC746" s="36">
        <f>COUNTIF(Tabla1[[#This Row],[VEHICULOS_ACCIDENTADOS]:[VEHICULOS_ACCIDENTADOS2]],"BICICLETA")</f>
        <v>0</v>
      </c>
      <c r="AD746" s="38" t="s">
        <v>471</v>
      </c>
      <c r="AE746" s="38"/>
      <c r="AF746" s="38">
        <f>COUNTIF(Tabla1[[#This Row],[GENERO_MASCULINO]:[GENERO_FEMENINO]],"MASCULINO")</f>
        <v>1</v>
      </c>
      <c r="AG746" s="36">
        <f>COUNTIF(Tabla1[[#This Row],[GENERO_MASCULINO]:[GENERO_FEMENINO]],"FEMENINO")</f>
        <v>0</v>
      </c>
      <c r="AH746" s="73">
        <v>59</v>
      </c>
      <c r="AI746" s="73"/>
      <c r="AJ746" s="73"/>
      <c r="AK746" s="73"/>
      <c r="AL746" s="73"/>
      <c r="AM746" s="7"/>
      <c r="AN746" s="73">
        <v>112</v>
      </c>
      <c r="AO746" s="36" t="str">
        <f>IFERROR(((VLOOKUP(Tabla1[[#This Row],[HIPOTESIS_1]],listas!$D$1:$E$105,2,FALSE))),"SIN INFORMACIÓN")</f>
        <v>Desobedecer señales o normas de tránsito.</v>
      </c>
      <c r="AP746" s="7"/>
      <c r="AQ746" s="36" t="str">
        <f>IFERROR(((VLOOKUP(Tabla1[[#This Row],[HIPOTESIS_2]],listas!$D$1:$E$105,2,FALSE))),"")</f>
        <v/>
      </c>
      <c r="AR746" s="1" t="str">
        <f>IF(HOUR(Tabla1[[#This Row],[HORA_ACCIDENTE]])&lt;6,"MAÑANA",
 IF(HOUR(Tabla1[[#This Row],[HORA_ACCIDENTE]])&lt;12,"MAÑANA",
 IF(HOUR(Tabla1[[#This Row],[HORA_ACCIDENTE]])&lt;18,"TARDE","NOCHE")))</f>
        <v>MAÑANA</v>
      </c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</row>
    <row r="747" spans="1:56" x14ac:dyDescent="0.25">
      <c r="A747" s="12">
        <v>887</v>
      </c>
      <c r="B747" s="43">
        <v>0</v>
      </c>
      <c r="C747" s="15">
        <v>1</v>
      </c>
      <c r="D747" s="15">
        <v>0</v>
      </c>
      <c r="E747" s="18" t="str">
        <f t="shared" si="44"/>
        <v>LESIONADO</v>
      </c>
      <c r="F747" s="26" t="s">
        <v>1142</v>
      </c>
      <c r="G747" s="21">
        <v>5.3420611111111107</v>
      </c>
      <c r="H747" s="21">
        <v>-72.393580555555559</v>
      </c>
      <c r="I747" s="93" t="s">
        <v>697</v>
      </c>
      <c r="J747" s="21" t="s">
        <v>717</v>
      </c>
      <c r="K747" s="24" t="str">
        <f t="shared" si="45"/>
        <v>2025</v>
      </c>
      <c r="L747" s="24" t="str">
        <f t="shared" si="46"/>
        <v>MARZO</v>
      </c>
      <c r="M747" s="234">
        <v>45717</v>
      </c>
      <c r="N747" s="24" t="str">
        <f t="shared" si="47"/>
        <v>SÁBADO</v>
      </c>
      <c r="O747" s="108">
        <v>0.28472222222222221</v>
      </c>
      <c r="P747" s="44" t="s">
        <v>445</v>
      </c>
      <c r="Q747" s="44" t="s">
        <v>438</v>
      </c>
      <c r="R747" s="36">
        <f>COUNTIF(Tabla1[[#This Row],[VEHICULOS_ACCIDENTADOS]:[VEHICULOS_ACCIDENTADOS2]],"MOTOCICLETA")</f>
        <v>0</v>
      </c>
      <c r="S747" s="36">
        <f>COUNTIF(Tabla1[[#This Row],[VEHICULOS_ACCIDENTADOS]:[VEHICULOS_ACCIDENTADOS2]],"MOTOCARRO")</f>
        <v>0</v>
      </c>
      <c r="T747" s="36">
        <f>COUNTIF(Tabla1[[#This Row],[VEHICULOS_ACCIDENTADOS]:[VEHICULOS_ACCIDENTADOS2]],"AUTOMOVIL")</f>
        <v>0</v>
      </c>
      <c r="U747" s="36">
        <f>COUNTIF(Tabla1[[#This Row],[VEHICULOS_ACCIDENTADOS]:[VEHICULOS_ACCIDENTADOS2]],"CAMPERO")</f>
        <v>0</v>
      </c>
      <c r="V747" s="36">
        <f>COUNTIF(Tabla1[[#This Row],[VEHICULOS_ACCIDENTADOS]:[VEHICULOS_ACCIDENTADOS2]],"CAMIONETA")</f>
        <v>1</v>
      </c>
      <c r="W747" s="36">
        <f>COUNTIF(Tabla1[[#This Row],[VEHICULOS_ACCIDENTADOS]:[VEHICULOS_ACCIDENTADOS2]],"MICROBUS")</f>
        <v>0</v>
      </c>
      <c r="X747" s="36">
        <f>COUNTIF(Tabla1[[#This Row],[VEHICULOS_ACCIDENTADOS]:[VEHICULOS_ACCIDENTADOS2]],"BUS")</f>
        <v>0</v>
      </c>
      <c r="Y747" s="36">
        <f>COUNTIF(Tabla1[[#This Row],[VEHICULOS_ACCIDENTADOS]:[VEHICULOS_ACCIDENTADOS2]],"BUSETA")</f>
        <v>0</v>
      </c>
      <c r="Z747" s="36">
        <f>COUNTIF(Tabla1[[#This Row],[VEHICULOS_ACCIDENTADOS]:[VEHICULOS_ACCIDENTADOS2]],"CAMION")</f>
        <v>0</v>
      </c>
      <c r="AA747" s="36">
        <f>COUNTIF(Tabla1[[#This Row],[VEHICULOS_ACCIDENTADOS]:[VEHICULOS_ACCIDENTADOS2]],"TRACTOCAMION")</f>
        <v>0</v>
      </c>
      <c r="AB747" s="36">
        <f>COUNTIF(Tabla1[[#This Row],[VEHICULOS_ACCIDENTADOS]:[VEHICULOS_ACCIDENTADOS2]],"VOLQUETA")</f>
        <v>0</v>
      </c>
      <c r="AC747" s="36">
        <f>COUNTIF(Tabla1[[#This Row],[VEHICULOS_ACCIDENTADOS]:[VEHICULOS_ACCIDENTADOS2]],"BICICLETA")</f>
        <v>1</v>
      </c>
      <c r="AD747" s="43" t="s">
        <v>471</v>
      </c>
      <c r="AE747" s="43" t="s">
        <v>472</v>
      </c>
      <c r="AF747" s="43">
        <f>COUNTIF(Tabla1[[#This Row],[GENERO_MASCULINO]:[GENERO_FEMENINO]],"MASCULINO")</f>
        <v>1</v>
      </c>
      <c r="AG747" s="36">
        <f>COUNTIF(Tabla1[[#This Row],[GENERO_MASCULINO]:[GENERO_FEMENINO]],"FEMENINO")</f>
        <v>1</v>
      </c>
      <c r="AH747" s="86">
        <v>57</v>
      </c>
      <c r="AI747" s="86">
        <v>66</v>
      </c>
      <c r="AJ747" s="86"/>
      <c r="AK747" s="86"/>
      <c r="AL747" s="86"/>
      <c r="AM747" s="15"/>
      <c r="AN747" s="86">
        <v>93</v>
      </c>
      <c r="AO747" s="36" t="str">
        <f>IFERROR(((VLOOKUP(Tabla1[[#This Row],[HIPOTESIS_1]],listas!$D$1:$E$105,2,FALSE))),"SIN INFORMACIÓN")</f>
        <v>Transitar distante de la acera u orilla de la calzada.</v>
      </c>
      <c r="AP747" s="15"/>
      <c r="AQ747" s="36" t="str">
        <f>IFERROR(((VLOOKUP(Tabla1[[#This Row],[HIPOTESIS_2]],listas!$D$1:$E$105,2,FALSE))),"")</f>
        <v/>
      </c>
      <c r="AR747" s="1" t="str">
        <f>IF(HOUR(Tabla1[[#This Row],[HORA_ACCIDENTE]])&lt;6,"MAÑANA",
 IF(HOUR(Tabla1[[#This Row],[HORA_ACCIDENTE]])&lt;12,"MAÑANA",
 IF(HOUR(Tabla1[[#This Row],[HORA_ACCIDENTE]])&lt;18,"TARDE","NOCHE")))</f>
        <v>MAÑANA</v>
      </c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33"/>
    </row>
    <row r="748" spans="1:56" x14ac:dyDescent="0.25">
      <c r="A748" s="12">
        <v>366</v>
      </c>
      <c r="B748" s="38">
        <v>0</v>
      </c>
      <c r="C748" s="7">
        <v>1</v>
      </c>
      <c r="D748" s="7">
        <v>0</v>
      </c>
      <c r="E748" s="18" t="str">
        <f t="shared" si="44"/>
        <v>LESIONADO</v>
      </c>
      <c r="F748" s="29" t="s">
        <v>1143</v>
      </c>
      <c r="G748" s="17">
        <v>5.3412638888888884</v>
      </c>
      <c r="H748" s="17">
        <v>-72.393175000000014</v>
      </c>
      <c r="I748" s="93" t="s">
        <v>697</v>
      </c>
      <c r="J748" s="7" t="s">
        <v>717</v>
      </c>
      <c r="K748" s="24" t="str">
        <f t="shared" si="45"/>
        <v>2022</v>
      </c>
      <c r="L748" s="24" t="str">
        <f t="shared" si="46"/>
        <v>DICIEMBRE</v>
      </c>
      <c r="M748" s="232">
        <v>44896</v>
      </c>
      <c r="N748" s="24" t="str">
        <f t="shared" si="47"/>
        <v>JUEVES</v>
      </c>
      <c r="O748" s="174">
        <v>0.51388888888888895</v>
      </c>
      <c r="P748" s="180" t="s">
        <v>447</v>
      </c>
      <c r="Q748" s="180" t="s">
        <v>445</v>
      </c>
      <c r="R748" s="36">
        <f>COUNTIF(Tabla1[[#This Row],[VEHICULOS_ACCIDENTADOS]:[VEHICULOS_ACCIDENTADOS2]],"MOTOCICLETA")</f>
        <v>0</v>
      </c>
      <c r="S748" s="36">
        <f>COUNTIF(Tabla1[[#This Row],[VEHICULOS_ACCIDENTADOS]:[VEHICULOS_ACCIDENTADOS2]],"MOTOCARRO")</f>
        <v>0</v>
      </c>
      <c r="T748" s="36">
        <f>COUNTIF(Tabla1[[#This Row],[VEHICULOS_ACCIDENTADOS]:[VEHICULOS_ACCIDENTADOS2]],"AUTOMOVIL")</f>
        <v>1</v>
      </c>
      <c r="U748" s="36">
        <f>COUNTIF(Tabla1[[#This Row],[VEHICULOS_ACCIDENTADOS]:[VEHICULOS_ACCIDENTADOS2]],"CAMPERO")</f>
        <v>0</v>
      </c>
      <c r="V748" s="36">
        <f>COUNTIF(Tabla1[[#This Row],[VEHICULOS_ACCIDENTADOS]:[VEHICULOS_ACCIDENTADOS2]],"CAMIONETA")</f>
        <v>1</v>
      </c>
      <c r="W748" s="36">
        <f>COUNTIF(Tabla1[[#This Row],[VEHICULOS_ACCIDENTADOS]:[VEHICULOS_ACCIDENTADOS2]],"MICROBUS")</f>
        <v>0</v>
      </c>
      <c r="X748" s="36">
        <f>COUNTIF(Tabla1[[#This Row],[VEHICULOS_ACCIDENTADOS]:[VEHICULOS_ACCIDENTADOS2]],"BUS")</f>
        <v>0</v>
      </c>
      <c r="Y748" s="36">
        <f>COUNTIF(Tabla1[[#This Row],[VEHICULOS_ACCIDENTADOS]:[VEHICULOS_ACCIDENTADOS2]],"BUSETA")</f>
        <v>0</v>
      </c>
      <c r="Z748" s="36">
        <f>COUNTIF(Tabla1[[#This Row],[VEHICULOS_ACCIDENTADOS]:[VEHICULOS_ACCIDENTADOS2]],"CAMION")</f>
        <v>0</v>
      </c>
      <c r="AA748" s="36">
        <f>COUNTIF(Tabla1[[#This Row],[VEHICULOS_ACCIDENTADOS]:[VEHICULOS_ACCIDENTADOS2]],"TRACTOCAMION")</f>
        <v>0</v>
      </c>
      <c r="AB748" s="36">
        <f>COUNTIF(Tabla1[[#This Row],[VEHICULOS_ACCIDENTADOS]:[VEHICULOS_ACCIDENTADOS2]],"VOLQUETA")</f>
        <v>0</v>
      </c>
      <c r="AC748" s="36">
        <f>COUNTIF(Tabla1[[#This Row],[VEHICULOS_ACCIDENTADOS]:[VEHICULOS_ACCIDENTADOS2]],"BICICLETA")</f>
        <v>0</v>
      </c>
      <c r="AD748" s="38" t="s">
        <v>471</v>
      </c>
      <c r="AE748" s="38"/>
      <c r="AF748" s="38">
        <f>COUNTIF(Tabla1[[#This Row],[GENERO_MASCULINO]:[GENERO_FEMENINO]],"MASCULINO")</f>
        <v>1</v>
      </c>
      <c r="AG748" s="36">
        <f>COUNTIF(Tabla1[[#This Row],[GENERO_MASCULINO]:[GENERO_FEMENINO]],"FEMENINO")</f>
        <v>0</v>
      </c>
      <c r="AH748" s="73">
        <v>33</v>
      </c>
      <c r="AI748" s="73"/>
      <c r="AJ748" s="87"/>
      <c r="AK748" s="73"/>
      <c r="AL748" s="73"/>
      <c r="AM748" s="7"/>
      <c r="AN748" s="73">
        <v>123</v>
      </c>
      <c r="AO748" s="36" t="str">
        <f>IFERROR(((VLOOKUP(Tabla1[[#This Row],[HIPOTESIS_1]],listas!$D$1:$E$105,2,FALSE))),"SIN INFORMACIÓN")</f>
        <v>No respetar prelación de intersecciones o giros.</v>
      </c>
      <c r="AP748" s="7"/>
      <c r="AQ748" s="36" t="str">
        <f>IFERROR(((VLOOKUP(Tabla1[[#This Row],[HIPOTESIS_2]],listas!$D$1:$E$105,2,FALSE))),"")</f>
        <v/>
      </c>
      <c r="AR748" s="1" t="str">
        <f>IF(HOUR(Tabla1[[#This Row],[HORA_ACCIDENTE]])&lt;6,"MAÑANA",
 IF(HOUR(Tabla1[[#This Row],[HORA_ACCIDENTE]])&lt;12,"MAÑANA",
 IF(HOUR(Tabla1[[#This Row],[HORA_ACCIDENTE]])&lt;18,"TARDE","NOCHE")))</f>
        <v>TARDE</v>
      </c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33"/>
    </row>
    <row r="749" spans="1:56" x14ac:dyDescent="0.25">
      <c r="A749" s="12">
        <v>734</v>
      </c>
      <c r="B749" s="97">
        <v>0</v>
      </c>
      <c r="C749" s="7">
        <v>1</v>
      </c>
      <c r="D749" s="7">
        <v>0</v>
      </c>
      <c r="E749" s="18" t="str">
        <f t="shared" si="44"/>
        <v>LESIONADO</v>
      </c>
      <c r="F749" s="29" t="s">
        <v>1144</v>
      </c>
      <c r="G749" s="21">
        <v>5.3404444444444445</v>
      </c>
      <c r="H749" s="21">
        <v>-72.392725000000013</v>
      </c>
      <c r="I749" s="93" t="s">
        <v>697</v>
      </c>
      <c r="J749" s="15" t="s">
        <v>717</v>
      </c>
      <c r="K749" s="24" t="str">
        <f t="shared" si="45"/>
        <v>2024</v>
      </c>
      <c r="L749" s="24" t="str">
        <f t="shared" si="46"/>
        <v>JUNIO</v>
      </c>
      <c r="M749" s="232">
        <v>45467</v>
      </c>
      <c r="N749" s="24" t="str">
        <f t="shared" si="47"/>
        <v>LUNES</v>
      </c>
      <c r="O749" s="106">
        <v>0.5625</v>
      </c>
      <c r="P749" s="39" t="s">
        <v>469</v>
      </c>
      <c r="Q749" s="39" t="s">
        <v>447</v>
      </c>
      <c r="R749" s="36">
        <f>COUNTIF(Tabla1[[#This Row],[VEHICULOS_ACCIDENTADOS]:[VEHICULOS_ACCIDENTADOS2]],"MOTOCICLETA")</f>
        <v>1</v>
      </c>
      <c r="S749" s="36">
        <f>COUNTIF(Tabla1[[#This Row],[VEHICULOS_ACCIDENTADOS]:[VEHICULOS_ACCIDENTADOS2]],"MOTOCARRO")</f>
        <v>0</v>
      </c>
      <c r="T749" s="36">
        <f>COUNTIF(Tabla1[[#This Row],[VEHICULOS_ACCIDENTADOS]:[VEHICULOS_ACCIDENTADOS2]],"AUTOMOVIL")</f>
        <v>1</v>
      </c>
      <c r="U749" s="36">
        <f>COUNTIF(Tabla1[[#This Row],[VEHICULOS_ACCIDENTADOS]:[VEHICULOS_ACCIDENTADOS2]],"CAMPERO")</f>
        <v>0</v>
      </c>
      <c r="V749" s="36">
        <f>COUNTIF(Tabla1[[#This Row],[VEHICULOS_ACCIDENTADOS]:[VEHICULOS_ACCIDENTADOS2]],"CAMIONETA")</f>
        <v>0</v>
      </c>
      <c r="W749" s="36">
        <f>COUNTIF(Tabla1[[#This Row],[VEHICULOS_ACCIDENTADOS]:[VEHICULOS_ACCIDENTADOS2]],"MICROBUS")</f>
        <v>0</v>
      </c>
      <c r="X749" s="36">
        <f>COUNTIF(Tabla1[[#This Row],[VEHICULOS_ACCIDENTADOS]:[VEHICULOS_ACCIDENTADOS2]],"BUS")</f>
        <v>0</v>
      </c>
      <c r="Y749" s="36">
        <f>COUNTIF(Tabla1[[#This Row],[VEHICULOS_ACCIDENTADOS]:[VEHICULOS_ACCIDENTADOS2]],"BUSETA")</f>
        <v>0</v>
      </c>
      <c r="Z749" s="36">
        <f>COUNTIF(Tabla1[[#This Row],[VEHICULOS_ACCIDENTADOS]:[VEHICULOS_ACCIDENTADOS2]],"CAMION")</f>
        <v>0</v>
      </c>
      <c r="AA749" s="36">
        <f>COUNTIF(Tabla1[[#This Row],[VEHICULOS_ACCIDENTADOS]:[VEHICULOS_ACCIDENTADOS2]],"TRACTOCAMION")</f>
        <v>0</v>
      </c>
      <c r="AB749" s="36">
        <f>COUNTIF(Tabla1[[#This Row],[VEHICULOS_ACCIDENTADOS]:[VEHICULOS_ACCIDENTADOS2]],"VOLQUETA")</f>
        <v>0</v>
      </c>
      <c r="AC749" s="36">
        <f>COUNTIF(Tabla1[[#This Row],[VEHICULOS_ACCIDENTADOS]:[VEHICULOS_ACCIDENTADOS2]],"BICICLETA")</f>
        <v>0</v>
      </c>
      <c r="AD749" s="38" t="s">
        <v>471</v>
      </c>
      <c r="AE749" s="38" t="s">
        <v>472</v>
      </c>
      <c r="AF749" s="38">
        <f>COUNTIF(Tabla1[[#This Row],[GENERO_MASCULINO]:[GENERO_FEMENINO]],"MASCULINO")</f>
        <v>1</v>
      </c>
      <c r="AG749" s="36">
        <f>COUNTIF(Tabla1[[#This Row],[GENERO_MASCULINO]:[GENERO_FEMENINO]],"FEMENINO")</f>
        <v>1</v>
      </c>
      <c r="AH749" s="73">
        <v>51</v>
      </c>
      <c r="AI749" s="73">
        <v>16</v>
      </c>
      <c r="AJ749" s="73"/>
      <c r="AK749" s="73"/>
      <c r="AL749" s="73"/>
      <c r="AM749" s="7"/>
      <c r="AN749" s="73">
        <v>157</v>
      </c>
      <c r="AO749" s="36" t="str">
        <f>IFERROR(((VLOOKUP(Tabla1[[#This Row],[HIPOTESIS_1]],listas!$D$1:$E$105,2,FALSE))),"SIN INFORMACIÓN")</f>
        <v>Otra</v>
      </c>
      <c r="AP749" s="7"/>
      <c r="AQ749" s="36" t="str">
        <f>IFERROR(((VLOOKUP(Tabla1[[#This Row],[HIPOTESIS_2]],listas!$D$1:$E$105,2,FALSE))),"")</f>
        <v/>
      </c>
      <c r="AR749" s="1" t="str">
        <f>IF(HOUR(Tabla1[[#This Row],[HORA_ACCIDENTE]])&lt;6,"MAÑANA",
 IF(HOUR(Tabla1[[#This Row],[HORA_ACCIDENTE]])&lt;12,"MAÑANA",
 IF(HOUR(Tabla1[[#This Row],[HORA_ACCIDENTE]])&lt;18,"TARDE","NOCHE")))</f>
        <v>TARDE</v>
      </c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33"/>
    </row>
    <row r="750" spans="1:56" x14ac:dyDescent="0.25">
      <c r="A750" s="12">
        <v>679</v>
      </c>
      <c r="B750" s="97">
        <v>0</v>
      </c>
      <c r="C750" s="15">
        <v>1</v>
      </c>
      <c r="D750" s="15">
        <v>0</v>
      </c>
      <c r="E750" s="18" t="str">
        <f t="shared" si="44"/>
        <v>LESIONADO</v>
      </c>
      <c r="F750" s="26" t="s">
        <v>1144</v>
      </c>
      <c r="G750" s="21">
        <v>5.3404444444444445</v>
      </c>
      <c r="H750" s="21">
        <v>-72.392725000000013</v>
      </c>
      <c r="I750" s="93" t="s">
        <v>697</v>
      </c>
      <c r="J750" s="15" t="s">
        <v>717</v>
      </c>
      <c r="K750" s="24" t="str">
        <f t="shared" si="45"/>
        <v>2024</v>
      </c>
      <c r="L750" s="24" t="str">
        <f t="shared" si="46"/>
        <v>MARZO</v>
      </c>
      <c r="M750" s="234">
        <v>45362</v>
      </c>
      <c r="N750" s="24" t="str">
        <f t="shared" si="47"/>
        <v>LUNES</v>
      </c>
      <c r="O750" s="108">
        <v>0.4375</v>
      </c>
      <c r="P750" s="44" t="s">
        <v>469</v>
      </c>
      <c r="Q750" s="44" t="s">
        <v>447</v>
      </c>
      <c r="R750" s="36">
        <f>COUNTIF(Tabla1[[#This Row],[VEHICULOS_ACCIDENTADOS]:[VEHICULOS_ACCIDENTADOS2]],"MOTOCICLETA")</f>
        <v>1</v>
      </c>
      <c r="S750" s="36">
        <f>COUNTIF(Tabla1[[#This Row],[VEHICULOS_ACCIDENTADOS]:[VEHICULOS_ACCIDENTADOS2]],"MOTOCARRO")</f>
        <v>0</v>
      </c>
      <c r="T750" s="36">
        <f>COUNTIF(Tabla1[[#This Row],[VEHICULOS_ACCIDENTADOS]:[VEHICULOS_ACCIDENTADOS2]],"AUTOMOVIL")</f>
        <v>1</v>
      </c>
      <c r="U750" s="36">
        <f>COUNTIF(Tabla1[[#This Row],[VEHICULOS_ACCIDENTADOS]:[VEHICULOS_ACCIDENTADOS2]],"CAMPERO")</f>
        <v>0</v>
      </c>
      <c r="V750" s="36">
        <f>COUNTIF(Tabla1[[#This Row],[VEHICULOS_ACCIDENTADOS]:[VEHICULOS_ACCIDENTADOS2]],"CAMIONETA")</f>
        <v>0</v>
      </c>
      <c r="W750" s="36">
        <f>COUNTIF(Tabla1[[#This Row],[VEHICULOS_ACCIDENTADOS]:[VEHICULOS_ACCIDENTADOS2]],"MICROBUS")</f>
        <v>0</v>
      </c>
      <c r="X750" s="36">
        <f>COUNTIF(Tabla1[[#This Row],[VEHICULOS_ACCIDENTADOS]:[VEHICULOS_ACCIDENTADOS2]],"BUS")</f>
        <v>0</v>
      </c>
      <c r="Y750" s="36">
        <f>COUNTIF(Tabla1[[#This Row],[VEHICULOS_ACCIDENTADOS]:[VEHICULOS_ACCIDENTADOS2]],"BUSETA")</f>
        <v>0</v>
      </c>
      <c r="Z750" s="36">
        <f>COUNTIF(Tabla1[[#This Row],[VEHICULOS_ACCIDENTADOS]:[VEHICULOS_ACCIDENTADOS2]],"CAMION")</f>
        <v>0</v>
      </c>
      <c r="AA750" s="36">
        <f>COUNTIF(Tabla1[[#This Row],[VEHICULOS_ACCIDENTADOS]:[VEHICULOS_ACCIDENTADOS2]],"TRACTOCAMION")</f>
        <v>0</v>
      </c>
      <c r="AB750" s="36">
        <f>COUNTIF(Tabla1[[#This Row],[VEHICULOS_ACCIDENTADOS]:[VEHICULOS_ACCIDENTADOS2]],"VOLQUETA")</f>
        <v>0</v>
      </c>
      <c r="AC750" s="36">
        <f>COUNTIF(Tabla1[[#This Row],[VEHICULOS_ACCIDENTADOS]:[VEHICULOS_ACCIDENTADOS2]],"BICICLETA")</f>
        <v>0</v>
      </c>
      <c r="AD750" s="43" t="s">
        <v>471</v>
      </c>
      <c r="AE750" s="43" t="s">
        <v>472</v>
      </c>
      <c r="AF750" s="43">
        <f>COUNTIF(Tabla1[[#This Row],[GENERO_MASCULINO]:[GENERO_FEMENINO]],"MASCULINO")</f>
        <v>1</v>
      </c>
      <c r="AG750" s="36">
        <f>COUNTIF(Tabla1[[#This Row],[GENERO_MASCULINO]:[GENERO_FEMENINO]],"FEMENINO")</f>
        <v>1</v>
      </c>
      <c r="AH750" s="86">
        <v>52</v>
      </c>
      <c r="AI750" s="86">
        <v>53</v>
      </c>
      <c r="AJ750" s="86"/>
      <c r="AK750" s="86"/>
      <c r="AL750" s="86"/>
      <c r="AM750" s="15"/>
      <c r="AN750" s="86">
        <v>112</v>
      </c>
      <c r="AO750" s="36" t="str">
        <f>IFERROR(((VLOOKUP(Tabla1[[#This Row],[HIPOTESIS_1]],listas!$D$1:$E$105,2,FALSE))),"SIN INFORMACIÓN")</f>
        <v>Desobedecer señales o normas de tránsito.</v>
      </c>
      <c r="AP750" s="15"/>
      <c r="AQ750" s="36" t="str">
        <f>IFERROR(((VLOOKUP(Tabla1[[#This Row],[HIPOTESIS_2]],listas!$D$1:$E$105,2,FALSE))),"")</f>
        <v/>
      </c>
      <c r="AR750" s="1" t="str">
        <f>IF(HOUR(Tabla1[[#This Row],[HORA_ACCIDENTE]])&lt;6,"MAÑANA",
 IF(HOUR(Tabla1[[#This Row],[HORA_ACCIDENTE]])&lt;12,"MAÑANA",
 IF(HOUR(Tabla1[[#This Row],[HORA_ACCIDENTE]])&lt;18,"TARDE","NOCHE")))</f>
        <v>MAÑANA</v>
      </c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33"/>
    </row>
    <row r="751" spans="1:56" x14ac:dyDescent="0.25">
      <c r="A751" s="12">
        <v>881</v>
      </c>
      <c r="B751" s="97">
        <v>0</v>
      </c>
      <c r="C751" s="15">
        <v>1</v>
      </c>
      <c r="D751" s="15">
        <v>0</v>
      </c>
      <c r="E751" s="18" t="str">
        <f t="shared" si="44"/>
        <v>LESIONADO</v>
      </c>
      <c r="F751" s="26" t="s">
        <v>1145</v>
      </c>
      <c r="G751" s="17">
        <v>5.3396363888888887</v>
      </c>
      <c r="H751" s="17">
        <v>-72.392344444444447</v>
      </c>
      <c r="I751" s="93" t="s">
        <v>697</v>
      </c>
      <c r="J751" s="21" t="s">
        <v>717</v>
      </c>
      <c r="K751" s="24" t="str">
        <f t="shared" si="45"/>
        <v>2025</v>
      </c>
      <c r="L751" s="24" t="str">
        <f t="shared" si="46"/>
        <v>FEBRERO</v>
      </c>
      <c r="M751" s="234">
        <v>45709</v>
      </c>
      <c r="N751" s="24" t="str">
        <f t="shared" si="47"/>
        <v>VIERNES</v>
      </c>
      <c r="O751" s="108">
        <v>0.77777777777777779</v>
      </c>
      <c r="P751" s="44" t="s">
        <v>446</v>
      </c>
      <c r="Q751" s="44" t="s">
        <v>469</v>
      </c>
      <c r="R751" s="36">
        <f>COUNTIF(Tabla1[[#This Row],[VEHICULOS_ACCIDENTADOS]:[VEHICULOS_ACCIDENTADOS2]],"MOTOCICLETA")</f>
        <v>1</v>
      </c>
      <c r="S751" s="36">
        <f>COUNTIF(Tabla1[[#This Row],[VEHICULOS_ACCIDENTADOS]:[VEHICULOS_ACCIDENTADOS2]],"MOTOCARRO")</f>
        <v>0</v>
      </c>
      <c r="T751" s="36">
        <f>COUNTIF(Tabla1[[#This Row],[VEHICULOS_ACCIDENTADOS]:[VEHICULOS_ACCIDENTADOS2]],"AUTOMOVIL")</f>
        <v>0</v>
      </c>
      <c r="U751" s="36">
        <f>COUNTIF(Tabla1[[#This Row],[VEHICULOS_ACCIDENTADOS]:[VEHICULOS_ACCIDENTADOS2]],"CAMPERO")</f>
        <v>1</v>
      </c>
      <c r="V751" s="36">
        <f>COUNTIF(Tabla1[[#This Row],[VEHICULOS_ACCIDENTADOS]:[VEHICULOS_ACCIDENTADOS2]],"CAMIONETA")</f>
        <v>0</v>
      </c>
      <c r="W751" s="36">
        <f>COUNTIF(Tabla1[[#This Row],[VEHICULOS_ACCIDENTADOS]:[VEHICULOS_ACCIDENTADOS2]],"MICROBUS")</f>
        <v>0</v>
      </c>
      <c r="X751" s="36">
        <f>COUNTIF(Tabla1[[#This Row],[VEHICULOS_ACCIDENTADOS]:[VEHICULOS_ACCIDENTADOS2]],"BUS")</f>
        <v>0</v>
      </c>
      <c r="Y751" s="36">
        <f>COUNTIF(Tabla1[[#This Row],[VEHICULOS_ACCIDENTADOS]:[VEHICULOS_ACCIDENTADOS2]],"BUSETA")</f>
        <v>0</v>
      </c>
      <c r="Z751" s="36">
        <f>COUNTIF(Tabla1[[#This Row],[VEHICULOS_ACCIDENTADOS]:[VEHICULOS_ACCIDENTADOS2]],"CAMION")</f>
        <v>0</v>
      </c>
      <c r="AA751" s="36">
        <f>COUNTIF(Tabla1[[#This Row],[VEHICULOS_ACCIDENTADOS]:[VEHICULOS_ACCIDENTADOS2]],"TRACTOCAMION")</f>
        <v>0</v>
      </c>
      <c r="AB751" s="36">
        <f>COUNTIF(Tabla1[[#This Row],[VEHICULOS_ACCIDENTADOS]:[VEHICULOS_ACCIDENTADOS2]],"VOLQUETA")</f>
        <v>0</v>
      </c>
      <c r="AC751" s="36">
        <f>COUNTIF(Tabla1[[#This Row],[VEHICULOS_ACCIDENTADOS]:[VEHICULOS_ACCIDENTADOS2]],"BICICLETA")</f>
        <v>0</v>
      </c>
      <c r="AD751" s="43" t="s">
        <v>472</v>
      </c>
      <c r="AE751" s="43" t="s">
        <v>471</v>
      </c>
      <c r="AF751" s="43">
        <f>COUNTIF(Tabla1[[#This Row],[GENERO_MASCULINO]:[GENERO_FEMENINO]],"MASCULINO")</f>
        <v>1</v>
      </c>
      <c r="AG751" s="36">
        <f>COUNTIF(Tabla1[[#This Row],[GENERO_MASCULINO]:[GENERO_FEMENINO]],"FEMENINO")</f>
        <v>1</v>
      </c>
      <c r="AH751" s="86">
        <v>50</v>
      </c>
      <c r="AI751" s="86">
        <v>18</v>
      </c>
      <c r="AJ751" s="86"/>
      <c r="AK751" s="86"/>
      <c r="AL751" s="86"/>
      <c r="AM751" s="15"/>
      <c r="AN751" s="86">
        <v>112</v>
      </c>
      <c r="AO751" s="36" t="str">
        <f>IFERROR(((VLOOKUP(Tabla1[[#This Row],[HIPOTESIS_1]],listas!$D$1:$E$105,2,FALSE))),"SIN INFORMACIÓN")</f>
        <v>Desobedecer señales o normas de tránsito.</v>
      </c>
      <c r="AP751" s="15"/>
      <c r="AQ751" s="36" t="str">
        <f>IFERROR(((VLOOKUP(Tabla1[[#This Row],[HIPOTESIS_2]],listas!$D$1:$E$105,2,FALSE))),"")</f>
        <v/>
      </c>
      <c r="AR751" s="1" t="str">
        <f>IF(HOUR(Tabla1[[#This Row],[HORA_ACCIDENTE]])&lt;6,"MAÑANA",
 IF(HOUR(Tabla1[[#This Row],[HORA_ACCIDENTE]])&lt;12,"MAÑANA",
 IF(HOUR(Tabla1[[#This Row],[HORA_ACCIDENTE]])&lt;18,"TARDE","NOCHE")))</f>
        <v>NOCHE</v>
      </c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33"/>
    </row>
    <row r="752" spans="1:56" x14ac:dyDescent="0.25">
      <c r="A752" s="12">
        <v>204</v>
      </c>
      <c r="B752" s="38">
        <v>0</v>
      </c>
      <c r="C752" s="7">
        <v>2</v>
      </c>
      <c r="D752" s="7">
        <v>0</v>
      </c>
      <c r="E752" s="18" t="str">
        <f t="shared" si="44"/>
        <v>LESIONADO</v>
      </c>
      <c r="F752" s="29" t="s">
        <v>1145</v>
      </c>
      <c r="G752" s="17">
        <v>5.3396363888888887</v>
      </c>
      <c r="H752" s="17">
        <v>-72.392344444444447</v>
      </c>
      <c r="I752" s="93" t="s">
        <v>697</v>
      </c>
      <c r="J752" s="7" t="s">
        <v>717</v>
      </c>
      <c r="K752" s="24" t="str">
        <f t="shared" si="45"/>
        <v>2022</v>
      </c>
      <c r="L752" s="24" t="str">
        <f t="shared" si="46"/>
        <v>JUNIO</v>
      </c>
      <c r="M752" s="232">
        <v>44714</v>
      </c>
      <c r="N752" s="24" t="str">
        <f t="shared" si="47"/>
        <v>JUEVES</v>
      </c>
      <c r="O752" s="174">
        <v>0.90277777777777801</v>
      </c>
      <c r="P752" s="180" t="s">
        <v>469</v>
      </c>
      <c r="Q752" s="180" t="s">
        <v>439</v>
      </c>
      <c r="R752" s="36">
        <f>COUNTIF(Tabla1[[#This Row],[VEHICULOS_ACCIDENTADOS]:[VEHICULOS_ACCIDENTADOS2]],"MOTOCICLETA")</f>
        <v>1</v>
      </c>
      <c r="S752" s="36">
        <f>COUNTIF(Tabla1[[#This Row],[VEHICULOS_ACCIDENTADOS]:[VEHICULOS_ACCIDENTADOS2]],"MOTOCARRO")</f>
        <v>0</v>
      </c>
      <c r="T752" s="36">
        <f>COUNTIF(Tabla1[[#This Row],[VEHICULOS_ACCIDENTADOS]:[VEHICULOS_ACCIDENTADOS2]],"AUTOMOVIL")</f>
        <v>0</v>
      </c>
      <c r="U752" s="36">
        <f>COUNTIF(Tabla1[[#This Row],[VEHICULOS_ACCIDENTADOS]:[VEHICULOS_ACCIDENTADOS2]],"CAMPERO")</f>
        <v>0</v>
      </c>
      <c r="V752" s="36">
        <f>COUNTIF(Tabla1[[#This Row],[VEHICULOS_ACCIDENTADOS]:[VEHICULOS_ACCIDENTADOS2]],"CAMIONETA")</f>
        <v>0</v>
      </c>
      <c r="W752" s="36">
        <f>COUNTIF(Tabla1[[#This Row],[VEHICULOS_ACCIDENTADOS]:[VEHICULOS_ACCIDENTADOS2]],"MICROBUS")</f>
        <v>0</v>
      </c>
      <c r="X752" s="36">
        <f>COUNTIF(Tabla1[[#This Row],[VEHICULOS_ACCIDENTADOS]:[VEHICULOS_ACCIDENTADOS2]],"BUS")</f>
        <v>0</v>
      </c>
      <c r="Y752" s="36">
        <f>COUNTIF(Tabla1[[#This Row],[VEHICULOS_ACCIDENTADOS]:[VEHICULOS_ACCIDENTADOS2]],"BUSETA")</f>
        <v>0</v>
      </c>
      <c r="Z752" s="36">
        <f>COUNTIF(Tabla1[[#This Row],[VEHICULOS_ACCIDENTADOS]:[VEHICULOS_ACCIDENTADOS2]],"CAMION")</f>
        <v>0</v>
      </c>
      <c r="AA752" s="36">
        <f>COUNTIF(Tabla1[[#This Row],[VEHICULOS_ACCIDENTADOS]:[VEHICULOS_ACCIDENTADOS2]],"TRACTOCAMION")</f>
        <v>0</v>
      </c>
      <c r="AB752" s="36">
        <f>COUNTIF(Tabla1[[#This Row],[VEHICULOS_ACCIDENTADOS]:[VEHICULOS_ACCIDENTADOS2]],"VOLQUETA")</f>
        <v>1</v>
      </c>
      <c r="AC752" s="36">
        <f>COUNTIF(Tabla1[[#This Row],[VEHICULOS_ACCIDENTADOS]:[VEHICULOS_ACCIDENTADOS2]],"BICICLETA")</f>
        <v>0</v>
      </c>
      <c r="AD752" s="38" t="s">
        <v>471</v>
      </c>
      <c r="AE752" s="38" t="s">
        <v>472</v>
      </c>
      <c r="AF752" s="38">
        <f>COUNTIF(Tabla1[[#This Row],[GENERO_MASCULINO]:[GENERO_FEMENINO]],"MASCULINO")</f>
        <v>1</v>
      </c>
      <c r="AG752" s="36">
        <f>COUNTIF(Tabla1[[#This Row],[GENERO_MASCULINO]:[GENERO_FEMENINO]],"FEMENINO")</f>
        <v>1</v>
      </c>
      <c r="AH752" s="73">
        <v>33</v>
      </c>
      <c r="AI752" s="73">
        <v>20</v>
      </c>
      <c r="AJ752" s="73"/>
      <c r="AK752" s="73"/>
      <c r="AL752" s="73"/>
      <c r="AM752" s="7"/>
      <c r="AN752" s="73">
        <v>112</v>
      </c>
      <c r="AO752" s="36" t="str">
        <f>IFERROR(((VLOOKUP(Tabla1[[#This Row],[HIPOTESIS_1]],listas!$D$1:$E$105,2,FALSE))),"SIN INFORMACIÓN")</f>
        <v>Desobedecer señales o normas de tránsito.</v>
      </c>
      <c r="AP752" s="7"/>
      <c r="AQ752" s="36" t="str">
        <f>IFERROR(((VLOOKUP(Tabla1[[#This Row],[HIPOTESIS_2]],listas!$D$1:$E$105,2,FALSE))),"")</f>
        <v/>
      </c>
      <c r="AR752" s="1" t="str">
        <f>IF(HOUR(Tabla1[[#This Row],[HORA_ACCIDENTE]])&lt;6,"MAÑANA",
 IF(HOUR(Tabla1[[#This Row],[HORA_ACCIDENTE]])&lt;12,"MAÑANA",
 IF(HOUR(Tabla1[[#This Row],[HORA_ACCIDENTE]])&lt;18,"TARDE","NOCHE")))</f>
        <v>NOCHE</v>
      </c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s="15"/>
    </row>
    <row r="753" spans="1:56" x14ac:dyDescent="0.25">
      <c r="A753" s="12">
        <v>241</v>
      </c>
      <c r="B753" s="38">
        <v>0</v>
      </c>
      <c r="C753" s="7">
        <v>2</v>
      </c>
      <c r="D753" s="7">
        <v>0</v>
      </c>
      <c r="E753" s="18" t="str">
        <f t="shared" si="44"/>
        <v>LESIONADO</v>
      </c>
      <c r="F753" s="29" t="s">
        <v>1145</v>
      </c>
      <c r="G753" s="17">
        <v>5.3396363888888887</v>
      </c>
      <c r="H753" s="17">
        <v>-72.392344444444447</v>
      </c>
      <c r="I753" s="93" t="s">
        <v>697</v>
      </c>
      <c r="J753" s="7" t="s">
        <v>717</v>
      </c>
      <c r="K753" s="24" t="str">
        <f t="shared" si="45"/>
        <v>2022</v>
      </c>
      <c r="L753" s="24" t="str">
        <f t="shared" si="46"/>
        <v>JULIO</v>
      </c>
      <c r="M753" s="232">
        <v>44744</v>
      </c>
      <c r="N753" s="24" t="str">
        <f t="shared" si="47"/>
        <v>SÁBADO</v>
      </c>
      <c r="O753" s="174">
        <v>0.94444444444444497</v>
      </c>
      <c r="P753" s="180" t="s">
        <v>469</v>
      </c>
      <c r="Q753" s="180" t="s">
        <v>447</v>
      </c>
      <c r="R753" s="36">
        <f>COUNTIF(Tabla1[[#This Row],[VEHICULOS_ACCIDENTADOS]:[VEHICULOS_ACCIDENTADOS2]],"MOTOCICLETA")</f>
        <v>1</v>
      </c>
      <c r="S753" s="36">
        <f>COUNTIF(Tabla1[[#This Row],[VEHICULOS_ACCIDENTADOS]:[VEHICULOS_ACCIDENTADOS2]],"MOTOCARRO")</f>
        <v>0</v>
      </c>
      <c r="T753" s="36">
        <f>COUNTIF(Tabla1[[#This Row],[VEHICULOS_ACCIDENTADOS]:[VEHICULOS_ACCIDENTADOS2]],"AUTOMOVIL")</f>
        <v>1</v>
      </c>
      <c r="U753" s="36">
        <f>COUNTIF(Tabla1[[#This Row],[VEHICULOS_ACCIDENTADOS]:[VEHICULOS_ACCIDENTADOS2]],"CAMPERO")</f>
        <v>0</v>
      </c>
      <c r="V753" s="36">
        <f>COUNTIF(Tabla1[[#This Row],[VEHICULOS_ACCIDENTADOS]:[VEHICULOS_ACCIDENTADOS2]],"CAMIONETA")</f>
        <v>0</v>
      </c>
      <c r="W753" s="36">
        <f>COUNTIF(Tabla1[[#This Row],[VEHICULOS_ACCIDENTADOS]:[VEHICULOS_ACCIDENTADOS2]],"MICROBUS")</f>
        <v>0</v>
      </c>
      <c r="X753" s="36">
        <f>COUNTIF(Tabla1[[#This Row],[VEHICULOS_ACCIDENTADOS]:[VEHICULOS_ACCIDENTADOS2]],"BUS")</f>
        <v>0</v>
      </c>
      <c r="Y753" s="36">
        <f>COUNTIF(Tabla1[[#This Row],[VEHICULOS_ACCIDENTADOS]:[VEHICULOS_ACCIDENTADOS2]],"BUSETA")</f>
        <v>0</v>
      </c>
      <c r="Z753" s="36">
        <f>COUNTIF(Tabla1[[#This Row],[VEHICULOS_ACCIDENTADOS]:[VEHICULOS_ACCIDENTADOS2]],"CAMION")</f>
        <v>0</v>
      </c>
      <c r="AA753" s="36">
        <f>COUNTIF(Tabla1[[#This Row],[VEHICULOS_ACCIDENTADOS]:[VEHICULOS_ACCIDENTADOS2]],"TRACTOCAMION")</f>
        <v>0</v>
      </c>
      <c r="AB753" s="36">
        <f>COUNTIF(Tabla1[[#This Row],[VEHICULOS_ACCIDENTADOS]:[VEHICULOS_ACCIDENTADOS2]],"VOLQUETA")</f>
        <v>0</v>
      </c>
      <c r="AC753" s="36">
        <f>COUNTIF(Tabla1[[#This Row],[VEHICULOS_ACCIDENTADOS]:[VEHICULOS_ACCIDENTADOS2]],"BICICLETA")</f>
        <v>0</v>
      </c>
      <c r="AD753" s="38" t="s">
        <v>471</v>
      </c>
      <c r="AE753" s="38" t="s">
        <v>472</v>
      </c>
      <c r="AF753" s="38">
        <f>COUNTIF(Tabla1[[#This Row],[GENERO_MASCULINO]:[GENERO_FEMENINO]],"MASCULINO")</f>
        <v>1</v>
      </c>
      <c r="AG753" s="36">
        <f>COUNTIF(Tabla1[[#This Row],[GENERO_MASCULINO]:[GENERO_FEMENINO]],"FEMENINO")</f>
        <v>1</v>
      </c>
      <c r="AH753" s="73">
        <v>21</v>
      </c>
      <c r="AI753" s="73"/>
      <c r="AJ753" s="87"/>
      <c r="AK753" s="73"/>
      <c r="AL753" s="73">
        <v>23</v>
      </c>
      <c r="AM753" s="7"/>
      <c r="AN753" s="73">
        <v>112</v>
      </c>
      <c r="AO753" s="36" t="str">
        <f>IFERROR(((VLOOKUP(Tabla1[[#This Row],[HIPOTESIS_1]],listas!$D$1:$E$105,2,FALSE))),"SIN INFORMACIÓN")</f>
        <v>Desobedecer señales o normas de tránsito.</v>
      </c>
      <c r="AP753" s="7"/>
      <c r="AQ753" s="36" t="str">
        <f>IFERROR(((VLOOKUP(Tabla1[[#This Row],[HIPOTESIS_2]],listas!$D$1:$E$105,2,FALSE))),"")</f>
        <v/>
      </c>
      <c r="AR753" s="1" t="str">
        <f>IF(HOUR(Tabla1[[#This Row],[HORA_ACCIDENTE]])&lt;6,"MAÑANA",
 IF(HOUR(Tabla1[[#This Row],[HORA_ACCIDENTE]])&lt;12,"MAÑANA",
 IF(HOUR(Tabla1[[#This Row],[HORA_ACCIDENTE]])&lt;18,"TARDE","NOCHE")))</f>
        <v>NOCHE</v>
      </c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40"/>
    </row>
    <row r="754" spans="1:56" x14ac:dyDescent="0.25">
      <c r="A754" s="12">
        <v>84</v>
      </c>
      <c r="B754" s="38">
        <v>1</v>
      </c>
      <c r="C754" s="7">
        <v>0</v>
      </c>
      <c r="D754" s="7">
        <v>0</v>
      </c>
      <c r="E754" s="18" t="str">
        <f t="shared" si="44"/>
        <v>SOLO DAÑO</v>
      </c>
      <c r="F754" s="29" t="s">
        <v>1145</v>
      </c>
      <c r="G754" s="17">
        <v>5.3396363888888887</v>
      </c>
      <c r="H754" s="17">
        <v>-72.392344444444447</v>
      </c>
      <c r="I754" s="93" t="s">
        <v>697</v>
      </c>
      <c r="J754" s="7" t="s">
        <v>717</v>
      </c>
      <c r="K754" s="24" t="str">
        <f t="shared" si="45"/>
        <v>2022</v>
      </c>
      <c r="L754" s="24" t="str">
        <f t="shared" si="46"/>
        <v>MARZO</v>
      </c>
      <c r="M754" s="232">
        <v>44632</v>
      </c>
      <c r="N754" s="24" t="str">
        <f t="shared" si="47"/>
        <v>SÁBADO</v>
      </c>
      <c r="O754" s="106">
        <v>0.41666666666666702</v>
      </c>
      <c r="P754" s="8" t="s">
        <v>469</v>
      </c>
      <c r="Q754" s="8" t="s">
        <v>469</v>
      </c>
      <c r="R754" s="36">
        <f>COUNTIF(Tabla1[[#This Row],[VEHICULOS_ACCIDENTADOS]:[VEHICULOS_ACCIDENTADOS2]],"MOTOCICLETA")</f>
        <v>2</v>
      </c>
      <c r="S754" s="36">
        <f>COUNTIF(Tabla1[[#This Row],[VEHICULOS_ACCIDENTADOS]:[VEHICULOS_ACCIDENTADOS2]],"MOTOCARRO")</f>
        <v>0</v>
      </c>
      <c r="T754" s="36">
        <f>COUNTIF(Tabla1[[#This Row],[VEHICULOS_ACCIDENTADOS]:[VEHICULOS_ACCIDENTADOS2]],"AUTOMOVIL")</f>
        <v>0</v>
      </c>
      <c r="U754" s="36">
        <f>COUNTIF(Tabla1[[#This Row],[VEHICULOS_ACCIDENTADOS]:[VEHICULOS_ACCIDENTADOS2]],"CAMPERO")</f>
        <v>0</v>
      </c>
      <c r="V754" s="36">
        <f>COUNTIF(Tabla1[[#This Row],[VEHICULOS_ACCIDENTADOS]:[VEHICULOS_ACCIDENTADOS2]],"CAMIONETA")</f>
        <v>0</v>
      </c>
      <c r="W754" s="36">
        <f>COUNTIF(Tabla1[[#This Row],[VEHICULOS_ACCIDENTADOS]:[VEHICULOS_ACCIDENTADOS2]],"MICROBUS")</f>
        <v>0</v>
      </c>
      <c r="X754" s="36">
        <f>COUNTIF(Tabla1[[#This Row],[VEHICULOS_ACCIDENTADOS]:[VEHICULOS_ACCIDENTADOS2]],"BUS")</f>
        <v>0</v>
      </c>
      <c r="Y754" s="36">
        <f>COUNTIF(Tabla1[[#This Row],[VEHICULOS_ACCIDENTADOS]:[VEHICULOS_ACCIDENTADOS2]],"BUSETA")</f>
        <v>0</v>
      </c>
      <c r="Z754" s="36">
        <f>COUNTIF(Tabla1[[#This Row],[VEHICULOS_ACCIDENTADOS]:[VEHICULOS_ACCIDENTADOS2]],"CAMION")</f>
        <v>0</v>
      </c>
      <c r="AA754" s="36">
        <f>COUNTIF(Tabla1[[#This Row],[VEHICULOS_ACCIDENTADOS]:[VEHICULOS_ACCIDENTADOS2]],"TRACTOCAMION")</f>
        <v>0</v>
      </c>
      <c r="AB754" s="36">
        <f>COUNTIF(Tabla1[[#This Row],[VEHICULOS_ACCIDENTADOS]:[VEHICULOS_ACCIDENTADOS2]],"VOLQUETA")</f>
        <v>0</v>
      </c>
      <c r="AC754" s="36">
        <f>COUNTIF(Tabla1[[#This Row],[VEHICULOS_ACCIDENTADOS]:[VEHICULOS_ACCIDENTADOS2]],"BICICLETA")</f>
        <v>0</v>
      </c>
      <c r="AD754" s="38"/>
      <c r="AE754" s="38" t="s">
        <v>472</v>
      </c>
      <c r="AF754" s="38">
        <f>COUNTIF(Tabla1[[#This Row],[GENERO_MASCULINO]:[GENERO_FEMENINO]],"MASCULINO")</f>
        <v>0</v>
      </c>
      <c r="AG754" s="36">
        <f>COUNTIF(Tabla1[[#This Row],[GENERO_MASCULINO]:[GENERO_FEMENINO]],"FEMENINO")</f>
        <v>1</v>
      </c>
      <c r="AH754" s="73"/>
      <c r="AI754" s="73"/>
      <c r="AJ754" s="73"/>
      <c r="AK754" s="73"/>
      <c r="AL754" s="73"/>
      <c r="AM754" s="7"/>
      <c r="AN754" s="73">
        <v>112</v>
      </c>
      <c r="AO754" s="36" t="str">
        <f>IFERROR(((VLOOKUP(Tabla1[[#This Row],[HIPOTESIS_1]],listas!$D$1:$E$105,2,FALSE))),"SIN INFORMACIÓN")</f>
        <v>Desobedecer señales o normas de tránsito.</v>
      </c>
      <c r="AP754" s="7"/>
      <c r="AQ754" s="36" t="str">
        <f>IFERROR(((VLOOKUP(Tabla1[[#This Row],[HIPOTESIS_2]],listas!$D$1:$E$105,2,FALSE))),"")</f>
        <v/>
      </c>
      <c r="AR754" s="1" t="str">
        <f>IF(HOUR(Tabla1[[#This Row],[HORA_ACCIDENTE]])&lt;6,"MAÑANA",
 IF(HOUR(Tabla1[[#This Row],[HORA_ACCIDENTE]])&lt;12,"MAÑANA",
 IF(HOUR(Tabla1[[#This Row],[HORA_ACCIDENTE]])&lt;18,"TARDE","NOCHE")))</f>
        <v>MAÑANA</v>
      </c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s="40"/>
    </row>
    <row r="755" spans="1:56" x14ac:dyDescent="0.25">
      <c r="A755" s="12">
        <v>720</v>
      </c>
      <c r="B755" s="43">
        <v>0</v>
      </c>
      <c r="C755" s="7">
        <v>1</v>
      </c>
      <c r="D755" s="7">
        <v>0</v>
      </c>
      <c r="E755" s="18" t="str">
        <f t="shared" si="44"/>
        <v>LESIONADO</v>
      </c>
      <c r="F755" s="29" t="s">
        <v>1147</v>
      </c>
      <c r="G755" s="21">
        <v>5.3357388888888888</v>
      </c>
      <c r="H755" s="21">
        <v>-72.390136111111119</v>
      </c>
      <c r="I755" s="93" t="s">
        <v>697</v>
      </c>
      <c r="J755" s="15" t="s">
        <v>717</v>
      </c>
      <c r="K755" s="24" t="str">
        <f t="shared" si="45"/>
        <v>2024</v>
      </c>
      <c r="L755" s="24" t="str">
        <f t="shared" si="46"/>
        <v>MAYO</v>
      </c>
      <c r="M755" s="232">
        <v>45442</v>
      </c>
      <c r="N755" s="24" t="str">
        <f t="shared" si="47"/>
        <v>JUEVES</v>
      </c>
      <c r="O755" s="106">
        <v>0.62638888888888888</v>
      </c>
      <c r="P755" s="39" t="s">
        <v>447</v>
      </c>
      <c r="Q755" s="39"/>
      <c r="R755" s="36">
        <f>COUNTIF(Tabla1[[#This Row],[VEHICULOS_ACCIDENTADOS]:[VEHICULOS_ACCIDENTADOS2]],"MOTOCICLETA")</f>
        <v>0</v>
      </c>
      <c r="S755" s="36">
        <f>COUNTIF(Tabla1[[#This Row],[VEHICULOS_ACCIDENTADOS]:[VEHICULOS_ACCIDENTADOS2]],"MOTOCARRO")</f>
        <v>0</v>
      </c>
      <c r="T755" s="36">
        <f>COUNTIF(Tabla1[[#This Row],[VEHICULOS_ACCIDENTADOS]:[VEHICULOS_ACCIDENTADOS2]],"AUTOMOVIL")</f>
        <v>1</v>
      </c>
      <c r="U755" s="36">
        <f>COUNTIF(Tabla1[[#This Row],[VEHICULOS_ACCIDENTADOS]:[VEHICULOS_ACCIDENTADOS2]],"CAMPERO")</f>
        <v>0</v>
      </c>
      <c r="V755" s="36">
        <f>COUNTIF(Tabla1[[#This Row],[VEHICULOS_ACCIDENTADOS]:[VEHICULOS_ACCIDENTADOS2]],"CAMIONETA")</f>
        <v>0</v>
      </c>
      <c r="W755" s="36">
        <f>COUNTIF(Tabla1[[#This Row],[VEHICULOS_ACCIDENTADOS]:[VEHICULOS_ACCIDENTADOS2]],"MICROBUS")</f>
        <v>0</v>
      </c>
      <c r="X755" s="36">
        <f>COUNTIF(Tabla1[[#This Row],[VEHICULOS_ACCIDENTADOS]:[VEHICULOS_ACCIDENTADOS2]],"BUS")</f>
        <v>0</v>
      </c>
      <c r="Y755" s="36">
        <f>COUNTIF(Tabla1[[#This Row],[VEHICULOS_ACCIDENTADOS]:[VEHICULOS_ACCIDENTADOS2]],"BUSETA")</f>
        <v>0</v>
      </c>
      <c r="Z755" s="36">
        <f>COUNTIF(Tabla1[[#This Row],[VEHICULOS_ACCIDENTADOS]:[VEHICULOS_ACCIDENTADOS2]],"CAMION")</f>
        <v>0</v>
      </c>
      <c r="AA755" s="36">
        <f>COUNTIF(Tabla1[[#This Row],[VEHICULOS_ACCIDENTADOS]:[VEHICULOS_ACCIDENTADOS2]],"TRACTOCAMION")</f>
        <v>0</v>
      </c>
      <c r="AB755" s="36">
        <f>COUNTIF(Tabla1[[#This Row],[VEHICULOS_ACCIDENTADOS]:[VEHICULOS_ACCIDENTADOS2]],"VOLQUETA")</f>
        <v>0</v>
      </c>
      <c r="AC755" s="36">
        <f>COUNTIF(Tabla1[[#This Row],[VEHICULOS_ACCIDENTADOS]:[VEHICULOS_ACCIDENTADOS2]],"BICICLETA")</f>
        <v>0</v>
      </c>
      <c r="AD755" s="38" t="s">
        <v>471</v>
      </c>
      <c r="AE755" s="38" t="s">
        <v>472</v>
      </c>
      <c r="AF755" s="38">
        <f>COUNTIF(Tabla1[[#This Row],[GENERO_MASCULINO]:[GENERO_FEMENINO]],"MASCULINO")</f>
        <v>1</v>
      </c>
      <c r="AG755" s="36">
        <f>COUNTIF(Tabla1[[#This Row],[GENERO_MASCULINO]:[GENERO_FEMENINO]],"FEMENINO")</f>
        <v>1</v>
      </c>
      <c r="AH755" s="73">
        <v>24</v>
      </c>
      <c r="AI755" s="73">
        <v>74</v>
      </c>
      <c r="AJ755" s="73"/>
      <c r="AK755" s="73"/>
      <c r="AL755" s="73"/>
      <c r="AM755" s="7"/>
      <c r="AN755" s="73">
        <v>409</v>
      </c>
      <c r="AO755" s="36" t="str">
        <f>IFERROR(((VLOOKUP(Tabla1[[#This Row],[HIPOTESIS_1]],listas!$D$1:$E$105,2,FALSE))),"SIN INFORMACIÓN")</f>
        <v>Cruzar sin observar.</v>
      </c>
      <c r="AP755" s="7"/>
      <c r="AQ755" s="36" t="str">
        <f>IFERROR(((VLOOKUP(Tabla1[[#This Row],[HIPOTESIS_2]],listas!$D$1:$E$105,2,FALSE))),"")</f>
        <v/>
      </c>
      <c r="AR755" s="1" t="str">
        <f>IF(HOUR(Tabla1[[#This Row],[HORA_ACCIDENTE]])&lt;6,"MAÑANA",
 IF(HOUR(Tabla1[[#This Row],[HORA_ACCIDENTE]])&lt;12,"MAÑANA",
 IF(HOUR(Tabla1[[#This Row],[HORA_ACCIDENTE]])&lt;18,"TARDE","NOCHE")))</f>
        <v>TARDE</v>
      </c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</row>
    <row r="756" spans="1:56" x14ac:dyDescent="0.25">
      <c r="A756" s="12">
        <v>982</v>
      </c>
      <c r="B756" s="47">
        <v>0</v>
      </c>
      <c r="C756" s="24">
        <v>1</v>
      </c>
      <c r="D756" s="24">
        <v>0</v>
      </c>
      <c r="E756" s="18" t="str">
        <f t="shared" si="44"/>
        <v>LESIONADO</v>
      </c>
      <c r="F756" s="152" t="s">
        <v>1148</v>
      </c>
      <c r="G756" s="30">
        <v>5.3349000000000002</v>
      </c>
      <c r="H756" s="30">
        <v>-72.389712000000003</v>
      </c>
      <c r="I756" s="93" t="s">
        <v>697</v>
      </c>
      <c r="J756" s="7" t="s">
        <v>717</v>
      </c>
      <c r="K756" s="24" t="str">
        <f t="shared" si="45"/>
        <v>2025</v>
      </c>
      <c r="L756" s="24" t="str">
        <f t="shared" si="46"/>
        <v>JUNIO</v>
      </c>
      <c r="M756" s="236">
        <v>45814</v>
      </c>
      <c r="N756" s="24" t="str">
        <f t="shared" si="47"/>
        <v>VIERNES</v>
      </c>
      <c r="O756" s="106">
        <v>0.31597222222222221</v>
      </c>
      <c r="P756" s="8" t="s">
        <v>447</v>
      </c>
      <c r="Q756" s="8" t="s">
        <v>469</v>
      </c>
      <c r="R756" s="36">
        <f>COUNTIF(Tabla1[[#This Row],[VEHICULOS_ACCIDENTADOS]:[VEHICULOS_ACCIDENTADOS2]],"MOTOCICLETA")</f>
        <v>1</v>
      </c>
      <c r="S756" s="36">
        <f>COUNTIF(Tabla1[[#This Row],[VEHICULOS_ACCIDENTADOS]:[VEHICULOS_ACCIDENTADOS2]],"MOTOCARRO")</f>
        <v>0</v>
      </c>
      <c r="T756" s="36">
        <f>COUNTIF(Tabla1[[#This Row],[VEHICULOS_ACCIDENTADOS]:[VEHICULOS_ACCIDENTADOS2]],"AUTOMOVIL")</f>
        <v>1</v>
      </c>
      <c r="U756" s="36">
        <f>COUNTIF(Tabla1[[#This Row],[VEHICULOS_ACCIDENTADOS]:[VEHICULOS_ACCIDENTADOS2]],"CAMPERO")</f>
        <v>0</v>
      </c>
      <c r="V756" s="36">
        <f>COUNTIF(Tabla1[[#This Row],[VEHICULOS_ACCIDENTADOS]:[VEHICULOS_ACCIDENTADOS2]],"CAMIONETA")</f>
        <v>0</v>
      </c>
      <c r="W756" s="36">
        <f>COUNTIF(Tabla1[[#This Row],[VEHICULOS_ACCIDENTADOS]:[VEHICULOS_ACCIDENTADOS2]],"MICROBUS")</f>
        <v>0</v>
      </c>
      <c r="X756" s="36">
        <f>COUNTIF(Tabla1[[#This Row],[VEHICULOS_ACCIDENTADOS]:[VEHICULOS_ACCIDENTADOS2]],"BUS")</f>
        <v>0</v>
      </c>
      <c r="Y756" s="36">
        <f>COUNTIF(Tabla1[[#This Row],[VEHICULOS_ACCIDENTADOS]:[VEHICULOS_ACCIDENTADOS2]],"BUSETA")</f>
        <v>0</v>
      </c>
      <c r="Z756" s="36">
        <f>COUNTIF(Tabla1[[#This Row],[VEHICULOS_ACCIDENTADOS]:[VEHICULOS_ACCIDENTADOS2]],"CAMION")</f>
        <v>0</v>
      </c>
      <c r="AA756" s="36">
        <f>COUNTIF(Tabla1[[#This Row],[VEHICULOS_ACCIDENTADOS]:[VEHICULOS_ACCIDENTADOS2]],"TRACTOCAMION")</f>
        <v>0</v>
      </c>
      <c r="AB756" s="36">
        <f>COUNTIF(Tabla1[[#This Row],[VEHICULOS_ACCIDENTADOS]:[VEHICULOS_ACCIDENTADOS2]],"VOLQUETA")</f>
        <v>0</v>
      </c>
      <c r="AC756" s="36">
        <f>COUNTIF(Tabla1[[#This Row],[VEHICULOS_ACCIDENTADOS]:[VEHICULOS_ACCIDENTADOS2]],"BICICLETA")</f>
        <v>0</v>
      </c>
      <c r="AD756" s="50" t="s">
        <v>471</v>
      </c>
      <c r="AE756" s="50" t="s">
        <v>472</v>
      </c>
      <c r="AF756" s="50">
        <f>COUNTIF(Tabla1[[#This Row],[GENERO_MASCULINO]:[GENERO_FEMENINO]],"MASCULINO")</f>
        <v>1</v>
      </c>
      <c r="AG756" s="36">
        <f>COUNTIF(Tabla1[[#This Row],[GENERO_MASCULINO]:[GENERO_FEMENINO]],"FEMENINO")</f>
        <v>1</v>
      </c>
      <c r="AH756" s="194">
        <v>47</v>
      </c>
      <c r="AI756" s="194">
        <v>62</v>
      </c>
      <c r="AJ756" s="194"/>
      <c r="AK756" s="262"/>
      <c r="AL756" s="262"/>
      <c r="AM756" s="263"/>
      <c r="AN756" s="221">
        <v>132</v>
      </c>
      <c r="AO756" s="36" t="str">
        <f>IFERROR(((VLOOKUP(Tabla1[[#This Row],[HIPOTESIS_1]],listas!$D$1:$E$105,2,FALSE))),"SIN INFORMACIÓN")</f>
        <v>No respetar prelación.</v>
      </c>
      <c r="AP756" s="50"/>
      <c r="AQ756" s="36" t="str">
        <f>IFERROR(((VLOOKUP(Tabla1[[#This Row],[HIPOTESIS_2]],listas!$D$1:$E$105,2,FALSE))),"")</f>
        <v/>
      </c>
      <c r="AR756" s="1" t="str">
        <f>IF(HOUR(Tabla1[[#This Row],[HORA_ACCIDENTE]])&lt;6,"MAÑANA",
 IF(HOUR(Tabla1[[#This Row],[HORA_ACCIDENTE]])&lt;12,"MAÑANA",
 IF(HOUR(Tabla1[[#This Row],[HORA_ACCIDENTE]])&lt;18,"TARDE","NOCHE")))</f>
        <v>MAÑANA</v>
      </c>
      <c r="AS756" s="52"/>
      <c r="AT756" s="52"/>
      <c r="AU756" s="52"/>
      <c r="AV756" s="52"/>
      <c r="AW756" s="52"/>
      <c r="AX756" s="52"/>
      <c r="AY756" s="52"/>
      <c r="AZ756" s="52"/>
      <c r="BA756" s="52"/>
      <c r="BB756" s="52"/>
      <c r="BC756" s="52"/>
      <c r="BD756" s="51"/>
    </row>
    <row r="757" spans="1:56" x14ac:dyDescent="0.25">
      <c r="A757" s="12">
        <v>550</v>
      </c>
      <c r="B757" s="38">
        <v>0</v>
      </c>
      <c r="C757" s="7">
        <v>1</v>
      </c>
      <c r="D757" s="7">
        <v>0</v>
      </c>
      <c r="E757" s="18" t="str">
        <f t="shared" si="44"/>
        <v>LESIONADO</v>
      </c>
      <c r="F757" s="29" t="s">
        <v>1149</v>
      </c>
      <c r="G757" s="17">
        <v>5.3325027777777771</v>
      </c>
      <c r="H757" s="17">
        <v>-72.38847777777778</v>
      </c>
      <c r="I757" s="93" t="s">
        <v>697</v>
      </c>
      <c r="J757" s="7" t="s">
        <v>717</v>
      </c>
      <c r="K757" s="24" t="str">
        <f t="shared" si="45"/>
        <v>2023</v>
      </c>
      <c r="L757" s="24" t="str">
        <f t="shared" si="46"/>
        <v>SEPTIEMBRE</v>
      </c>
      <c r="M757" s="232">
        <v>45173</v>
      </c>
      <c r="N757" s="24" t="str">
        <f t="shared" si="47"/>
        <v>LUNES</v>
      </c>
      <c r="O757" s="106">
        <v>0.5625</v>
      </c>
      <c r="P757" s="39" t="s">
        <v>469</v>
      </c>
      <c r="Q757" s="39" t="s">
        <v>447</v>
      </c>
      <c r="R757" s="36">
        <f>COUNTIF(Tabla1[[#This Row],[VEHICULOS_ACCIDENTADOS]:[VEHICULOS_ACCIDENTADOS2]],"MOTOCICLETA")</f>
        <v>1</v>
      </c>
      <c r="S757" s="36">
        <f>COUNTIF(Tabla1[[#This Row],[VEHICULOS_ACCIDENTADOS]:[VEHICULOS_ACCIDENTADOS2]],"MOTOCARRO")</f>
        <v>0</v>
      </c>
      <c r="T757" s="36">
        <f>COUNTIF(Tabla1[[#This Row],[VEHICULOS_ACCIDENTADOS]:[VEHICULOS_ACCIDENTADOS2]],"AUTOMOVIL")</f>
        <v>1</v>
      </c>
      <c r="U757" s="36">
        <f>COUNTIF(Tabla1[[#This Row],[VEHICULOS_ACCIDENTADOS]:[VEHICULOS_ACCIDENTADOS2]],"CAMPERO")</f>
        <v>0</v>
      </c>
      <c r="V757" s="36">
        <f>COUNTIF(Tabla1[[#This Row],[VEHICULOS_ACCIDENTADOS]:[VEHICULOS_ACCIDENTADOS2]],"CAMIONETA")</f>
        <v>0</v>
      </c>
      <c r="W757" s="36">
        <f>COUNTIF(Tabla1[[#This Row],[VEHICULOS_ACCIDENTADOS]:[VEHICULOS_ACCIDENTADOS2]],"MICROBUS")</f>
        <v>0</v>
      </c>
      <c r="X757" s="36">
        <f>COUNTIF(Tabla1[[#This Row],[VEHICULOS_ACCIDENTADOS]:[VEHICULOS_ACCIDENTADOS2]],"BUS")</f>
        <v>0</v>
      </c>
      <c r="Y757" s="36">
        <f>COUNTIF(Tabla1[[#This Row],[VEHICULOS_ACCIDENTADOS]:[VEHICULOS_ACCIDENTADOS2]],"BUSETA")</f>
        <v>0</v>
      </c>
      <c r="Z757" s="36">
        <f>COUNTIF(Tabla1[[#This Row],[VEHICULOS_ACCIDENTADOS]:[VEHICULOS_ACCIDENTADOS2]],"CAMION")</f>
        <v>0</v>
      </c>
      <c r="AA757" s="36">
        <f>COUNTIF(Tabla1[[#This Row],[VEHICULOS_ACCIDENTADOS]:[VEHICULOS_ACCIDENTADOS2]],"TRACTOCAMION")</f>
        <v>0</v>
      </c>
      <c r="AB757" s="36">
        <f>COUNTIF(Tabla1[[#This Row],[VEHICULOS_ACCIDENTADOS]:[VEHICULOS_ACCIDENTADOS2]],"VOLQUETA")</f>
        <v>0</v>
      </c>
      <c r="AC757" s="36">
        <f>COUNTIF(Tabla1[[#This Row],[VEHICULOS_ACCIDENTADOS]:[VEHICULOS_ACCIDENTADOS2]],"BICICLETA")</f>
        <v>0</v>
      </c>
      <c r="AD757" s="38" t="s">
        <v>471</v>
      </c>
      <c r="AE757" s="38"/>
      <c r="AF757" s="38">
        <f>COUNTIF(Tabla1[[#This Row],[GENERO_MASCULINO]:[GENERO_FEMENINO]],"MASCULINO")</f>
        <v>1</v>
      </c>
      <c r="AG757" s="36">
        <f>COUNTIF(Tabla1[[#This Row],[GENERO_MASCULINO]:[GENERO_FEMENINO]],"FEMENINO")</f>
        <v>0</v>
      </c>
      <c r="AH757" s="73">
        <v>19</v>
      </c>
      <c r="AI757" s="73"/>
      <c r="AJ757" s="73"/>
      <c r="AK757" s="73"/>
      <c r="AL757" s="73"/>
      <c r="AM757" s="7"/>
      <c r="AN757" s="73">
        <v>142</v>
      </c>
      <c r="AO757" s="36" t="str">
        <f>IFERROR(((VLOOKUP(Tabla1[[#This Row],[HIPOTESIS_1]],listas!$D$1:$E$105,2,FALSE))),"SIN INFORMACIÓN")</f>
        <v>Semáforo en rojo.</v>
      </c>
      <c r="AP757" s="7"/>
      <c r="AQ757" s="36" t="str">
        <f>IFERROR(((VLOOKUP(Tabla1[[#This Row],[HIPOTESIS_2]],listas!$D$1:$E$105,2,FALSE))),"")</f>
        <v/>
      </c>
      <c r="AR757" s="1" t="str">
        <f>IF(HOUR(Tabla1[[#This Row],[HORA_ACCIDENTE]])&lt;6,"MAÑANA",
 IF(HOUR(Tabla1[[#This Row],[HORA_ACCIDENTE]])&lt;12,"MAÑANA",
 IF(HOUR(Tabla1[[#This Row],[HORA_ACCIDENTE]])&lt;18,"TARDE","NOCHE")))</f>
        <v>TARDE</v>
      </c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</row>
    <row r="758" spans="1:56" x14ac:dyDescent="0.25">
      <c r="A758" s="12">
        <v>87</v>
      </c>
      <c r="B758" s="38">
        <v>1</v>
      </c>
      <c r="C758" s="7">
        <v>0</v>
      </c>
      <c r="D758" s="7">
        <v>0</v>
      </c>
      <c r="E758" s="18" t="str">
        <f t="shared" si="44"/>
        <v>SOLO DAÑO</v>
      </c>
      <c r="F758" s="29" t="s">
        <v>1149</v>
      </c>
      <c r="G758" s="17">
        <v>5.3324694444444445</v>
      </c>
      <c r="H758" s="17">
        <v>-72.388472222222234</v>
      </c>
      <c r="I758" s="93" t="s">
        <v>697</v>
      </c>
      <c r="J758" s="7" t="s">
        <v>717</v>
      </c>
      <c r="K758" s="24" t="str">
        <f t="shared" si="45"/>
        <v>2022</v>
      </c>
      <c r="L758" s="24" t="str">
        <f t="shared" si="46"/>
        <v>MARZO</v>
      </c>
      <c r="M758" s="232">
        <v>44632</v>
      </c>
      <c r="N758" s="24" t="str">
        <f t="shared" si="47"/>
        <v>SÁBADO</v>
      </c>
      <c r="O758" s="106">
        <v>0.77083333333333337</v>
      </c>
      <c r="P758" s="8" t="s">
        <v>447</v>
      </c>
      <c r="Q758" s="8" t="s">
        <v>447</v>
      </c>
      <c r="R758" s="36">
        <f>COUNTIF(Tabla1[[#This Row],[VEHICULOS_ACCIDENTADOS]:[VEHICULOS_ACCIDENTADOS2]],"MOTOCICLETA")</f>
        <v>0</v>
      </c>
      <c r="S758" s="36">
        <f>COUNTIF(Tabla1[[#This Row],[VEHICULOS_ACCIDENTADOS]:[VEHICULOS_ACCIDENTADOS2]],"MOTOCARRO")</f>
        <v>0</v>
      </c>
      <c r="T758" s="36">
        <f>COUNTIF(Tabla1[[#This Row],[VEHICULOS_ACCIDENTADOS]:[VEHICULOS_ACCIDENTADOS2]],"AUTOMOVIL")</f>
        <v>2</v>
      </c>
      <c r="U758" s="36">
        <f>COUNTIF(Tabla1[[#This Row],[VEHICULOS_ACCIDENTADOS]:[VEHICULOS_ACCIDENTADOS2]],"CAMPERO")</f>
        <v>0</v>
      </c>
      <c r="V758" s="36">
        <f>COUNTIF(Tabla1[[#This Row],[VEHICULOS_ACCIDENTADOS]:[VEHICULOS_ACCIDENTADOS2]],"CAMIONETA")</f>
        <v>0</v>
      </c>
      <c r="W758" s="36">
        <f>COUNTIF(Tabla1[[#This Row],[VEHICULOS_ACCIDENTADOS]:[VEHICULOS_ACCIDENTADOS2]],"MICROBUS")</f>
        <v>0</v>
      </c>
      <c r="X758" s="36">
        <f>COUNTIF(Tabla1[[#This Row],[VEHICULOS_ACCIDENTADOS]:[VEHICULOS_ACCIDENTADOS2]],"BUS")</f>
        <v>0</v>
      </c>
      <c r="Y758" s="36">
        <f>COUNTIF(Tabla1[[#This Row],[VEHICULOS_ACCIDENTADOS]:[VEHICULOS_ACCIDENTADOS2]],"BUSETA")</f>
        <v>0</v>
      </c>
      <c r="Z758" s="36">
        <f>COUNTIF(Tabla1[[#This Row],[VEHICULOS_ACCIDENTADOS]:[VEHICULOS_ACCIDENTADOS2]],"CAMION")</f>
        <v>0</v>
      </c>
      <c r="AA758" s="36">
        <f>COUNTIF(Tabla1[[#This Row],[VEHICULOS_ACCIDENTADOS]:[VEHICULOS_ACCIDENTADOS2]],"TRACTOCAMION")</f>
        <v>0</v>
      </c>
      <c r="AB758" s="36">
        <f>COUNTIF(Tabla1[[#This Row],[VEHICULOS_ACCIDENTADOS]:[VEHICULOS_ACCIDENTADOS2]],"VOLQUETA")</f>
        <v>0</v>
      </c>
      <c r="AC758" s="36">
        <f>COUNTIF(Tabla1[[#This Row],[VEHICULOS_ACCIDENTADOS]:[VEHICULOS_ACCIDENTADOS2]],"BICICLETA")</f>
        <v>0</v>
      </c>
      <c r="AD758" s="38" t="s">
        <v>471</v>
      </c>
      <c r="AE758" s="38"/>
      <c r="AF758" s="38">
        <f>COUNTIF(Tabla1[[#This Row],[GENERO_MASCULINO]:[GENERO_FEMENINO]],"MASCULINO")</f>
        <v>1</v>
      </c>
      <c r="AG758" s="36">
        <f>COUNTIF(Tabla1[[#This Row],[GENERO_MASCULINO]:[GENERO_FEMENINO]],"FEMENINO")</f>
        <v>0</v>
      </c>
      <c r="AH758" s="73"/>
      <c r="AI758" s="73"/>
      <c r="AJ758" s="73"/>
      <c r="AK758" s="73"/>
      <c r="AL758" s="73"/>
      <c r="AM758" s="7"/>
      <c r="AN758" s="73">
        <v>121</v>
      </c>
      <c r="AO758" s="36" t="str">
        <f>IFERROR(((VLOOKUP(Tabla1[[#This Row],[HIPOTESIS_1]],listas!$D$1:$E$105,2,FALSE))),"SIN INFORMACIÓN")</f>
        <v>No mantener distancia de seguridad.</v>
      </c>
      <c r="AP758" s="7"/>
      <c r="AQ758" s="36" t="str">
        <f>IFERROR(((VLOOKUP(Tabla1[[#This Row],[HIPOTESIS_2]],listas!$D$1:$E$105,2,FALSE))),"")</f>
        <v/>
      </c>
      <c r="AR758" s="1" t="str">
        <f>IF(HOUR(Tabla1[[#This Row],[HORA_ACCIDENTE]])&lt;6,"MAÑANA",
 IF(HOUR(Tabla1[[#This Row],[HORA_ACCIDENTE]])&lt;12,"MAÑANA",
 IF(HOUR(Tabla1[[#This Row],[HORA_ACCIDENTE]])&lt;18,"TARDE","NOCHE")))</f>
        <v>NOCHE</v>
      </c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40"/>
    </row>
    <row r="759" spans="1:56" x14ac:dyDescent="0.25">
      <c r="A759" s="12">
        <v>795</v>
      </c>
      <c r="B759" s="97">
        <v>0</v>
      </c>
      <c r="C759" s="15">
        <v>1</v>
      </c>
      <c r="D759" s="19">
        <v>0</v>
      </c>
      <c r="E759" s="18" t="str">
        <f t="shared" si="44"/>
        <v>LESIONADO</v>
      </c>
      <c r="F759" s="26" t="s">
        <v>1150</v>
      </c>
      <c r="G759" s="17">
        <v>5.3285472222222223</v>
      </c>
      <c r="H759" s="17">
        <v>-72.386288888888899</v>
      </c>
      <c r="I759" s="93" t="s">
        <v>697</v>
      </c>
      <c r="J759" s="7" t="s">
        <v>717</v>
      </c>
      <c r="K759" s="24" t="str">
        <f t="shared" si="45"/>
        <v>2024</v>
      </c>
      <c r="L759" s="24" t="str">
        <f t="shared" si="46"/>
        <v>OCTUBRE</v>
      </c>
      <c r="M759" s="234">
        <v>45583</v>
      </c>
      <c r="N759" s="24" t="str">
        <f t="shared" si="47"/>
        <v>VIERNES</v>
      </c>
      <c r="O759" s="108">
        <v>0.35416666666666669</v>
      </c>
      <c r="P759" s="44" t="s">
        <v>469</v>
      </c>
      <c r="Q759" s="44" t="s">
        <v>469</v>
      </c>
      <c r="R759" s="36">
        <f>COUNTIF(Tabla1[[#This Row],[VEHICULOS_ACCIDENTADOS]:[VEHICULOS_ACCIDENTADOS2]],"MOTOCICLETA")</f>
        <v>2</v>
      </c>
      <c r="S759" s="36">
        <f>COUNTIF(Tabla1[[#This Row],[VEHICULOS_ACCIDENTADOS]:[VEHICULOS_ACCIDENTADOS2]],"MOTOCARRO")</f>
        <v>0</v>
      </c>
      <c r="T759" s="36">
        <f>COUNTIF(Tabla1[[#This Row],[VEHICULOS_ACCIDENTADOS]:[VEHICULOS_ACCIDENTADOS2]],"AUTOMOVIL")</f>
        <v>0</v>
      </c>
      <c r="U759" s="36">
        <f>COUNTIF(Tabla1[[#This Row],[VEHICULOS_ACCIDENTADOS]:[VEHICULOS_ACCIDENTADOS2]],"CAMPERO")</f>
        <v>0</v>
      </c>
      <c r="V759" s="36">
        <f>COUNTIF(Tabla1[[#This Row],[VEHICULOS_ACCIDENTADOS]:[VEHICULOS_ACCIDENTADOS2]],"CAMIONETA")</f>
        <v>0</v>
      </c>
      <c r="W759" s="36">
        <f>COUNTIF(Tabla1[[#This Row],[VEHICULOS_ACCIDENTADOS]:[VEHICULOS_ACCIDENTADOS2]],"MICROBUS")</f>
        <v>0</v>
      </c>
      <c r="X759" s="36">
        <f>COUNTIF(Tabla1[[#This Row],[VEHICULOS_ACCIDENTADOS]:[VEHICULOS_ACCIDENTADOS2]],"BUS")</f>
        <v>0</v>
      </c>
      <c r="Y759" s="36">
        <f>COUNTIF(Tabla1[[#This Row],[VEHICULOS_ACCIDENTADOS]:[VEHICULOS_ACCIDENTADOS2]],"BUSETA")</f>
        <v>0</v>
      </c>
      <c r="Z759" s="36">
        <f>COUNTIF(Tabla1[[#This Row],[VEHICULOS_ACCIDENTADOS]:[VEHICULOS_ACCIDENTADOS2]],"CAMION")</f>
        <v>0</v>
      </c>
      <c r="AA759" s="36">
        <f>COUNTIF(Tabla1[[#This Row],[VEHICULOS_ACCIDENTADOS]:[VEHICULOS_ACCIDENTADOS2]],"TRACTOCAMION")</f>
        <v>0</v>
      </c>
      <c r="AB759" s="36">
        <f>COUNTIF(Tabla1[[#This Row],[VEHICULOS_ACCIDENTADOS]:[VEHICULOS_ACCIDENTADOS2]],"VOLQUETA")</f>
        <v>0</v>
      </c>
      <c r="AC759" s="36">
        <f>COUNTIF(Tabla1[[#This Row],[VEHICULOS_ACCIDENTADOS]:[VEHICULOS_ACCIDENTADOS2]],"BICICLETA")</f>
        <v>0</v>
      </c>
      <c r="AD759" s="43" t="s">
        <v>471</v>
      </c>
      <c r="AE759" s="43" t="s">
        <v>472</v>
      </c>
      <c r="AF759" s="43">
        <f>COUNTIF(Tabla1[[#This Row],[GENERO_MASCULINO]:[GENERO_FEMENINO]],"MASCULINO")</f>
        <v>1</v>
      </c>
      <c r="AG759" s="36">
        <f>COUNTIF(Tabla1[[#This Row],[GENERO_MASCULINO]:[GENERO_FEMENINO]],"FEMENINO")</f>
        <v>1</v>
      </c>
      <c r="AH759" s="86">
        <v>34</v>
      </c>
      <c r="AI759" s="86">
        <v>21</v>
      </c>
      <c r="AJ759" s="86"/>
      <c r="AK759" s="86"/>
      <c r="AL759" s="86"/>
      <c r="AM759" s="15"/>
      <c r="AN759" s="86">
        <v>139</v>
      </c>
      <c r="AO759" s="36" t="str">
        <f>IFERROR(((VLOOKUP(Tabla1[[#This Row],[HIPOTESIS_1]],listas!$D$1:$E$105,2,FALSE))),"SIN INFORMACIÓN")</f>
        <v>Impericia en el manejo.</v>
      </c>
      <c r="AP759" s="15"/>
      <c r="AQ759" s="36" t="str">
        <f>IFERROR(((VLOOKUP(Tabla1[[#This Row],[HIPOTESIS_2]],listas!$D$1:$E$105,2,FALSE))),"")</f>
        <v/>
      </c>
      <c r="AR759" s="1" t="str">
        <f>IF(HOUR(Tabla1[[#This Row],[HORA_ACCIDENTE]])&lt;6,"MAÑANA",
 IF(HOUR(Tabla1[[#This Row],[HORA_ACCIDENTE]])&lt;12,"MAÑANA",
 IF(HOUR(Tabla1[[#This Row],[HORA_ACCIDENTE]])&lt;18,"TARDE","NOCHE")))</f>
        <v>MAÑANA</v>
      </c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40"/>
    </row>
    <row r="760" spans="1:56" x14ac:dyDescent="0.25">
      <c r="A760" s="12">
        <v>520</v>
      </c>
      <c r="B760" s="38">
        <v>0</v>
      </c>
      <c r="C760" s="7">
        <v>1</v>
      </c>
      <c r="D760" s="7">
        <v>0</v>
      </c>
      <c r="E760" s="18" t="str">
        <f t="shared" si="44"/>
        <v>LESIONADO</v>
      </c>
      <c r="F760" s="29" t="s">
        <v>1150</v>
      </c>
      <c r="G760" s="17">
        <v>5.3285472222222223</v>
      </c>
      <c r="H760" s="17">
        <v>-72.386288888888899</v>
      </c>
      <c r="I760" s="93" t="s">
        <v>697</v>
      </c>
      <c r="J760" s="7" t="s">
        <v>717</v>
      </c>
      <c r="K760" s="24" t="str">
        <f t="shared" si="45"/>
        <v>2023</v>
      </c>
      <c r="L760" s="24" t="str">
        <f t="shared" si="46"/>
        <v>JULIO</v>
      </c>
      <c r="M760" s="232">
        <v>45113</v>
      </c>
      <c r="N760" s="24" t="str">
        <f t="shared" si="47"/>
        <v>JUEVES</v>
      </c>
      <c r="O760" s="106">
        <v>0.2986111111111111</v>
      </c>
      <c r="P760" s="39" t="s">
        <v>469</v>
      </c>
      <c r="Q760" s="39" t="s">
        <v>441</v>
      </c>
      <c r="R760" s="36">
        <f>COUNTIF(Tabla1[[#This Row],[VEHICULOS_ACCIDENTADOS]:[VEHICULOS_ACCIDENTADOS2]],"MOTOCICLETA")</f>
        <v>1</v>
      </c>
      <c r="S760" s="36">
        <f>COUNTIF(Tabla1[[#This Row],[VEHICULOS_ACCIDENTADOS]:[VEHICULOS_ACCIDENTADOS2]],"MOTOCARRO")</f>
        <v>0</v>
      </c>
      <c r="T760" s="36">
        <f>COUNTIF(Tabla1[[#This Row],[VEHICULOS_ACCIDENTADOS]:[VEHICULOS_ACCIDENTADOS2]],"AUTOMOVIL")</f>
        <v>0</v>
      </c>
      <c r="U760" s="36">
        <f>COUNTIF(Tabla1[[#This Row],[VEHICULOS_ACCIDENTADOS]:[VEHICULOS_ACCIDENTADOS2]],"CAMPERO")</f>
        <v>0</v>
      </c>
      <c r="V760" s="36">
        <f>COUNTIF(Tabla1[[#This Row],[VEHICULOS_ACCIDENTADOS]:[VEHICULOS_ACCIDENTADOS2]],"CAMIONETA")</f>
        <v>0</v>
      </c>
      <c r="W760" s="36">
        <f>COUNTIF(Tabla1[[#This Row],[VEHICULOS_ACCIDENTADOS]:[VEHICULOS_ACCIDENTADOS2]],"MICROBUS")</f>
        <v>0</v>
      </c>
      <c r="X760" s="36">
        <f>COUNTIF(Tabla1[[#This Row],[VEHICULOS_ACCIDENTADOS]:[VEHICULOS_ACCIDENTADOS2]],"BUS")</f>
        <v>0</v>
      </c>
      <c r="Y760" s="36">
        <f>COUNTIF(Tabla1[[#This Row],[VEHICULOS_ACCIDENTADOS]:[VEHICULOS_ACCIDENTADOS2]],"BUSETA")</f>
        <v>0</v>
      </c>
      <c r="Z760" s="36">
        <f>COUNTIF(Tabla1[[#This Row],[VEHICULOS_ACCIDENTADOS]:[VEHICULOS_ACCIDENTADOS2]],"CAMION")</f>
        <v>1</v>
      </c>
      <c r="AA760" s="36">
        <f>COUNTIF(Tabla1[[#This Row],[VEHICULOS_ACCIDENTADOS]:[VEHICULOS_ACCIDENTADOS2]],"TRACTOCAMION")</f>
        <v>0</v>
      </c>
      <c r="AB760" s="36">
        <f>COUNTIF(Tabla1[[#This Row],[VEHICULOS_ACCIDENTADOS]:[VEHICULOS_ACCIDENTADOS2]],"VOLQUETA")</f>
        <v>0</v>
      </c>
      <c r="AC760" s="36">
        <f>COUNTIF(Tabla1[[#This Row],[VEHICULOS_ACCIDENTADOS]:[VEHICULOS_ACCIDENTADOS2]],"BICICLETA")</f>
        <v>0</v>
      </c>
      <c r="AD760" s="38" t="s">
        <v>471</v>
      </c>
      <c r="AE760" s="38"/>
      <c r="AF760" s="38">
        <f>COUNTIF(Tabla1[[#This Row],[GENERO_MASCULINO]:[GENERO_FEMENINO]],"MASCULINO")</f>
        <v>1</v>
      </c>
      <c r="AG760" s="36">
        <f>COUNTIF(Tabla1[[#This Row],[GENERO_MASCULINO]:[GENERO_FEMENINO]],"FEMENINO")</f>
        <v>0</v>
      </c>
      <c r="AH760" s="73">
        <v>29</v>
      </c>
      <c r="AI760" s="73"/>
      <c r="AJ760" s="73"/>
      <c r="AK760" s="73"/>
      <c r="AL760" s="73"/>
      <c r="AM760" s="7"/>
      <c r="AN760" s="73">
        <v>112</v>
      </c>
      <c r="AO760" s="36" t="str">
        <f>IFERROR(((VLOOKUP(Tabla1[[#This Row],[HIPOTESIS_1]],listas!$D$1:$E$105,2,FALSE))),"SIN INFORMACIÓN")</f>
        <v>Desobedecer señales o normas de tránsito.</v>
      </c>
      <c r="AP760" s="7"/>
      <c r="AQ760" s="36" t="str">
        <f>IFERROR(((VLOOKUP(Tabla1[[#This Row],[HIPOTESIS_2]],listas!$D$1:$E$105,2,FALSE))),"")</f>
        <v/>
      </c>
      <c r="AR760" s="1" t="str">
        <f>IF(HOUR(Tabla1[[#This Row],[HORA_ACCIDENTE]])&lt;6,"MAÑANA",
 IF(HOUR(Tabla1[[#This Row],[HORA_ACCIDENTE]])&lt;12,"MAÑANA",
 IF(HOUR(Tabla1[[#This Row],[HORA_ACCIDENTE]])&lt;18,"TARDE","NOCHE")))</f>
        <v>MAÑANA</v>
      </c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s="40"/>
    </row>
    <row r="761" spans="1:56" x14ac:dyDescent="0.25">
      <c r="A761" s="12">
        <v>225</v>
      </c>
      <c r="B761" s="38">
        <v>0</v>
      </c>
      <c r="C761" s="7">
        <v>1</v>
      </c>
      <c r="D761" s="7">
        <v>0</v>
      </c>
      <c r="E761" s="18" t="str">
        <f t="shared" si="44"/>
        <v>LESIONADO</v>
      </c>
      <c r="F761" s="29" t="s">
        <v>1150</v>
      </c>
      <c r="G761" s="17">
        <v>5.3285472222222223</v>
      </c>
      <c r="H761" s="17">
        <v>-72.386291666666679</v>
      </c>
      <c r="I761" s="93" t="s">
        <v>697</v>
      </c>
      <c r="J761" s="7" t="s">
        <v>717</v>
      </c>
      <c r="K761" s="24" t="str">
        <f t="shared" si="45"/>
        <v>2022</v>
      </c>
      <c r="L761" s="24" t="str">
        <f t="shared" si="46"/>
        <v>JUNIO</v>
      </c>
      <c r="M761" s="232">
        <v>44729</v>
      </c>
      <c r="N761" s="24" t="str">
        <f t="shared" si="47"/>
        <v>VIERNES</v>
      </c>
      <c r="O761" s="174">
        <v>0.2638888888888889</v>
      </c>
      <c r="P761" s="180" t="s">
        <v>469</v>
      </c>
      <c r="Q761" s="180" t="s">
        <v>445</v>
      </c>
      <c r="R761" s="36">
        <f>COUNTIF(Tabla1[[#This Row],[VEHICULOS_ACCIDENTADOS]:[VEHICULOS_ACCIDENTADOS2]],"MOTOCICLETA")</f>
        <v>1</v>
      </c>
      <c r="S761" s="36">
        <f>COUNTIF(Tabla1[[#This Row],[VEHICULOS_ACCIDENTADOS]:[VEHICULOS_ACCIDENTADOS2]],"MOTOCARRO")</f>
        <v>0</v>
      </c>
      <c r="T761" s="36">
        <f>COUNTIF(Tabla1[[#This Row],[VEHICULOS_ACCIDENTADOS]:[VEHICULOS_ACCIDENTADOS2]],"AUTOMOVIL")</f>
        <v>0</v>
      </c>
      <c r="U761" s="36">
        <f>COUNTIF(Tabla1[[#This Row],[VEHICULOS_ACCIDENTADOS]:[VEHICULOS_ACCIDENTADOS2]],"CAMPERO")</f>
        <v>0</v>
      </c>
      <c r="V761" s="36">
        <f>COUNTIF(Tabla1[[#This Row],[VEHICULOS_ACCIDENTADOS]:[VEHICULOS_ACCIDENTADOS2]],"CAMIONETA")</f>
        <v>1</v>
      </c>
      <c r="W761" s="36">
        <f>COUNTIF(Tabla1[[#This Row],[VEHICULOS_ACCIDENTADOS]:[VEHICULOS_ACCIDENTADOS2]],"MICROBUS")</f>
        <v>0</v>
      </c>
      <c r="X761" s="36">
        <f>COUNTIF(Tabla1[[#This Row],[VEHICULOS_ACCIDENTADOS]:[VEHICULOS_ACCIDENTADOS2]],"BUS")</f>
        <v>0</v>
      </c>
      <c r="Y761" s="36">
        <f>COUNTIF(Tabla1[[#This Row],[VEHICULOS_ACCIDENTADOS]:[VEHICULOS_ACCIDENTADOS2]],"BUSETA")</f>
        <v>0</v>
      </c>
      <c r="Z761" s="36">
        <f>COUNTIF(Tabla1[[#This Row],[VEHICULOS_ACCIDENTADOS]:[VEHICULOS_ACCIDENTADOS2]],"CAMION")</f>
        <v>0</v>
      </c>
      <c r="AA761" s="36">
        <f>COUNTIF(Tabla1[[#This Row],[VEHICULOS_ACCIDENTADOS]:[VEHICULOS_ACCIDENTADOS2]],"TRACTOCAMION")</f>
        <v>0</v>
      </c>
      <c r="AB761" s="36">
        <f>COUNTIF(Tabla1[[#This Row],[VEHICULOS_ACCIDENTADOS]:[VEHICULOS_ACCIDENTADOS2]],"VOLQUETA")</f>
        <v>0</v>
      </c>
      <c r="AC761" s="36">
        <f>COUNTIF(Tabla1[[#This Row],[VEHICULOS_ACCIDENTADOS]:[VEHICULOS_ACCIDENTADOS2]],"BICICLETA")</f>
        <v>0</v>
      </c>
      <c r="AD761" s="38"/>
      <c r="AE761" s="38" t="s">
        <v>472</v>
      </c>
      <c r="AF761" s="38">
        <f>COUNTIF(Tabla1[[#This Row],[GENERO_MASCULINO]:[GENERO_FEMENINO]],"MASCULINO")</f>
        <v>0</v>
      </c>
      <c r="AG761" s="36">
        <f>COUNTIF(Tabla1[[#This Row],[GENERO_MASCULINO]:[GENERO_FEMENINO]],"FEMENINO")</f>
        <v>1</v>
      </c>
      <c r="AH761" s="73">
        <v>33</v>
      </c>
      <c r="AI761" s="73"/>
      <c r="AJ761" s="73"/>
      <c r="AK761" s="73"/>
      <c r="AL761" s="73"/>
      <c r="AM761" s="7"/>
      <c r="AN761" s="73">
        <v>112</v>
      </c>
      <c r="AO761" s="36" t="str">
        <f>IFERROR(((VLOOKUP(Tabla1[[#This Row],[HIPOTESIS_1]],listas!$D$1:$E$105,2,FALSE))),"SIN INFORMACIÓN")</f>
        <v>Desobedecer señales o normas de tránsito.</v>
      </c>
      <c r="AP761" s="7"/>
      <c r="AQ761" s="36" t="str">
        <f>IFERROR(((VLOOKUP(Tabla1[[#This Row],[HIPOTESIS_2]],listas!$D$1:$E$105,2,FALSE))),"")</f>
        <v/>
      </c>
      <c r="AR761" s="1" t="str">
        <f>IF(HOUR(Tabla1[[#This Row],[HORA_ACCIDENTE]])&lt;6,"MAÑANA",
 IF(HOUR(Tabla1[[#This Row],[HORA_ACCIDENTE]])&lt;12,"MAÑANA",
 IF(HOUR(Tabla1[[#This Row],[HORA_ACCIDENTE]])&lt;18,"TARDE","NOCHE")))</f>
        <v>MAÑANA</v>
      </c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40"/>
    </row>
    <row r="762" spans="1:56" x14ac:dyDescent="0.25">
      <c r="A762" s="12">
        <v>596</v>
      </c>
      <c r="B762" s="38">
        <v>0</v>
      </c>
      <c r="C762" s="7">
        <v>1</v>
      </c>
      <c r="D762" s="7">
        <v>0</v>
      </c>
      <c r="E762" s="18" t="str">
        <f t="shared" si="44"/>
        <v>LESIONADO</v>
      </c>
      <c r="F762" s="29" t="s">
        <v>1151</v>
      </c>
      <c r="G762" s="21">
        <v>5.3246861111111112</v>
      </c>
      <c r="H762" s="21">
        <v>-72.384172222222233</v>
      </c>
      <c r="I762" s="93" t="s">
        <v>697</v>
      </c>
      <c r="J762" s="7" t="s">
        <v>717</v>
      </c>
      <c r="K762" s="24" t="str">
        <f t="shared" si="45"/>
        <v>2023</v>
      </c>
      <c r="L762" s="24" t="str">
        <f t="shared" si="46"/>
        <v>NOVIEMBRE</v>
      </c>
      <c r="M762" s="232">
        <v>45232</v>
      </c>
      <c r="N762" s="24" t="str">
        <f t="shared" si="47"/>
        <v>JUEVES</v>
      </c>
      <c r="O762" s="106">
        <v>0.65277777777777779</v>
      </c>
      <c r="P762" s="39" t="s">
        <v>469</v>
      </c>
      <c r="Q762" s="39" t="s">
        <v>445</v>
      </c>
      <c r="R762" s="36">
        <f>COUNTIF(Tabla1[[#This Row],[VEHICULOS_ACCIDENTADOS]:[VEHICULOS_ACCIDENTADOS2]],"MOTOCICLETA")</f>
        <v>1</v>
      </c>
      <c r="S762" s="36">
        <f>COUNTIF(Tabla1[[#This Row],[VEHICULOS_ACCIDENTADOS]:[VEHICULOS_ACCIDENTADOS2]],"MOTOCARRO")</f>
        <v>0</v>
      </c>
      <c r="T762" s="36">
        <f>COUNTIF(Tabla1[[#This Row],[VEHICULOS_ACCIDENTADOS]:[VEHICULOS_ACCIDENTADOS2]],"AUTOMOVIL")</f>
        <v>0</v>
      </c>
      <c r="U762" s="36">
        <f>COUNTIF(Tabla1[[#This Row],[VEHICULOS_ACCIDENTADOS]:[VEHICULOS_ACCIDENTADOS2]],"CAMPERO")</f>
        <v>0</v>
      </c>
      <c r="V762" s="36">
        <f>COUNTIF(Tabla1[[#This Row],[VEHICULOS_ACCIDENTADOS]:[VEHICULOS_ACCIDENTADOS2]],"CAMIONETA")</f>
        <v>1</v>
      </c>
      <c r="W762" s="36">
        <f>COUNTIF(Tabla1[[#This Row],[VEHICULOS_ACCIDENTADOS]:[VEHICULOS_ACCIDENTADOS2]],"MICROBUS")</f>
        <v>0</v>
      </c>
      <c r="X762" s="36">
        <f>COUNTIF(Tabla1[[#This Row],[VEHICULOS_ACCIDENTADOS]:[VEHICULOS_ACCIDENTADOS2]],"BUS")</f>
        <v>0</v>
      </c>
      <c r="Y762" s="36">
        <f>COUNTIF(Tabla1[[#This Row],[VEHICULOS_ACCIDENTADOS]:[VEHICULOS_ACCIDENTADOS2]],"BUSETA")</f>
        <v>0</v>
      </c>
      <c r="Z762" s="36">
        <f>COUNTIF(Tabla1[[#This Row],[VEHICULOS_ACCIDENTADOS]:[VEHICULOS_ACCIDENTADOS2]],"CAMION")</f>
        <v>0</v>
      </c>
      <c r="AA762" s="36">
        <f>COUNTIF(Tabla1[[#This Row],[VEHICULOS_ACCIDENTADOS]:[VEHICULOS_ACCIDENTADOS2]],"TRACTOCAMION")</f>
        <v>0</v>
      </c>
      <c r="AB762" s="36">
        <f>COUNTIF(Tabla1[[#This Row],[VEHICULOS_ACCIDENTADOS]:[VEHICULOS_ACCIDENTADOS2]],"VOLQUETA")</f>
        <v>0</v>
      </c>
      <c r="AC762" s="36">
        <f>COUNTIF(Tabla1[[#This Row],[VEHICULOS_ACCIDENTADOS]:[VEHICULOS_ACCIDENTADOS2]],"BICICLETA")</f>
        <v>0</v>
      </c>
      <c r="AD762" s="38" t="s">
        <v>471</v>
      </c>
      <c r="AE762" s="38"/>
      <c r="AF762" s="38">
        <f>COUNTIF(Tabla1[[#This Row],[GENERO_MASCULINO]:[GENERO_FEMENINO]],"MASCULINO")</f>
        <v>1</v>
      </c>
      <c r="AG762" s="36">
        <f>COUNTIF(Tabla1[[#This Row],[GENERO_MASCULINO]:[GENERO_FEMENINO]],"FEMENINO")</f>
        <v>0</v>
      </c>
      <c r="AH762" s="73">
        <v>26</v>
      </c>
      <c r="AI762" s="73"/>
      <c r="AJ762" s="87"/>
      <c r="AK762" s="73"/>
      <c r="AL762" s="73"/>
      <c r="AM762" s="7"/>
      <c r="AN762" s="73">
        <v>139</v>
      </c>
      <c r="AO762" s="36" t="str">
        <f>IFERROR(((VLOOKUP(Tabla1[[#This Row],[HIPOTESIS_1]],listas!$D$1:$E$105,2,FALSE))),"SIN INFORMACIÓN")</f>
        <v>Impericia en el manejo.</v>
      </c>
      <c r="AP762" s="7"/>
      <c r="AQ762" s="36" t="str">
        <f>IFERROR(((VLOOKUP(Tabla1[[#This Row],[HIPOTESIS_2]],listas!$D$1:$E$105,2,FALSE))),"")</f>
        <v/>
      </c>
      <c r="AR762" s="1" t="str">
        <f>IF(HOUR(Tabla1[[#This Row],[HORA_ACCIDENTE]])&lt;6,"MAÑANA",
 IF(HOUR(Tabla1[[#This Row],[HORA_ACCIDENTE]])&lt;12,"MAÑANA",
 IF(HOUR(Tabla1[[#This Row],[HORA_ACCIDENTE]])&lt;18,"TARDE","NOCHE")))</f>
        <v>TARDE</v>
      </c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s="40"/>
    </row>
    <row r="763" spans="1:56" x14ac:dyDescent="0.25">
      <c r="A763" s="12">
        <v>988</v>
      </c>
      <c r="B763" s="47">
        <v>0</v>
      </c>
      <c r="C763" s="24">
        <v>1</v>
      </c>
      <c r="D763" s="24">
        <v>0</v>
      </c>
      <c r="E763" s="18" t="str">
        <f t="shared" si="44"/>
        <v>LESIONADO</v>
      </c>
      <c r="F763" s="152" t="s">
        <v>1151</v>
      </c>
      <c r="G763" s="30">
        <v>5.3247169999999997</v>
      </c>
      <c r="H763" s="30">
        <v>-72.384192999999996</v>
      </c>
      <c r="I763" s="93" t="s">
        <v>697</v>
      </c>
      <c r="J763" s="7" t="s">
        <v>717</v>
      </c>
      <c r="K763" s="24" t="str">
        <f t="shared" si="45"/>
        <v>2025</v>
      </c>
      <c r="L763" s="24" t="str">
        <f t="shared" si="46"/>
        <v>JUNIO</v>
      </c>
      <c r="M763" s="236">
        <v>45821</v>
      </c>
      <c r="N763" s="24" t="str">
        <f t="shared" si="47"/>
        <v>VIERNES</v>
      </c>
      <c r="O763" s="106">
        <v>0.41666666666666669</v>
      </c>
      <c r="P763" s="8" t="s">
        <v>447</v>
      </c>
      <c r="Q763" s="8" t="s">
        <v>469</v>
      </c>
      <c r="R763" s="36">
        <f>COUNTIF(Tabla1[[#This Row],[VEHICULOS_ACCIDENTADOS]:[VEHICULOS_ACCIDENTADOS2]],"MOTOCICLETA")</f>
        <v>1</v>
      </c>
      <c r="S763" s="36">
        <f>COUNTIF(Tabla1[[#This Row],[VEHICULOS_ACCIDENTADOS]:[VEHICULOS_ACCIDENTADOS2]],"MOTOCARRO")</f>
        <v>0</v>
      </c>
      <c r="T763" s="36">
        <f>COUNTIF(Tabla1[[#This Row],[VEHICULOS_ACCIDENTADOS]:[VEHICULOS_ACCIDENTADOS2]],"AUTOMOVIL")</f>
        <v>1</v>
      </c>
      <c r="U763" s="36">
        <f>COUNTIF(Tabla1[[#This Row],[VEHICULOS_ACCIDENTADOS]:[VEHICULOS_ACCIDENTADOS2]],"CAMPERO")</f>
        <v>0</v>
      </c>
      <c r="V763" s="36">
        <f>COUNTIF(Tabla1[[#This Row],[VEHICULOS_ACCIDENTADOS]:[VEHICULOS_ACCIDENTADOS2]],"CAMIONETA")</f>
        <v>0</v>
      </c>
      <c r="W763" s="36">
        <f>COUNTIF(Tabla1[[#This Row],[VEHICULOS_ACCIDENTADOS]:[VEHICULOS_ACCIDENTADOS2]],"MICROBUS")</f>
        <v>0</v>
      </c>
      <c r="X763" s="36">
        <f>COUNTIF(Tabla1[[#This Row],[VEHICULOS_ACCIDENTADOS]:[VEHICULOS_ACCIDENTADOS2]],"BUS")</f>
        <v>0</v>
      </c>
      <c r="Y763" s="36">
        <f>COUNTIF(Tabla1[[#This Row],[VEHICULOS_ACCIDENTADOS]:[VEHICULOS_ACCIDENTADOS2]],"BUSETA")</f>
        <v>0</v>
      </c>
      <c r="Z763" s="36">
        <f>COUNTIF(Tabla1[[#This Row],[VEHICULOS_ACCIDENTADOS]:[VEHICULOS_ACCIDENTADOS2]],"CAMION")</f>
        <v>0</v>
      </c>
      <c r="AA763" s="36">
        <f>COUNTIF(Tabla1[[#This Row],[VEHICULOS_ACCIDENTADOS]:[VEHICULOS_ACCIDENTADOS2]],"TRACTOCAMION")</f>
        <v>0</v>
      </c>
      <c r="AB763" s="36">
        <f>COUNTIF(Tabla1[[#This Row],[VEHICULOS_ACCIDENTADOS]:[VEHICULOS_ACCIDENTADOS2]],"VOLQUETA")</f>
        <v>0</v>
      </c>
      <c r="AC763" s="36">
        <f>COUNTIF(Tabla1[[#This Row],[VEHICULOS_ACCIDENTADOS]:[VEHICULOS_ACCIDENTADOS2]],"BICICLETA")</f>
        <v>0</v>
      </c>
      <c r="AD763" s="38" t="s">
        <v>471</v>
      </c>
      <c r="AE763" s="38" t="s">
        <v>471</v>
      </c>
      <c r="AF763" s="38">
        <f>COUNTIF(Tabla1[[#This Row],[GENERO_MASCULINO]:[GENERO_FEMENINO]],"MASCULINO")</f>
        <v>2</v>
      </c>
      <c r="AG763" s="36">
        <f>COUNTIF(Tabla1[[#This Row],[GENERO_MASCULINO]:[GENERO_FEMENINO]],"FEMENINO")</f>
        <v>0</v>
      </c>
      <c r="AH763" s="86">
        <v>67</v>
      </c>
      <c r="AI763" s="86">
        <v>22</v>
      </c>
      <c r="AJ763" s="86"/>
      <c r="AK763" s="87"/>
      <c r="AL763" s="87"/>
      <c r="AM763" s="6"/>
      <c r="AN763" s="73">
        <v>139</v>
      </c>
      <c r="AO763" s="36" t="str">
        <f>IFERROR(((VLOOKUP(Tabla1[[#This Row],[HIPOTESIS_1]],listas!$D$1:$E$105,2,FALSE))),"SIN INFORMACIÓN")</f>
        <v>Impericia en el manejo.</v>
      </c>
      <c r="AP763" s="7"/>
      <c r="AQ763" s="36" t="str">
        <f>IFERROR(((VLOOKUP(Tabla1[[#This Row],[HIPOTESIS_2]],listas!$D$1:$E$105,2,FALSE))),"")</f>
        <v/>
      </c>
      <c r="AR763" s="1" t="str">
        <f>IF(HOUR(Tabla1[[#This Row],[HORA_ACCIDENTE]])&lt;6,"MAÑANA",
 IF(HOUR(Tabla1[[#This Row],[HORA_ACCIDENTE]])&lt;12,"MAÑANA",
 IF(HOUR(Tabla1[[#This Row],[HORA_ACCIDENTE]])&lt;18,"TARDE","NOCHE")))</f>
        <v>MAÑANA</v>
      </c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40"/>
    </row>
    <row r="764" spans="1:56" x14ac:dyDescent="0.25">
      <c r="A764" s="12">
        <v>603</v>
      </c>
      <c r="B764" s="38">
        <v>0</v>
      </c>
      <c r="C764" s="7">
        <v>1</v>
      </c>
      <c r="D764" s="7">
        <v>0</v>
      </c>
      <c r="E764" s="18" t="str">
        <f t="shared" si="44"/>
        <v>LESIONADO</v>
      </c>
      <c r="F764" s="29" t="s">
        <v>1152</v>
      </c>
      <c r="G764" s="21">
        <v>5.3246861111111112</v>
      </c>
      <c r="H764" s="21">
        <v>-72.384172222222233</v>
      </c>
      <c r="I764" s="93" t="s">
        <v>697</v>
      </c>
      <c r="J764" s="7" t="s">
        <v>717</v>
      </c>
      <c r="K764" s="24" t="str">
        <f t="shared" si="45"/>
        <v>2023</v>
      </c>
      <c r="L764" s="24" t="str">
        <f t="shared" si="46"/>
        <v>NOVIEMBRE</v>
      </c>
      <c r="M764" s="232">
        <v>45240</v>
      </c>
      <c r="N764" s="24" t="str">
        <f t="shared" si="47"/>
        <v>VIERNES</v>
      </c>
      <c r="O764" s="106">
        <v>0.97916666666666663</v>
      </c>
      <c r="P764" s="39" t="s">
        <v>469</v>
      </c>
      <c r="Q764" s="39"/>
      <c r="R764" s="36">
        <f>COUNTIF(Tabla1[[#This Row],[VEHICULOS_ACCIDENTADOS]:[VEHICULOS_ACCIDENTADOS2]],"MOTOCICLETA")</f>
        <v>1</v>
      </c>
      <c r="S764" s="36">
        <f>COUNTIF(Tabla1[[#This Row],[VEHICULOS_ACCIDENTADOS]:[VEHICULOS_ACCIDENTADOS2]],"MOTOCARRO")</f>
        <v>0</v>
      </c>
      <c r="T764" s="36">
        <f>COUNTIF(Tabla1[[#This Row],[VEHICULOS_ACCIDENTADOS]:[VEHICULOS_ACCIDENTADOS2]],"AUTOMOVIL")</f>
        <v>0</v>
      </c>
      <c r="U764" s="36">
        <f>COUNTIF(Tabla1[[#This Row],[VEHICULOS_ACCIDENTADOS]:[VEHICULOS_ACCIDENTADOS2]],"CAMPERO")</f>
        <v>0</v>
      </c>
      <c r="V764" s="36">
        <f>COUNTIF(Tabla1[[#This Row],[VEHICULOS_ACCIDENTADOS]:[VEHICULOS_ACCIDENTADOS2]],"CAMIONETA")</f>
        <v>0</v>
      </c>
      <c r="W764" s="36">
        <f>COUNTIF(Tabla1[[#This Row],[VEHICULOS_ACCIDENTADOS]:[VEHICULOS_ACCIDENTADOS2]],"MICROBUS")</f>
        <v>0</v>
      </c>
      <c r="X764" s="36">
        <f>COUNTIF(Tabla1[[#This Row],[VEHICULOS_ACCIDENTADOS]:[VEHICULOS_ACCIDENTADOS2]],"BUS")</f>
        <v>0</v>
      </c>
      <c r="Y764" s="36">
        <f>COUNTIF(Tabla1[[#This Row],[VEHICULOS_ACCIDENTADOS]:[VEHICULOS_ACCIDENTADOS2]],"BUSETA")</f>
        <v>0</v>
      </c>
      <c r="Z764" s="36">
        <f>COUNTIF(Tabla1[[#This Row],[VEHICULOS_ACCIDENTADOS]:[VEHICULOS_ACCIDENTADOS2]],"CAMION")</f>
        <v>0</v>
      </c>
      <c r="AA764" s="36">
        <f>COUNTIF(Tabla1[[#This Row],[VEHICULOS_ACCIDENTADOS]:[VEHICULOS_ACCIDENTADOS2]],"TRACTOCAMION")</f>
        <v>0</v>
      </c>
      <c r="AB764" s="36">
        <f>COUNTIF(Tabla1[[#This Row],[VEHICULOS_ACCIDENTADOS]:[VEHICULOS_ACCIDENTADOS2]],"VOLQUETA")</f>
        <v>0</v>
      </c>
      <c r="AC764" s="36">
        <f>COUNTIF(Tabla1[[#This Row],[VEHICULOS_ACCIDENTADOS]:[VEHICULOS_ACCIDENTADOS2]],"BICICLETA")</f>
        <v>0</v>
      </c>
      <c r="AD764" s="38" t="s">
        <v>471</v>
      </c>
      <c r="AE764" s="38"/>
      <c r="AF764" s="38">
        <f>COUNTIF(Tabla1[[#This Row],[GENERO_MASCULINO]:[GENERO_FEMENINO]],"MASCULINO")</f>
        <v>1</v>
      </c>
      <c r="AG764" s="36">
        <f>COUNTIF(Tabla1[[#This Row],[GENERO_MASCULINO]:[GENERO_FEMENINO]],"FEMENINO")</f>
        <v>0</v>
      </c>
      <c r="AH764" s="73">
        <v>43</v>
      </c>
      <c r="AI764" s="73"/>
      <c r="AJ764" s="73"/>
      <c r="AK764" s="73"/>
      <c r="AL764" s="73"/>
      <c r="AM764" s="7"/>
      <c r="AN764" s="73">
        <v>116</v>
      </c>
      <c r="AO764" s="36" t="str">
        <f>IFERROR(((VLOOKUP(Tabla1[[#This Row],[HIPOTESIS_1]],listas!$D$1:$E$105,2,FALSE))),"SIN INFORMACIÓN")</f>
        <v>Exceso de velocidad</v>
      </c>
      <c r="AP764" s="7"/>
      <c r="AQ764" s="36" t="str">
        <f>IFERROR(((VLOOKUP(Tabla1[[#This Row],[HIPOTESIS_2]],listas!$D$1:$E$105,2,FALSE))),"")</f>
        <v/>
      </c>
      <c r="AR764" s="1" t="str">
        <f>IF(HOUR(Tabla1[[#This Row],[HORA_ACCIDENTE]])&lt;6,"MAÑANA",
 IF(HOUR(Tabla1[[#This Row],[HORA_ACCIDENTE]])&lt;12,"MAÑANA",
 IF(HOUR(Tabla1[[#This Row],[HORA_ACCIDENTE]])&lt;18,"TARDE","NOCHE")))</f>
        <v>NOCHE</v>
      </c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s="40"/>
    </row>
    <row r="765" spans="1:56" x14ac:dyDescent="0.25">
      <c r="A765" s="12">
        <v>717</v>
      </c>
      <c r="B765" s="38">
        <v>1</v>
      </c>
      <c r="C765" s="15">
        <v>0</v>
      </c>
      <c r="D765" s="7">
        <v>0</v>
      </c>
      <c r="E765" s="18" t="str">
        <f t="shared" si="44"/>
        <v>SOLO DAÑO</v>
      </c>
      <c r="F765" s="29" t="s">
        <v>1153</v>
      </c>
      <c r="G765" s="17">
        <v>5.3510080000000002</v>
      </c>
      <c r="H765" s="17">
        <v>-72.398617000000002</v>
      </c>
      <c r="I765" s="93" t="s">
        <v>697</v>
      </c>
      <c r="J765" s="15" t="s">
        <v>717</v>
      </c>
      <c r="K765" s="24" t="str">
        <f t="shared" si="45"/>
        <v>2024</v>
      </c>
      <c r="L765" s="24" t="str">
        <f t="shared" si="46"/>
        <v>MAYO</v>
      </c>
      <c r="M765" s="232">
        <v>45435</v>
      </c>
      <c r="N765" s="24" t="str">
        <f t="shared" si="47"/>
        <v>JUEVES</v>
      </c>
      <c r="O765" s="106">
        <v>0.55555555555555558</v>
      </c>
      <c r="P765" s="39" t="s">
        <v>469</v>
      </c>
      <c r="Q765" s="39" t="s">
        <v>447</v>
      </c>
      <c r="R765" s="36">
        <f>COUNTIF(Tabla1[[#This Row],[VEHICULOS_ACCIDENTADOS]:[VEHICULOS_ACCIDENTADOS2]],"MOTOCICLETA")</f>
        <v>1</v>
      </c>
      <c r="S765" s="36">
        <f>COUNTIF(Tabla1[[#This Row],[VEHICULOS_ACCIDENTADOS]:[VEHICULOS_ACCIDENTADOS2]],"MOTOCARRO")</f>
        <v>0</v>
      </c>
      <c r="T765" s="36">
        <f>COUNTIF(Tabla1[[#This Row],[VEHICULOS_ACCIDENTADOS]:[VEHICULOS_ACCIDENTADOS2]],"AUTOMOVIL")</f>
        <v>1</v>
      </c>
      <c r="U765" s="36">
        <f>COUNTIF(Tabla1[[#This Row],[VEHICULOS_ACCIDENTADOS]:[VEHICULOS_ACCIDENTADOS2]],"CAMPERO")</f>
        <v>0</v>
      </c>
      <c r="V765" s="36">
        <f>COUNTIF(Tabla1[[#This Row],[VEHICULOS_ACCIDENTADOS]:[VEHICULOS_ACCIDENTADOS2]],"CAMIONETA")</f>
        <v>0</v>
      </c>
      <c r="W765" s="36">
        <f>COUNTIF(Tabla1[[#This Row],[VEHICULOS_ACCIDENTADOS]:[VEHICULOS_ACCIDENTADOS2]],"MICROBUS")</f>
        <v>0</v>
      </c>
      <c r="X765" s="36">
        <f>COUNTIF(Tabla1[[#This Row],[VEHICULOS_ACCIDENTADOS]:[VEHICULOS_ACCIDENTADOS2]],"BUS")</f>
        <v>0</v>
      </c>
      <c r="Y765" s="36">
        <f>COUNTIF(Tabla1[[#This Row],[VEHICULOS_ACCIDENTADOS]:[VEHICULOS_ACCIDENTADOS2]],"BUSETA")</f>
        <v>0</v>
      </c>
      <c r="Z765" s="36">
        <f>COUNTIF(Tabla1[[#This Row],[VEHICULOS_ACCIDENTADOS]:[VEHICULOS_ACCIDENTADOS2]],"CAMION")</f>
        <v>0</v>
      </c>
      <c r="AA765" s="36">
        <f>COUNTIF(Tabla1[[#This Row],[VEHICULOS_ACCIDENTADOS]:[VEHICULOS_ACCIDENTADOS2]],"TRACTOCAMION")</f>
        <v>0</v>
      </c>
      <c r="AB765" s="36">
        <f>COUNTIF(Tabla1[[#This Row],[VEHICULOS_ACCIDENTADOS]:[VEHICULOS_ACCIDENTADOS2]],"VOLQUETA")</f>
        <v>0</v>
      </c>
      <c r="AC765" s="36">
        <f>COUNTIF(Tabla1[[#This Row],[VEHICULOS_ACCIDENTADOS]:[VEHICULOS_ACCIDENTADOS2]],"BICICLETA")</f>
        <v>0</v>
      </c>
      <c r="AD765" s="38"/>
      <c r="AE765" s="38" t="s">
        <v>472</v>
      </c>
      <c r="AF765" s="38">
        <f>COUNTIF(Tabla1[[#This Row],[GENERO_MASCULINO]:[GENERO_FEMENINO]],"MASCULINO")</f>
        <v>0</v>
      </c>
      <c r="AG765" s="36">
        <f>COUNTIF(Tabla1[[#This Row],[GENERO_MASCULINO]:[GENERO_FEMENINO]],"FEMENINO")</f>
        <v>1</v>
      </c>
      <c r="AH765" s="73">
        <v>23</v>
      </c>
      <c r="AI765" s="73">
        <v>43</v>
      </c>
      <c r="AJ765" s="73"/>
      <c r="AK765" s="73"/>
      <c r="AL765" s="73"/>
      <c r="AM765" s="7"/>
      <c r="AN765" s="73">
        <v>112</v>
      </c>
      <c r="AO765" s="36" t="str">
        <f>IFERROR(((VLOOKUP(Tabla1[[#This Row],[HIPOTESIS_1]],listas!$D$1:$E$105,2,FALSE))),"SIN INFORMACIÓN")</f>
        <v>Desobedecer señales o normas de tránsito.</v>
      </c>
      <c r="AP765" s="7"/>
      <c r="AQ765" s="36" t="str">
        <f>IFERROR(((VLOOKUP(Tabla1[[#This Row],[HIPOTESIS_2]],listas!$D$1:$E$105,2,FALSE))),"")</f>
        <v/>
      </c>
      <c r="AR765" s="1" t="str">
        <f>IF(HOUR(Tabla1[[#This Row],[HORA_ACCIDENTE]])&lt;6,"MAÑANA",
 IF(HOUR(Tabla1[[#This Row],[HORA_ACCIDENTE]])&lt;12,"MAÑANA",
 IF(HOUR(Tabla1[[#This Row],[HORA_ACCIDENTE]])&lt;18,"TARDE","NOCHE")))</f>
        <v>TARDE</v>
      </c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</row>
    <row r="766" spans="1:56" x14ac:dyDescent="0.25">
      <c r="A766" s="12">
        <v>1117</v>
      </c>
      <c r="B766" s="47">
        <v>0</v>
      </c>
      <c r="C766" s="24">
        <v>1</v>
      </c>
      <c r="D766" s="24">
        <v>0</v>
      </c>
      <c r="E766" s="24" t="str">
        <f t="shared" si="44"/>
        <v>LESIONADO</v>
      </c>
      <c r="F766" s="152" t="s">
        <v>942</v>
      </c>
      <c r="G766" s="30">
        <v>5.3441135625757497</v>
      </c>
      <c r="H766" s="30">
        <v>-72.394649863282496</v>
      </c>
      <c r="I766" s="165" t="s">
        <v>697</v>
      </c>
      <c r="J766" s="7" t="s">
        <v>717</v>
      </c>
      <c r="K766" s="24" t="str">
        <f t="shared" si="45"/>
        <v>2025</v>
      </c>
      <c r="L766" s="24" t="str">
        <f t="shared" si="46"/>
        <v>OCTUBRE</v>
      </c>
      <c r="M766" s="232">
        <v>45936</v>
      </c>
      <c r="N766" s="24" t="str">
        <f t="shared" si="47"/>
        <v>LUNES</v>
      </c>
      <c r="O766" s="106">
        <v>0.71597222222222223</v>
      </c>
      <c r="P766" s="8" t="s">
        <v>469</v>
      </c>
      <c r="Q766" s="8"/>
      <c r="R766" s="36">
        <f>COUNTIF(Tabla1[[#This Row],[VEHICULOS_ACCIDENTADOS]:[VEHICULOS_ACCIDENTADOS2]],"MOTOCICLETA")</f>
        <v>1</v>
      </c>
      <c r="S766" s="36">
        <f>COUNTIF(Tabla1[[#This Row],[VEHICULOS_ACCIDENTADOS]:[VEHICULOS_ACCIDENTADOS2]],"MOTOCARRO")</f>
        <v>0</v>
      </c>
      <c r="T766" s="36">
        <f>COUNTIF(Tabla1[[#This Row],[VEHICULOS_ACCIDENTADOS]:[VEHICULOS_ACCIDENTADOS2]],"AUTOMOVIL")</f>
        <v>0</v>
      </c>
      <c r="U766" s="36">
        <f>COUNTIF(Tabla1[[#This Row],[VEHICULOS_ACCIDENTADOS]:[VEHICULOS_ACCIDENTADOS2]],"CAMPERO")</f>
        <v>0</v>
      </c>
      <c r="V766" s="36">
        <f>COUNTIF(Tabla1[[#This Row],[VEHICULOS_ACCIDENTADOS]:[VEHICULOS_ACCIDENTADOS2]],"CAMIONETA")</f>
        <v>0</v>
      </c>
      <c r="W766" s="36">
        <f>COUNTIF(Tabla1[[#This Row],[VEHICULOS_ACCIDENTADOS]:[VEHICULOS_ACCIDENTADOS2]],"MICROBUS")</f>
        <v>0</v>
      </c>
      <c r="X766" s="36">
        <f>COUNTIF(Tabla1[[#This Row],[VEHICULOS_ACCIDENTADOS]:[VEHICULOS_ACCIDENTADOS2]],"BUS")</f>
        <v>0</v>
      </c>
      <c r="Y766" s="36">
        <f>COUNTIF(Tabla1[[#This Row],[VEHICULOS_ACCIDENTADOS]:[VEHICULOS_ACCIDENTADOS2]],"BUSETA")</f>
        <v>0</v>
      </c>
      <c r="Z766" s="36">
        <f>COUNTIF(Tabla1[[#This Row],[VEHICULOS_ACCIDENTADOS]:[VEHICULOS_ACCIDENTADOS2]],"CAMION")</f>
        <v>0</v>
      </c>
      <c r="AA766" s="36">
        <f>COUNTIF(Tabla1[[#This Row],[VEHICULOS_ACCIDENTADOS]:[VEHICULOS_ACCIDENTADOS2]],"TRACTOCAMION")</f>
        <v>0</v>
      </c>
      <c r="AB766" s="36">
        <f>COUNTIF(Tabla1[[#This Row],[VEHICULOS_ACCIDENTADOS]:[VEHICULOS_ACCIDENTADOS2]],"VOLQUETA")</f>
        <v>0</v>
      </c>
      <c r="AC766" s="36">
        <f>COUNTIF(Tabla1[[#This Row],[VEHICULOS_ACCIDENTADOS]:[VEHICULOS_ACCIDENTADOS2]],"BICICLETA")</f>
        <v>0</v>
      </c>
      <c r="AD766" s="189" t="s">
        <v>471</v>
      </c>
      <c r="AE766" s="189"/>
      <c r="AF766" s="38">
        <f>COUNTIF(Tabla1[[#This Row],[GENERO_MASCULINO]:[GENERO_FEMENINO]],"MASCULINO")</f>
        <v>1</v>
      </c>
      <c r="AG766" s="36">
        <f>COUNTIF(Tabla1[[#This Row],[GENERO_MASCULINO]:[GENERO_FEMENINO]],"FEMENINO")</f>
        <v>0</v>
      </c>
      <c r="AH766" s="86"/>
      <c r="AI766" s="86"/>
      <c r="AJ766" s="86"/>
      <c r="AK766" s="87"/>
      <c r="AL766" s="87"/>
      <c r="AM766" s="6"/>
      <c r="AN766" s="73">
        <v>157</v>
      </c>
      <c r="AO766" s="59" t="str">
        <f>IFERROR(((VLOOKUP(Tabla1[[#This Row],[HIPOTESIS_1]],listas!$D$1:$E$105,2,FALSE))),"SIN INFORMACIÓN")</f>
        <v>Otra</v>
      </c>
      <c r="AP766" s="7"/>
      <c r="AQ766" s="36" t="str">
        <f>IFERROR(((VLOOKUP(Tabla1[[#This Row],[HIPOTESIS_2]],listas!$D$1:$E$105,2,FALSE))),"")</f>
        <v/>
      </c>
      <c r="AR766" s="2" t="str">
        <f>IF(HOUR(Tabla1[[#This Row],[HORA_ACCIDENTE]])&lt;6,"MAÑANA",
 IF(HOUR(Tabla1[[#This Row],[HORA_ACCIDENTE]])&lt;12,"MAÑANA",
 IF(HOUR(Tabla1[[#This Row],[HORA_ACCIDENTE]])&lt;18,"TARDE","NOCHE")))</f>
        <v>TARDE</v>
      </c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  <c r="BD766" s="40"/>
    </row>
    <row r="767" spans="1:56" x14ac:dyDescent="0.25">
      <c r="A767" s="12">
        <v>896</v>
      </c>
      <c r="B767" s="43">
        <v>1</v>
      </c>
      <c r="C767" s="15">
        <v>0</v>
      </c>
      <c r="D767" s="15">
        <v>0</v>
      </c>
      <c r="E767" s="18" t="str">
        <f t="shared" si="44"/>
        <v>SOLO DAÑO</v>
      </c>
      <c r="F767" s="26" t="s">
        <v>943</v>
      </c>
      <c r="G767" s="17">
        <v>5.3373536111111104</v>
      </c>
      <c r="H767" s="17">
        <v>-72.391008888888891</v>
      </c>
      <c r="I767" s="93" t="s">
        <v>697</v>
      </c>
      <c r="J767" s="21" t="s">
        <v>717</v>
      </c>
      <c r="K767" s="24" t="str">
        <f t="shared" si="45"/>
        <v>2025</v>
      </c>
      <c r="L767" s="24" t="str">
        <f t="shared" si="46"/>
        <v>MARZO</v>
      </c>
      <c r="M767" s="234">
        <v>45725</v>
      </c>
      <c r="N767" s="24" t="str">
        <f t="shared" si="47"/>
        <v>DOMINGO</v>
      </c>
      <c r="O767" s="108">
        <v>0</v>
      </c>
      <c r="P767" s="44" t="s">
        <v>445</v>
      </c>
      <c r="Q767" s="44" t="s">
        <v>447</v>
      </c>
      <c r="R767" s="36">
        <f>COUNTIF(Tabla1[[#This Row],[VEHICULOS_ACCIDENTADOS]:[VEHICULOS_ACCIDENTADOS2]],"MOTOCICLETA")</f>
        <v>0</v>
      </c>
      <c r="S767" s="36">
        <f>COUNTIF(Tabla1[[#This Row],[VEHICULOS_ACCIDENTADOS]:[VEHICULOS_ACCIDENTADOS2]],"MOTOCARRO")</f>
        <v>0</v>
      </c>
      <c r="T767" s="36">
        <f>COUNTIF(Tabla1[[#This Row],[VEHICULOS_ACCIDENTADOS]:[VEHICULOS_ACCIDENTADOS2]],"AUTOMOVIL")</f>
        <v>1</v>
      </c>
      <c r="U767" s="36">
        <f>COUNTIF(Tabla1[[#This Row],[VEHICULOS_ACCIDENTADOS]:[VEHICULOS_ACCIDENTADOS2]],"CAMPERO")</f>
        <v>0</v>
      </c>
      <c r="V767" s="36">
        <f>COUNTIF(Tabla1[[#This Row],[VEHICULOS_ACCIDENTADOS]:[VEHICULOS_ACCIDENTADOS2]],"CAMIONETA")</f>
        <v>1</v>
      </c>
      <c r="W767" s="36">
        <f>COUNTIF(Tabla1[[#This Row],[VEHICULOS_ACCIDENTADOS]:[VEHICULOS_ACCIDENTADOS2]],"MICROBUS")</f>
        <v>0</v>
      </c>
      <c r="X767" s="36">
        <f>COUNTIF(Tabla1[[#This Row],[VEHICULOS_ACCIDENTADOS]:[VEHICULOS_ACCIDENTADOS2]],"BUS")</f>
        <v>0</v>
      </c>
      <c r="Y767" s="36">
        <f>COUNTIF(Tabla1[[#This Row],[VEHICULOS_ACCIDENTADOS]:[VEHICULOS_ACCIDENTADOS2]],"BUSETA")</f>
        <v>0</v>
      </c>
      <c r="Z767" s="36">
        <f>COUNTIF(Tabla1[[#This Row],[VEHICULOS_ACCIDENTADOS]:[VEHICULOS_ACCIDENTADOS2]],"CAMION")</f>
        <v>0</v>
      </c>
      <c r="AA767" s="36">
        <f>COUNTIF(Tabla1[[#This Row],[VEHICULOS_ACCIDENTADOS]:[VEHICULOS_ACCIDENTADOS2]],"TRACTOCAMION")</f>
        <v>0</v>
      </c>
      <c r="AB767" s="36">
        <f>COUNTIF(Tabla1[[#This Row],[VEHICULOS_ACCIDENTADOS]:[VEHICULOS_ACCIDENTADOS2]],"VOLQUETA")</f>
        <v>0</v>
      </c>
      <c r="AC767" s="36">
        <f>COUNTIF(Tabla1[[#This Row],[VEHICULOS_ACCIDENTADOS]:[VEHICULOS_ACCIDENTADOS2]],"BICICLETA")</f>
        <v>0</v>
      </c>
      <c r="AD767" s="43" t="s">
        <v>471</v>
      </c>
      <c r="AE767" s="43" t="s">
        <v>471</v>
      </c>
      <c r="AF767" s="43">
        <f>COUNTIF(Tabla1[[#This Row],[GENERO_MASCULINO]:[GENERO_FEMENINO]],"MASCULINO")</f>
        <v>2</v>
      </c>
      <c r="AG767" s="36">
        <f>COUNTIF(Tabla1[[#This Row],[GENERO_MASCULINO]:[GENERO_FEMENINO]],"FEMENINO")</f>
        <v>0</v>
      </c>
      <c r="AH767" s="86">
        <v>33</v>
      </c>
      <c r="AI767" s="86">
        <v>31</v>
      </c>
      <c r="AJ767" s="86"/>
      <c r="AK767" s="86"/>
      <c r="AL767" s="86"/>
      <c r="AM767" s="15"/>
      <c r="AN767" s="86">
        <v>115</v>
      </c>
      <c r="AO767" s="36" t="str">
        <f>IFERROR(((VLOOKUP(Tabla1[[#This Row],[HIPOTESIS_1]],listas!$D$1:$E$105,2,FALSE))),"SIN INFORMACIÓN")</f>
        <v>Embriaguez o Sustancias alucinogenas</v>
      </c>
      <c r="AP767" s="15"/>
      <c r="AQ767" s="36" t="str">
        <f>IFERROR(((VLOOKUP(Tabla1[[#This Row],[HIPOTESIS_2]],listas!$D$1:$E$105,2,FALSE))),"")</f>
        <v/>
      </c>
      <c r="AR767" s="1" t="str">
        <f>IF(HOUR(Tabla1[[#This Row],[HORA_ACCIDENTE]])&lt;6,"MAÑANA",
 IF(HOUR(Tabla1[[#This Row],[HORA_ACCIDENTE]])&lt;12,"MAÑANA",
 IF(HOUR(Tabla1[[#This Row],[HORA_ACCIDENTE]])&lt;18,"TARDE","NOCHE")))</f>
        <v>MAÑANA</v>
      </c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40"/>
    </row>
    <row r="768" spans="1:56" x14ac:dyDescent="0.25">
      <c r="A768" s="12">
        <v>515</v>
      </c>
      <c r="B768" s="38">
        <v>0</v>
      </c>
      <c r="C768" s="7">
        <v>1</v>
      </c>
      <c r="D768" s="7">
        <v>0</v>
      </c>
      <c r="E768" s="18" t="str">
        <f t="shared" si="44"/>
        <v>LESIONADO</v>
      </c>
      <c r="F768" s="29" t="s">
        <v>223</v>
      </c>
      <c r="G768" s="21">
        <v>5.3269944444444439</v>
      </c>
      <c r="H768" s="21">
        <v>-72.385382500000006</v>
      </c>
      <c r="I768" s="93" t="s">
        <v>697</v>
      </c>
      <c r="J768" s="7" t="s">
        <v>717</v>
      </c>
      <c r="K768" s="24" t="str">
        <f t="shared" si="45"/>
        <v>2023</v>
      </c>
      <c r="L768" s="24" t="str">
        <f t="shared" si="46"/>
        <v>JUNIO</v>
      </c>
      <c r="M768" s="232">
        <v>45107</v>
      </c>
      <c r="N768" s="24" t="str">
        <f t="shared" si="47"/>
        <v>VIERNES</v>
      </c>
      <c r="O768" s="106">
        <v>0.23611111111111113</v>
      </c>
      <c r="P768" s="39" t="s">
        <v>469</v>
      </c>
      <c r="Q768" s="39" t="s">
        <v>447</v>
      </c>
      <c r="R768" s="36">
        <f>COUNTIF(Tabla1[[#This Row],[VEHICULOS_ACCIDENTADOS]:[VEHICULOS_ACCIDENTADOS2]],"MOTOCICLETA")</f>
        <v>1</v>
      </c>
      <c r="S768" s="36">
        <f>COUNTIF(Tabla1[[#This Row],[VEHICULOS_ACCIDENTADOS]:[VEHICULOS_ACCIDENTADOS2]],"MOTOCARRO")</f>
        <v>0</v>
      </c>
      <c r="T768" s="36">
        <f>COUNTIF(Tabla1[[#This Row],[VEHICULOS_ACCIDENTADOS]:[VEHICULOS_ACCIDENTADOS2]],"AUTOMOVIL")</f>
        <v>1</v>
      </c>
      <c r="U768" s="36">
        <f>COUNTIF(Tabla1[[#This Row],[VEHICULOS_ACCIDENTADOS]:[VEHICULOS_ACCIDENTADOS2]],"CAMPERO")</f>
        <v>0</v>
      </c>
      <c r="V768" s="36">
        <f>COUNTIF(Tabla1[[#This Row],[VEHICULOS_ACCIDENTADOS]:[VEHICULOS_ACCIDENTADOS2]],"CAMIONETA")</f>
        <v>0</v>
      </c>
      <c r="W768" s="36">
        <f>COUNTIF(Tabla1[[#This Row],[VEHICULOS_ACCIDENTADOS]:[VEHICULOS_ACCIDENTADOS2]],"MICROBUS")</f>
        <v>0</v>
      </c>
      <c r="X768" s="36">
        <f>COUNTIF(Tabla1[[#This Row],[VEHICULOS_ACCIDENTADOS]:[VEHICULOS_ACCIDENTADOS2]],"BUS")</f>
        <v>0</v>
      </c>
      <c r="Y768" s="36">
        <f>COUNTIF(Tabla1[[#This Row],[VEHICULOS_ACCIDENTADOS]:[VEHICULOS_ACCIDENTADOS2]],"BUSETA")</f>
        <v>0</v>
      </c>
      <c r="Z768" s="36">
        <f>COUNTIF(Tabla1[[#This Row],[VEHICULOS_ACCIDENTADOS]:[VEHICULOS_ACCIDENTADOS2]],"CAMION")</f>
        <v>0</v>
      </c>
      <c r="AA768" s="36">
        <f>COUNTIF(Tabla1[[#This Row],[VEHICULOS_ACCIDENTADOS]:[VEHICULOS_ACCIDENTADOS2]],"TRACTOCAMION")</f>
        <v>0</v>
      </c>
      <c r="AB768" s="36">
        <f>COUNTIF(Tabla1[[#This Row],[VEHICULOS_ACCIDENTADOS]:[VEHICULOS_ACCIDENTADOS2]],"VOLQUETA")</f>
        <v>0</v>
      </c>
      <c r="AC768" s="36">
        <f>COUNTIF(Tabla1[[#This Row],[VEHICULOS_ACCIDENTADOS]:[VEHICULOS_ACCIDENTADOS2]],"BICICLETA")</f>
        <v>0</v>
      </c>
      <c r="AD768" s="38" t="s">
        <v>471</v>
      </c>
      <c r="AE768" s="38"/>
      <c r="AF768" s="38">
        <f>COUNTIF(Tabla1[[#This Row],[GENERO_MASCULINO]:[GENERO_FEMENINO]],"MASCULINO")</f>
        <v>1</v>
      </c>
      <c r="AG768" s="36">
        <f>COUNTIF(Tabla1[[#This Row],[GENERO_MASCULINO]:[GENERO_FEMENINO]],"FEMENINO")</f>
        <v>0</v>
      </c>
      <c r="AH768" s="73">
        <v>28</v>
      </c>
      <c r="AI768" s="73"/>
      <c r="AJ768" s="87"/>
      <c r="AK768" s="73"/>
      <c r="AL768" s="73"/>
      <c r="AM768" s="7"/>
      <c r="AN768" s="73">
        <v>157</v>
      </c>
      <c r="AO768" s="36" t="str">
        <f>IFERROR(((VLOOKUP(Tabla1[[#This Row],[HIPOTESIS_1]],listas!$D$1:$E$105,2,FALSE))),"SIN INFORMACIÓN")</f>
        <v>Otra</v>
      </c>
      <c r="AP768" s="7"/>
      <c r="AQ768" s="36" t="str">
        <f>IFERROR(((VLOOKUP(Tabla1[[#This Row],[HIPOTESIS_2]],listas!$D$1:$E$105,2,FALSE))),"")</f>
        <v/>
      </c>
      <c r="AR768" s="1" t="str">
        <f>IF(HOUR(Tabla1[[#This Row],[HORA_ACCIDENTE]])&lt;6,"MAÑANA",
 IF(HOUR(Tabla1[[#This Row],[HORA_ACCIDENTE]])&lt;12,"MAÑANA",
 IF(HOUR(Tabla1[[#This Row],[HORA_ACCIDENTE]])&lt;18,"TARDE","NOCHE")))</f>
        <v>MAÑANA</v>
      </c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40"/>
    </row>
    <row r="769" spans="1:56" x14ac:dyDescent="0.25">
      <c r="A769" s="12">
        <v>40</v>
      </c>
      <c r="B769" s="38">
        <v>1</v>
      </c>
      <c r="C769" s="7">
        <v>0</v>
      </c>
      <c r="D769" s="7">
        <v>0</v>
      </c>
      <c r="E769" s="18" t="str">
        <f t="shared" si="44"/>
        <v>SOLO DAÑO</v>
      </c>
      <c r="F769" s="29" t="s">
        <v>427</v>
      </c>
      <c r="G769" s="17">
        <v>5.3349111111111105</v>
      </c>
      <c r="H769" s="17">
        <v>-72.389719444444452</v>
      </c>
      <c r="I769" s="93" t="s">
        <v>697</v>
      </c>
      <c r="J769" s="7" t="s">
        <v>717</v>
      </c>
      <c r="K769" s="24" t="str">
        <f t="shared" si="45"/>
        <v>2022</v>
      </c>
      <c r="L769" s="24" t="str">
        <f t="shared" si="46"/>
        <v>FEBRERO</v>
      </c>
      <c r="M769" s="232">
        <v>44595</v>
      </c>
      <c r="N769" s="24" t="str">
        <f t="shared" si="47"/>
        <v>JUEVES</v>
      </c>
      <c r="O769" s="106">
        <v>0.76388888888888884</v>
      </c>
      <c r="P769" s="8" t="s">
        <v>469</v>
      </c>
      <c r="Q769" s="8" t="s">
        <v>447</v>
      </c>
      <c r="R769" s="36">
        <f>COUNTIF(Tabla1[[#This Row],[VEHICULOS_ACCIDENTADOS]:[VEHICULOS_ACCIDENTADOS2]],"MOTOCICLETA")</f>
        <v>1</v>
      </c>
      <c r="S769" s="36">
        <f>COUNTIF(Tabla1[[#This Row],[VEHICULOS_ACCIDENTADOS]:[VEHICULOS_ACCIDENTADOS2]],"MOTOCARRO")</f>
        <v>0</v>
      </c>
      <c r="T769" s="36">
        <f>COUNTIF(Tabla1[[#This Row],[VEHICULOS_ACCIDENTADOS]:[VEHICULOS_ACCIDENTADOS2]],"AUTOMOVIL")</f>
        <v>1</v>
      </c>
      <c r="U769" s="36">
        <f>COUNTIF(Tabla1[[#This Row],[VEHICULOS_ACCIDENTADOS]:[VEHICULOS_ACCIDENTADOS2]],"CAMPERO")</f>
        <v>0</v>
      </c>
      <c r="V769" s="36">
        <f>COUNTIF(Tabla1[[#This Row],[VEHICULOS_ACCIDENTADOS]:[VEHICULOS_ACCIDENTADOS2]],"CAMIONETA")</f>
        <v>0</v>
      </c>
      <c r="W769" s="36">
        <f>COUNTIF(Tabla1[[#This Row],[VEHICULOS_ACCIDENTADOS]:[VEHICULOS_ACCIDENTADOS2]],"MICROBUS")</f>
        <v>0</v>
      </c>
      <c r="X769" s="36">
        <f>COUNTIF(Tabla1[[#This Row],[VEHICULOS_ACCIDENTADOS]:[VEHICULOS_ACCIDENTADOS2]],"BUS")</f>
        <v>0</v>
      </c>
      <c r="Y769" s="36">
        <f>COUNTIF(Tabla1[[#This Row],[VEHICULOS_ACCIDENTADOS]:[VEHICULOS_ACCIDENTADOS2]],"BUSETA")</f>
        <v>0</v>
      </c>
      <c r="Z769" s="36">
        <f>COUNTIF(Tabla1[[#This Row],[VEHICULOS_ACCIDENTADOS]:[VEHICULOS_ACCIDENTADOS2]],"CAMION")</f>
        <v>0</v>
      </c>
      <c r="AA769" s="36">
        <f>COUNTIF(Tabla1[[#This Row],[VEHICULOS_ACCIDENTADOS]:[VEHICULOS_ACCIDENTADOS2]],"TRACTOCAMION")</f>
        <v>0</v>
      </c>
      <c r="AB769" s="36">
        <f>COUNTIF(Tabla1[[#This Row],[VEHICULOS_ACCIDENTADOS]:[VEHICULOS_ACCIDENTADOS2]],"VOLQUETA")</f>
        <v>0</v>
      </c>
      <c r="AC769" s="36">
        <f>COUNTIF(Tabla1[[#This Row],[VEHICULOS_ACCIDENTADOS]:[VEHICULOS_ACCIDENTADOS2]],"BICICLETA")</f>
        <v>0</v>
      </c>
      <c r="AD769" s="38" t="s">
        <v>471</v>
      </c>
      <c r="AE769" s="38"/>
      <c r="AF769" s="38">
        <f>COUNTIF(Tabla1[[#This Row],[GENERO_MASCULINO]:[GENERO_FEMENINO]],"MASCULINO")</f>
        <v>1</v>
      </c>
      <c r="AG769" s="36">
        <f>COUNTIF(Tabla1[[#This Row],[GENERO_MASCULINO]:[GENERO_FEMENINO]],"FEMENINO")</f>
        <v>0</v>
      </c>
      <c r="AH769" s="73"/>
      <c r="AI769" s="73"/>
      <c r="AJ769" s="87"/>
      <c r="AK769" s="73"/>
      <c r="AL769" s="73"/>
      <c r="AM769" s="7"/>
      <c r="AN769" s="73">
        <v>132</v>
      </c>
      <c r="AO769" s="36" t="str">
        <f>IFERROR(((VLOOKUP(Tabla1[[#This Row],[HIPOTESIS_1]],listas!$D$1:$E$105,2,FALSE))),"SIN INFORMACIÓN")</f>
        <v>No respetar prelación.</v>
      </c>
      <c r="AP769" s="7"/>
      <c r="AQ769" s="36" t="str">
        <f>IFERROR(((VLOOKUP(Tabla1[[#This Row],[HIPOTESIS_2]],listas!$D$1:$E$105,2,FALSE))),"")</f>
        <v/>
      </c>
      <c r="AR769" s="1" t="str">
        <f>IF(HOUR(Tabla1[[#This Row],[HORA_ACCIDENTE]])&lt;6,"MAÑANA",
 IF(HOUR(Tabla1[[#This Row],[HORA_ACCIDENTE]])&lt;12,"MAÑANA",
 IF(HOUR(Tabla1[[#This Row],[HORA_ACCIDENTE]])&lt;18,"TARDE","NOCHE")))</f>
        <v>NOCHE</v>
      </c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40"/>
    </row>
    <row r="770" spans="1:56" x14ac:dyDescent="0.25">
      <c r="A770" s="12">
        <v>534</v>
      </c>
      <c r="B770" s="38">
        <v>0</v>
      </c>
      <c r="C770" s="7">
        <v>0</v>
      </c>
      <c r="D770" s="7">
        <v>1</v>
      </c>
      <c r="E770" s="18" t="str">
        <f t="shared" ref="E770:E833" si="48">IF(D770&gt;=1,"FALLECIDO",IF(C770&gt;=1,"LESIONADO",IF(B770&gt;=1,"SOLO DAÑO","")))</f>
        <v>FALLECIDO</v>
      </c>
      <c r="F770" s="29" t="s">
        <v>217</v>
      </c>
      <c r="G770" s="21">
        <v>5.3201838888888888</v>
      </c>
      <c r="H770" s="21">
        <v>-72.380423055555553</v>
      </c>
      <c r="I770" s="93" t="s">
        <v>697</v>
      </c>
      <c r="J770" s="7" t="s">
        <v>717</v>
      </c>
      <c r="K770" s="24" t="str">
        <f t="shared" ref="K770:K833" si="49">UPPER(TEXT(M770,"YYYY"))</f>
        <v>2023</v>
      </c>
      <c r="L770" s="24" t="str">
        <f t="shared" ref="L770:L833" si="50">UPPER(TEXT(M770,"MMMM"))</f>
        <v>AGOSTO</v>
      </c>
      <c r="M770" s="232">
        <v>45155</v>
      </c>
      <c r="N770" s="24" t="str">
        <f t="shared" ref="N770:N833" si="51">UPPER(TEXT(M770,"DDDD"))</f>
        <v>JUEVES</v>
      </c>
      <c r="O770" s="106">
        <v>0.8125</v>
      </c>
      <c r="P770" s="39" t="s">
        <v>469</v>
      </c>
      <c r="Q770" s="39"/>
      <c r="R770" s="36">
        <f>COUNTIF(Tabla1[[#This Row],[VEHICULOS_ACCIDENTADOS]:[VEHICULOS_ACCIDENTADOS2]],"MOTOCICLETA")</f>
        <v>1</v>
      </c>
      <c r="S770" s="36">
        <f>COUNTIF(Tabla1[[#This Row],[VEHICULOS_ACCIDENTADOS]:[VEHICULOS_ACCIDENTADOS2]],"MOTOCARRO")</f>
        <v>0</v>
      </c>
      <c r="T770" s="36">
        <f>COUNTIF(Tabla1[[#This Row],[VEHICULOS_ACCIDENTADOS]:[VEHICULOS_ACCIDENTADOS2]],"AUTOMOVIL")</f>
        <v>0</v>
      </c>
      <c r="U770" s="36">
        <f>COUNTIF(Tabla1[[#This Row],[VEHICULOS_ACCIDENTADOS]:[VEHICULOS_ACCIDENTADOS2]],"CAMPERO")</f>
        <v>0</v>
      </c>
      <c r="V770" s="36">
        <f>COUNTIF(Tabla1[[#This Row],[VEHICULOS_ACCIDENTADOS]:[VEHICULOS_ACCIDENTADOS2]],"CAMIONETA")</f>
        <v>0</v>
      </c>
      <c r="W770" s="36">
        <f>COUNTIF(Tabla1[[#This Row],[VEHICULOS_ACCIDENTADOS]:[VEHICULOS_ACCIDENTADOS2]],"MICROBUS")</f>
        <v>0</v>
      </c>
      <c r="X770" s="36">
        <f>COUNTIF(Tabla1[[#This Row],[VEHICULOS_ACCIDENTADOS]:[VEHICULOS_ACCIDENTADOS2]],"BUS")</f>
        <v>0</v>
      </c>
      <c r="Y770" s="36">
        <f>COUNTIF(Tabla1[[#This Row],[VEHICULOS_ACCIDENTADOS]:[VEHICULOS_ACCIDENTADOS2]],"BUSETA")</f>
        <v>0</v>
      </c>
      <c r="Z770" s="36">
        <f>COUNTIF(Tabla1[[#This Row],[VEHICULOS_ACCIDENTADOS]:[VEHICULOS_ACCIDENTADOS2]],"CAMION")</f>
        <v>0</v>
      </c>
      <c r="AA770" s="36">
        <f>COUNTIF(Tabla1[[#This Row],[VEHICULOS_ACCIDENTADOS]:[VEHICULOS_ACCIDENTADOS2]],"TRACTOCAMION")</f>
        <v>0</v>
      </c>
      <c r="AB770" s="36">
        <f>COUNTIF(Tabla1[[#This Row],[VEHICULOS_ACCIDENTADOS]:[VEHICULOS_ACCIDENTADOS2]],"VOLQUETA")</f>
        <v>0</v>
      </c>
      <c r="AC770" s="36">
        <f>COUNTIF(Tabla1[[#This Row],[VEHICULOS_ACCIDENTADOS]:[VEHICULOS_ACCIDENTADOS2]],"BICICLETA")</f>
        <v>0</v>
      </c>
      <c r="AD770" s="50"/>
      <c r="AE770" s="50" t="s">
        <v>472</v>
      </c>
      <c r="AF770" s="50">
        <f>COUNTIF(Tabla1[[#This Row],[GENERO_MASCULINO]:[GENERO_FEMENINO]],"MASCULINO")</f>
        <v>0</v>
      </c>
      <c r="AG770" s="36">
        <f>COUNTIF(Tabla1[[#This Row],[GENERO_MASCULINO]:[GENERO_FEMENINO]],"FEMENINO")</f>
        <v>1</v>
      </c>
      <c r="AH770" s="73"/>
      <c r="AI770" s="73"/>
      <c r="AJ770" s="73"/>
      <c r="AK770" s="73"/>
      <c r="AL770" s="73"/>
      <c r="AM770" s="7"/>
      <c r="AN770" s="73">
        <v>1</v>
      </c>
      <c r="AO770" s="36" t="str">
        <f>IFERROR(((VLOOKUP(Tabla1[[#This Row],[HIPOTESIS_1]],listas!$D$1:$E$105,2,FALSE))),"SIN INFORMACIÓN")</f>
        <v>SIN INFORMACIÓN</v>
      </c>
      <c r="AP770" s="7"/>
      <c r="AQ770" s="36" t="str">
        <f>IFERROR(((VLOOKUP(Tabla1[[#This Row],[HIPOTESIS_2]],listas!$D$1:$E$105,2,FALSE))),"")</f>
        <v/>
      </c>
      <c r="AR770" s="1" t="str">
        <f>IF(HOUR(Tabla1[[#This Row],[HORA_ACCIDENTE]])&lt;6,"MAÑANA",
 IF(HOUR(Tabla1[[#This Row],[HORA_ACCIDENTE]])&lt;12,"MAÑANA",
 IF(HOUR(Tabla1[[#This Row],[HORA_ACCIDENTE]])&lt;18,"TARDE","NOCHE")))</f>
        <v>NOCHE</v>
      </c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s="40"/>
    </row>
    <row r="771" spans="1:56" x14ac:dyDescent="0.25">
      <c r="A771" s="12">
        <v>327</v>
      </c>
      <c r="B771" s="38">
        <v>0</v>
      </c>
      <c r="C771" s="7">
        <v>1</v>
      </c>
      <c r="D771" s="7">
        <v>0</v>
      </c>
      <c r="E771" s="18" t="str">
        <f t="shared" si="48"/>
        <v>LESIONADO</v>
      </c>
      <c r="F771" s="29" t="s">
        <v>312</v>
      </c>
      <c r="G771" s="17">
        <v>5.3493555555555554</v>
      </c>
      <c r="H771" s="17">
        <v>-72.397702777777781</v>
      </c>
      <c r="I771" s="93" t="s">
        <v>697</v>
      </c>
      <c r="J771" s="7" t="s">
        <v>717</v>
      </c>
      <c r="K771" s="24" t="str">
        <f t="shared" si="49"/>
        <v>2022</v>
      </c>
      <c r="L771" s="24" t="str">
        <f t="shared" si="50"/>
        <v>OCTUBRE</v>
      </c>
      <c r="M771" s="232">
        <v>44841</v>
      </c>
      <c r="N771" s="24" t="str">
        <f t="shared" si="51"/>
        <v>VIERNES</v>
      </c>
      <c r="O771" s="174">
        <v>0.26388888888888901</v>
      </c>
      <c r="P771" s="180" t="s">
        <v>469</v>
      </c>
      <c r="Q771" s="180" t="s">
        <v>447</v>
      </c>
      <c r="R771" s="36">
        <f>COUNTIF(Tabla1[[#This Row],[VEHICULOS_ACCIDENTADOS]:[VEHICULOS_ACCIDENTADOS2]],"MOTOCICLETA")</f>
        <v>1</v>
      </c>
      <c r="S771" s="36">
        <f>COUNTIF(Tabla1[[#This Row],[VEHICULOS_ACCIDENTADOS]:[VEHICULOS_ACCIDENTADOS2]],"MOTOCARRO")</f>
        <v>0</v>
      </c>
      <c r="T771" s="36">
        <f>COUNTIF(Tabla1[[#This Row],[VEHICULOS_ACCIDENTADOS]:[VEHICULOS_ACCIDENTADOS2]],"AUTOMOVIL")</f>
        <v>1</v>
      </c>
      <c r="U771" s="36">
        <f>COUNTIF(Tabla1[[#This Row],[VEHICULOS_ACCIDENTADOS]:[VEHICULOS_ACCIDENTADOS2]],"CAMPERO")</f>
        <v>0</v>
      </c>
      <c r="V771" s="36">
        <f>COUNTIF(Tabla1[[#This Row],[VEHICULOS_ACCIDENTADOS]:[VEHICULOS_ACCIDENTADOS2]],"CAMIONETA")</f>
        <v>0</v>
      </c>
      <c r="W771" s="36">
        <f>COUNTIF(Tabla1[[#This Row],[VEHICULOS_ACCIDENTADOS]:[VEHICULOS_ACCIDENTADOS2]],"MICROBUS")</f>
        <v>0</v>
      </c>
      <c r="X771" s="36">
        <f>COUNTIF(Tabla1[[#This Row],[VEHICULOS_ACCIDENTADOS]:[VEHICULOS_ACCIDENTADOS2]],"BUS")</f>
        <v>0</v>
      </c>
      <c r="Y771" s="36">
        <f>COUNTIF(Tabla1[[#This Row],[VEHICULOS_ACCIDENTADOS]:[VEHICULOS_ACCIDENTADOS2]],"BUSETA")</f>
        <v>0</v>
      </c>
      <c r="Z771" s="36">
        <f>COUNTIF(Tabla1[[#This Row],[VEHICULOS_ACCIDENTADOS]:[VEHICULOS_ACCIDENTADOS2]],"CAMION")</f>
        <v>0</v>
      </c>
      <c r="AA771" s="36">
        <f>COUNTIF(Tabla1[[#This Row],[VEHICULOS_ACCIDENTADOS]:[VEHICULOS_ACCIDENTADOS2]],"TRACTOCAMION")</f>
        <v>0</v>
      </c>
      <c r="AB771" s="36">
        <f>COUNTIF(Tabla1[[#This Row],[VEHICULOS_ACCIDENTADOS]:[VEHICULOS_ACCIDENTADOS2]],"VOLQUETA")</f>
        <v>0</v>
      </c>
      <c r="AC771" s="36">
        <f>COUNTIF(Tabla1[[#This Row],[VEHICULOS_ACCIDENTADOS]:[VEHICULOS_ACCIDENTADOS2]],"BICICLETA")</f>
        <v>0</v>
      </c>
      <c r="AD771" s="38" t="s">
        <v>471</v>
      </c>
      <c r="AE771" s="38"/>
      <c r="AF771" s="38">
        <f>COUNTIF(Tabla1[[#This Row],[GENERO_MASCULINO]:[GENERO_FEMENINO]],"MASCULINO")</f>
        <v>1</v>
      </c>
      <c r="AG771" s="36">
        <f>COUNTIF(Tabla1[[#This Row],[GENERO_MASCULINO]:[GENERO_FEMENINO]],"FEMENINO")</f>
        <v>0</v>
      </c>
      <c r="AH771" s="73">
        <v>46</v>
      </c>
      <c r="AI771" s="73"/>
      <c r="AJ771" s="73"/>
      <c r="AK771" s="73"/>
      <c r="AL771" s="73"/>
      <c r="AM771" s="7"/>
      <c r="AN771" s="73">
        <v>112</v>
      </c>
      <c r="AO771" s="36" t="str">
        <f>IFERROR(((VLOOKUP(Tabla1[[#This Row],[HIPOTESIS_1]],listas!$D$1:$E$105,2,FALSE))),"SIN INFORMACIÓN")</f>
        <v>Desobedecer señales o normas de tránsito.</v>
      </c>
      <c r="AP771" s="7"/>
      <c r="AQ771" s="36" t="str">
        <f>IFERROR(((VLOOKUP(Tabla1[[#This Row],[HIPOTESIS_2]],listas!$D$1:$E$105,2,FALSE))),"")</f>
        <v/>
      </c>
      <c r="AR771" s="1" t="str">
        <f>IF(HOUR(Tabla1[[#This Row],[HORA_ACCIDENTE]])&lt;6,"MAÑANA",
 IF(HOUR(Tabla1[[#This Row],[HORA_ACCIDENTE]])&lt;12,"MAÑANA",
 IF(HOUR(Tabla1[[#This Row],[HORA_ACCIDENTE]])&lt;18,"TARDE","NOCHE")))</f>
        <v>MAÑANA</v>
      </c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40"/>
    </row>
    <row r="772" spans="1:56" x14ac:dyDescent="0.25">
      <c r="A772" s="12">
        <v>696</v>
      </c>
      <c r="B772" s="97">
        <v>0</v>
      </c>
      <c r="C772" s="15">
        <v>1</v>
      </c>
      <c r="D772" s="15">
        <v>0</v>
      </c>
      <c r="E772" s="18" t="str">
        <f t="shared" si="48"/>
        <v>LESIONADO</v>
      </c>
      <c r="F772" s="26" t="s">
        <v>150</v>
      </c>
      <c r="G772" s="21">
        <v>5.3902027777777786</v>
      </c>
      <c r="H772" s="21">
        <v>-72.395027777777784</v>
      </c>
      <c r="I772" s="93" t="s">
        <v>697</v>
      </c>
      <c r="J772" s="15" t="s">
        <v>717</v>
      </c>
      <c r="K772" s="24" t="str">
        <f t="shared" si="49"/>
        <v>2024</v>
      </c>
      <c r="L772" s="24" t="str">
        <f t="shared" si="50"/>
        <v>ABRIL</v>
      </c>
      <c r="M772" s="234">
        <v>45403</v>
      </c>
      <c r="N772" s="24" t="str">
        <f t="shared" si="51"/>
        <v>DOMINGO</v>
      </c>
      <c r="O772" s="108">
        <v>4.1666666666666664E-2</v>
      </c>
      <c r="P772" s="44" t="s">
        <v>469</v>
      </c>
      <c r="Q772" s="44"/>
      <c r="R772" s="36">
        <f>COUNTIF(Tabla1[[#This Row],[VEHICULOS_ACCIDENTADOS]:[VEHICULOS_ACCIDENTADOS2]],"MOTOCICLETA")</f>
        <v>1</v>
      </c>
      <c r="S772" s="36">
        <f>COUNTIF(Tabla1[[#This Row],[VEHICULOS_ACCIDENTADOS]:[VEHICULOS_ACCIDENTADOS2]],"MOTOCARRO")</f>
        <v>0</v>
      </c>
      <c r="T772" s="36">
        <f>COUNTIF(Tabla1[[#This Row],[VEHICULOS_ACCIDENTADOS]:[VEHICULOS_ACCIDENTADOS2]],"AUTOMOVIL")</f>
        <v>0</v>
      </c>
      <c r="U772" s="36">
        <f>COUNTIF(Tabla1[[#This Row],[VEHICULOS_ACCIDENTADOS]:[VEHICULOS_ACCIDENTADOS2]],"CAMPERO")</f>
        <v>0</v>
      </c>
      <c r="V772" s="36">
        <f>COUNTIF(Tabla1[[#This Row],[VEHICULOS_ACCIDENTADOS]:[VEHICULOS_ACCIDENTADOS2]],"CAMIONETA")</f>
        <v>0</v>
      </c>
      <c r="W772" s="36">
        <f>COUNTIF(Tabla1[[#This Row],[VEHICULOS_ACCIDENTADOS]:[VEHICULOS_ACCIDENTADOS2]],"MICROBUS")</f>
        <v>0</v>
      </c>
      <c r="X772" s="36">
        <f>COUNTIF(Tabla1[[#This Row],[VEHICULOS_ACCIDENTADOS]:[VEHICULOS_ACCIDENTADOS2]],"BUS")</f>
        <v>0</v>
      </c>
      <c r="Y772" s="36">
        <f>COUNTIF(Tabla1[[#This Row],[VEHICULOS_ACCIDENTADOS]:[VEHICULOS_ACCIDENTADOS2]],"BUSETA")</f>
        <v>0</v>
      </c>
      <c r="Z772" s="36">
        <f>COUNTIF(Tabla1[[#This Row],[VEHICULOS_ACCIDENTADOS]:[VEHICULOS_ACCIDENTADOS2]],"CAMION")</f>
        <v>0</v>
      </c>
      <c r="AA772" s="36">
        <f>COUNTIF(Tabla1[[#This Row],[VEHICULOS_ACCIDENTADOS]:[VEHICULOS_ACCIDENTADOS2]],"TRACTOCAMION")</f>
        <v>0</v>
      </c>
      <c r="AB772" s="36">
        <f>COUNTIF(Tabla1[[#This Row],[VEHICULOS_ACCIDENTADOS]:[VEHICULOS_ACCIDENTADOS2]],"VOLQUETA")</f>
        <v>0</v>
      </c>
      <c r="AC772" s="36">
        <f>COUNTIF(Tabla1[[#This Row],[VEHICULOS_ACCIDENTADOS]:[VEHICULOS_ACCIDENTADOS2]],"BICICLETA")</f>
        <v>0</v>
      </c>
      <c r="AD772" s="43" t="s">
        <v>471</v>
      </c>
      <c r="AE772" s="43"/>
      <c r="AF772" s="43">
        <f>COUNTIF(Tabla1[[#This Row],[GENERO_MASCULINO]:[GENERO_FEMENINO]],"MASCULINO")</f>
        <v>1</v>
      </c>
      <c r="AG772" s="36">
        <f>COUNTIF(Tabla1[[#This Row],[GENERO_MASCULINO]:[GENERO_FEMENINO]],"FEMENINO")</f>
        <v>0</v>
      </c>
      <c r="AH772" s="86">
        <v>28</v>
      </c>
      <c r="AI772" s="86"/>
      <c r="AJ772" s="86"/>
      <c r="AK772" s="86"/>
      <c r="AL772" s="86"/>
      <c r="AM772" s="15"/>
      <c r="AN772" s="86">
        <v>114</v>
      </c>
      <c r="AO772" s="36" t="str">
        <f>IFERROR(((VLOOKUP(Tabla1[[#This Row],[HIPOTESIS_1]],listas!$D$1:$E$105,2,FALSE))),"SIN INFORMACIÓN")</f>
        <v>Embriaguez aparente.</v>
      </c>
      <c r="AP772" s="15"/>
      <c r="AQ772" s="36" t="str">
        <f>IFERROR(((VLOOKUP(Tabla1[[#This Row],[HIPOTESIS_2]],listas!$D$1:$E$105,2,FALSE))),"")</f>
        <v/>
      </c>
      <c r="AR772" s="1" t="str">
        <f>IF(HOUR(Tabla1[[#This Row],[HORA_ACCIDENTE]])&lt;6,"MAÑANA",
 IF(HOUR(Tabla1[[#This Row],[HORA_ACCIDENTE]])&lt;12,"MAÑANA",
 IF(HOUR(Tabla1[[#This Row],[HORA_ACCIDENTE]])&lt;18,"TARDE","NOCHE")))</f>
        <v>MAÑANA</v>
      </c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  <c r="BD772" s="40"/>
    </row>
    <row r="773" spans="1:56" x14ac:dyDescent="0.25">
      <c r="A773" s="12">
        <v>749</v>
      </c>
      <c r="B773" s="43">
        <v>0</v>
      </c>
      <c r="C773" s="7">
        <v>2</v>
      </c>
      <c r="D773" s="7">
        <v>0</v>
      </c>
      <c r="E773" s="18" t="str">
        <f t="shared" si="48"/>
        <v>LESIONADO</v>
      </c>
      <c r="F773" s="29" t="s">
        <v>128</v>
      </c>
      <c r="G773" s="21">
        <v>5.331605555555555</v>
      </c>
      <c r="H773" s="21">
        <v>-72.387836111111113</v>
      </c>
      <c r="I773" s="93" t="s">
        <v>697</v>
      </c>
      <c r="J773" s="15" t="s">
        <v>717</v>
      </c>
      <c r="K773" s="24" t="str">
        <f t="shared" si="49"/>
        <v>2024</v>
      </c>
      <c r="L773" s="24" t="str">
        <f t="shared" si="50"/>
        <v>JULIO</v>
      </c>
      <c r="M773" s="232">
        <v>45496</v>
      </c>
      <c r="N773" s="24" t="str">
        <f t="shared" si="51"/>
        <v>MARTES</v>
      </c>
      <c r="O773" s="106">
        <v>0.74305555555555547</v>
      </c>
      <c r="P773" s="39" t="s">
        <v>469</v>
      </c>
      <c r="Q773" s="39" t="s">
        <v>447</v>
      </c>
      <c r="R773" s="36">
        <f>COUNTIF(Tabla1[[#This Row],[VEHICULOS_ACCIDENTADOS]:[VEHICULOS_ACCIDENTADOS2]],"MOTOCICLETA")</f>
        <v>1</v>
      </c>
      <c r="S773" s="36">
        <f>COUNTIF(Tabla1[[#This Row],[VEHICULOS_ACCIDENTADOS]:[VEHICULOS_ACCIDENTADOS2]],"MOTOCARRO")</f>
        <v>0</v>
      </c>
      <c r="T773" s="36">
        <f>COUNTIF(Tabla1[[#This Row],[VEHICULOS_ACCIDENTADOS]:[VEHICULOS_ACCIDENTADOS2]],"AUTOMOVIL")</f>
        <v>1</v>
      </c>
      <c r="U773" s="36">
        <f>COUNTIF(Tabla1[[#This Row],[VEHICULOS_ACCIDENTADOS]:[VEHICULOS_ACCIDENTADOS2]],"CAMPERO")</f>
        <v>0</v>
      </c>
      <c r="V773" s="36">
        <f>COUNTIF(Tabla1[[#This Row],[VEHICULOS_ACCIDENTADOS]:[VEHICULOS_ACCIDENTADOS2]],"CAMIONETA")</f>
        <v>0</v>
      </c>
      <c r="W773" s="36">
        <f>COUNTIF(Tabla1[[#This Row],[VEHICULOS_ACCIDENTADOS]:[VEHICULOS_ACCIDENTADOS2]],"MICROBUS")</f>
        <v>0</v>
      </c>
      <c r="X773" s="36">
        <f>COUNTIF(Tabla1[[#This Row],[VEHICULOS_ACCIDENTADOS]:[VEHICULOS_ACCIDENTADOS2]],"BUS")</f>
        <v>0</v>
      </c>
      <c r="Y773" s="36">
        <f>COUNTIF(Tabla1[[#This Row],[VEHICULOS_ACCIDENTADOS]:[VEHICULOS_ACCIDENTADOS2]],"BUSETA")</f>
        <v>0</v>
      </c>
      <c r="Z773" s="36">
        <f>COUNTIF(Tabla1[[#This Row],[VEHICULOS_ACCIDENTADOS]:[VEHICULOS_ACCIDENTADOS2]],"CAMION")</f>
        <v>0</v>
      </c>
      <c r="AA773" s="36">
        <f>COUNTIF(Tabla1[[#This Row],[VEHICULOS_ACCIDENTADOS]:[VEHICULOS_ACCIDENTADOS2]],"TRACTOCAMION")</f>
        <v>0</v>
      </c>
      <c r="AB773" s="36">
        <f>COUNTIF(Tabla1[[#This Row],[VEHICULOS_ACCIDENTADOS]:[VEHICULOS_ACCIDENTADOS2]],"VOLQUETA")</f>
        <v>0</v>
      </c>
      <c r="AC773" s="36">
        <f>COUNTIF(Tabla1[[#This Row],[VEHICULOS_ACCIDENTADOS]:[VEHICULOS_ACCIDENTADOS2]],"BICICLETA")</f>
        <v>0</v>
      </c>
      <c r="AD773" s="38" t="s">
        <v>471</v>
      </c>
      <c r="AE773" s="38" t="s">
        <v>472</v>
      </c>
      <c r="AF773" s="38">
        <f>COUNTIF(Tabla1[[#This Row],[GENERO_MASCULINO]:[GENERO_FEMENINO]],"MASCULINO")</f>
        <v>1</v>
      </c>
      <c r="AG773" s="36">
        <f>COUNTIF(Tabla1[[#This Row],[GENERO_MASCULINO]:[GENERO_FEMENINO]],"FEMENINO")</f>
        <v>1</v>
      </c>
      <c r="AH773" s="73">
        <v>51</v>
      </c>
      <c r="AI773" s="73">
        <v>19</v>
      </c>
      <c r="AJ773" s="73">
        <v>0</v>
      </c>
      <c r="AK773" s="73"/>
      <c r="AL773" s="73"/>
      <c r="AM773" s="7"/>
      <c r="AN773" s="73">
        <v>132</v>
      </c>
      <c r="AO773" s="36" t="str">
        <f>IFERROR(((VLOOKUP(Tabla1[[#This Row],[HIPOTESIS_1]],listas!$D$1:$E$105,2,FALSE))),"SIN INFORMACIÓN")</f>
        <v>No respetar prelación.</v>
      </c>
      <c r="AP773" s="7"/>
      <c r="AQ773" s="36" t="str">
        <f>IFERROR(((VLOOKUP(Tabla1[[#This Row],[HIPOTESIS_2]],listas!$D$1:$E$105,2,FALSE))),"")</f>
        <v/>
      </c>
      <c r="AR773" s="1" t="str">
        <f>IF(HOUR(Tabla1[[#This Row],[HORA_ACCIDENTE]])&lt;6,"MAÑANA",
 IF(HOUR(Tabla1[[#This Row],[HORA_ACCIDENTE]])&lt;12,"MAÑANA",
 IF(HOUR(Tabla1[[#This Row],[HORA_ACCIDENTE]])&lt;18,"TARDE","NOCHE")))</f>
        <v>TARDE</v>
      </c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40"/>
    </row>
    <row r="774" spans="1:56" x14ac:dyDescent="0.25">
      <c r="A774" s="12">
        <v>933</v>
      </c>
      <c r="B774" s="97">
        <v>0</v>
      </c>
      <c r="C774" s="7">
        <v>1</v>
      </c>
      <c r="D774" s="15">
        <v>0</v>
      </c>
      <c r="E774" s="18" t="str">
        <f t="shared" si="48"/>
        <v>LESIONADO</v>
      </c>
      <c r="F774" s="29" t="s">
        <v>1154</v>
      </c>
      <c r="G774" s="17">
        <v>5.3377679999999996</v>
      </c>
      <c r="H774" s="17">
        <v>-72.390201000000005</v>
      </c>
      <c r="I774" s="93" t="s">
        <v>697</v>
      </c>
      <c r="J774" s="7" t="s">
        <v>717</v>
      </c>
      <c r="K774" s="24" t="str">
        <f t="shared" si="49"/>
        <v>2025</v>
      </c>
      <c r="L774" s="24" t="str">
        <f t="shared" si="50"/>
        <v>ABRIL</v>
      </c>
      <c r="M774" s="232">
        <v>45757</v>
      </c>
      <c r="N774" s="24" t="str">
        <f t="shared" si="51"/>
        <v>JUEVES</v>
      </c>
      <c r="O774" s="106">
        <v>0.67013888888888884</v>
      </c>
      <c r="P774" s="7" t="s">
        <v>447</v>
      </c>
      <c r="Q774" s="7" t="s">
        <v>469</v>
      </c>
      <c r="R774" s="36">
        <f>COUNTIF(Tabla1[[#This Row],[VEHICULOS_ACCIDENTADOS]:[VEHICULOS_ACCIDENTADOS2]],"MOTOCICLETA")</f>
        <v>1</v>
      </c>
      <c r="S774" s="36">
        <f>COUNTIF(Tabla1[[#This Row],[VEHICULOS_ACCIDENTADOS]:[VEHICULOS_ACCIDENTADOS2]],"MOTOCARRO")</f>
        <v>0</v>
      </c>
      <c r="T774" s="36">
        <f>COUNTIF(Tabla1[[#This Row],[VEHICULOS_ACCIDENTADOS]:[VEHICULOS_ACCIDENTADOS2]],"AUTOMOVIL")</f>
        <v>1</v>
      </c>
      <c r="U774" s="36">
        <f>COUNTIF(Tabla1[[#This Row],[VEHICULOS_ACCIDENTADOS]:[VEHICULOS_ACCIDENTADOS2]],"CAMPERO")</f>
        <v>0</v>
      </c>
      <c r="V774" s="36">
        <f>COUNTIF(Tabla1[[#This Row],[VEHICULOS_ACCIDENTADOS]:[VEHICULOS_ACCIDENTADOS2]],"CAMIONETA")</f>
        <v>0</v>
      </c>
      <c r="W774" s="36">
        <f>COUNTIF(Tabla1[[#This Row],[VEHICULOS_ACCIDENTADOS]:[VEHICULOS_ACCIDENTADOS2]],"MICROBUS")</f>
        <v>0</v>
      </c>
      <c r="X774" s="36">
        <f>COUNTIF(Tabla1[[#This Row],[VEHICULOS_ACCIDENTADOS]:[VEHICULOS_ACCIDENTADOS2]],"BUS")</f>
        <v>0</v>
      </c>
      <c r="Y774" s="36">
        <f>COUNTIF(Tabla1[[#This Row],[VEHICULOS_ACCIDENTADOS]:[VEHICULOS_ACCIDENTADOS2]],"BUSETA")</f>
        <v>0</v>
      </c>
      <c r="Z774" s="36">
        <f>COUNTIF(Tabla1[[#This Row],[VEHICULOS_ACCIDENTADOS]:[VEHICULOS_ACCIDENTADOS2]],"CAMION")</f>
        <v>0</v>
      </c>
      <c r="AA774" s="36">
        <f>COUNTIF(Tabla1[[#This Row],[VEHICULOS_ACCIDENTADOS]:[VEHICULOS_ACCIDENTADOS2]],"TRACTOCAMION")</f>
        <v>0</v>
      </c>
      <c r="AB774" s="36">
        <f>COUNTIF(Tabla1[[#This Row],[VEHICULOS_ACCIDENTADOS]:[VEHICULOS_ACCIDENTADOS2]],"VOLQUETA")</f>
        <v>0</v>
      </c>
      <c r="AC774" s="36">
        <f>COUNTIF(Tabla1[[#This Row],[VEHICULOS_ACCIDENTADOS]:[VEHICULOS_ACCIDENTADOS2]],"BICICLETA")</f>
        <v>0</v>
      </c>
      <c r="AD774" s="38" t="s">
        <v>471</v>
      </c>
      <c r="AE774" s="38" t="s">
        <v>472</v>
      </c>
      <c r="AF774" s="38">
        <f>COUNTIF(Tabla1[[#This Row],[GENERO_MASCULINO]:[GENERO_FEMENINO]],"MASCULINO")</f>
        <v>1</v>
      </c>
      <c r="AG774" s="36">
        <f>COUNTIF(Tabla1[[#This Row],[GENERO_MASCULINO]:[GENERO_FEMENINO]],"FEMENINO")</f>
        <v>1</v>
      </c>
      <c r="AH774" s="86">
        <v>45</v>
      </c>
      <c r="AI774" s="86">
        <v>24</v>
      </c>
      <c r="AJ774" s="86"/>
      <c r="AK774" s="87"/>
      <c r="AL774" s="87"/>
      <c r="AM774" s="6"/>
      <c r="AN774" s="73">
        <v>132</v>
      </c>
      <c r="AO774" s="36" t="str">
        <f>IFERROR(((VLOOKUP(Tabla1[[#This Row],[HIPOTESIS_1]],listas!$D$1:$E$105,2,FALSE))),"SIN INFORMACIÓN")</f>
        <v>No respetar prelación.</v>
      </c>
      <c r="AP774" s="7"/>
      <c r="AQ774" s="36" t="str">
        <f>IFERROR(((VLOOKUP(Tabla1[[#This Row],[HIPOTESIS_2]],listas!$D$1:$E$105,2,FALSE))),"")</f>
        <v/>
      </c>
      <c r="AR774" s="1" t="str">
        <f>IF(HOUR(Tabla1[[#This Row],[HORA_ACCIDENTE]])&lt;6,"MAÑANA",
 IF(HOUR(Tabla1[[#This Row],[HORA_ACCIDENTE]])&lt;12,"MAÑANA",
 IF(HOUR(Tabla1[[#This Row],[HORA_ACCIDENTE]])&lt;18,"TARDE","NOCHE")))</f>
        <v>TARDE</v>
      </c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  <c r="BD774" s="40"/>
    </row>
    <row r="775" spans="1:56" x14ac:dyDescent="0.25">
      <c r="A775" s="12">
        <v>695</v>
      </c>
      <c r="B775" s="43">
        <v>0</v>
      </c>
      <c r="C775" s="15">
        <v>1</v>
      </c>
      <c r="D775" s="15">
        <v>0</v>
      </c>
      <c r="E775" s="18" t="str">
        <f t="shared" si="48"/>
        <v>LESIONADO</v>
      </c>
      <c r="F775" s="26" t="s">
        <v>1155</v>
      </c>
      <c r="G775" s="17">
        <v>5.3377679999999996</v>
      </c>
      <c r="H775" s="17">
        <v>-72.390201000000005</v>
      </c>
      <c r="I775" s="93" t="s">
        <v>697</v>
      </c>
      <c r="J775" s="15" t="s">
        <v>717</v>
      </c>
      <c r="K775" s="24" t="str">
        <f t="shared" si="49"/>
        <v>2024</v>
      </c>
      <c r="L775" s="24" t="str">
        <f t="shared" si="50"/>
        <v>ABRIL</v>
      </c>
      <c r="M775" s="234">
        <v>45398</v>
      </c>
      <c r="N775" s="24" t="str">
        <f t="shared" si="51"/>
        <v>MARTES</v>
      </c>
      <c r="O775" s="108">
        <v>0.28819444444444448</v>
      </c>
      <c r="P775" s="44" t="s">
        <v>447</v>
      </c>
      <c r="Q775" s="44"/>
      <c r="R775" s="36">
        <f>COUNTIF(Tabla1[[#This Row],[VEHICULOS_ACCIDENTADOS]:[VEHICULOS_ACCIDENTADOS2]],"MOTOCICLETA")</f>
        <v>0</v>
      </c>
      <c r="S775" s="36">
        <f>COUNTIF(Tabla1[[#This Row],[VEHICULOS_ACCIDENTADOS]:[VEHICULOS_ACCIDENTADOS2]],"MOTOCARRO")</f>
        <v>0</v>
      </c>
      <c r="T775" s="36">
        <f>COUNTIF(Tabla1[[#This Row],[VEHICULOS_ACCIDENTADOS]:[VEHICULOS_ACCIDENTADOS2]],"AUTOMOVIL")</f>
        <v>1</v>
      </c>
      <c r="U775" s="36">
        <f>COUNTIF(Tabla1[[#This Row],[VEHICULOS_ACCIDENTADOS]:[VEHICULOS_ACCIDENTADOS2]],"CAMPERO")</f>
        <v>0</v>
      </c>
      <c r="V775" s="36">
        <f>COUNTIF(Tabla1[[#This Row],[VEHICULOS_ACCIDENTADOS]:[VEHICULOS_ACCIDENTADOS2]],"CAMIONETA")</f>
        <v>0</v>
      </c>
      <c r="W775" s="36">
        <f>COUNTIF(Tabla1[[#This Row],[VEHICULOS_ACCIDENTADOS]:[VEHICULOS_ACCIDENTADOS2]],"MICROBUS")</f>
        <v>0</v>
      </c>
      <c r="X775" s="36">
        <f>COUNTIF(Tabla1[[#This Row],[VEHICULOS_ACCIDENTADOS]:[VEHICULOS_ACCIDENTADOS2]],"BUS")</f>
        <v>0</v>
      </c>
      <c r="Y775" s="36">
        <f>COUNTIF(Tabla1[[#This Row],[VEHICULOS_ACCIDENTADOS]:[VEHICULOS_ACCIDENTADOS2]],"BUSETA")</f>
        <v>0</v>
      </c>
      <c r="Z775" s="36">
        <f>COUNTIF(Tabla1[[#This Row],[VEHICULOS_ACCIDENTADOS]:[VEHICULOS_ACCIDENTADOS2]],"CAMION")</f>
        <v>0</v>
      </c>
      <c r="AA775" s="36">
        <f>COUNTIF(Tabla1[[#This Row],[VEHICULOS_ACCIDENTADOS]:[VEHICULOS_ACCIDENTADOS2]],"TRACTOCAMION")</f>
        <v>0</v>
      </c>
      <c r="AB775" s="36">
        <f>COUNTIF(Tabla1[[#This Row],[VEHICULOS_ACCIDENTADOS]:[VEHICULOS_ACCIDENTADOS2]],"VOLQUETA")</f>
        <v>0</v>
      </c>
      <c r="AC775" s="36">
        <f>COUNTIF(Tabla1[[#This Row],[VEHICULOS_ACCIDENTADOS]:[VEHICULOS_ACCIDENTADOS2]],"BICICLETA")</f>
        <v>0</v>
      </c>
      <c r="AD775" s="43" t="s">
        <v>471</v>
      </c>
      <c r="AE775" s="43"/>
      <c r="AF775" s="43">
        <f>COUNTIF(Tabla1[[#This Row],[GENERO_MASCULINO]:[GENERO_FEMENINO]],"MASCULINO")</f>
        <v>1</v>
      </c>
      <c r="AG775" s="36">
        <f>COUNTIF(Tabla1[[#This Row],[GENERO_MASCULINO]:[GENERO_FEMENINO]],"FEMENINO")</f>
        <v>0</v>
      </c>
      <c r="AH775" s="86">
        <v>45</v>
      </c>
      <c r="AI775" s="86">
        <v>0</v>
      </c>
      <c r="AJ775" s="86"/>
      <c r="AK775" s="86"/>
      <c r="AL775" s="86"/>
      <c r="AM775" s="15"/>
      <c r="AN775" s="86">
        <v>404</v>
      </c>
      <c r="AO775" s="36" t="str">
        <f>IFERROR(((VLOOKUP(Tabla1[[#This Row],[HIPOTESIS_1]],listas!$D$1:$E$105,2,FALSE))),"SIN INFORMACIÓN")</f>
        <v>Transitar por la calzada.</v>
      </c>
      <c r="AP775" s="15"/>
      <c r="AQ775" s="36" t="str">
        <f>IFERROR(((VLOOKUP(Tabla1[[#This Row],[HIPOTESIS_2]],listas!$D$1:$E$105,2,FALSE))),"")</f>
        <v/>
      </c>
      <c r="AR775" s="1" t="str">
        <f>IF(HOUR(Tabla1[[#This Row],[HORA_ACCIDENTE]])&lt;6,"MAÑANA",
 IF(HOUR(Tabla1[[#This Row],[HORA_ACCIDENTE]])&lt;12,"MAÑANA",
 IF(HOUR(Tabla1[[#This Row],[HORA_ACCIDENTE]])&lt;18,"TARDE","NOCHE")))</f>
        <v>MAÑANA</v>
      </c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40"/>
    </row>
    <row r="776" spans="1:56" x14ac:dyDescent="0.25">
      <c r="A776" s="12">
        <v>768</v>
      </c>
      <c r="B776" s="97">
        <v>0</v>
      </c>
      <c r="C776" s="15">
        <v>1</v>
      </c>
      <c r="D776" s="15">
        <v>0</v>
      </c>
      <c r="E776" s="18" t="str">
        <f t="shared" si="48"/>
        <v>LESIONADO</v>
      </c>
      <c r="F776" s="26" t="s">
        <v>1155</v>
      </c>
      <c r="G776" s="17">
        <v>5.3377679999999996</v>
      </c>
      <c r="H776" s="17">
        <v>-72.390201000000005</v>
      </c>
      <c r="I776" s="93" t="s">
        <v>697</v>
      </c>
      <c r="J776" s="15" t="s">
        <v>717</v>
      </c>
      <c r="K776" s="24" t="str">
        <f t="shared" si="49"/>
        <v>2024</v>
      </c>
      <c r="L776" s="24" t="str">
        <f t="shared" si="50"/>
        <v>AGOSTO</v>
      </c>
      <c r="M776" s="234">
        <v>45526</v>
      </c>
      <c r="N776" s="24" t="str">
        <f t="shared" si="51"/>
        <v>JUEVES</v>
      </c>
      <c r="O776" s="108">
        <v>0.59722222222222221</v>
      </c>
      <c r="P776" s="44" t="s">
        <v>469</v>
      </c>
      <c r="Q776" s="44" t="s">
        <v>447</v>
      </c>
      <c r="R776" s="36">
        <f>COUNTIF(Tabla1[[#This Row],[VEHICULOS_ACCIDENTADOS]:[VEHICULOS_ACCIDENTADOS2]],"MOTOCICLETA")</f>
        <v>1</v>
      </c>
      <c r="S776" s="36">
        <f>COUNTIF(Tabla1[[#This Row],[VEHICULOS_ACCIDENTADOS]:[VEHICULOS_ACCIDENTADOS2]],"MOTOCARRO")</f>
        <v>0</v>
      </c>
      <c r="T776" s="36">
        <f>COUNTIF(Tabla1[[#This Row],[VEHICULOS_ACCIDENTADOS]:[VEHICULOS_ACCIDENTADOS2]],"AUTOMOVIL")</f>
        <v>1</v>
      </c>
      <c r="U776" s="36">
        <f>COUNTIF(Tabla1[[#This Row],[VEHICULOS_ACCIDENTADOS]:[VEHICULOS_ACCIDENTADOS2]],"CAMPERO")</f>
        <v>0</v>
      </c>
      <c r="V776" s="36">
        <f>COUNTIF(Tabla1[[#This Row],[VEHICULOS_ACCIDENTADOS]:[VEHICULOS_ACCIDENTADOS2]],"CAMIONETA")</f>
        <v>0</v>
      </c>
      <c r="W776" s="36">
        <f>COUNTIF(Tabla1[[#This Row],[VEHICULOS_ACCIDENTADOS]:[VEHICULOS_ACCIDENTADOS2]],"MICROBUS")</f>
        <v>0</v>
      </c>
      <c r="X776" s="36">
        <f>COUNTIF(Tabla1[[#This Row],[VEHICULOS_ACCIDENTADOS]:[VEHICULOS_ACCIDENTADOS2]],"BUS")</f>
        <v>0</v>
      </c>
      <c r="Y776" s="36">
        <f>COUNTIF(Tabla1[[#This Row],[VEHICULOS_ACCIDENTADOS]:[VEHICULOS_ACCIDENTADOS2]],"BUSETA")</f>
        <v>0</v>
      </c>
      <c r="Z776" s="36">
        <f>COUNTIF(Tabla1[[#This Row],[VEHICULOS_ACCIDENTADOS]:[VEHICULOS_ACCIDENTADOS2]],"CAMION")</f>
        <v>0</v>
      </c>
      <c r="AA776" s="36">
        <f>COUNTIF(Tabla1[[#This Row],[VEHICULOS_ACCIDENTADOS]:[VEHICULOS_ACCIDENTADOS2]],"TRACTOCAMION")</f>
        <v>0</v>
      </c>
      <c r="AB776" s="36">
        <f>COUNTIF(Tabla1[[#This Row],[VEHICULOS_ACCIDENTADOS]:[VEHICULOS_ACCIDENTADOS2]],"VOLQUETA")</f>
        <v>0</v>
      </c>
      <c r="AC776" s="36">
        <f>COUNTIF(Tabla1[[#This Row],[VEHICULOS_ACCIDENTADOS]:[VEHICULOS_ACCIDENTADOS2]],"BICICLETA")</f>
        <v>0</v>
      </c>
      <c r="AD776" s="43" t="s">
        <v>471</v>
      </c>
      <c r="AE776" s="43" t="s">
        <v>472</v>
      </c>
      <c r="AF776" s="43">
        <f>COUNTIF(Tabla1[[#This Row],[GENERO_MASCULINO]:[GENERO_FEMENINO]],"MASCULINO")</f>
        <v>1</v>
      </c>
      <c r="AG776" s="36">
        <f>COUNTIF(Tabla1[[#This Row],[GENERO_MASCULINO]:[GENERO_FEMENINO]],"FEMENINO")</f>
        <v>1</v>
      </c>
      <c r="AH776" s="86"/>
      <c r="AI776" s="86">
        <v>28</v>
      </c>
      <c r="AJ776" s="86"/>
      <c r="AK776" s="86"/>
      <c r="AL776" s="86"/>
      <c r="AM776" s="15"/>
      <c r="AN776" s="86">
        <v>112</v>
      </c>
      <c r="AO776" s="36" t="str">
        <f>IFERROR(((VLOOKUP(Tabla1[[#This Row],[HIPOTESIS_1]],listas!$D$1:$E$105,2,FALSE))),"SIN INFORMACIÓN")</f>
        <v>Desobedecer señales o normas de tránsito.</v>
      </c>
      <c r="AP776" s="15"/>
      <c r="AQ776" s="36" t="str">
        <f>IFERROR(((VLOOKUP(Tabla1[[#This Row],[HIPOTESIS_2]],listas!$D$1:$E$105,2,FALSE))),"")</f>
        <v/>
      </c>
      <c r="AR776" s="1" t="str">
        <f>IF(HOUR(Tabla1[[#This Row],[HORA_ACCIDENTE]])&lt;6,"MAÑANA",
 IF(HOUR(Tabla1[[#This Row],[HORA_ACCIDENTE]])&lt;12,"MAÑANA",
 IF(HOUR(Tabla1[[#This Row],[HORA_ACCIDENTE]])&lt;18,"TARDE","NOCHE")))</f>
        <v>TARDE</v>
      </c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33"/>
    </row>
    <row r="777" spans="1:56" x14ac:dyDescent="0.25">
      <c r="A777" s="12">
        <v>156</v>
      </c>
      <c r="B777" s="38">
        <v>0</v>
      </c>
      <c r="C777" s="7">
        <v>2</v>
      </c>
      <c r="D777" s="7">
        <v>0</v>
      </c>
      <c r="E777" s="18" t="str">
        <f t="shared" si="48"/>
        <v>LESIONADO</v>
      </c>
      <c r="F777" s="29" t="s">
        <v>1106</v>
      </c>
      <c r="G777" s="17">
        <v>5.3481361111111108</v>
      </c>
      <c r="H777" s="17">
        <v>-72.395783333333341</v>
      </c>
      <c r="I777" s="93" t="s">
        <v>697</v>
      </c>
      <c r="J777" s="7" t="s">
        <v>717</v>
      </c>
      <c r="K777" s="24" t="str">
        <f t="shared" si="49"/>
        <v>2022</v>
      </c>
      <c r="L777" s="24" t="str">
        <f t="shared" si="50"/>
        <v>ABRIL</v>
      </c>
      <c r="M777" s="232">
        <v>44681</v>
      </c>
      <c r="N777" s="24" t="str">
        <f t="shared" si="51"/>
        <v>SÁBADO</v>
      </c>
      <c r="O777" s="174">
        <v>0.375</v>
      </c>
      <c r="P777" s="180" t="s">
        <v>469</v>
      </c>
      <c r="Q777" s="180" t="s">
        <v>469</v>
      </c>
      <c r="R777" s="36">
        <f>COUNTIF(Tabla1[[#This Row],[VEHICULOS_ACCIDENTADOS]:[VEHICULOS_ACCIDENTADOS2]],"MOTOCICLETA")</f>
        <v>2</v>
      </c>
      <c r="S777" s="36">
        <f>COUNTIF(Tabla1[[#This Row],[VEHICULOS_ACCIDENTADOS]:[VEHICULOS_ACCIDENTADOS2]],"MOTOCARRO")</f>
        <v>0</v>
      </c>
      <c r="T777" s="36">
        <f>COUNTIF(Tabla1[[#This Row],[VEHICULOS_ACCIDENTADOS]:[VEHICULOS_ACCIDENTADOS2]],"AUTOMOVIL")</f>
        <v>0</v>
      </c>
      <c r="U777" s="36">
        <f>COUNTIF(Tabla1[[#This Row],[VEHICULOS_ACCIDENTADOS]:[VEHICULOS_ACCIDENTADOS2]],"CAMPERO")</f>
        <v>0</v>
      </c>
      <c r="V777" s="36">
        <f>COUNTIF(Tabla1[[#This Row],[VEHICULOS_ACCIDENTADOS]:[VEHICULOS_ACCIDENTADOS2]],"CAMIONETA")</f>
        <v>0</v>
      </c>
      <c r="W777" s="36">
        <f>COUNTIF(Tabla1[[#This Row],[VEHICULOS_ACCIDENTADOS]:[VEHICULOS_ACCIDENTADOS2]],"MICROBUS")</f>
        <v>0</v>
      </c>
      <c r="X777" s="36">
        <f>COUNTIF(Tabla1[[#This Row],[VEHICULOS_ACCIDENTADOS]:[VEHICULOS_ACCIDENTADOS2]],"BUS")</f>
        <v>0</v>
      </c>
      <c r="Y777" s="36">
        <f>COUNTIF(Tabla1[[#This Row],[VEHICULOS_ACCIDENTADOS]:[VEHICULOS_ACCIDENTADOS2]],"BUSETA")</f>
        <v>0</v>
      </c>
      <c r="Z777" s="36">
        <f>COUNTIF(Tabla1[[#This Row],[VEHICULOS_ACCIDENTADOS]:[VEHICULOS_ACCIDENTADOS2]],"CAMION")</f>
        <v>0</v>
      </c>
      <c r="AA777" s="36">
        <f>COUNTIF(Tabla1[[#This Row],[VEHICULOS_ACCIDENTADOS]:[VEHICULOS_ACCIDENTADOS2]],"TRACTOCAMION")</f>
        <v>0</v>
      </c>
      <c r="AB777" s="36">
        <f>COUNTIF(Tabla1[[#This Row],[VEHICULOS_ACCIDENTADOS]:[VEHICULOS_ACCIDENTADOS2]],"VOLQUETA")</f>
        <v>0</v>
      </c>
      <c r="AC777" s="36">
        <f>COUNTIF(Tabla1[[#This Row],[VEHICULOS_ACCIDENTADOS]:[VEHICULOS_ACCIDENTADOS2]],"BICICLETA")</f>
        <v>0</v>
      </c>
      <c r="AD777" s="38" t="s">
        <v>471</v>
      </c>
      <c r="AE777" s="38"/>
      <c r="AF777" s="38">
        <f>COUNTIF(Tabla1[[#This Row],[GENERO_MASCULINO]:[GENERO_FEMENINO]],"MASCULINO")</f>
        <v>1</v>
      </c>
      <c r="AG777" s="36">
        <f>COUNTIF(Tabla1[[#This Row],[GENERO_MASCULINO]:[GENERO_FEMENINO]],"FEMENINO")</f>
        <v>0</v>
      </c>
      <c r="AH777" s="73">
        <v>22</v>
      </c>
      <c r="AI777" s="73">
        <v>51</v>
      </c>
      <c r="AJ777" s="73"/>
      <c r="AK777" s="73"/>
      <c r="AL777" s="73"/>
      <c r="AM777" s="7"/>
      <c r="AN777" s="73">
        <v>123</v>
      </c>
      <c r="AO777" s="36" t="str">
        <f>IFERROR(((VLOOKUP(Tabla1[[#This Row],[HIPOTESIS_1]],listas!$D$1:$E$105,2,FALSE))),"SIN INFORMACIÓN")</f>
        <v>No respetar prelación de intersecciones o giros.</v>
      </c>
      <c r="AP777" s="7"/>
      <c r="AQ777" s="36" t="str">
        <f>IFERROR(((VLOOKUP(Tabla1[[#This Row],[HIPOTESIS_2]],listas!$D$1:$E$105,2,FALSE))),"")</f>
        <v/>
      </c>
      <c r="AR777" s="1" t="str">
        <f>IF(HOUR(Tabla1[[#This Row],[HORA_ACCIDENTE]])&lt;6,"MAÑANA",
 IF(HOUR(Tabla1[[#This Row],[HORA_ACCIDENTE]])&lt;12,"MAÑANA",
 IF(HOUR(Tabla1[[#This Row],[HORA_ACCIDENTE]])&lt;18,"TARDE","NOCHE")))</f>
        <v>MAÑANA</v>
      </c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33"/>
    </row>
    <row r="778" spans="1:56" x14ac:dyDescent="0.25">
      <c r="A778" s="12">
        <v>533</v>
      </c>
      <c r="B778" s="38">
        <v>0</v>
      </c>
      <c r="C778" s="7">
        <v>0</v>
      </c>
      <c r="D778" s="7">
        <v>1</v>
      </c>
      <c r="E778" s="18" t="str">
        <f t="shared" si="48"/>
        <v>FALLECIDO</v>
      </c>
      <c r="F778" s="29" t="s">
        <v>1107</v>
      </c>
      <c r="G778" s="21">
        <v>5.3433052777777776</v>
      </c>
      <c r="H778" s="21">
        <v>-72.393188333333342</v>
      </c>
      <c r="I778" s="93" t="s">
        <v>697</v>
      </c>
      <c r="J778" s="7" t="s">
        <v>717</v>
      </c>
      <c r="K778" s="24" t="str">
        <f t="shared" si="49"/>
        <v>2023</v>
      </c>
      <c r="L778" s="24" t="str">
        <f t="shared" si="50"/>
        <v>AGOSTO</v>
      </c>
      <c r="M778" s="232">
        <v>45153</v>
      </c>
      <c r="N778" s="24" t="str">
        <f t="shared" si="51"/>
        <v>MARTES</v>
      </c>
      <c r="O778" s="106">
        <v>0.75694444444444453</v>
      </c>
      <c r="P778" s="39" t="s">
        <v>469</v>
      </c>
      <c r="Q778" s="39" t="s">
        <v>447</v>
      </c>
      <c r="R778" s="36">
        <f>COUNTIF(Tabla1[[#This Row],[VEHICULOS_ACCIDENTADOS]:[VEHICULOS_ACCIDENTADOS2]],"MOTOCICLETA")</f>
        <v>1</v>
      </c>
      <c r="S778" s="36">
        <f>COUNTIF(Tabla1[[#This Row],[VEHICULOS_ACCIDENTADOS]:[VEHICULOS_ACCIDENTADOS2]],"MOTOCARRO")</f>
        <v>0</v>
      </c>
      <c r="T778" s="36">
        <f>COUNTIF(Tabla1[[#This Row],[VEHICULOS_ACCIDENTADOS]:[VEHICULOS_ACCIDENTADOS2]],"AUTOMOVIL")</f>
        <v>1</v>
      </c>
      <c r="U778" s="36">
        <f>COUNTIF(Tabla1[[#This Row],[VEHICULOS_ACCIDENTADOS]:[VEHICULOS_ACCIDENTADOS2]],"CAMPERO")</f>
        <v>0</v>
      </c>
      <c r="V778" s="36">
        <f>COUNTIF(Tabla1[[#This Row],[VEHICULOS_ACCIDENTADOS]:[VEHICULOS_ACCIDENTADOS2]],"CAMIONETA")</f>
        <v>0</v>
      </c>
      <c r="W778" s="36">
        <f>COUNTIF(Tabla1[[#This Row],[VEHICULOS_ACCIDENTADOS]:[VEHICULOS_ACCIDENTADOS2]],"MICROBUS")</f>
        <v>0</v>
      </c>
      <c r="X778" s="36">
        <f>COUNTIF(Tabla1[[#This Row],[VEHICULOS_ACCIDENTADOS]:[VEHICULOS_ACCIDENTADOS2]],"BUS")</f>
        <v>0</v>
      </c>
      <c r="Y778" s="36">
        <f>COUNTIF(Tabla1[[#This Row],[VEHICULOS_ACCIDENTADOS]:[VEHICULOS_ACCIDENTADOS2]],"BUSETA")</f>
        <v>0</v>
      </c>
      <c r="Z778" s="36">
        <f>COUNTIF(Tabla1[[#This Row],[VEHICULOS_ACCIDENTADOS]:[VEHICULOS_ACCIDENTADOS2]],"CAMION")</f>
        <v>0</v>
      </c>
      <c r="AA778" s="36">
        <f>COUNTIF(Tabla1[[#This Row],[VEHICULOS_ACCIDENTADOS]:[VEHICULOS_ACCIDENTADOS2]],"TRACTOCAMION")</f>
        <v>0</v>
      </c>
      <c r="AB778" s="36">
        <f>COUNTIF(Tabla1[[#This Row],[VEHICULOS_ACCIDENTADOS]:[VEHICULOS_ACCIDENTADOS2]],"VOLQUETA")</f>
        <v>0</v>
      </c>
      <c r="AC778" s="36">
        <f>COUNTIF(Tabla1[[#This Row],[VEHICULOS_ACCIDENTADOS]:[VEHICULOS_ACCIDENTADOS2]],"BICICLETA")</f>
        <v>0</v>
      </c>
      <c r="AD778" s="38" t="s">
        <v>471</v>
      </c>
      <c r="AE778" s="38"/>
      <c r="AF778" s="38">
        <f>COUNTIF(Tabla1[[#This Row],[GENERO_MASCULINO]:[GENERO_FEMENINO]],"MASCULINO")</f>
        <v>1</v>
      </c>
      <c r="AG778" s="36">
        <f>COUNTIF(Tabla1[[#This Row],[GENERO_MASCULINO]:[GENERO_FEMENINO]],"FEMENINO")</f>
        <v>0</v>
      </c>
      <c r="AH778" s="73">
        <v>38</v>
      </c>
      <c r="AI778" s="73"/>
      <c r="AJ778" s="73"/>
      <c r="AK778" s="73"/>
      <c r="AL778" s="73"/>
      <c r="AM778" s="7"/>
      <c r="AN778" s="73">
        <v>139</v>
      </c>
      <c r="AO778" s="36" t="str">
        <f>IFERROR(((VLOOKUP(Tabla1[[#This Row],[HIPOTESIS_1]],listas!$D$1:$E$105,2,FALSE))),"SIN INFORMACIÓN")</f>
        <v>Impericia en el manejo.</v>
      </c>
      <c r="AP778" s="7"/>
      <c r="AQ778" s="36" t="str">
        <f>IFERROR(((VLOOKUP(Tabla1[[#This Row],[HIPOTESIS_2]],listas!$D$1:$E$105,2,FALSE))),"")</f>
        <v/>
      </c>
      <c r="AR778" s="1" t="str">
        <f>IF(HOUR(Tabla1[[#This Row],[HORA_ACCIDENTE]])&lt;6,"MAÑANA",
 IF(HOUR(Tabla1[[#This Row],[HORA_ACCIDENTE]])&lt;12,"MAÑANA",
 IF(HOUR(Tabla1[[#This Row],[HORA_ACCIDENTE]])&lt;18,"TARDE","NOCHE")))</f>
        <v>NOCHE</v>
      </c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33"/>
    </row>
    <row r="779" spans="1:56" x14ac:dyDescent="0.25">
      <c r="A779" s="12">
        <v>758</v>
      </c>
      <c r="B779" s="97">
        <v>0</v>
      </c>
      <c r="C779" s="15">
        <v>1</v>
      </c>
      <c r="D779" s="15">
        <v>0</v>
      </c>
      <c r="E779" s="18" t="str">
        <f t="shared" si="48"/>
        <v>LESIONADO</v>
      </c>
      <c r="F779" s="26" t="s">
        <v>1107</v>
      </c>
      <c r="G779" s="21">
        <v>5.3433052777777776</v>
      </c>
      <c r="H779" s="21">
        <v>-72.393188333333342</v>
      </c>
      <c r="I779" s="93" t="s">
        <v>697</v>
      </c>
      <c r="J779" s="15" t="s">
        <v>717</v>
      </c>
      <c r="K779" s="24" t="str">
        <f t="shared" si="49"/>
        <v>2024</v>
      </c>
      <c r="L779" s="24" t="str">
        <f t="shared" si="50"/>
        <v>AGOSTO</v>
      </c>
      <c r="M779" s="234">
        <v>45508</v>
      </c>
      <c r="N779" s="24" t="str">
        <f t="shared" si="51"/>
        <v>DOMINGO</v>
      </c>
      <c r="O779" s="108">
        <v>0.85069444444444453</v>
      </c>
      <c r="P779" s="44" t="s">
        <v>469</v>
      </c>
      <c r="Q779" s="44" t="s">
        <v>447</v>
      </c>
      <c r="R779" s="36">
        <f>COUNTIF(Tabla1[[#This Row],[VEHICULOS_ACCIDENTADOS]:[VEHICULOS_ACCIDENTADOS2]],"MOTOCICLETA")</f>
        <v>1</v>
      </c>
      <c r="S779" s="36">
        <f>COUNTIF(Tabla1[[#This Row],[VEHICULOS_ACCIDENTADOS]:[VEHICULOS_ACCIDENTADOS2]],"MOTOCARRO")</f>
        <v>0</v>
      </c>
      <c r="T779" s="36">
        <f>COUNTIF(Tabla1[[#This Row],[VEHICULOS_ACCIDENTADOS]:[VEHICULOS_ACCIDENTADOS2]],"AUTOMOVIL")</f>
        <v>1</v>
      </c>
      <c r="U779" s="36">
        <f>COUNTIF(Tabla1[[#This Row],[VEHICULOS_ACCIDENTADOS]:[VEHICULOS_ACCIDENTADOS2]],"CAMPERO")</f>
        <v>0</v>
      </c>
      <c r="V779" s="36">
        <f>COUNTIF(Tabla1[[#This Row],[VEHICULOS_ACCIDENTADOS]:[VEHICULOS_ACCIDENTADOS2]],"CAMIONETA")</f>
        <v>0</v>
      </c>
      <c r="W779" s="36">
        <f>COUNTIF(Tabla1[[#This Row],[VEHICULOS_ACCIDENTADOS]:[VEHICULOS_ACCIDENTADOS2]],"MICROBUS")</f>
        <v>0</v>
      </c>
      <c r="X779" s="36">
        <f>COUNTIF(Tabla1[[#This Row],[VEHICULOS_ACCIDENTADOS]:[VEHICULOS_ACCIDENTADOS2]],"BUS")</f>
        <v>0</v>
      </c>
      <c r="Y779" s="36">
        <f>COUNTIF(Tabla1[[#This Row],[VEHICULOS_ACCIDENTADOS]:[VEHICULOS_ACCIDENTADOS2]],"BUSETA")</f>
        <v>0</v>
      </c>
      <c r="Z779" s="36">
        <f>COUNTIF(Tabla1[[#This Row],[VEHICULOS_ACCIDENTADOS]:[VEHICULOS_ACCIDENTADOS2]],"CAMION")</f>
        <v>0</v>
      </c>
      <c r="AA779" s="36">
        <f>COUNTIF(Tabla1[[#This Row],[VEHICULOS_ACCIDENTADOS]:[VEHICULOS_ACCIDENTADOS2]],"TRACTOCAMION")</f>
        <v>0</v>
      </c>
      <c r="AB779" s="36">
        <f>COUNTIF(Tabla1[[#This Row],[VEHICULOS_ACCIDENTADOS]:[VEHICULOS_ACCIDENTADOS2]],"VOLQUETA")</f>
        <v>0</v>
      </c>
      <c r="AC779" s="36">
        <f>COUNTIF(Tabla1[[#This Row],[VEHICULOS_ACCIDENTADOS]:[VEHICULOS_ACCIDENTADOS2]],"BICICLETA")</f>
        <v>0</v>
      </c>
      <c r="AD779" s="43" t="s">
        <v>471</v>
      </c>
      <c r="AE779" s="43" t="s">
        <v>472</v>
      </c>
      <c r="AF779" s="43">
        <f>COUNTIF(Tabla1[[#This Row],[GENERO_MASCULINO]:[GENERO_FEMENINO]],"MASCULINO")</f>
        <v>1</v>
      </c>
      <c r="AG779" s="36">
        <f>COUNTIF(Tabla1[[#This Row],[GENERO_MASCULINO]:[GENERO_FEMENINO]],"FEMENINO")</f>
        <v>1</v>
      </c>
      <c r="AH779" s="86">
        <v>23</v>
      </c>
      <c r="AI779" s="86">
        <v>27</v>
      </c>
      <c r="AJ779" s="86"/>
      <c r="AK779" s="86"/>
      <c r="AL779" s="86"/>
      <c r="AM779" s="15"/>
      <c r="AN779" s="86">
        <v>112</v>
      </c>
      <c r="AO779" s="36" t="str">
        <f>IFERROR(((VLOOKUP(Tabla1[[#This Row],[HIPOTESIS_1]],listas!$D$1:$E$105,2,FALSE))),"SIN INFORMACIÓN")</f>
        <v>Desobedecer señales o normas de tránsito.</v>
      </c>
      <c r="AP779" s="15"/>
      <c r="AQ779" s="36" t="str">
        <f>IFERROR(((VLOOKUP(Tabla1[[#This Row],[HIPOTESIS_2]],listas!$D$1:$E$105,2,FALSE))),"")</f>
        <v/>
      </c>
      <c r="AR779" s="1" t="str">
        <f>IF(HOUR(Tabla1[[#This Row],[HORA_ACCIDENTE]])&lt;6,"MAÑANA",
 IF(HOUR(Tabla1[[#This Row],[HORA_ACCIDENTE]])&lt;12,"MAÑANA",
 IF(HOUR(Tabla1[[#This Row],[HORA_ACCIDENTE]])&lt;18,"TARDE","NOCHE")))</f>
        <v>NOCHE</v>
      </c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33"/>
    </row>
    <row r="780" spans="1:56" x14ac:dyDescent="0.25">
      <c r="A780" s="12">
        <v>827</v>
      </c>
      <c r="B780" s="97">
        <v>0</v>
      </c>
      <c r="C780" s="15">
        <v>2</v>
      </c>
      <c r="D780" s="19">
        <v>0</v>
      </c>
      <c r="E780" s="18" t="str">
        <f t="shared" si="48"/>
        <v>LESIONADO</v>
      </c>
      <c r="F780" s="26" t="s">
        <v>1107</v>
      </c>
      <c r="G780" s="21">
        <v>5.3433052777777776</v>
      </c>
      <c r="H780" s="21">
        <v>-72.393188333333342</v>
      </c>
      <c r="I780" s="93" t="s">
        <v>697</v>
      </c>
      <c r="J780" s="7" t="s">
        <v>717</v>
      </c>
      <c r="K780" s="24" t="str">
        <f t="shared" si="49"/>
        <v>2024</v>
      </c>
      <c r="L780" s="24" t="str">
        <f t="shared" si="50"/>
        <v>DICIEMBRE</v>
      </c>
      <c r="M780" s="234">
        <v>45631</v>
      </c>
      <c r="N780" s="24" t="str">
        <f t="shared" si="51"/>
        <v>JUEVES</v>
      </c>
      <c r="O780" s="108">
        <v>0.40416666666666662</v>
      </c>
      <c r="P780" s="44" t="s">
        <v>469</v>
      </c>
      <c r="Q780" s="44" t="s">
        <v>446</v>
      </c>
      <c r="R780" s="36">
        <f>COUNTIF(Tabla1[[#This Row],[VEHICULOS_ACCIDENTADOS]:[VEHICULOS_ACCIDENTADOS2]],"MOTOCICLETA")</f>
        <v>1</v>
      </c>
      <c r="S780" s="36">
        <f>COUNTIF(Tabla1[[#This Row],[VEHICULOS_ACCIDENTADOS]:[VEHICULOS_ACCIDENTADOS2]],"MOTOCARRO")</f>
        <v>0</v>
      </c>
      <c r="T780" s="36">
        <f>COUNTIF(Tabla1[[#This Row],[VEHICULOS_ACCIDENTADOS]:[VEHICULOS_ACCIDENTADOS2]],"AUTOMOVIL")</f>
        <v>0</v>
      </c>
      <c r="U780" s="36">
        <f>COUNTIF(Tabla1[[#This Row],[VEHICULOS_ACCIDENTADOS]:[VEHICULOS_ACCIDENTADOS2]],"CAMPERO")</f>
        <v>1</v>
      </c>
      <c r="V780" s="36">
        <f>COUNTIF(Tabla1[[#This Row],[VEHICULOS_ACCIDENTADOS]:[VEHICULOS_ACCIDENTADOS2]],"CAMIONETA")</f>
        <v>0</v>
      </c>
      <c r="W780" s="36">
        <f>COUNTIF(Tabla1[[#This Row],[VEHICULOS_ACCIDENTADOS]:[VEHICULOS_ACCIDENTADOS2]],"MICROBUS")</f>
        <v>0</v>
      </c>
      <c r="X780" s="36">
        <f>COUNTIF(Tabla1[[#This Row],[VEHICULOS_ACCIDENTADOS]:[VEHICULOS_ACCIDENTADOS2]],"BUS")</f>
        <v>0</v>
      </c>
      <c r="Y780" s="36">
        <f>COUNTIF(Tabla1[[#This Row],[VEHICULOS_ACCIDENTADOS]:[VEHICULOS_ACCIDENTADOS2]],"BUSETA")</f>
        <v>0</v>
      </c>
      <c r="Z780" s="36">
        <f>COUNTIF(Tabla1[[#This Row],[VEHICULOS_ACCIDENTADOS]:[VEHICULOS_ACCIDENTADOS2]],"CAMION")</f>
        <v>0</v>
      </c>
      <c r="AA780" s="36">
        <f>COUNTIF(Tabla1[[#This Row],[VEHICULOS_ACCIDENTADOS]:[VEHICULOS_ACCIDENTADOS2]],"TRACTOCAMION")</f>
        <v>0</v>
      </c>
      <c r="AB780" s="36">
        <f>COUNTIF(Tabla1[[#This Row],[VEHICULOS_ACCIDENTADOS]:[VEHICULOS_ACCIDENTADOS2]],"VOLQUETA")</f>
        <v>0</v>
      </c>
      <c r="AC780" s="36">
        <f>COUNTIF(Tabla1[[#This Row],[VEHICULOS_ACCIDENTADOS]:[VEHICULOS_ACCIDENTADOS2]],"BICICLETA")</f>
        <v>0</v>
      </c>
      <c r="AD780" s="43" t="s">
        <v>471</v>
      </c>
      <c r="AE780" s="43" t="s">
        <v>472</v>
      </c>
      <c r="AF780" s="43">
        <f>COUNTIF(Tabla1[[#This Row],[GENERO_MASCULINO]:[GENERO_FEMENINO]],"MASCULINO")</f>
        <v>1</v>
      </c>
      <c r="AG780" s="36">
        <f>COUNTIF(Tabla1[[#This Row],[GENERO_MASCULINO]:[GENERO_FEMENINO]],"FEMENINO")</f>
        <v>1</v>
      </c>
      <c r="AH780" s="86">
        <v>33</v>
      </c>
      <c r="AI780" s="86">
        <v>34</v>
      </c>
      <c r="AJ780" s="86"/>
      <c r="AK780" s="86"/>
      <c r="AL780" s="86"/>
      <c r="AM780" s="15"/>
      <c r="AN780" s="86">
        <v>112</v>
      </c>
      <c r="AO780" s="36" t="str">
        <f>IFERROR(((VLOOKUP(Tabla1[[#This Row],[HIPOTESIS_1]],listas!$D$1:$E$105,2,FALSE))),"SIN INFORMACIÓN")</f>
        <v>Desobedecer señales o normas de tránsito.</v>
      </c>
      <c r="AP780" s="15"/>
      <c r="AQ780" s="36" t="str">
        <f>IFERROR(((VLOOKUP(Tabla1[[#This Row],[HIPOTESIS_2]],listas!$D$1:$E$105,2,FALSE))),"")</f>
        <v/>
      </c>
      <c r="AR780" s="1" t="str">
        <f>IF(HOUR(Tabla1[[#This Row],[HORA_ACCIDENTE]])&lt;6,"MAÑANA",
 IF(HOUR(Tabla1[[#This Row],[HORA_ACCIDENTE]])&lt;12,"MAÑANA",
 IF(HOUR(Tabla1[[#This Row],[HORA_ACCIDENTE]])&lt;18,"TARDE","NOCHE")))</f>
        <v>MAÑANA</v>
      </c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33"/>
    </row>
    <row r="781" spans="1:56" x14ac:dyDescent="0.25">
      <c r="A781" s="12">
        <v>230</v>
      </c>
      <c r="B781" s="38">
        <v>0</v>
      </c>
      <c r="C781" s="7">
        <v>1</v>
      </c>
      <c r="D781" s="7">
        <v>0</v>
      </c>
      <c r="E781" s="18" t="str">
        <f t="shared" si="48"/>
        <v>LESIONADO</v>
      </c>
      <c r="F781" s="29" t="s">
        <v>1108</v>
      </c>
      <c r="G781" s="17">
        <v>5.3401291666666664</v>
      </c>
      <c r="H781" s="17">
        <v>-72.391458333333347</v>
      </c>
      <c r="I781" s="93" t="s">
        <v>697</v>
      </c>
      <c r="J781" s="7" t="s">
        <v>717</v>
      </c>
      <c r="K781" s="24" t="str">
        <f t="shared" si="49"/>
        <v>2022</v>
      </c>
      <c r="L781" s="24" t="str">
        <f t="shared" si="50"/>
        <v>JUNIO</v>
      </c>
      <c r="M781" s="232">
        <v>44737</v>
      </c>
      <c r="N781" s="24" t="str">
        <f t="shared" si="51"/>
        <v>SÁBADO</v>
      </c>
      <c r="O781" s="174">
        <v>0.37777777777777799</v>
      </c>
      <c r="P781" s="180" t="s">
        <v>469</v>
      </c>
      <c r="Q781" s="180"/>
      <c r="R781" s="36">
        <f>COUNTIF(Tabla1[[#This Row],[VEHICULOS_ACCIDENTADOS]:[VEHICULOS_ACCIDENTADOS2]],"MOTOCICLETA")</f>
        <v>1</v>
      </c>
      <c r="S781" s="36">
        <f>COUNTIF(Tabla1[[#This Row],[VEHICULOS_ACCIDENTADOS]:[VEHICULOS_ACCIDENTADOS2]],"MOTOCARRO")</f>
        <v>0</v>
      </c>
      <c r="T781" s="36">
        <f>COUNTIF(Tabla1[[#This Row],[VEHICULOS_ACCIDENTADOS]:[VEHICULOS_ACCIDENTADOS2]],"AUTOMOVIL")</f>
        <v>0</v>
      </c>
      <c r="U781" s="36">
        <f>COUNTIF(Tabla1[[#This Row],[VEHICULOS_ACCIDENTADOS]:[VEHICULOS_ACCIDENTADOS2]],"CAMPERO")</f>
        <v>0</v>
      </c>
      <c r="V781" s="36">
        <f>COUNTIF(Tabla1[[#This Row],[VEHICULOS_ACCIDENTADOS]:[VEHICULOS_ACCIDENTADOS2]],"CAMIONETA")</f>
        <v>0</v>
      </c>
      <c r="W781" s="36">
        <f>COUNTIF(Tabla1[[#This Row],[VEHICULOS_ACCIDENTADOS]:[VEHICULOS_ACCIDENTADOS2]],"MICROBUS")</f>
        <v>0</v>
      </c>
      <c r="X781" s="36">
        <f>COUNTIF(Tabla1[[#This Row],[VEHICULOS_ACCIDENTADOS]:[VEHICULOS_ACCIDENTADOS2]],"BUS")</f>
        <v>0</v>
      </c>
      <c r="Y781" s="36">
        <f>COUNTIF(Tabla1[[#This Row],[VEHICULOS_ACCIDENTADOS]:[VEHICULOS_ACCIDENTADOS2]],"BUSETA")</f>
        <v>0</v>
      </c>
      <c r="Z781" s="36">
        <f>COUNTIF(Tabla1[[#This Row],[VEHICULOS_ACCIDENTADOS]:[VEHICULOS_ACCIDENTADOS2]],"CAMION")</f>
        <v>0</v>
      </c>
      <c r="AA781" s="36">
        <f>COUNTIF(Tabla1[[#This Row],[VEHICULOS_ACCIDENTADOS]:[VEHICULOS_ACCIDENTADOS2]],"TRACTOCAMION")</f>
        <v>0</v>
      </c>
      <c r="AB781" s="36">
        <f>COUNTIF(Tabla1[[#This Row],[VEHICULOS_ACCIDENTADOS]:[VEHICULOS_ACCIDENTADOS2]],"VOLQUETA")</f>
        <v>0</v>
      </c>
      <c r="AC781" s="36">
        <f>COUNTIF(Tabla1[[#This Row],[VEHICULOS_ACCIDENTADOS]:[VEHICULOS_ACCIDENTADOS2]],"BICICLETA")</f>
        <v>0</v>
      </c>
      <c r="AD781" s="38"/>
      <c r="AE781" s="38" t="s">
        <v>472</v>
      </c>
      <c r="AF781" s="38">
        <f>COUNTIF(Tabla1[[#This Row],[GENERO_MASCULINO]:[GENERO_FEMENINO]],"MASCULINO")</f>
        <v>0</v>
      </c>
      <c r="AG781" s="36">
        <f>COUNTIF(Tabla1[[#This Row],[GENERO_MASCULINO]:[GENERO_FEMENINO]],"FEMENINO")</f>
        <v>1</v>
      </c>
      <c r="AH781" s="73"/>
      <c r="AI781" s="73"/>
      <c r="AJ781" s="73"/>
      <c r="AK781" s="73"/>
      <c r="AL781" s="73">
        <v>47</v>
      </c>
      <c r="AM781" s="7"/>
      <c r="AN781" s="73">
        <v>112</v>
      </c>
      <c r="AO781" s="36" t="str">
        <f>IFERROR(((VLOOKUP(Tabla1[[#This Row],[HIPOTESIS_1]],listas!$D$1:$E$105,2,FALSE))),"SIN INFORMACIÓN")</f>
        <v>Desobedecer señales o normas de tránsito.</v>
      </c>
      <c r="AP781" s="7"/>
      <c r="AQ781" s="36" t="str">
        <f>IFERROR(((VLOOKUP(Tabla1[[#This Row],[HIPOTESIS_2]],listas!$D$1:$E$105,2,FALSE))),"")</f>
        <v/>
      </c>
      <c r="AR781" s="1" t="str">
        <f>IF(HOUR(Tabla1[[#This Row],[HORA_ACCIDENTE]])&lt;6,"MAÑANA",
 IF(HOUR(Tabla1[[#This Row],[HORA_ACCIDENTE]])&lt;12,"MAÑANA",
 IF(HOUR(Tabla1[[#This Row],[HORA_ACCIDENTE]])&lt;18,"TARDE","NOCHE")))</f>
        <v>MAÑANA</v>
      </c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33"/>
    </row>
    <row r="782" spans="1:56" x14ac:dyDescent="0.25">
      <c r="A782" s="12">
        <v>269</v>
      </c>
      <c r="B782" s="38">
        <v>0</v>
      </c>
      <c r="C782" s="7">
        <v>1</v>
      </c>
      <c r="D782" s="7">
        <v>0</v>
      </c>
      <c r="E782" s="18" t="str">
        <f t="shared" si="48"/>
        <v>LESIONADO</v>
      </c>
      <c r="F782" s="29" t="s">
        <v>1109</v>
      </c>
      <c r="G782" s="17">
        <v>5.3353805555555551</v>
      </c>
      <c r="H782" s="17">
        <v>-72.388897222222226</v>
      </c>
      <c r="I782" s="93" t="s">
        <v>697</v>
      </c>
      <c r="J782" s="7" t="s">
        <v>717</v>
      </c>
      <c r="K782" s="24" t="str">
        <f t="shared" si="49"/>
        <v>2022</v>
      </c>
      <c r="L782" s="24" t="str">
        <f t="shared" si="50"/>
        <v>AGOSTO</v>
      </c>
      <c r="M782" s="232">
        <v>44779</v>
      </c>
      <c r="N782" s="24" t="str">
        <f t="shared" si="51"/>
        <v>SÁBADO</v>
      </c>
      <c r="O782" s="174">
        <v>0.57638888888888895</v>
      </c>
      <c r="P782" s="180" t="s">
        <v>469</v>
      </c>
      <c r="Q782" s="180" t="s">
        <v>447</v>
      </c>
      <c r="R782" s="36">
        <f>COUNTIF(Tabla1[[#This Row],[VEHICULOS_ACCIDENTADOS]:[VEHICULOS_ACCIDENTADOS2]],"MOTOCICLETA")</f>
        <v>1</v>
      </c>
      <c r="S782" s="36">
        <f>COUNTIF(Tabla1[[#This Row],[VEHICULOS_ACCIDENTADOS]:[VEHICULOS_ACCIDENTADOS2]],"MOTOCARRO")</f>
        <v>0</v>
      </c>
      <c r="T782" s="36">
        <f>COUNTIF(Tabla1[[#This Row],[VEHICULOS_ACCIDENTADOS]:[VEHICULOS_ACCIDENTADOS2]],"AUTOMOVIL")</f>
        <v>1</v>
      </c>
      <c r="U782" s="36">
        <f>COUNTIF(Tabla1[[#This Row],[VEHICULOS_ACCIDENTADOS]:[VEHICULOS_ACCIDENTADOS2]],"CAMPERO")</f>
        <v>0</v>
      </c>
      <c r="V782" s="36">
        <f>COUNTIF(Tabla1[[#This Row],[VEHICULOS_ACCIDENTADOS]:[VEHICULOS_ACCIDENTADOS2]],"CAMIONETA")</f>
        <v>0</v>
      </c>
      <c r="W782" s="36">
        <f>COUNTIF(Tabla1[[#This Row],[VEHICULOS_ACCIDENTADOS]:[VEHICULOS_ACCIDENTADOS2]],"MICROBUS")</f>
        <v>0</v>
      </c>
      <c r="X782" s="36">
        <f>COUNTIF(Tabla1[[#This Row],[VEHICULOS_ACCIDENTADOS]:[VEHICULOS_ACCIDENTADOS2]],"BUS")</f>
        <v>0</v>
      </c>
      <c r="Y782" s="36">
        <f>COUNTIF(Tabla1[[#This Row],[VEHICULOS_ACCIDENTADOS]:[VEHICULOS_ACCIDENTADOS2]],"BUSETA")</f>
        <v>0</v>
      </c>
      <c r="Z782" s="36">
        <f>COUNTIF(Tabla1[[#This Row],[VEHICULOS_ACCIDENTADOS]:[VEHICULOS_ACCIDENTADOS2]],"CAMION")</f>
        <v>0</v>
      </c>
      <c r="AA782" s="36">
        <f>COUNTIF(Tabla1[[#This Row],[VEHICULOS_ACCIDENTADOS]:[VEHICULOS_ACCIDENTADOS2]],"TRACTOCAMION")</f>
        <v>0</v>
      </c>
      <c r="AB782" s="36">
        <f>COUNTIF(Tabla1[[#This Row],[VEHICULOS_ACCIDENTADOS]:[VEHICULOS_ACCIDENTADOS2]],"VOLQUETA")</f>
        <v>0</v>
      </c>
      <c r="AC782" s="36">
        <f>COUNTIF(Tabla1[[#This Row],[VEHICULOS_ACCIDENTADOS]:[VEHICULOS_ACCIDENTADOS2]],"BICICLETA")</f>
        <v>0</v>
      </c>
      <c r="AD782" s="50" t="s">
        <v>471</v>
      </c>
      <c r="AE782" s="50"/>
      <c r="AF782" s="50">
        <f>COUNTIF(Tabla1[[#This Row],[GENERO_MASCULINO]:[GENERO_FEMENINO]],"MASCULINO")</f>
        <v>1</v>
      </c>
      <c r="AG782" s="36">
        <f>COUNTIF(Tabla1[[#This Row],[GENERO_MASCULINO]:[GENERO_FEMENINO]],"FEMENINO")</f>
        <v>0</v>
      </c>
      <c r="AH782" s="73">
        <v>18</v>
      </c>
      <c r="AI782" s="73"/>
      <c r="AJ782" s="73"/>
      <c r="AK782" s="73"/>
      <c r="AL782" s="73"/>
      <c r="AM782" s="7"/>
      <c r="AN782" s="73">
        <v>112</v>
      </c>
      <c r="AO782" s="36" t="str">
        <f>IFERROR(((VLOOKUP(Tabla1[[#This Row],[HIPOTESIS_1]],listas!$D$1:$E$105,2,FALSE))),"SIN INFORMACIÓN")</f>
        <v>Desobedecer señales o normas de tránsito.</v>
      </c>
      <c r="AP782" s="7"/>
      <c r="AQ782" s="36" t="str">
        <f>IFERROR(((VLOOKUP(Tabla1[[#This Row],[HIPOTESIS_2]],listas!$D$1:$E$105,2,FALSE))),"")</f>
        <v/>
      </c>
      <c r="AR782" s="1" t="str">
        <f>IF(HOUR(Tabla1[[#This Row],[HORA_ACCIDENTE]])&lt;6,"MAÑANA",
 IF(HOUR(Tabla1[[#This Row],[HORA_ACCIDENTE]])&lt;12,"MAÑANA",
 IF(HOUR(Tabla1[[#This Row],[HORA_ACCIDENTE]])&lt;18,"TARDE","NOCHE")))</f>
        <v>TARDE</v>
      </c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</row>
    <row r="783" spans="1:56" x14ac:dyDescent="0.25">
      <c r="A783" s="12">
        <v>200</v>
      </c>
      <c r="B783" s="38">
        <v>0</v>
      </c>
      <c r="C783" s="7">
        <v>2</v>
      </c>
      <c r="D783" s="7">
        <v>0</v>
      </c>
      <c r="E783" s="18" t="str">
        <f t="shared" si="48"/>
        <v>LESIONADO</v>
      </c>
      <c r="F783" s="29" t="s">
        <v>1110</v>
      </c>
      <c r="G783" s="17">
        <v>5.3345805555555552</v>
      </c>
      <c r="H783" s="17">
        <v>-72.388427777777778</v>
      </c>
      <c r="I783" s="93" t="s">
        <v>697</v>
      </c>
      <c r="J783" s="7" t="s">
        <v>717</v>
      </c>
      <c r="K783" s="24" t="str">
        <f t="shared" si="49"/>
        <v>2022</v>
      </c>
      <c r="L783" s="24" t="str">
        <f t="shared" si="50"/>
        <v>MAYO</v>
      </c>
      <c r="M783" s="232">
        <v>44707</v>
      </c>
      <c r="N783" s="24" t="str">
        <f t="shared" si="51"/>
        <v>JUEVES</v>
      </c>
      <c r="O783" s="106">
        <v>0.84722222222222199</v>
      </c>
      <c r="P783" s="8" t="s">
        <v>469</v>
      </c>
      <c r="Q783" s="8" t="s">
        <v>447</v>
      </c>
      <c r="R783" s="36">
        <f>COUNTIF(Tabla1[[#This Row],[VEHICULOS_ACCIDENTADOS]:[VEHICULOS_ACCIDENTADOS2]],"MOTOCICLETA")</f>
        <v>1</v>
      </c>
      <c r="S783" s="36">
        <f>COUNTIF(Tabla1[[#This Row],[VEHICULOS_ACCIDENTADOS]:[VEHICULOS_ACCIDENTADOS2]],"MOTOCARRO")</f>
        <v>0</v>
      </c>
      <c r="T783" s="36">
        <f>COUNTIF(Tabla1[[#This Row],[VEHICULOS_ACCIDENTADOS]:[VEHICULOS_ACCIDENTADOS2]],"AUTOMOVIL")</f>
        <v>1</v>
      </c>
      <c r="U783" s="36">
        <f>COUNTIF(Tabla1[[#This Row],[VEHICULOS_ACCIDENTADOS]:[VEHICULOS_ACCIDENTADOS2]],"CAMPERO")</f>
        <v>0</v>
      </c>
      <c r="V783" s="36">
        <f>COUNTIF(Tabla1[[#This Row],[VEHICULOS_ACCIDENTADOS]:[VEHICULOS_ACCIDENTADOS2]],"CAMIONETA")</f>
        <v>0</v>
      </c>
      <c r="W783" s="36">
        <f>COUNTIF(Tabla1[[#This Row],[VEHICULOS_ACCIDENTADOS]:[VEHICULOS_ACCIDENTADOS2]],"MICROBUS")</f>
        <v>0</v>
      </c>
      <c r="X783" s="36">
        <f>COUNTIF(Tabla1[[#This Row],[VEHICULOS_ACCIDENTADOS]:[VEHICULOS_ACCIDENTADOS2]],"BUS")</f>
        <v>0</v>
      </c>
      <c r="Y783" s="36">
        <f>COUNTIF(Tabla1[[#This Row],[VEHICULOS_ACCIDENTADOS]:[VEHICULOS_ACCIDENTADOS2]],"BUSETA")</f>
        <v>0</v>
      </c>
      <c r="Z783" s="36">
        <f>COUNTIF(Tabla1[[#This Row],[VEHICULOS_ACCIDENTADOS]:[VEHICULOS_ACCIDENTADOS2]],"CAMION")</f>
        <v>0</v>
      </c>
      <c r="AA783" s="36">
        <f>COUNTIF(Tabla1[[#This Row],[VEHICULOS_ACCIDENTADOS]:[VEHICULOS_ACCIDENTADOS2]],"TRACTOCAMION")</f>
        <v>0</v>
      </c>
      <c r="AB783" s="36">
        <f>COUNTIF(Tabla1[[#This Row],[VEHICULOS_ACCIDENTADOS]:[VEHICULOS_ACCIDENTADOS2]],"VOLQUETA")</f>
        <v>0</v>
      </c>
      <c r="AC783" s="36">
        <f>COUNTIF(Tabla1[[#This Row],[VEHICULOS_ACCIDENTADOS]:[VEHICULOS_ACCIDENTADOS2]],"BICICLETA")</f>
        <v>0</v>
      </c>
      <c r="AD783" s="38" t="s">
        <v>471</v>
      </c>
      <c r="AE783" s="38"/>
      <c r="AF783" s="38">
        <f>COUNTIF(Tabla1[[#This Row],[GENERO_MASCULINO]:[GENERO_FEMENINO]],"MASCULINO")</f>
        <v>1</v>
      </c>
      <c r="AG783" s="36">
        <f>COUNTIF(Tabla1[[#This Row],[GENERO_MASCULINO]:[GENERO_FEMENINO]],"FEMENINO")</f>
        <v>0</v>
      </c>
      <c r="AH783" s="73">
        <v>40</v>
      </c>
      <c r="AI783" s="73">
        <v>47</v>
      </c>
      <c r="AJ783" s="73"/>
      <c r="AK783" s="73"/>
      <c r="AL783" s="73"/>
      <c r="AM783" s="7"/>
      <c r="AN783" s="73">
        <v>112</v>
      </c>
      <c r="AO783" s="36" t="str">
        <f>IFERROR(((VLOOKUP(Tabla1[[#This Row],[HIPOTESIS_1]],listas!$D$1:$E$105,2,FALSE))),"SIN INFORMACIÓN")</f>
        <v>Desobedecer señales o normas de tránsito.</v>
      </c>
      <c r="AP783" s="7"/>
      <c r="AQ783" s="36" t="str">
        <f>IFERROR(((VLOOKUP(Tabla1[[#This Row],[HIPOTESIS_2]],listas!$D$1:$E$105,2,FALSE))),"")</f>
        <v/>
      </c>
      <c r="AR783" s="1" t="str">
        <f>IF(HOUR(Tabla1[[#This Row],[HORA_ACCIDENTE]])&lt;6,"MAÑANA",
 IF(HOUR(Tabla1[[#This Row],[HORA_ACCIDENTE]])&lt;12,"MAÑANA",
 IF(HOUR(Tabla1[[#This Row],[HORA_ACCIDENTE]])&lt;18,"TARDE","NOCHE")))</f>
        <v>NOCHE</v>
      </c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33"/>
    </row>
    <row r="784" spans="1:56" x14ac:dyDescent="0.25">
      <c r="A784" s="12">
        <v>166</v>
      </c>
      <c r="B784" s="38">
        <v>0</v>
      </c>
      <c r="C784" s="7">
        <v>1</v>
      </c>
      <c r="D784" s="7">
        <v>0</v>
      </c>
      <c r="E784" s="18" t="str">
        <f t="shared" si="48"/>
        <v>LESIONADO</v>
      </c>
      <c r="F784" s="29" t="s">
        <v>1110</v>
      </c>
      <c r="G784" s="17">
        <v>5.3345805555555552</v>
      </c>
      <c r="H784" s="17">
        <v>-72.388427777777778</v>
      </c>
      <c r="I784" s="93" t="s">
        <v>697</v>
      </c>
      <c r="J784" s="7" t="s">
        <v>717</v>
      </c>
      <c r="K784" s="24" t="str">
        <f t="shared" si="49"/>
        <v>2022</v>
      </c>
      <c r="L784" s="24" t="str">
        <f t="shared" si="50"/>
        <v>MAYO</v>
      </c>
      <c r="M784" s="232">
        <v>44682</v>
      </c>
      <c r="N784" s="24" t="str">
        <f t="shared" si="51"/>
        <v>DOMINGO</v>
      </c>
      <c r="O784" s="174">
        <v>0.55902777777777801</v>
      </c>
      <c r="P784" s="180" t="s">
        <v>469</v>
      </c>
      <c r="Q784" s="180" t="s">
        <v>447</v>
      </c>
      <c r="R784" s="36">
        <f>COUNTIF(Tabla1[[#This Row],[VEHICULOS_ACCIDENTADOS]:[VEHICULOS_ACCIDENTADOS2]],"MOTOCICLETA")</f>
        <v>1</v>
      </c>
      <c r="S784" s="36">
        <f>COUNTIF(Tabla1[[#This Row],[VEHICULOS_ACCIDENTADOS]:[VEHICULOS_ACCIDENTADOS2]],"MOTOCARRO")</f>
        <v>0</v>
      </c>
      <c r="T784" s="36">
        <f>COUNTIF(Tabla1[[#This Row],[VEHICULOS_ACCIDENTADOS]:[VEHICULOS_ACCIDENTADOS2]],"AUTOMOVIL")</f>
        <v>1</v>
      </c>
      <c r="U784" s="36">
        <f>COUNTIF(Tabla1[[#This Row],[VEHICULOS_ACCIDENTADOS]:[VEHICULOS_ACCIDENTADOS2]],"CAMPERO")</f>
        <v>0</v>
      </c>
      <c r="V784" s="36">
        <f>COUNTIF(Tabla1[[#This Row],[VEHICULOS_ACCIDENTADOS]:[VEHICULOS_ACCIDENTADOS2]],"CAMIONETA")</f>
        <v>0</v>
      </c>
      <c r="W784" s="36">
        <f>COUNTIF(Tabla1[[#This Row],[VEHICULOS_ACCIDENTADOS]:[VEHICULOS_ACCIDENTADOS2]],"MICROBUS")</f>
        <v>0</v>
      </c>
      <c r="X784" s="36">
        <f>COUNTIF(Tabla1[[#This Row],[VEHICULOS_ACCIDENTADOS]:[VEHICULOS_ACCIDENTADOS2]],"BUS")</f>
        <v>0</v>
      </c>
      <c r="Y784" s="36">
        <f>COUNTIF(Tabla1[[#This Row],[VEHICULOS_ACCIDENTADOS]:[VEHICULOS_ACCIDENTADOS2]],"BUSETA")</f>
        <v>0</v>
      </c>
      <c r="Z784" s="36">
        <f>COUNTIF(Tabla1[[#This Row],[VEHICULOS_ACCIDENTADOS]:[VEHICULOS_ACCIDENTADOS2]],"CAMION")</f>
        <v>0</v>
      </c>
      <c r="AA784" s="36">
        <f>COUNTIF(Tabla1[[#This Row],[VEHICULOS_ACCIDENTADOS]:[VEHICULOS_ACCIDENTADOS2]],"TRACTOCAMION")</f>
        <v>0</v>
      </c>
      <c r="AB784" s="36">
        <f>COUNTIF(Tabla1[[#This Row],[VEHICULOS_ACCIDENTADOS]:[VEHICULOS_ACCIDENTADOS2]],"VOLQUETA")</f>
        <v>0</v>
      </c>
      <c r="AC784" s="36">
        <f>COUNTIF(Tabla1[[#This Row],[VEHICULOS_ACCIDENTADOS]:[VEHICULOS_ACCIDENTADOS2]],"BICICLETA")</f>
        <v>0</v>
      </c>
      <c r="AD784" s="38"/>
      <c r="AE784" s="38" t="s">
        <v>472</v>
      </c>
      <c r="AF784" s="38">
        <f>COUNTIF(Tabla1[[#This Row],[GENERO_MASCULINO]:[GENERO_FEMENINO]],"MASCULINO")</f>
        <v>0</v>
      </c>
      <c r="AG784" s="36">
        <f>COUNTIF(Tabla1[[#This Row],[GENERO_MASCULINO]:[GENERO_FEMENINO]],"FEMENINO")</f>
        <v>1</v>
      </c>
      <c r="AH784" s="73">
        <v>28</v>
      </c>
      <c r="AI784" s="73"/>
      <c r="AJ784" s="73"/>
      <c r="AK784" s="73"/>
      <c r="AL784" s="73"/>
      <c r="AM784" s="7"/>
      <c r="AN784" s="73">
        <v>112</v>
      </c>
      <c r="AO784" s="36" t="str">
        <f>IFERROR(((VLOOKUP(Tabla1[[#This Row],[HIPOTESIS_1]],listas!$D$1:$E$105,2,FALSE))),"SIN INFORMACIÓN")</f>
        <v>Desobedecer señales o normas de tránsito.</v>
      </c>
      <c r="AP784" s="7"/>
      <c r="AQ784" s="36" t="str">
        <f>IFERROR(((VLOOKUP(Tabla1[[#This Row],[HIPOTESIS_2]],listas!$D$1:$E$105,2,FALSE))),"")</f>
        <v/>
      </c>
      <c r="AR784" s="1" t="str">
        <f>IF(HOUR(Tabla1[[#This Row],[HORA_ACCIDENTE]])&lt;6,"MAÑANA",
 IF(HOUR(Tabla1[[#This Row],[HORA_ACCIDENTE]])&lt;12,"MAÑANA",
 IF(HOUR(Tabla1[[#This Row],[HORA_ACCIDENTE]])&lt;18,"TARDE","NOCHE")))</f>
        <v>TARDE</v>
      </c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33"/>
    </row>
    <row r="785" spans="1:56" x14ac:dyDescent="0.25">
      <c r="A785" s="12">
        <v>822</v>
      </c>
      <c r="B785" s="97">
        <v>0</v>
      </c>
      <c r="C785" s="15">
        <v>2</v>
      </c>
      <c r="D785" s="19">
        <v>0</v>
      </c>
      <c r="E785" s="18" t="str">
        <f t="shared" si="48"/>
        <v>LESIONADO</v>
      </c>
      <c r="F785" s="26" t="s">
        <v>944</v>
      </c>
      <c r="G785" s="17">
        <v>5.3377679999999996</v>
      </c>
      <c r="H785" s="17">
        <v>-72.390201000000005</v>
      </c>
      <c r="I785" s="93" t="s">
        <v>697</v>
      </c>
      <c r="J785" s="7" t="s">
        <v>717</v>
      </c>
      <c r="K785" s="24" t="str">
        <f t="shared" si="49"/>
        <v>2024</v>
      </c>
      <c r="L785" s="24" t="str">
        <f t="shared" si="50"/>
        <v>NOVIEMBRE</v>
      </c>
      <c r="M785" s="234">
        <v>45621</v>
      </c>
      <c r="N785" s="24" t="str">
        <f t="shared" si="51"/>
        <v>LUNES</v>
      </c>
      <c r="O785" s="108">
        <v>0.36041666666666666</v>
      </c>
      <c r="P785" s="44" t="s">
        <v>469</v>
      </c>
      <c r="Q785" s="44" t="s">
        <v>469</v>
      </c>
      <c r="R785" s="36">
        <f>COUNTIF(Tabla1[[#This Row],[VEHICULOS_ACCIDENTADOS]:[VEHICULOS_ACCIDENTADOS2]],"MOTOCICLETA")</f>
        <v>2</v>
      </c>
      <c r="S785" s="36">
        <f>COUNTIF(Tabla1[[#This Row],[VEHICULOS_ACCIDENTADOS]:[VEHICULOS_ACCIDENTADOS2]],"MOTOCARRO")</f>
        <v>0</v>
      </c>
      <c r="T785" s="36">
        <f>COUNTIF(Tabla1[[#This Row],[VEHICULOS_ACCIDENTADOS]:[VEHICULOS_ACCIDENTADOS2]],"AUTOMOVIL")</f>
        <v>0</v>
      </c>
      <c r="U785" s="36">
        <f>COUNTIF(Tabla1[[#This Row],[VEHICULOS_ACCIDENTADOS]:[VEHICULOS_ACCIDENTADOS2]],"CAMPERO")</f>
        <v>0</v>
      </c>
      <c r="V785" s="36">
        <f>COUNTIF(Tabla1[[#This Row],[VEHICULOS_ACCIDENTADOS]:[VEHICULOS_ACCIDENTADOS2]],"CAMIONETA")</f>
        <v>0</v>
      </c>
      <c r="W785" s="36">
        <f>COUNTIF(Tabla1[[#This Row],[VEHICULOS_ACCIDENTADOS]:[VEHICULOS_ACCIDENTADOS2]],"MICROBUS")</f>
        <v>0</v>
      </c>
      <c r="X785" s="36">
        <f>COUNTIF(Tabla1[[#This Row],[VEHICULOS_ACCIDENTADOS]:[VEHICULOS_ACCIDENTADOS2]],"BUS")</f>
        <v>0</v>
      </c>
      <c r="Y785" s="36">
        <f>COUNTIF(Tabla1[[#This Row],[VEHICULOS_ACCIDENTADOS]:[VEHICULOS_ACCIDENTADOS2]],"BUSETA")</f>
        <v>0</v>
      </c>
      <c r="Z785" s="36">
        <f>COUNTIF(Tabla1[[#This Row],[VEHICULOS_ACCIDENTADOS]:[VEHICULOS_ACCIDENTADOS2]],"CAMION")</f>
        <v>0</v>
      </c>
      <c r="AA785" s="36">
        <f>COUNTIF(Tabla1[[#This Row],[VEHICULOS_ACCIDENTADOS]:[VEHICULOS_ACCIDENTADOS2]],"TRACTOCAMION")</f>
        <v>0</v>
      </c>
      <c r="AB785" s="36">
        <f>COUNTIF(Tabla1[[#This Row],[VEHICULOS_ACCIDENTADOS]:[VEHICULOS_ACCIDENTADOS2]],"VOLQUETA")</f>
        <v>0</v>
      </c>
      <c r="AC785" s="36">
        <f>COUNTIF(Tabla1[[#This Row],[VEHICULOS_ACCIDENTADOS]:[VEHICULOS_ACCIDENTADOS2]],"BICICLETA")</f>
        <v>0</v>
      </c>
      <c r="AD785" s="43" t="s">
        <v>471</v>
      </c>
      <c r="AE785" s="43"/>
      <c r="AF785" s="43">
        <f>COUNTIF(Tabla1[[#This Row],[GENERO_MASCULINO]:[GENERO_FEMENINO]],"MASCULINO")</f>
        <v>1</v>
      </c>
      <c r="AG785" s="36">
        <f>COUNTIF(Tabla1[[#This Row],[GENERO_MASCULINO]:[GENERO_FEMENINO]],"FEMENINO")</f>
        <v>0</v>
      </c>
      <c r="AH785" s="86">
        <v>33</v>
      </c>
      <c r="AI785" s="86">
        <v>20</v>
      </c>
      <c r="AJ785" s="86"/>
      <c r="AK785" s="86"/>
      <c r="AL785" s="86"/>
      <c r="AM785" s="15"/>
      <c r="AN785" s="86">
        <v>112</v>
      </c>
      <c r="AO785" s="36" t="str">
        <f>IFERROR(((VLOOKUP(Tabla1[[#This Row],[HIPOTESIS_1]],listas!$D$1:$E$105,2,FALSE))),"SIN INFORMACIÓN")</f>
        <v>Desobedecer señales o normas de tránsito.</v>
      </c>
      <c r="AP785" s="15"/>
      <c r="AQ785" s="36" t="str">
        <f>IFERROR(((VLOOKUP(Tabla1[[#This Row],[HIPOTESIS_2]],listas!$D$1:$E$105,2,FALSE))),"")</f>
        <v/>
      </c>
      <c r="AR785" s="1" t="str">
        <f>IF(HOUR(Tabla1[[#This Row],[HORA_ACCIDENTE]])&lt;6,"MAÑANA",
 IF(HOUR(Tabla1[[#This Row],[HORA_ACCIDENTE]])&lt;12,"MAÑANA",
 IF(HOUR(Tabla1[[#This Row],[HORA_ACCIDENTE]])&lt;18,"TARDE","NOCHE")))</f>
        <v>MAÑANA</v>
      </c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33"/>
    </row>
    <row r="786" spans="1:56" x14ac:dyDescent="0.25">
      <c r="A786" s="12">
        <v>1015</v>
      </c>
      <c r="B786" s="47">
        <v>0</v>
      </c>
      <c r="C786" s="24">
        <v>1</v>
      </c>
      <c r="D786" s="24">
        <v>0</v>
      </c>
      <c r="E786" s="18" t="str">
        <f t="shared" si="48"/>
        <v>LESIONADO</v>
      </c>
      <c r="F786" s="152" t="s">
        <v>945</v>
      </c>
      <c r="G786" s="30">
        <v>5.3354179999999998</v>
      </c>
      <c r="H786" s="30">
        <v>-72.388885999999999</v>
      </c>
      <c r="I786" s="93" t="s">
        <v>697</v>
      </c>
      <c r="J786" s="7" t="s">
        <v>717</v>
      </c>
      <c r="K786" s="24" t="str">
        <f t="shared" si="49"/>
        <v>2025</v>
      </c>
      <c r="L786" s="24" t="str">
        <f t="shared" si="50"/>
        <v>JULIO</v>
      </c>
      <c r="M786" s="232">
        <v>45856</v>
      </c>
      <c r="N786" s="24" t="str">
        <f t="shared" si="51"/>
        <v>VIERNES</v>
      </c>
      <c r="O786" s="106">
        <v>0.36805555555555558</v>
      </c>
      <c r="P786" s="8" t="s">
        <v>447</v>
      </c>
      <c r="Q786" s="8" t="s">
        <v>469</v>
      </c>
      <c r="R786" s="36">
        <f>COUNTIF(Tabla1[[#This Row],[VEHICULOS_ACCIDENTADOS]:[VEHICULOS_ACCIDENTADOS2]],"MOTOCICLETA")</f>
        <v>1</v>
      </c>
      <c r="S786" s="36">
        <f>COUNTIF(Tabla1[[#This Row],[VEHICULOS_ACCIDENTADOS]:[VEHICULOS_ACCIDENTADOS2]],"MOTOCARRO")</f>
        <v>0</v>
      </c>
      <c r="T786" s="36">
        <f>COUNTIF(Tabla1[[#This Row],[VEHICULOS_ACCIDENTADOS]:[VEHICULOS_ACCIDENTADOS2]],"AUTOMOVIL")</f>
        <v>1</v>
      </c>
      <c r="U786" s="36">
        <f>COUNTIF(Tabla1[[#This Row],[VEHICULOS_ACCIDENTADOS]:[VEHICULOS_ACCIDENTADOS2]],"CAMPERO")</f>
        <v>0</v>
      </c>
      <c r="V786" s="36">
        <f>COUNTIF(Tabla1[[#This Row],[VEHICULOS_ACCIDENTADOS]:[VEHICULOS_ACCIDENTADOS2]],"CAMIONETA")</f>
        <v>0</v>
      </c>
      <c r="W786" s="36">
        <f>COUNTIF(Tabla1[[#This Row],[VEHICULOS_ACCIDENTADOS]:[VEHICULOS_ACCIDENTADOS2]],"MICROBUS")</f>
        <v>0</v>
      </c>
      <c r="X786" s="36">
        <f>COUNTIF(Tabla1[[#This Row],[VEHICULOS_ACCIDENTADOS]:[VEHICULOS_ACCIDENTADOS2]],"BUS")</f>
        <v>0</v>
      </c>
      <c r="Y786" s="36">
        <f>COUNTIF(Tabla1[[#This Row],[VEHICULOS_ACCIDENTADOS]:[VEHICULOS_ACCIDENTADOS2]],"BUSETA")</f>
        <v>0</v>
      </c>
      <c r="Z786" s="36">
        <f>COUNTIF(Tabla1[[#This Row],[VEHICULOS_ACCIDENTADOS]:[VEHICULOS_ACCIDENTADOS2]],"CAMION")</f>
        <v>0</v>
      </c>
      <c r="AA786" s="36">
        <f>COUNTIF(Tabla1[[#This Row],[VEHICULOS_ACCIDENTADOS]:[VEHICULOS_ACCIDENTADOS2]],"TRACTOCAMION")</f>
        <v>0</v>
      </c>
      <c r="AB786" s="36">
        <f>COUNTIF(Tabla1[[#This Row],[VEHICULOS_ACCIDENTADOS]:[VEHICULOS_ACCIDENTADOS2]],"VOLQUETA")</f>
        <v>0</v>
      </c>
      <c r="AC786" s="36">
        <f>COUNTIF(Tabla1[[#This Row],[VEHICULOS_ACCIDENTADOS]:[VEHICULOS_ACCIDENTADOS2]],"BICICLETA")</f>
        <v>0</v>
      </c>
      <c r="AD786" s="38" t="s">
        <v>471</v>
      </c>
      <c r="AE786" s="38" t="s">
        <v>471</v>
      </c>
      <c r="AF786" s="38">
        <f>COUNTIF(Tabla1[[#This Row],[GENERO_MASCULINO]:[GENERO_FEMENINO]],"MASCULINO")</f>
        <v>2</v>
      </c>
      <c r="AG786" s="36">
        <f>COUNTIF(Tabla1[[#This Row],[GENERO_MASCULINO]:[GENERO_FEMENINO]],"FEMENINO")</f>
        <v>0</v>
      </c>
      <c r="AH786" s="86">
        <v>46</v>
      </c>
      <c r="AI786" s="86">
        <v>37</v>
      </c>
      <c r="AJ786" s="86"/>
      <c r="AK786" s="87"/>
      <c r="AL786" s="87"/>
      <c r="AM786" s="6"/>
      <c r="AN786" s="73">
        <v>157</v>
      </c>
      <c r="AO786" s="36" t="str">
        <f>IFERROR(((VLOOKUP(Tabla1[[#This Row],[HIPOTESIS_1]],listas!$D$1:$E$105,2,FALSE))),"SIN INFORMACIÓN")</f>
        <v>Otra</v>
      </c>
      <c r="AP786" s="7"/>
      <c r="AQ786" s="36" t="str">
        <f>IFERROR(((VLOOKUP(Tabla1[[#This Row],[HIPOTESIS_2]],listas!$D$1:$E$105,2,FALSE))),"")</f>
        <v/>
      </c>
      <c r="AR786" s="1" t="str">
        <f>IF(HOUR(Tabla1[[#This Row],[HORA_ACCIDENTE]])&lt;6,"MAÑANA",
 IF(HOUR(Tabla1[[#This Row],[HORA_ACCIDENTE]])&lt;12,"MAÑANA",
 IF(HOUR(Tabla1[[#This Row],[HORA_ACCIDENTE]])&lt;18,"TARDE","NOCHE")))</f>
        <v>MAÑANA</v>
      </c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  <c r="BD786" s="40"/>
    </row>
    <row r="787" spans="1:56" x14ac:dyDescent="0.25">
      <c r="A787" s="12">
        <v>790</v>
      </c>
      <c r="B787" s="97">
        <v>0</v>
      </c>
      <c r="C787" s="15">
        <v>2</v>
      </c>
      <c r="D787" s="19">
        <v>0</v>
      </c>
      <c r="E787" s="18" t="str">
        <f t="shared" si="48"/>
        <v>LESIONADO</v>
      </c>
      <c r="F787" s="26" t="s">
        <v>107</v>
      </c>
      <c r="G787" s="21">
        <v>5.3489241666666665</v>
      </c>
      <c r="H787" s="21">
        <v>-72.396213611111122</v>
      </c>
      <c r="I787" s="93" t="s">
        <v>697</v>
      </c>
      <c r="J787" s="7" t="s">
        <v>717</v>
      </c>
      <c r="K787" s="24" t="str">
        <f t="shared" si="49"/>
        <v>2024</v>
      </c>
      <c r="L787" s="24" t="str">
        <f t="shared" si="50"/>
        <v>OCTUBRE</v>
      </c>
      <c r="M787" s="234">
        <v>45577</v>
      </c>
      <c r="N787" s="24" t="str">
        <f t="shared" si="51"/>
        <v>SÁBADO</v>
      </c>
      <c r="O787" s="108">
        <v>0.59722222222222221</v>
      </c>
      <c r="P787" s="44" t="s">
        <v>469</v>
      </c>
      <c r="Q787" s="44" t="s">
        <v>445</v>
      </c>
      <c r="R787" s="36">
        <f>COUNTIF(Tabla1[[#This Row],[VEHICULOS_ACCIDENTADOS]:[VEHICULOS_ACCIDENTADOS2]],"MOTOCICLETA")</f>
        <v>1</v>
      </c>
      <c r="S787" s="36">
        <f>COUNTIF(Tabla1[[#This Row],[VEHICULOS_ACCIDENTADOS]:[VEHICULOS_ACCIDENTADOS2]],"MOTOCARRO")</f>
        <v>0</v>
      </c>
      <c r="T787" s="36">
        <f>COUNTIF(Tabla1[[#This Row],[VEHICULOS_ACCIDENTADOS]:[VEHICULOS_ACCIDENTADOS2]],"AUTOMOVIL")</f>
        <v>0</v>
      </c>
      <c r="U787" s="36">
        <f>COUNTIF(Tabla1[[#This Row],[VEHICULOS_ACCIDENTADOS]:[VEHICULOS_ACCIDENTADOS2]],"CAMPERO")</f>
        <v>0</v>
      </c>
      <c r="V787" s="36">
        <f>COUNTIF(Tabla1[[#This Row],[VEHICULOS_ACCIDENTADOS]:[VEHICULOS_ACCIDENTADOS2]],"CAMIONETA")</f>
        <v>1</v>
      </c>
      <c r="W787" s="36">
        <f>COUNTIF(Tabla1[[#This Row],[VEHICULOS_ACCIDENTADOS]:[VEHICULOS_ACCIDENTADOS2]],"MICROBUS")</f>
        <v>0</v>
      </c>
      <c r="X787" s="36">
        <f>COUNTIF(Tabla1[[#This Row],[VEHICULOS_ACCIDENTADOS]:[VEHICULOS_ACCIDENTADOS2]],"BUS")</f>
        <v>0</v>
      </c>
      <c r="Y787" s="36">
        <f>COUNTIF(Tabla1[[#This Row],[VEHICULOS_ACCIDENTADOS]:[VEHICULOS_ACCIDENTADOS2]],"BUSETA")</f>
        <v>0</v>
      </c>
      <c r="Z787" s="36">
        <f>COUNTIF(Tabla1[[#This Row],[VEHICULOS_ACCIDENTADOS]:[VEHICULOS_ACCIDENTADOS2]],"CAMION")</f>
        <v>0</v>
      </c>
      <c r="AA787" s="36">
        <f>COUNTIF(Tabla1[[#This Row],[VEHICULOS_ACCIDENTADOS]:[VEHICULOS_ACCIDENTADOS2]],"TRACTOCAMION")</f>
        <v>0</v>
      </c>
      <c r="AB787" s="36">
        <f>COUNTIF(Tabla1[[#This Row],[VEHICULOS_ACCIDENTADOS]:[VEHICULOS_ACCIDENTADOS2]],"VOLQUETA")</f>
        <v>0</v>
      </c>
      <c r="AC787" s="36">
        <f>COUNTIF(Tabla1[[#This Row],[VEHICULOS_ACCIDENTADOS]:[VEHICULOS_ACCIDENTADOS2]],"BICICLETA")</f>
        <v>0</v>
      </c>
      <c r="AD787" s="43" t="s">
        <v>471</v>
      </c>
      <c r="AE787" s="43" t="s">
        <v>472</v>
      </c>
      <c r="AF787" s="43">
        <f>COUNTIF(Tabla1[[#This Row],[GENERO_MASCULINO]:[GENERO_FEMENINO]],"MASCULINO")</f>
        <v>1</v>
      </c>
      <c r="AG787" s="36">
        <f>COUNTIF(Tabla1[[#This Row],[GENERO_MASCULINO]:[GENERO_FEMENINO]],"FEMENINO")</f>
        <v>1</v>
      </c>
      <c r="AH787" s="86">
        <v>48</v>
      </c>
      <c r="AI787" s="86">
        <v>41</v>
      </c>
      <c r="AJ787" s="86">
        <v>50</v>
      </c>
      <c r="AK787" s="86"/>
      <c r="AL787" s="86"/>
      <c r="AM787" s="15"/>
      <c r="AN787" s="86">
        <v>112</v>
      </c>
      <c r="AO787" s="36" t="str">
        <f>IFERROR(((VLOOKUP(Tabla1[[#This Row],[HIPOTESIS_1]],listas!$D$1:$E$105,2,FALSE))),"SIN INFORMACIÓN")</f>
        <v>Desobedecer señales o normas de tránsito.</v>
      </c>
      <c r="AP787" s="15"/>
      <c r="AQ787" s="36" t="str">
        <f>IFERROR(((VLOOKUP(Tabla1[[#This Row],[HIPOTESIS_2]],listas!$D$1:$E$105,2,FALSE))),"")</f>
        <v/>
      </c>
      <c r="AR787" s="1" t="str">
        <f>IF(HOUR(Tabla1[[#This Row],[HORA_ACCIDENTE]])&lt;6,"MAÑANA",
 IF(HOUR(Tabla1[[#This Row],[HORA_ACCIDENTE]])&lt;12,"MAÑANA",
 IF(HOUR(Tabla1[[#This Row],[HORA_ACCIDENTE]])&lt;18,"TARDE","NOCHE")))</f>
        <v>TARDE</v>
      </c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40"/>
    </row>
    <row r="788" spans="1:56" x14ac:dyDescent="0.25">
      <c r="A788" s="12">
        <v>302</v>
      </c>
      <c r="B788" s="38">
        <v>0</v>
      </c>
      <c r="C788" s="7">
        <v>1</v>
      </c>
      <c r="D788" s="7">
        <v>0</v>
      </c>
      <c r="E788" s="18" t="str">
        <f t="shared" si="48"/>
        <v>LESIONADO</v>
      </c>
      <c r="F788" s="29" t="s">
        <v>323</v>
      </c>
      <c r="G788" s="17">
        <v>5.3385611111111109</v>
      </c>
      <c r="H788" s="17">
        <v>-72.390609444444451</v>
      </c>
      <c r="I788" s="93" t="s">
        <v>697</v>
      </c>
      <c r="J788" s="7" t="s">
        <v>717</v>
      </c>
      <c r="K788" s="24" t="str">
        <f t="shared" si="49"/>
        <v>2022</v>
      </c>
      <c r="L788" s="24" t="str">
        <f t="shared" si="50"/>
        <v>SEPTIEMBRE</v>
      </c>
      <c r="M788" s="232">
        <v>44811</v>
      </c>
      <c r="N788" s="24" t="str">
        <f t="shared" si="51"/>
        <v>MIÉRCOLES</v>
      </c>
      <c r="O788" s="174">
        <v>0.54166666666666696</v>
      </c>
      <c r="P788" s="182" t="s">
        <v>469</v>
      </c>
      <c r="Q788" s="182" t="s">
        <v>445</v>
      </c>
      <c r="R788" s="36">
        <f>COUNTIF(Tabla1[[#This Row],[VEHICULOS_ACCIDENTADOS]:[VEHICULOS_ACCIDENTADOS2]],"MOTOCICLETA")</f>
        <v>1</v>
      </c>
      <c r="S788" s="36">
        <f>COUNTIF(Tabla1[[#This Row],[VEHICULOS_ACCIDENTADOS]:[VEHICULOS_ACCIDENTADOS2]],"MOTOCARRO")</f>
        <v>0</v>
      </c>
      <c r="T788" s="36">
        <f>COUNTIF(Tabla1[[#This Row],[VEHICULOS_ACCIDENTADOS]:[VEHICULOS_ACCIDENTADOS2]],"AUTOMOVIL")</f>
        <v>0</v>
      </c>
      <c r="U788" s="36">
        <f>COUNTIF(Tabla1[[#This Row],[VEHICULOS_ACCIDENTADOS]:[VEHICULOS_ACCIDENTADOS2]],"CAMPERO")</f>
        <v>0</v>
      </c>
      <c r="V788" s="36">
        <f>COUNTIF(Tabla1[[#This Row],[VEHICULOS_ACCIDENTADOS]:[VEHICULOS_ACCIDENTADOS2]],"CAMIONETA")</f>
        <v>1</v>
      </c>
      <c r="W788" s="36">
        <f>COUNTIF(Tabla1[[#This Row],[VEHICULOS_ACCIDENTADOS]:[VEHICULOS_ACCIDENTADOS2]],"MICROBUS")</f>
        <v>0</v>
      </c>
      <c r="X788" s="36">
        <f>COUNTIF(Tabla1[[#This Row],[VEHICULOS_ACCIDENTADOS]:[VEHICULOS_ACCIDENTADOS2]],"BUS")</f>
        <v>0</v>
      </c>
      <c r="Y788" s="36">
        <f>COUNTIF(Tabla1[[#This Row],[VEHICULOS_ACCIDENTADOS]:[VEHICULOS_ACCIDENTADOS2]],"BUSETA")</f>
        <v>0</v>
      </c>
      <c r="Z788" s="36">
        <f>COUNTIF(Tabla1[[#This Row],[VEHICULOS_ACCIDENTADOS]:[VEHICULOS_ACCIDENTADOS2]],"CAMION")</f>
        <v>0</v>
      </c>
      <c r="AA788" s="36">
        <f>COUNTIF(Tabla1[[#This Row],[VEHICULOS_ACCIDENTADOS]:[VEHICULOS_ACCIDENTADOS2]],"TRACTOCAMION")</f>
        <v>0</v>
      </c>
      <c r="AB788" s="36">
        <f>COUNTIF(Tabla1[[#This Row],[VEHICULOS_ACCIDENTADOS]:[VEHICULOS_ACCIDENTADOS2]],"VOLQUETA")</f>
        <v>0</v>
      </c>
      <c r="AC788" s="36">
        <f>COUNTIF(Tabla1[[#This Row],[VEHICULOS_ACCIDENTADOS]:[VEHICULOS_ACCIDENTADOS2]],"BICICLETA")</f>
        <v>0</v>
      </c>
      <c r="AD788" s="29"/>
      <c r="AE788" s="29" t="s">
        <v>472</v>
      </c>
      <c r="AF788" s="29">
        <f>COUNTIF(Tabla1[[#This Row],[GENERO_MASCULINO]:[GENERO_FEMENINO]],"MASCULINO")</f>
        <v>0</v>
      </c>
      <c r="AG788" s="36">
        <f>COUNTIF(Tabla1[[#This Row],[GENERO_MASCULINO]:[GENERO_FEMENINO]],"FEMENINO")</f>
        <v>1</v>
      </c>
      <c r="AH788" s="195">
        <v>45</v>
      </c>
      <c r="AI788" s="195"/>
      <c r="AJ788" s="202"/>
      <c r="AK788" s="195"/>
      <c r="AL788" s="73"/>
      <c r="AM788" s="7"/>
      <c r="AN788" s="73">
        <v>123</v>
      </c>
      <c r="AO788" s="36" t="str">
        <f>IFERROR(((VLOOKUP(Tabla1[[#This Row],[HIPOTESIS_1]],listas!$D$1:$E$105,2,FALSE))),"SIN INFORMACIÓN")</f>
        <v>No respetar prelación de intersecciones o giros.</v>
      </c>
      <c r="AP788" s="7"/>
      <c r="AQ788" s="36" t="str">
        <f>IFERROR(((VLOOKUP(Tabla1[[#This Row],[HIPOTESIS_2]],listas!$D$1:$E$105,2,FALSE))),"")</f>
        <v/>
      </c>
      <c r="AR788" s="1" t="str">
        <f>IF(HOUR(Tabla1[[#This Row],[HORA_ACCIDENTE]])&lt;6,"MAÑANA",
 IF(HOUR(Tabla1[[#This Row],[HORA_ACCIDENTE]])&lt;12,"MAÑANA",
 IF(HOUR(Tabla1[[#This Row],[HORA_ACCIDENTE]])&lt;18,"TARDE","NOCHE")))</f>
        <v>TARDE</v>
      </c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  <c r="BD788" s="40"/>
    </row>
    <row r="789" spans="1:56" x14ac:dyDescent="0.25">
      <c r="A789" s="12">
        <v>455</v>
      </c>
      <c r="B789" s="38">
        <v>0</v>
      </c>
      <c r="C789" s="7">
        <v>1</v>
      </c>
      <c r="D789" s="7">
        <v>0</v>
      </c>
      <c r="E789" s="18" t="str">
        <f t="shared" si="48"/>
        <v>LESIONADO</v>
      </c>
      <c r="F789" s="29" t="s">
        <v>258</v>
      </c>
      <c r="G789" s="21">
        <v>5.3369577777777772</v>
      </c>
      <c r="H789" s="21">
        <v>-72.389751944444455</v>
      </c>
      <c r="I789" s="93" t="s">
        <v>697</v>
      </c>
      <c r="J789" s="7" t="s">
        <v>717</v>
      </c>
      <c r="K789" s="24" t="str">
        <f t="shared" si="49"/>
        <v>2023</v>
      </c>
      <c r="L789" s="24" t="str">
        <f t="shared" si="50"/>
        <v>ABRIL</v>
      </c>
      <c r="M789" s="232">
        <v>45037</v>
      </c>
      <c r="N789" s="24" t="str">
        <f t="shared" si="51"/>
        <v>VIERNES</v>
      </c>
      <c r="O789" s="106">
        <v>0.58333333333333337</v>
      </c>
      <c r="P789" s="39" t="s">
        <v>469</v>
      </c>
      <c r="Q789" s="39" t="s">
        <v>446</v>
      </c>
      <c r="R789" s="36">
        <f>COUNTIF(Tabla1[[#This Row],[VEHICULOS_ACCIDENTADOS]:[VEHICULOS_ACCIDENTADOS2]],"MOTOCICLETA")</f>
        <v>1</v>
      </c>
      <c r="S789" s="36">
        <f>COUNTIF(Tabla1[[#This Row],[VEHICULOS_ACCIDENTADOS]:[VEHICULOS_ACCIDENTADOS2]],"MOTOCARRO")</f>
        <v>0</v>
      </c>
      <c r="T789" s="36">
        <f>COUNTIF(Tabla1[[#This Row],[VEHICULOS_ACCIDENTADOS]:[VEHICULOS_ACCIDENTADOS2]],"AUTOMOVIL")</f>
        <v>0</v>
      </c>
      <c r="U789" s="36">
        <f>COUNTIF(Tabla1[[#This Row],[VEHICULOS_ACCIDENTADOS]:[VEHICULOS_ACCIDENTADOS2]],"CAMPERO")</f>
        <v>1</v>
      </c>
      <c r="V789" s="36">
        <f>COUNTIF(Tabla1[[#This Row],[VEHICULOS_ACCIDENTADOS]:[VEHICULOS_ACCIDENTADOS2]],"CAMIONETA")</f>
        <v>0</v>
      </c>
      <c r="W789" s="36">
        <f>COUNTIF(Tabla1[[#This Row],[VEHICULOS_ACCIDENTADOS]:[VEHICULOS_ACCIDENTADOS2]],"MICROBUS")</f>
        <v>0</v>
      </c>
      <c r="X789" s="36">
        <f>COUNTIF(Tabla1[[#This Row],[VEHICULOS_ACCIDENTADOS]:[VEHICULOS_ACCIDENTADOS2]],"BUS")</f>
        <v>0</v>
      </c>
      <c r="Y789" s="36">
        <f>COUNTIF(Tabla1[[#This Row],[VEHICULOS_ACCIDENTADOS]:[VEHICULOS_ACCIDENTADOS2]],"BUSETA")</f>
        <v>0</v>
      </c>
      <c r="Z789" s="36">
        <f>COUNTIF(Tabla1[[#This Row],[VEHICULOS_ACCIDENTADOS]:[VEHICULOS_ACCIDENTADOS2]],"CAMION")</f>
        <v>0</v>
      </c>
      <c r="AA789" s="36">
        <f>COUNTIF(Tabla1[[#This Row],[VEHICULOS_ACCIDENTADOS]:[VEHICULOS_ACCIDENTADOS2]],"TRACTOCAMION")</f>
        <v>0</v>
      </c>
      <c r="AB789" s="36">
        <f>COUNTIF(Tabla1[[#This Row],[VEHICULOS_ACCIDENTADOS]:[VEHICULOS_ACCIDENTADOS2]],"VOLQUETA")</f>
        <v>0</v>
      </c>
      <c r="AC789" s="36">
        <f>COUNTIF(Tabla1[[#This Row],[VEHICULOS_ACCIDENTADOS]:[VEHICULOS_ACCIDENTADOS2]],"BICICLETA")</f>
        <v>0</v>
      </c>
      <c r="AD789" s="38"/>
      <c r="AE789" s="38" t="s">
        <v>472</v>
      </c>
      <c r="AF789" s="38">
        <f>COUNTIF(Tabla1[[#This Row],[GENERO_MASCULINO]:[GENERO_FEMENINO]],"MASCULINO")</f>
        <v>0</v>
      </c>
      <c r="AG789" s="36">
        <f>COUNTIF(Tabla1[[#This Row],[GENERO_MASCULINO]:[GENERO_FEMENINO]],"FEMENINO")</f>
        <v>1</v>
      </c>
      <c r="AH789" s="73">
        <v>34</v>
      </c>
      <c r="AI789" s="73"/>
      <c r="AJ789" s="73"/>
      <c r="AK789" s="73"/>
      <c r="AL789" s="73"/>
      <c r="AM789" s="7"/>
      <c r="AN789" s="73">
        <v>112</v>
      </c>
      <c r="AO789" s="36" t="str">
        <f>IFERROR(((VLOOKUP(Tabla1[[#This Row],[HIPOTESIS_1]],listas!$D$1:$E$105,2,FALSE))),"SIN INFORMACIÓN")</f>
        <v>Desobedecer señales o normas de tránsito.</v>
      </c>
      <c r="AP789" s="7"/>
      <c r="AQ789" s="36" t="str">
        <f>IFERROR(((VLOOKUP(Tabla1[[#This Row],[HIPOTESIS_2]],listas!$D$1:$E$105,2,FALSE))),"")</f>
        <v/>
      </c>
      <c r="AR789" s="1" t="str">
        <f>IF(HOUR(Tabla1[[#This Row],[HORA_ACCIDENTE]])&lt;6,"MAÑANA",
 IF(HOUR(Tabla1[[#This Row],[HORA_ACCIDENTE]])&lt;12,"MAÑANA",
 IF(HOUR(Tabla1[[#This Row],[HORA_ACCIDENTE]])&lt;18,"TARDE","NOCHE")))</f>
        <v>TARDE</v>
      </c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40"/>
    </row>
    <row r="790" spans="1:56" x14ac:dyDescent="0.25">
      <c r="A790" s="12">
        <v>575</v>
      </c>
      <c r="B790" s="38">
        <v>0</v>
      </c>
      <c r="C790" s="7">
        <v>1</v>
      </c>
      <c r="D790" s="7">
        <v>0</v>
      </c>
      <c r="E790" s="18" t="str">
        <f t="shared" si="48"/>
        <v>LESIONADO</v>
      </c>
      <c r="F790" s="29" t="s">
        <v>195</v>
      </c>
      <c r="G790" s="21">
        <v>5.3255722222222222</v>
      </c>
      <c r="H790" s="21">
        <v>-72.383324999999999</v>
      </c>
      <c r="I790" s="93" t="s">
        <v>697</v>
      </c>
      <c r="J790" s="7" t="s">
        <v>717</v>
      </c>
      <c r="K790" s="24" t="str">
        <f t="shared" si="49"/>
        <v>2023</v>
      </c>
      <c r="L790" s="24" t="str">
        <f t="shared" si="50"/>
        <v>OCTUBRE</v>
      </c>
      <c r="M790" s="232">
        <v>45214</v>
      </c>
      <c r="N790" s="24" t="str">
        <f t="shared" si="51"/>
        <v>DOMINGO</v>
      </c>
      <c r="O790" s="106">
        <v>0.72222222222222221</v>
      </c>
      <c r="P790" s="39" t="s">
        <v>469</v>
      </c>
      <c r="Q790" s="39" t="s">
        <v>447</v>
      </c>
      <c r="R790" s="36">
        <f>COUNTIF(Tabla1[[#This Row],[VEHICULOS_ACCIDENTADOS]:[VEHICULOS_ACCIDENTADOS2]],"MOTOCICLETA")</f>
        <v>1</v>
      </c>
      <c r="S790" s="36">
        <f>COUNTIF(Tabla1[[#This Row],[VEHICULOS_ACCIDENTADOS]:[VEHICULOS_ACCIDENTADOS2]],"MOTOCARRO")</f>
        <v>0</v>
      </c>
      <c r="T790" s="36">
        <f>COUNTIF(Tabla1[[#This Row],[VEHICULOS_ACCIDENTADOS]:[VEHICULOS_ACCIDENTADOS2]],"AUTOMOVIL")</f>
        <v>1</v>
      </c>
      <c r="U790" s="36">
        <f>COUNTIF(Tabla1[[#This Row],[VEHICULOS_ACCIDENTADOS]:[VEHICULOS_ACCIDENTADOS2]],"CAMPERO")</f>
        <v>0</v>
      </c>
      <c r="V790" s="36">
        <f>COUNTIF(Tabla1[[#This Row],[VEHICULOS_ACCIDENTADOS]:[VEHICULOS_ACCIDENTADOS2]],"CAMIONETA")</f>
        <v>0</v>
      </c>
      <c r="W790" s="36">
        <f>COUNTIF(Tabla1[[#This Row],[VEHICULOS_ACCIDENTADOS]:[VEHICULOS_ACCIDENTADOS2]],"MICROBUS")</f>
        <v>0</v>
      </c>
      <c r="X790" s="36">
        <f>COUNTIF(Tabla1[[#This Row],[VEHICULOS_ACCIDENTADOS]:[VEHICULOS_ACCIDENTADOS2]],"BUS")</f>
        <v>0</v>
      </c>
      <c r="Y790" s="36">
        <f>COUNTIF(Tabla1[[#This Row],[VEHICULOS_ACCIDENTADOS]:[VEHICULOS_ACCIDENTADOS2]],"BUSETA")</f>
        <v>0</v>
      </c>
      <c r="Z790" s="36">
        <f>COUNTIF(Tabla1[[#This Row],[VEHICULOS_ACCIDENTADOS]:[VEHICULOS_ACCIDENTADOS2]],"CAMION")</f>
        <v>0</v>
      </c>
      <c r="AA790" s="36">
        <f>COUNTIF(Tabla1[[#This Row],[VEHICULOS_ACCIDENTADOS]:[VEHICULOS_ACCIDENTADOS2]],"TRACTOCAMION")</f>
        <v>0</v>
      </c>
      <c r="AB790" s="36">
        <f>COUNTIF(Tabla1[[#This Row],[VEHICULOS_ACCIDENTADOS]:[VEHICULOS_ACCIDENTADOS2]],"VOLQUETA")</f>
        <v>0</v>
      </c>
      <c r="AC790" s="36">
        <f>COUNTIF(Tabla1[[#This Row],[VEHICULOS_ACCIDENTADOS]:[VEHICULOS_ACCIDENTADOS2]],"BICICLETA")</f>
        <v>0</v>
      </c>
      <c r="AD790" s="38"/>
      <c r="AE790" s="38" t="s">
        <v>472</v>
      </c>
      <c r="AF790" s="38">
        <f>COUNTIF(Tabla1[[#This Row],[GENERO_MASCULINO]:[GENERO_FEMENINO]],"MASCULINO")</f>
        <v>0</v>
      </c>
      <c r="AG790" s="36">
        <f>COUNTIF(Tabla1[[#This Row],[GENERO_MASCULINO]:[GENERO_FEMENINO]],"FEMENINO")</f>
        <v>1</v>
      </c>
      <c r="AH790" s="73">
        <v>31</v>
      </c>
      <c r="AI790" s="73"/>
      <c r="AJ790" s="73"/>
      <c r="AK790" s="73"/>
      <c r="AL790" s="73"/>
      <c r="AM790" s="7"/>
      <c r="AN790" s="73">
        <v>121</v>
      </c>
      <c r="AO790" s="36" t="str">
        <f>IFERROR(((VLOOKUP(Tabla1[[#This Row],[HIPOTESIS_1]],listas!$D$1:$E$105,2,FALSE))),"SIN INFORMACIÓN")</f>
        <v>No mantener distancia de seguridad.</v>
      </c>
      <c r="AP790" s="7"/>
      <c r="AQ790" s="36" t="str">
        <f>IFERROR(((VLOOKUP(Tabla1[[#This Row],[HIPOTESIS_2]],listas!$D$1:$E$105,2,FALSE))),"")</f>
        <v/>
      </c>
      <c r="AR790" s="1" t="str">
        <f>IF(HOUR(Tabla1[[#This Row],[HORA_ACCIDENTE]])&lt;6,"MAÑANA",
 IF(HOUR(Tabla1[[#This Row],[HORA_ACCIDENTE]])&lt;12,"MAÑANA",
 IF(HOUR(Tabla1[[#This Row],[HORA_ACCIDENTE]])&lt;18,"TARDE","NOCHE")))</f>
        <v>TARDE</v>
      </c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  <c r="BD790" s="40"/>
    </row>
    <row r="791" spans="1:56" x14ac:dyDescent="0.25">
      <c r="A791" s="12">
        <v>362</v>
      </c>
      <c r="B791" s="38">
        <v>0</v>
      </c>
      <c r="C791" s="7">
        <v>2</v>
      </c>
      <c r="D791" s="7">
        <v>0</v>
      </c>
      <c r="E791" s="18" t="str">
        <f t="shared" si="48"/>
        <v>LESIONADO</v>
      </c>
      <c r="F791" s="29" t="s">
        <v>300</v>
      </c>
      <c r="G791" s="17">
        <v>5.3345888888888888</v>
      </c>
      <c r="H791" s="17">
        <v>-72.388413888888891</v>
      </c>
      <c r="I791" s="93" t="s">
        <v>697</v>
      </c>
      <c r="J791" s="7" t="s">
        <v>717</v>
      </c>
      <c r="K791" s="24" t="str">
        <f t="shared" si="49"/>
        <v>2022</v>
      </c>
      <c r="L791" s="24" t="str">
        <f t="shared" si="50"/>
        <v>NOVIEMBRE</v>
      </c>
      <c r="M791" s="232">
        <v>44890</v>
      </c>
      <c r="N791" s="24" t="str">
        <f t="shared" si="51"/>
        <v>VIERNES</v>
      </c>
      <c r="O791" s="174">
        <v>0.53125</v>
      </c>
      <c r="P791" s="180" t="s">
        <v>469</v>
      </c>
      <c r="Q791" s="180" t="s">
        <v>447</v>
      </c>
      <c r="R791" s="36">
        <f>COUNTIF(Tabla1[[#This Row],[VEHICULOS_ACCIDENTADOS]:[VEHICULOS_ACCIDENTADOS2]],"MOTOCICLETA")</f>
        <v>1</v>
      </c>
      <c r="S791" s="36">
        <f>COUNTIF(Tabla1[[#This Row],[VEHICULOS_ACCIDENTADOS]:[VEHICULOS_ACCIDENTADOS2]],"MOTOCARRO")</f>
        <v>0</v>
      </c>
      <c r="T791" s="36">
        <f>COUNTIF(Tabla1[[#This Row],[VEHICULOS_ACCIDENTADOS]:[VEHICULOS_ACCIDENTADOS2]],"AUTOMOVIL")</f>
        <v>1</v>
      </c>
      <c r="U791" s="36">
        <f>COUNTIF(Tabla1[[#This Row],[VEHICULOS_ACCIDENTADOS]:[VEHICULOS_ACCIDENTADOS2]],"CAMPERO")</f>
        <v>0</v>
      </c>
      <c r="V791" s="36">
        <f>COUNTIF(Tabla1[[#This Row],[VEHICULOS_ACCIDENTADOS]:[VEHICULOS_ACCIDENTADOS2]],"CAMIONETA")</f>
        <v>0</v>
      </c>
      <c r="W791" s="36">
        <f>COUNTIF(Tabla1[[#This Row],[VEHICULOS_ACCIDENTADOS]:[VEHICULOS_ACCIDENTADOS2]],"MICROBUS")</f>
        <v>0</v>
      </c>
      <c r="X791" s="36">
        <f>COUNTIF(Tabla1[[#This Row],[VEHICULOS_ACCIDENTADOS]:[VEHICULOS_ACCIDENTADOS2]],"BUS")</f>
        <v>0</v>
      </c>
      <c r="Y791" s="36">
        <f>COUNTIF(Tabla1[[#This Row],[VEHICULOS_ACCIDENTADOS]:[VEHICULOS_ACCIDENTADOS2]],"BUSETA")</f>
        <v>0</v>
      </c>
      <c r="Z791" s="36">
        <f>COUNTIF(Tabla1[[#This Row],[VEHICULOS_ACCIDENTADOS]:[VEHICULOS_ACCIDENTADOS2]],"CAMION")</f>
        <v>0</v>
      </c>
      <c r="AA791" s="36">
        <f>COUNTIF(Tabla1[[#This Row],[VEHICULOS_ACCIDENTADOS]:[VEHICULOS_ACCIDENTADOS2]],"TRACTOCAMION")</f>
        <v>0</v>
      </c>
      <c r="AB791" s="36">
        <f>COUNTIF(Tabla1[[#This Row],[VEHICULOS_ACCIDENTADOS]:[VEHICULOS_ACCIDENTADOS2]],"VOLQUETA")</f>
        <v>0</v>
      </c>
      <c r="AC791" s="36">
        <f>COUNTIF(Tabla1[[#This Row],[VEHICULOS_ACCIDENTADOS]:[VEHICULOS_ACCIDENTADOS2]],"BICICLETA")</f>
        <v>0</v>
      </c>
      <c r="AD791" s="38" t="s">
        <v>471</v>
      </c>
      <c r="AE791" s="38" t="s">
        <v>472</v>
      </c>
      <c r="AF791" s="38">
        <f>COUNTIF(Tabla1[[#This Row],[GENERO_MASCULINO]:[GENERO_FEMENINO]],"MASCULINO")</f>
        <v>1</v>
      </c>
      <c r="AG791" s="36">
        <f>COUNTIF(Tabla1[[#This Row],[GENERO_MASCULINO]:[GENERO_FEMENINO]],"FEMENINO")</f>
        <v>1</v>
      </c>
      <c r="AH791" s="73">
        <v>54</v>
      </c>
      <c r="AI791" s="73"/>
      <c r="AJ791" s="73"/>
      <c r="AK791" s="73"/>
      <c r="AL791" s="73">
        <v>44</v>
      </c>
      <c r="AM791" s="7"/>
      <c r="AN791" s="73">
        <v>123</v>
      </c>
      <c r="AO791" s="36" t="str">
        <f>IFERROR(((VLOOKUP(Tabla1[[#This Row],[HIPOTESIS_1]],listas!$D$1:$E$105,2,FALSE))),"SIN INFORMACIÓN")</f>
        <v>No respetar prelación de intersecciones o giros.</v>
      </c>
      <c r="AP791" s="7"/>
      <c r="AQ791" s="36" t="str">
        <f>IFERROR(((VLOOKUP(Tabla1[[#This Row],[HIPOTESIS_2]],listas!$D$1:$E$105,2,FALSE))),"")</f>
        <v/>
      </c>
      <c r="AR791" s="1" t="str">
        <f>IF(HOUR(Tabla1[[#This Row],[HORA_ACCIDENTE]])&lt;6,"MAÑANA",
 IF(HOUR(Tabla1[[#This Row],[HORA_ACCIDENTE]])&lt;12,"MAÑANA",
 IF(HOUR(Tabla1[[#This Row],[HORA_ACCIDENTE]])&lt;18,"TARDE","NOCHE")))</f>
        <v>TARDE</v>
      </c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40"/>
    </row>
    <row r="792" spans="1:56" x14ac:dyDescent="0.25">
      <c r="A792" s="12">
        <v>399</v>
      </c>
      <c r="B792" s="38">
        <v>0</v>
      </c>
      <c r="C792" s="7">
        <v>1</v>
      </c>
      <c r="D792" s="7">
        <v>0</v>
      </c>
      <c r="E792" s="18" t="str">
        <f t="shared" si="48"/>
        <v>LESIONADO</v>
      </c>
      <c r="F792" s="29" t="s">
        <v>287</v>
      </c>
      <c r="G792" s="21">
        <v>5.3262930555555554</v>
      </c>
      <c r="H792" s="21">
        <v>-72.382596666666657</v>
      </c>
      <c r="I792" s="93" t="s">
        <v>697</v>
      </c>
      <c r="J792" s="7" t="s">
        <v>717</v>
      </c>
      <c r="K792" s="24" t="str">
        <f t="shared" si="49"/>
        <v>2023</v>
      </c>
      <c r="L792" s="24" t="str">
        <f t="shared" si="50"/>
        <v>ENERO</v>
      </c>
      <c r="M792" s="232">
        <v>44957</v>
      </c>
      <c r="N792" s="24" t="str">
        <f t="shared" si="51"/>
        <v>MARTES</v>
      </c>
      <c r="O792" s="106">
        <v>0.91666666666666696</v>
      </c>
      <c r="P792" s="39" t="s">
        <v>469</v>
      </c>
      <c r="Q792" s="39" t="s">
        <v>445</v>
      </c>
      <c r="R792" s="36">
        <f>COUNTIF(Tabla1[[#This Row],[VEHICULOS_ACCIDENTADOS]:[VEHICULOS_ACCIDENTADOS2]],"MOTOCICLETA")</f>
        <v>1</v>
      </c>
      <c r="S792" s="36">
        <f>COUNTIF(Tabla1[[#This Row],[VEHICULOS_ACCIDENTADOS]:[VEHICULOS_ACCIDENTADOS2]],"MOTOCARRO")</f>
        <v>0</v>
      </c>
      <c r="T792" s="36">
        <f>COUNTIF(Tabla1[[#This Row],[VEHICULOS_ACCIDENTADOS]:[VEHICULOS_ACCIDENTADOS2]],"AUTOMOVIL")</f>
        <v>0</v>
      </c>
      <c r="U792" s="36">
        <f>COUNTIF(Tabla1[[#This Row],[VEHICULOS_ACCIDENTADOS]:[VEHICULOS_ACCIDENTADOS2]],"CAMPERO")</f>
        <v>0</v>
      </c>
      <c r="V792" s="36">
        <f>COUNTIF(Tabla1[[#This Row],[VEHICULOS_ACCIDENTADOS]:[VEHICULOS_ACCIDENTADOS2]],"CAMIONETA")</f>
        <v>1</v>
      </c>
      <c r="W792" s="36">
        <f>COUNTIF(Tabla1[[#This Row],[VEHICULOS_ACCIDENTADOS]:[VEHICULOS_ACCIDENTADOS2]],"MICROBUS")</f>
        <v>0</v>
      </c>
      <c r="X792" s="36">
        <f>COUNTIF(Tabla1[[#This Row],[VEHICULOS_ACCIDENTADOS]:[VEHICULOS_ACCIDENTADOS2]],"BUS")</f>
        <v>0</v>
      </c>
      <c r="Y792" s="36">
        <f>COUNTIF(Tabla1[[#This Row],[VEHICULOS_ACCIDENTADOS]:[VEHICULOS_ACCIDENTADOS2]],"BUSETA")</f>
        <v>0</v>
      </c>
      <c r="Z792" s="36">
        <f>COUNTIF(Tabla1[[#This Row],[VEHICULOS_ACCIDENTADOS]:[VEHICULOS_ACCIDENTADOS2]],"CAMION")</f>
        <v>0</v>
      </c>
      <c r="AA792" s="36">
        <f>COUNTIF(Tabla1[[#This Row],[VEHICULOS_ACCIDENTADOS]:[VEHICULOS_ACCIDENTADOS2]],"TRACTOCAMION")</f>
        <v>0</v>
      </c>
      <c r="AB792" s="36">
        <f>COUNTIF(Tabla1[[#This Row],[VEHICULOS_ACCIDENTADOS]:[VEHICULOS_ACCIDENTADOS2]],"VOLQUETA")</f>
        <v>0</v>
      </c>
      <c r="AC792" s="36">
        <f>COUNTIF(Tabla1[[#This Row],[VEHICULOS_ACCIDENTADOS]:[VEHICULOS_ACCIDENTADOS2]],"BICICLETA")</f>
        <v>0</v>
      </c>
      <c r="AD792" s="38" t="s">
        <v>471</v>
      </c>
      <c r="AE792" s="38"/>
      <c r="AF792" s="38">
        <f>COUNTIF(Tabla1[[#This Row],[GENERO_MASCULINO]:[GENERO_FEMENINO]],"MASCULINO")</f>
        <v>1</v>
      </c>
      <c r="AG792" s="36">
        <f>COUNTIF(Tabla1[[#This Row],[GENERO_MASCULINO]:[GENERO_FEMENINO]],"FEMENINO")</f>
        <v>0</v>
      </c>
      <c r="AH792" s="73">
        <v>33</v>
      </c>
      <c r="AI792" s="73">
        <v>23</v>
      </c>
      <c r="AJ792" s="73"/>
      <c r="AK792" s="73"/>
      <c r="AL792" s="73"/>
      <c r="AM792" s="7"/>
      <c r="AN792" s="73">
        <v>121</v>
      </c>
      <c r="AO792" s="36" t="str">
        <f>IFERROR(((VLOOKUP(Tabla1[[#This Row],[HIPOTESIS_1]],listas!$D$1:$E$105,2,FALSE))),"SIN INFORMACIÓN")</f>
        <v>No mantener distancia de seguridad.</v>
      </c>
      <c r="AP792" s="7"/>
      <c r="AQ792" s="36" t="str">
        <f>IFERROR(((VLOOKUP(Tabla1[[#This Row],[HIPOTESIS_2]],listas!$D$1:$E$105,2,FALSE))),"")</f>
        <v/>
      </c>
      <c r="AR792" s="1" t="str">
        <f>IF(HOUR(Tabla1[[#This Row],[HORA_ACCIDENTE]])&lt;6,"MAÑANA",
 IF(HOUR(Tabla1[[#This Row],[HORA_ACCIDENTE]])&lt;12,"MAÑANA",
 IF(HOUR(Tabla1[[#This Row],[HORA_ACCIDENTE]])&lt;18,"TARDE","NOCHE")))</f>
        <v>NOCHE</v>
      </c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  <c r="BD792" s="40"/>
    </row>
    <row r="793" spans="1:56" x14ac:dyDescent="0.25">
      <c r="A793" s="12">
        <v>127</v>
      </c>
      <c r="B793" s="38">
        <v>1</v>
      </c>
      <c r="C793" s="7">
        <v>0</v>
      </c>
      <c r="D793" s="7">
        <v>0</v>
      </c>
      <c r="E793" s="18" t="str">
        <f t="shared" si="48"/>
        <v>SOLO DAÑO</v>
      </c>
      <c r="F793" s="29" t="s">
        <v>947</v>
      </c>
      <c r="G793" s="17">
        <v>5.3475999999999999</v>
      </c>
      <c r="H793" s="17">
        <v>-72.394283333333334</v>
      </c>
      <c r="I793" s="93" t="s">
        <v>697</v>
      </c>
      <c r="J793" s="7" t="s">
        <v>717</v>
      </c>
      <c r="K793" s="24" t="str">
        <f t="shared" si="49"/>
        <v>2022</v>
      </c>
      <c r="L793" s="24" t="str">
        <f t="shared" si="50"/>
        <v>ABRIL</v>
      </c>
      <c r="M793" s="232">
        <v>44658</v>
      </c>
      <c r="N793" s="24" t="str">
        <f t="shared" si="51"/>
        <v>JUEVES</v>
      </c>
      <c r="O793" s="106">
        <v>0.34722222222222199</v>
      </c>
      <c r="P793" s="8" t="s">
        <v>447</v>
      </c>
      <c r="Q793" s="8" t="s">
        <v>445</v>
      </c>
      <c r="R793" s="36">
        <f>COUNTIF(Tabla1[[#This Row],[VEHICULOS_ACCIDENTADOS]:[VEHICULOS_ACCIDENTADOS2]],"MOTOCICLETA")</f>
        <v>0</v>
      </c>
      <c r="S793" s="36">
        <f>COUNTIF(Tabla1[[#This Row],[VEHICULOS_ACCIDENTADOS]:[VEHICULOS_ACCIDENTADOS2]],"MOTOCARRO")</f>
        <v>0</v>
      </c>
      <c r="T793" s="36">
        <f>COUNTIF(Tabla1[[#This Row],[VEHICULOS_ACCIDENTADOS]:[VEHICULOS_ACCIDENTADOS2]],"AUTOMOVIL")</f>
        <v>1</v>
      </c>
      <c r="U793" s="36">
        <f>COUNTIF(Tabla1[[#This Row],[VEHICULOS_ACCIDENTADOS]:[VEHICULOS_ACCIDENTADOS2]],"CAMPERO")</f>
        <v>0</v>
      </c>
      <c r="V793" s="36">
        <f>COUNTIF(Tabla1[[#This Row],[VEHICULOS_ACCIDENTADOS]:[VEHICULOS_ACCIDENTADOS2]],"CAMIONETA")</f>
        <v>1</v>
      </c>
      <c r="W793" s="36">
        <f>COUNTIF(Tabla1[[#This Row],[VEHICULOS_ACCIDENTADOS]:[VEHICULOS_ACCIDENTADOS2]],"MICROBUS")</f>
        <v>0</v>
      </c>
      <c r="X793" s="36">
        <f>COUNTIF(Tabla1[[#This Row],[VEHICULOS_ACCIDENTADOS]:[VEHICULOS_ACCIDENTADOS2]],"BUS")</f>
        <v>0</v>
      </c>
      <c r="Y793" s="36">
        <f>COUNTIF(Tabla1[[#This Row],[VEHICULOS_ACCIDENTADOS]:[VEHICULOS_ACCIDENTADOS2]],"BUSETA")</f>
        <v>0</v>
      </c>
      <c r="Z793" s="36">
        <f>COUNTIF(Tabla1[[#This Row],[VEHICULOS_ACCIDENTADOS]:[VEHICULOS_ACCIDENTADOS2]],"CAMION")</f>
        <v>0</v>
      </c>
      <c r="AA793" s="36">
        <f>COUNTIF(Tabla1[[#This Row],[VEHICULOS_ACCIDENTADOS]:[VEHICULOS_ACCIDENTADOS2]],"TRACTOCAMION")</f>
        <v>0</v>
      </c>
      <c r="AB793" s="36">
        <f>COUNTIF(Tabla1[[#This Row],[VEHICULOS_ACCIDENTADOS]:[VEHICULOS_ACCIDENTADOS2]],"VOLQUETA")</f>
        <v>0</v>
      </c>
      <c r="AC793" s="36">
        <f>COUNTIF(Tabla1[[#This Row],[VEHICULOS_ACCIDENTADOS]:[VEHICULOS_ACCIDENTADOS2]],"BICICLETA")</f>
        <v>0</v>
      </c>
      <c r="AD793" s="38"/>
      <c r="AE793" s="38" t="s">
        <v>472</v>
      </c>
      <c r="AF793" s="38">
        <f>COUNTIF(Tabla1[[#This Row],[GENERO_MASCULINO]:[GENERO_FEMENINO]],"MASCULINO")</f>
        <v>0</v>
      </c>
      <c r="AG793" s="36">
        <f>COUNTIF(Tabla1[[#This Row],[GENERO_MASCULINO]:[GENERO_FEMENINO]],"FEMENINO")</f>
        <v>1</v>
      </c>
      <c r="AH793" s="193"/>
      <c r="AI793" s="193"/>
      <c r="AJ793" s="89"/>
      <c r="AK793" s="193"/>
      <c r="AL793" s="193"/>
      <c r="AM793" s="32"/>
      <c r="AN793" s="193">
        <v>134</v>
      </c>
      <c r="AO793" s="36" t="str">
        <f>IFERROR(((VLOOKUP(Tabla1[[#This Row],[HIPOTESIS_1]],listas!$D$1:$E$105,2,FALSE))),"SIN INFORMACIÓN")</f>
        <v>Reverso imprudente.</v>
      </c>
      <c r="AP793" s="32"/>
      <c r="AQ793" s="36" t="str">
        <f>IFERROR(((VLOOKUP(Tabla1[[#This Row],[HIPOTESIS_2]],listas!$D$1:$E$105,2,FALSE))),"")</f>
        <v/>
      </c>
      <c r="AR793" s="1" t="str">
        <f>IF(HOUR(Tabla1[[#This Row],[HORA_ACCIDENTE]])&lt;6,"MAÑANA",
 IF(HOUR(Tabla1[[#This Row],[HORA_ACCIDENTE]])&lt;12,"MAÑANA",
 IF(HOUR(Tabla1[[#This Row],[HORA_ACCIDENTE]])&lt;18,"TARDE","NOCHE")))</f>
        <v>MAÑANA</v>
      </c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40"/>
    </row>
    <row r="794" spans="1:56" x14ac:dyDescent="0.25">
      <c r="A794" s="12">
        <v>179</v>
      </c>
      <c r="B794" s="38">
        <v>1</v>
      </c>
      <c r="C794" s="7">
        <v>0</v>
      </c>
      <c r="D794" s="7">
        <v>0</v>
      </c>
      <c r="E794" s="18" t="str">
        <f t="shared" si="48"/>
        <v>SOLO DAÑO</v>
      </c>
      <c r="F794" s="29" t="s">
        <v>1071</v>
      </c>
      <c r="G794" s="17">
        <v>5.3470388888888882</v>
      </c>
      <c r="H794" s="17">
        <v>-72.393950000000004</v>
      </c>
      <c r="I794" s="93" t="s">
        <v>697</v>
      </c>
      <c r="J794" s="7" t="s">
        <v>717</v>
      </c>
      <c r="K794" s="24" t="str">
        <f t="shared" si="49"/>
        <v>2022</v>
      </c>
      <c r="L794" s="24" t="str">
        <f t="shared" si="50"/>
        <v>MAYO</v>
      </c>
      <c r="M794" s="232">
        <v>44693</v>
      </c>
      <c r="N794" s="24" t="str">
        <f t="shared" si="51"/>
        <v>JUEVES</v>
      </c>
      <c r="O794" s="174">
        <v>0.243055555555556</v>
      </c>
      <c r="P794" s="180" t="s">
        <v>447</v>
      </c>
      <c r="Q794" s="180" t="s">
        <v>446</v>
      </c>
      <c r="R794" s="36">
        <f>COUNTIF(Tabla1[[#This Row],[VEHICULOS_ACCIDENTADOS]:[VEHICULOS_ACCIDENTADOS2]],"MOTOCICLETA")</f>
        <v>0</v>
      </c>
      <c r="S794" s="36">
        <f>COUNTIF(Tabla1[[#This Row],[VEHICULOS_ACCIDENTADOS]:[VEHICULOS_ACCIDENTADOS2]],"MOTOCARRO")</f>
        <v>0</v>
      </c>
      <c r="T794" s="36">
        <f>COUNTIF(Tabla1[[#This Row],[VEHICULOS_ACCIDENTADOS]:[VEHICULOS_ACCIDENTADOS2]],"AUTOMOVIL")</f>
        <v>1</v>
      </c>
      <c r="U794" s="36">
        <f>COUNTIF(Tabla1[[#This Row],[VEHICULOS_ACCIDENTADOS]:[VEHICULOS_ACCIDENTADOS2]],"CAMPERO")</f>
        <v>1</v>
      </c>
      <c r="V794" s="36">
        <f>COUNTIF(Tabla1[[#This Row],[VEHICULOS_ACCIDENTADOS]:[VEHICULOS_ACCIDENTADOS2]],"CAMIONETA")</f>
        <v>0</v>
      </c>
      <c r="W794" s="36">
        <f>COUNTIF(Tabla1[[#This Row],[VEHICULOS_ACCIDENTADOS]:[VEHICULOS_ACCIDENTADOS2]],"MICROBUS")</f>
        <v>0</v>
      </c>
      <c r="X794" s="36">
        <f>COUNTIF(Tabla1[[#This Row],[VEHICULOS_ACCIDENTADOS]:[VEHICULOS_ACCIDENTADOS2]],"BUS")</f>
        <v>0</v>
      </c>
      <c r="Y794" s="36">
        <f>COUNTIF(Tabla1[[#This Row],[VEHICULOS_ACCIDENTADOS]:[VEHICULOS_ACCIDENTADOS2]],"BUSETA")</f>
        <v>0</v>
      </c>
      <c r="Z794" s="36">
        <f>COUNTIF(Tabla1[[#This Row],[VEHICULOS_ACCIDENTADOS]:[VEHICULOS_ACCIDENTADOS2]],"CAMION")</f>
        <v>0</v>
      </c>
      <c r="AA794" s="36">
        <f>COUNTIF(Tabla1[[#This Row],[VEHICULOS_ACCIDENTADOS]:[VEHICULOS_ACCIDENTADOS2]],"TRACTOCAMION")</f>
        <v>0</v>
      </c>
      <c r="AB794" s="36">
        <f>COUNTIF(Tabla1[[#This Row],[VEHICULOS_ACCIDENTADOS]:[VEHICULOS_ACCIDENTADOS2]],"VOLQUETA")</f>
        <v>0</v>
      </c>
      <c r="AC794" s="36">
        <f>COUNTIF(Tabla1[[#This Row],[VEHICULOS_ACCIDENTADOS]:[VEHICULOS_ACCIDENTADOS2]],"BICICLETA")</f>
        <v>0</v>
      </c>
      <c r="AD794" s="38"/>
      <c r="AE794" s="38" t="s">
        <v>472</v>
      </c>
      <c r="AF794" s="38">
        <f>COUNTIF(Tabla1[[#This Row],[GENERO_MASCULINO]:[GENERO_FEMENINO]],"MASCULINO")</f>
        <v>0</v>
      </c>
      <c r="AG794" s="36">
        <f>COUNTIF(Tabla1[[#This Row],[GENERO_MASCULINO]:[GENERO_FEMENINO]],"FEMENINO")</f>
        <v>1</v>
      </c>
      <c r="AH794" s="73"/>
      <c r="AI794" s="73"/>
      <c r="AJ794" s="73"/>
      <c r="AK794" s="73"/>
      <c r="AL794" s="73"/>
      <c r="AM794" s="7"/>
      <c r="AN794" s="73">
        <v>112</v>
      </c>
      <c r="AO794" s="36" t="str">
        <f>IFERROR(((VLOOKUP(Tabla1[[#This Row],[HIPOTESIS_1]],listas!$D$1:$E$105,2,FALSE))),"SIN INFORMACIÓN")</f>
        <v>Desobedecer señales o normas de tránsito.</v>
      </c>
      <c r="AP794" s="7"/>
      <c r="AQ794" s="36" t="str">
        <f>IFERROR(((VLOOKUP(Tabla1[[#This Row],[HIPOTESIS_2]],listas!$D$1:$E$105,2,FALSE))),"")</f>
        <v/>
      </c>
      <c r="AR794" s="1" t="str">
        <f>IF(HOUR(Tabla1[[#This Row],[HORA_ACCIDENTE]])&lt;6,"MAÑANA",
 IF(HOUR(Tabla1[[#This Row],[HORA_ACCIDENTE]])&lt;12,"MAÑANA",
 IF(HOUR(Tabla1[[#This Row],[HORA_ACCIDENTE]])&lt;18,"TARDE","NOCHE")))</f>
        <v>MAÑANA</v>
      </c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  <c r="BD794" s="40"/>
    </row>
    <row r="795" spans="1:56" x14ac:dyDescent="0.25">
      <c r="A795" s="12">
        <v>67</v>
      </c>
      <c r="B795" s="38">
        <v>0</v>
      </c>
      <c r="C795" s="7">
        <v>1</v>
      </c>
      <c r="D795" s="7">
        <v>0</v>
      </c>
      <c r="E795" s="18" t="str">
        <f t="shared" si="48"/>
        <v>LESIONADO</v>
      </c>
      <c r="F795" s="29" t="s">
        <v>1072</v>
      </c>
      <c r="G795" s="17">
        <v>5.3437460000000003</v>
      </c>
      <c r="H795" s="21">
        <v>-72.392403999999999</v>
      </c>
      <c r="I795" s="93" t="s">
        <v>697</v>
      </c>
      <c r="J795" s="7" t="s">
        <v>717</v>
      </c>
      <c r="K795" s="24" t="str">
        <f t="shared" si="49"/>
        <v>2022</v>
      </c>
      <c r="L795" s="24" t="str">
        <f t="shared" si="50"/>
        <v>FEBRERO</v>
      </c>
      <c r="M795" s="232">
        <v>44618</v>
      </c>
      <c r="N795" s="24" t="str">
        <f t="shared" si="51"/>
        <v>SÁBADO</v>
      </c>
      <c r="O795" s="106">
        <v>0.92361111111111105</v>
      </c>
      <c r="P795" s="8" t="s">
        <v>447</v>
      </c>
      <c r="Q795" s="8"/>
      <c r="R795" s="36">
        <f>COUNTIF(Tabla1[[#This Row],[VEHICULOS_ACCIDENTADOS]:[VEHICULOS_ACCIDENTADOS2]],"MOTOCICLETA")</f>
        <v>0</v>
      </c>
      <c r="S795" s="36">
        <f>COUNTIF(Tabla1[[#This Row],[VEHICULOS_ACCIDENTADOS]:[VEHICULOS_ACCIDENTADOS2]],"MOTOCARRO")</f>
        <v>0</v>
      </c>
      <c r="T795" s="36">
        <f>COUNTIF(Tabla1[[#This Row],[VEHICULOS_ACCIDENTADOS]:[VEHICULOS_ACCIDENTADOS2]],"AUTOMOVIL")</f>
        <v>1</v>
      </c>
      <c r="U795" s="36">
        <f>COUNTIF(Tabla1[[#This Row],[VEHICULOS_ACCIDENTADOS]:[VEHICULOS_ACCIDENTADOS2]],"CAMPERO")</f>
        <v>0</v>
      </c>
      <c r="V795" s="36">
        <f>COUNTIF(Tabla1[[#This Row],[VEHICULOS_ACCIDENTADOS]:[VEHICULOS_ACCIDENTADOS2]],"CAMIONETA")</f>
        <v>0</v>
      </c>
      <c r="W795" s="36">
        <f>COUNTIF(Tabla1[[#This Row],[VEHICULOS_ACCIDENTADOS]:[VEHICULOS_ACCIDENTADOS2]],"MICROBUS")</f>
        <v>0</v>
      </c>
      <c r="X795" s="36">
        <f>COUNTIF(Tabla1[[#This Row],[VEHICULOS_ACCIDENTADOS]:[VEHICULOS_ACCIDENTADOS2]],"BUS")</f>
        <v>0</v>
      </c>
      <c r="Y795" s="36">
        <f>COUNTIF(Tabla1[[#This Row],[VEHICULOS_ACCIDENTADOS]:[VEHICULOS_ACCIDENTADOS2]],"BUSETA")</f>
        <v>0</v>
      </c>
      <c r="Z795" s="36">
        <f>COUNTIF(Tabla1[[#This Row],[VEHICULOS_ACCIDENTADOS]:[VEHICULOS_ACCIDENTADOS2]],"CAMION")</f>
        <v>0</v>
      </c>
      <c r="AA795" s="36">
        <f>COUNTIF(Tabla1[[#This Row],[VEHICULOS_ACCIDENTADOS]:[VEHICULOS_ACCIDENTADOS2]],"TRACTOCAMION")</f>
        <v>0</v>
      </c>
      <c r="AB795" s="36">
        <f>COUNTIF(Tabla1[[#This Row],[VEHICULOS_ACCIDENTADOS]:[VEHICULOS_ACCIDENTADOS2]],"VOLQUETA")</f>
        <v>0</v>
      </c>
      <c r="AC795" s="36">
        <f>COUNTIF(Tabla1[[#This Row],[VEHICULOS_ACCIDENTADOS]:[VEHICULOS_ACCIDENTADOS2]],"BICICLETA")</f>
        <v>0</v>
      </c>
      <c r="AD795" s="38" t="s">
        <v>471</v>
      </c>
      <c r="AE795" s="38"/>
      <c r="AF795" s="38">
        <f>COUNTIF(Tabla1[[#This Row],[GENERO_MASCULINO]:[GENERO_FEMENINO]],"MASCULINO")</f>
        <v>1</v>
      </c>
      <c r="AG795" s="36">
        <f>COUNTIF(Tabla1[[#This Row],[GENERO_MASCULINO]:[GENERO_FEMENINO]],"FEMENINO")</f>
        <v>0</v>
      </c>
      <c r="AH795" s="73">
        <v>28</v>
      </c>
      <c r="AI795" s="73"/>
      <c r="AJ795" s="73"/>
      <c r="AK795" s="73"/>
      <c r="AL795" s="73"/>
      <c r="AM795" s="7"/>
      <c r="AN795" s="73">
        <v>139</v>
      </c>
      <c r="AO795" s="36" t="str">
        <f>IFERROR(((VLOOKUP(Tabla1[[#This Row],[HIPOTESIS_1]],listas!$D$1:$E$105,2,FALSE))),"SIN INFORMACIÓN")</f>
        <v>Impericia en el manejo.</v>
      </c>
      <c r="AP795" s="7"/>
      <c r="AQ795" s="36" t="str">
        <f>IFERROR(((VLOOKUP(Tabla1[[#This Row],[HIPOTESIS_2]],listas!$D$1:$E$105,2,FALSE))),"")</f>
        <v/>
      </c>
      <c r="AR795" s="1" t="str">
        <f>IF(HOUR(Tabla1[[#This Row],[HORA_ACCIDENTE]])&lt;6,"MAÑANA",
 IF(HOUR(Tabla1[[#This Row],[HORA_ACCIDENTE]])&lt;12,"MAÑANA",
 IF(HOUR(Tabla1[[#This Row],[HORA_ACCIDENTE]])&lt;18,"TARDE","NOCHE")))</f>
        <v>NOCHE</v>
      </c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40"/>
    </row>
    <row r="796" spans="1:56" x14ac:dyDescent="0.25">
      <c r="A796" s="12">
        <v>422</v>
      </c>
      <c r="B796" s="38">
        <v>0</v>
      </c>
      <c r="C796" s="7">
        <v>3</v>
      </c>
      <c r="D796" s="7">
        <v>0</v>
      </c>
      <c r="E796" s="18" t="str">
        <f t="shared" si="48"/>
        <v>LESIONADO</v>
      </c>
      <c r="F796" s="29" t="s">
        <v>1072</v>
      </c>
      <c r="G796" s="21">
        <v>5.3437913888888886</v>
      </c>
      <c r="H796" s="21">
        <v>-72.392402222222231</v>
      </c>
      <c r="I796" s="93" t="s">
        <v>697</v>
      </c>
      <c r="J796" s="7" t="s">
        <v>717</v>
      </c>
      <c r="K796" s="24" t="str">
        <f t="shared" si="49"/>
        <v>2023</v>
      </c>
      <c r="L796" s="24" t="str">
        <f t="shared" si="50"/>
        <v>FEBRERO</v>
      </c>
      <c r="M796" s="232">
        <v>44985</v>
      </c>
      <c r="N796" s="24" t="str">
        <f t="shared" si="51"/>
        <v>MARTES</v>
      </c>
      <c r="O796" s="106">
        <v>0.78472222222222221</v>
      </c>
      <c r="P796" s="39" t="s">
        <v>469</v>
      </c>
      <c r="Q796" s="39" t="s">
        <v>469</v>
      </c>
      <c r="R796" s="36">
        <f>COUNTIF(Tabla1[[#This Row],[VEHICULOS_ACCIDENTADOS]:[VEHICULOS_ACCIDENTADOS2]],"MOTOCICLETA")</f>
        <v>2</v>
      </c>
      <c r="S796" s="36">
        <f>COUNTIF(Tabla1[[#This Row],[VEHICULOS_ACCIDENTADOS]:[VEHICULOS_ACCIDENTADOS2]],"MOTOCARRO")</f>
        <v>0</v>
      </c>
      <c r="T796" s="36">
        <f>COUNTIF(Tabla1[[#This Row],[VEHICULOS_ACCIDENTADOS]:[VEHICULOS_ACCIDENTADOS2]],"AUTOMOVIL")</f>
        <v>0</v>
      </c>
      <c r="U796" s="36">
        <f>COUNTIF(Tabla1[[#This Row],[VEHICULOS_ACCIDENTADOS]:[VEHICULOS_ACCIDENTADOS2]],"CAMPERO")</f>
        <v>0</v>
      </c>
      <c r="V796" s="36">
        <f>COUNTIF(Tabla1[[#This Row],[VEHICULOS_ACCIDENTADOS]:[VEHICULOS_ACCIDENTADOS2]],"CAMIONETA")</f>
        <v>0</v>
      </c>
      <c r="W796" s="36">
        <f>COUNTIF(Tabla1[[#This Row],[VEHICULOS_ACCIDENTADOS]:[VEHICULOS_ACCIDENTADOS2]],"MICROBUS")</f>
        <v>0</v>
      </c>
      <c r="X796" s="36">
        <f>COUNTIF(Tabla1[[#This Row],[VEHICULOS_ACCIDENTADOS]:[VEHICULOS_ACCIDENTADOS2]],"BUS")</f>
        <v>0</v>
      </c>
      <c r="Y796" s="36">
        <f>COUNTIF(Tabla1[[#This Row],[VEHICULOS_ACCIDENTADOS]:[VEHICULOS_ACCIDENTADOS2]],"BUSETA")</f>
        <v>0</v>
      </c>
      <c r="Z796" s="36">
        <f>COUNTIF(Tabla1[[#This Row],[VEHICULOS_ACCIDENTADOS]:[VEHICULOS_ACCIDENTADOS2]],"CAMION")</f>
        <v>0</v>
      </c>
      <c r="AA796" s="36">
        <f>COUNTIF(Tabla1[[#This Row],[VEHICULOS_ACCIDENTADOS]:[VEHICULOS_ACCIDENTADOS2]],"TRACTOCAMION")</f>
        <v>0</v>
      </c>
      <c r="AB796" s="36">
        <f>COUNTIF(Tabla1[[#This Row],[VEHICULOS_ACCIDENTADOS]:[VEHICULOS_ACCIDENTADOS2]],"VOLQUETA")</f>
        <v>0</v>
      </c>
      <c r="AC796" s="36">
        <f>COUNTIF(Tabla1[[#This Row],[VEHICULOS_ACCIDENTADOS]:[VEHICULOS_ACCIDENTADOS2]],"BICICLETA")</f>
        <v>0</v>
      </c>
      <c r="AD796" s="38" t="s">
        <v>471</v>
      </c>
      <c r="AE796" s="38"/>
      <c r="AF796" s="38">
        <f>COUNTIF(Tabla1[[#This Row],[GENERO_MASCULINO]:[GENERO_FEMENINO]],"MASCULINO")</f>
        <v>1</v>
      </c>
      <c r="AG796" s="36">
        <f>COUNTIF(Tabla1[[#This Row],[GENERO_MASCULINO]:[GENERO_FEMENINO]],"FEMENINO")</f>
        <v>0</v>
      </c>
      <c r="AH796" s="73">
        <v>24</v>
      </c>
      <c r="AI796" s="73">
        <v>15</v>
      </c>
      <c r="AJ796" s="87"/>
      <c r="AK796" s="73"/>
      <c r="AL796" s="73">
        <v>21</v>
      </c>
      <c r="AM796" s="7"/>
      <c r="AN796" s="73">
        <v>112</v>
      </c>
      <c r="AO796" s="36" t="str">
        <f>IFERROR(((VLOOKUP(Tabla1[[#This Row],[HIPOTESIS_1]],listas!$D$1:$E$105,2,FALSE))),"SIN INFORMACIÓN")</f>
        <v>Desobedecer señales o normas de tránsito.</v>
      </c>
      <c r="AP796" s="7"/>
      <c r="AQ796" s="36" t="str">
        <f>IFERROR(((VLOOKUP(Tabla1[[#This Row],[HIPOTESIS_2]],listas!$D$1:$E$105,2,FALSE))),"")</f>
        <v/>
      </c>
      <c r="AR796" s="1" t="str">
        <f>IF(HOUR(Tabla1[[#This Row],[HORA_ACCIDENTE]])&lt;6,"MAÑANA",
 IF(HOUR(Tabla1[[#This Row],[HORA_ACCIDENTE]])&lt;12,"MAÑANA",
 IF(HOUR(Tabla1[[#This Row],[HORA_ACCIDENTE]])&lt;18,"TARDE","NOCHE")))</f>
        <v>NOCHE</v>
      </c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  <c r="BD796" s="40"/>
    </row>
    <row r="797" spans="1:56" x14ac:dyDescent="0.25">
      <c r="A797" s="12">
        <v>1066</v>
      </c>
      <c r="B797" s="47">
        <v>0</v>
      </c>
      <c r="C797" s="24">
        <v>1</v>
      </c>
      <c r="D797" s="24">
        <v>0</v>
      </c>
      <c r="E797" s="24" t="str">
        <f t="shared" si="48"/>
        <v>LESIONADO</v>
      </c>
      <c r="F797" s="155" t="s">
        <v>1073</v>
      </c>
      <c r="G797" s="20">
        <v>5.3413979999999999</v>
      </c>
      <c r="H797" s="20">
        <v>-72.391090000000005</v>
      </c>
      <c r="I797" s="165" t="s">
        <v>697</v>
      </c>
      <c r="J797" s="7" t="s">
        <v>717</v>
      </c>
      <c r="K797" s="24" t="str">
        <f t="shared" si="49"/>
        <v>2025</v>
      </c>
      <c r="L797" s="24" t="str">
        <f t="shared" si="50"/>
        <v>SEPTIEMBRE</v>
      </c>
      <c r="M797" s="232">
        <v>45912</v>
      </c>
      <c r="N797" s="24" t="str">
        <f t="shared" si="51"/>
        <v>VIERNES</v>
      </c>
      <c r="O797" s="106">
        <v>0.37916666666666665</v>
      </c>
      <c r="P797" s="8" t="s">
        <v>469</v>
      </c>
      <c r="Q797" s="8" t="s">
        <v>445</v>
      </c>
      <c r="R797" s="36">
        <f>COUNTIF(Tabla1[[#This Row],[VEHICULOS_ACCIDENTADOS]:[VEHICULOS_ACCIDENTADOS2]],"MOTOCICLETA")</f>
        <v>1</v>
      </c>
      <c r="S797" s="36">
        <f>COUNTIF(Tabla1[[#This Row],[VEHICULOS_ACCIDENTADOS]:[VEHICULOS_ACCIDENTADOS2]],"MOTOCARRO")</f>
        <v>0</v>
      </c>
      <c r="T797" s="36">
        <f>COUNTIF(Tabla1[[#This Row],[VEHICULOS_ACCIDENTADOS]:[VEHICULOS_ACCIDENTADOS2]],"AUTOMOVIL")</f>
        <v>0</v>
      </c>
      <c r="U797" s="36">
        <f>COUNTIF(Tabla1[[#This Row],[VEHICULOS_ACCIDENTADOS]:[VEHICULOS_ACCIDENTADOS2]],"CAMPERO")</f>
        <v>0</v>
      </c>
      <c r="V797" s="36">
        <f>COUNTIF(Tabla1[[#This Row],[VEHICULOS_ACCIDENTADOS]:[VEHICULOS_ACCIDENTADOS2]],"CAMIONETA")</f>
        <v>1</v>
      </c>
      <c r="W797" s="36">
        <f>COUNTIF(Tabla1[[#This Row],[VEHICULOS_ACCIDENTADOS]:[VEHICULOS_ACCIDENTADOS2]],"MICROBUS")</f>
        <v>0</v>
      </c>
      <c r="X797" s="36">
        <f>COUNTIF(Tabla1[[#This Row],[VEHICULOS_ACCIDENTADOS]:[VEHICULOS_ACCIDENTADOS2]],"BUS")</f>
        <v>0</v>
      </c>
      <c r="Y797" s="36">
        <f>COUNTIF(Tabla1[[#This Row],[VEHICULOS_ACCIDENTADOS]:[VEHICULOS_ACCIDENTADOS2]],"BUSETA")</f>
        <v>0</v>
      </c>
      <c r="Z797" s="36">
        <f>COUNTIF(Tabla1[[#This Row],[VEHICULOS_ACCIDENTADOS]:[VEHICULOS_ACCIDENTADOS2]],"CAMION")</f>
        <v>0</v>
      </c>
      <c r="AA797" s="36">
        <f>COUNTIF(Tabla1[[#This Row],[VEHICULOS_ACCIDENTADOS]:[VEHICULOS_ACCIDENTADOS2]],"TRACTOCAMION")</f>
        <v>0</v>
      </c>
      <c r="AB797" s="36">
        <f>COUNTIF(Tabla1[[#This Row],[VEHICULOS_ACCIDENTADOS]:[VEHICULOS_ACCIDENTADOS2]],"VOLQUETA")</f>
        <v>0</v>
      </c>
      <c r="AC797" s="36">
        <f>COUNTIF(Tabla1[[#This Row],[VEHICULOS_ACCIDENTADOS]:[VEHICULOS_ACCIDENTADOS2]],"BICICLETA")</f>
        <v>0</v>
      </c>
      <c r="AD797" s="189" t="s">
        <v>471</v>
      </c>
      <c r="AE797" s="189" t="s">
        <v>472</v>
      </c>
      <c r="AF797" s="38">
        <f>COUNTIF(Tabla1[[#This Row],[GENERO_MASCULINO]:[GENERO_FEMENINO]],"MASCULINO")</f>
        <v>1</v>
      </c>
      <c r="AG797" s="36">
        <f>COUNTIF(Tabla1[[#This Row],[GENERO_MASCULINO]:[GENERO_FEMENINO]],"FEMENINO")</f>
        <v>1</v>
      </c>
      <c r="AH797" s="86">
        <v>21</v>
      </c>
      <c r="AI797" s="86">
        <v>36</v>
      </c>
      <c r="AJ797" s="86"/>
      <c r="AK797" s="87"/>
      <c r="AL797" s="87"/>
      <c r="AM797" s="6"/>
      <c r="AN797" s="73">
        <v>157</v>
      </c>
      <c r="AO797" s="59" t="str">
        <f>IFERROR(((VLOOKUP(Tabla1[[#This Row],[HIPOTESIS_1]],listas!$D$1:$E$105,2,FALSE))),"SIN INFORMACIÓN")</f>
        <v>Otra</v>
      </c>
      <c r="AP797" s="7"/>
      <c r="AQ797" s="36" t="str">
        <f>IFERROR(((VLOOKUP(Tabla1[[#This Row],[HIPOTESIS_2]],listas!$D$1:$E$105,2,FALSE))),"")</f>
        <v/>
      </c>
      <c r="AR797" s="2" t="str">
        <f>IF(HOUR(Tabla1[[#This Row],[HORA_ACCIDENTE]])&lt;6,"MAÑANA",
 IF(HOUR(Tabla1[[#This Row],[HORA_ACCIDENTE]])&lt;12,"MAÑANA",
 IF(HOUR(Tabla1[[#This Row],[HORA_ACCIDENTE]])&lt;18,"TARDE","NOCHE")))</f>
        <v>MAÑANA</v>
      </c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40"/>
    </row>
    <row r="798" spans="1:56" x14ac:dyDescent="0.25">
      <c r="A798" s="12">
        <v>165</v>
      </c>
      <c r="B798" s="38">
        <v>1</v>
      </c>
      <c r="C798" s="7">
        <v>0</v>
      </c>
      <c r="D798" s="7">
        <v>0</v>
      </c>
      <c r="E798" s="18" t="str">
        <f t="shared" si="48"/>
        <v>SOLO DAÑO</v>
      </c>
      <c r="F798" s="29" t="s">
        <v>1073</v>
      </c>
      <c r="G798" s="17">
        <v>5.3413722222222217</v>
      </c>
      <c r="H798" s="17">
        <v>-72.391125000000002</v>
      </c>
      <c r="I798" s="93" t="s">
        <v>697</v>
      </c>
      <c r="J798" s="7" t="s">
        <v>717</v>
      </c>
      <c r="K798" s="24" t="str">
        <f t="shared" si="49"/>
        <v>2022</v>
      </c>
      <c r="L798" s="24" t="str">
        <f t="shared" si="50"/>
        <v>MAYO</v>
      </c>
      <c r="M798" s="232">
        <v>44683</v>
      </c>
      <c r="N798" s="24" t="str">
        <f t="shared" si="51"/>
        <v>LUNES</v>
      </c>
      <c r="O798" s="106">
        <v>0.51388888888888895</v>
      </c>
      <c r="P798" s="8" t="s">
        <v>447</v>
      </c>
      <c r="Q798" s="8" t="s">
        <v>438</v>
      </c>
      <c r="R798" s="36">
        <f>COUNTIF(Tabla1[[#This Row],[VEHICULOS_ACCIDENTADOS]:[VEHICULOS_ACCIDENTADOS2]],"MOTOCICLETA")</f>
        <v>0</v>
      </c>
      <c r="S798" s="36">
        <f>COUNTIF(Tabla1[[#This Row],[VEHICULOS_ACCIDENTADOS]:[VEHICULOS_ACCIDENTADOS2]],"MOTOCARRO")</f>
        <v>0</v>
      </c>
      <c r="T798" s="36">
        <f>COUNTIF(Tabla1[[#This Row],[VEHICULOS_ACCIDENTADOS]:[VEHICULOS_ACCIDENTADOS2]],"AUTOMOVIL")</f>
        <v>1</v>
      </c>
      <c r="U798" s="36">
        <f>COUNTIF(Tabla1[[#This Row],[VEHICULOS_ACCIDENTADOS]:[VEHICULOS_ACCIDENTADOS2]],"CAMPERO")</f>
        <v>0</v>
      </c>
      <c r="V798" s="36">
        <f>COUNTIF(Tabla1[[#This Row],[VEHICULOS_ACCIDENTADOS]:[VEHICULOS_ACCIDENTADOS2]],"CAMIONETA")</f>
        <v>0</v>
      </c>
      <c r="W798" s="36">
        <f>COUNTIF(Tabla1[[#This Row],[VEHICULOS_ACCIDENTADOS]:[VEHICULOS_ACCIDENTADOS2]],"MICROBUS")</f>
        <v>0</v>
      </c>
      <c r="X798" s="36">
        <f>COUNTIF(Tabla1[[#This Row],[VEHICULOS_ACCIDENTADOS]:[VEHICULOS_ACCIDENTADOS2]],"BUS")</f>
        <v>0</v>
      </c>
      <c r="Y798" s="36">
        <f>COUNTIF(Tabla1[[#This Row],[VEHICULOS_ACCIDENTADOS]:[VEHICULOS_ACCIDENTADOS2]],"BUSETA")</f>
        <v>0</v>
      </c>
      <c r="Z798" s="36">
        <f>COUNTIF(Tabla1[[#This Row],[VEHICULOS_ACCIDENTADOS]:[VEHICULOS_ACCIDENTADOS2]],"CAMION")</f>
        <v>0</v>
      </c>
      <c r="AA798" s="36">
        <f>COUNTIF(Tabla1[[#This Row],[VEHICULOS_ACCIDENTADOS]:[VEHICULOS_ACCIDENTADOS2]],"TRACTOCAMION")</f>
        <v>0</v>
      </c>
      <c r="AB798" s="36">
        <f>COUNTIF(Tabla1[[#This Row],[VEHICULOS_ACCIDENTADOS]:[VEHICULOS_ACCIDENTADOS2]],"VOLQUETA")</f>
        <v>0</v>
      </c>
      <c r="AC798" s="36">
        <f>COUNTIF(Tabla1[[#This Row],[VEHICULOS_ACCIDENTADOS]:[VEHICULOS_ACCIDENTADOS2]],"BICICLETA")</f>
        <v>1</v>
      </c>
      <c r="AD798" s="38" t="s">
        <v>471</v>
      </c>
      <c r="AE798" s="38" t="s">
        <v>472</v>
      </c>
      <c r="AF798" s="38">
        <f>COUNTIF(Tabla1[[#This Row],[GENERO_MASCULINO]:[GENERO_FEMENINO]],"MASCULINO")</f>
        <v>1</v>
      </c>
      <c r="AG798" s="36">
        <f>COUNTIF(Tabla1[[#This Row],[GENERO_MASCULINO]:[GENERO_FEMENINO]],"FEMENINO")</f>
        <v>1</v>
      </c>
      <c r="AH798" s="73"/>
      <c r="AI798" s="73"/>
      <c r="AJ798" s="73"/>
      <c r="AK798" s="73"/>
      <c r="AL798" s="73"/>
      <c r="AM798" s="7"/>
      <c r="AN798" s="73">
        <v>112</v>
      </c>
      <c r="AO798" s="36" t="str">
        <f>IFERROR(((VLOOKUP(Tabla1[[#This Row],[HIPOTESIS_1]],listas!$D$1:$E$105,2,FALSE))),"SIN INFORMACIÓN")</f>
        <v>Desobedecer señales o normas de tránsito.</v>
      </c>
      <c r="AP798" s="7"/>
      <c r="AQ798" s="36" t="str">
        <f>IFERROR(((VLOOKUP(Tabla1[[#This Row],[HIPOTESIS_2]],listas!$D$1:$E$105,2,FALSE))),"")</f>
        <v/>
      </c>
      <c r="AR798" s="1" t="str">
        <f>IF(HOUR(Tabla1[[#This Row],[HORA_ACCIDENTE]])&lt;6,"MAÑANA",
 IF(HOUR(Tabla1[[#This Row],[HORA_ACCIDENTE]])&lt;12,"MAÑANA",
 IF(HOUR(Tabla1[[#This Row],[HORA_ACCIDENTE]])&lt;18,"TARDE","NOCHE")))</f>
        <v>TARDE</v>
      </c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  <c r="BD798" s="40"/>
    </row>
    <row r="799" spans="1:56" x14ac:dyDescent="0.25">
      <c r="A799" s="12">
        <v>1001</v>
      </c>
      <c r="B799" s="47">
        <v>0</v>
      </c>
      <c r="C799" s="24">
        <v>1</v>
      </c>
      <c r="D799" s="24">
        <v>1</v>
      </c>
      <c r="E799" s="18" t="str">
        <f t="shared" si="48"/>
        <v>FALLECIDO</v>
      </c>
      <c r="F799" s="152" t="s">
        <v>948</v>
      </c>
      <c r="G799" s="30">
        <v>5.3382079999999998</v>
      </c>
      <c r="H799" s="30">
        <v>-72.389381</v>
      </c>
      <c r="I799" s="93" t="s">
        <v>697</v>
      </c>
      <c r="J799" s="7" t="s">
        <v>717</v>
      </c>
      <c r="K799" s="24" t="str">
        <f t="shared" si="49"/>
        <v>2025</v>
      </c>
      <c r="L799" s="24" t="str">
        <f t="shared" si="50"/>
        <v>JUNIO</v>
      </c>
      <c r="M799" s="236">
        <v>45830</v>
      </c>
      <c r="N799" s="24" t="str">
        <f t="shared" si="51"/>
        <v>DOMINGO</v>
      </c>
      <c r="O799" s="106">
        <v>0.98611111111111116</v>
      </c>
      <c r="P799" s="8" t="s">
        <v>443</v>
      </c>
      <c r="Q799" s="8" t="s">
        <v>469</v>
      </c>
      <c r="R799" s="36">
        <f>COUNTIF(Tabla1[[#This Row],[VEHICULOS_ACCIDENTADOS]:[VEHICULOS_ACCIDENTADOS2]],"MOTOCICLETA")</f>
        <v>1</v>
      </c>
      <c r="S799" s="36">
        <f>COUNTIF(Tabla1[[#This Row],[VEHICULOS_ACCIDENTADOS]:[VEHICULOS_ACCIDENTADOS2]],"MOTOCARRO")</f>
        <v>0</v>
      </c>
      <c r="T799" s="36">
        <f>COUNTIF(Tabla1[[#This Row],[VEHICULOS_ACCIDENTADOS]:[VEHICULOS_ACCIDENTADOS2]],"AUTOMOVIL")</f>
        <v>0</v>
      </c>
      <c r="U799" s="36">
        <f>COUNTIF(Tabla1[[#This Row],[VEHICULOS_ACCIDENTADOS]:[VEHICULOS_ACCIDENTADOS2]],"CAMPERO")</f>
        <v>0</v>
      </c>
      <c r="V799" s="36">
        <f>COUNTIF(Tabla1[[#This Row],[VEHICULOS_ACCIDENTADOS]:[VEHICULOS_ACCIDENTADOS2]],"CAMIONETA")</f>
        <v>0</v>
      </c>
      <c r="W799" s="36">
        <f>COUNTIF(Tabla1[[#This Row],[VEHICULOS_ACCIDENTADOS]:[VEHICULOS_ACCIDENTADOS2]],"MICROBUS")</f>
        <v>0</v>
      </c>
      <c r="X799" s="36">
        <f>COUNTIF(Tabla1[[#This Row],[VEHICULOS_ACCIDENTADOS]:[VEHICULOS_ACCIDENTADOS2]],"BUS")</f>
        <v>1</v>
      </c>
      <c r="Y799" s="36">
        <f>COUNTIF(Tabla1[[#This Row],[VEHICULOS_ACCIDENTADOS]:[VEHICULOS_ACCIDENTADOS2]],"BUSETA")</f>
        <v>0</v>
      </c>
      <c r="Z799" s="36">
        <f>COUNTIF(Tabla1[[#This Row],[VEHICULOS_ACCIDENTADOS]:[VEHICULOS_ACCIDENTADOS2]],"CAMION")</f>
        <v>0</v>
      </c>
      <c r="AA799" s="36">
        <f>COUNTIF(Tabla1[[#This Row],[VEHICULOS_ACCIDENTADOS]:[VEHICULOS_ACCIDENTADOS2]],"TRACTOCAMION")</f>
        <v>0</v>
      </c>
      <c r="AB799" s="36">
        <f>COUNTIF(Tabla1[[#This Row],[VEHICULOS_ACCIDENTADOS]:[VEHICULOS_ACCIDENTADOS2]],"VOLQUETA")</f>
        <v>0</v>
      </c>
      <c r="AC799" s="36">
        <f>COUNTIF(Tabla1[[#This Row],[VEHICULOS_ACCIDENTADOS]:[VEHICULOS_ACCIDENTADOS2]],"BICICLETA")</f>
        <v>0</v>
      </c>
      <c r="AD799" s="38" t="s">
        <v>471</v>
      </c>
      <c r="AE799" s="38" t="s">
        <v>471</v>
      </c>
      <c r="AF799" s="38">
        <f>COUNTIF(Tabla1[[#This Row],[GENERO_MASCULINO]:[GENERO_FEMENINO]],"MASCULINO")</f>
        <v>2</v>
      </c>
      <c r="AG799" s="36">
        <f>COUNTIF(Tabla1[[#This Row],[GENERO_MASCULINO]:[GENERO_FEMENINO]],"FEMENINO")</f>
        <v>0</v>
      </c>
      <c r="AH799" s="86">
        <v>45</v>
      </c>
      <c r="AI799" s="86">
        <v>26</v>
      </c>
      <c r="AJ799" s="86">
        <v>26</v>
      </c>
      <c r="AK799" s="87"/>
      <c r="AL799" s="87"/>
      <c r="AM799" s="6"/>
      <c r="AN799" s="73">
        <v>122</v>
      </c>
      <c r="AO799" s="36" t="str">
        <f>IFERROR(((VLOOKUP(Tabla1[[#This Row],[HIPOTESIS_1]],listas!$D$1:$E$105,2,FALSE))),"SIN INFORMACIÓN")</f>
        <v>Girar bruscamente.</v>
      </c>
      <c r="AP799" s="7"/>
      <c r="AQ799" s="36" t="str">
        <f>IFERROR(((VLOOKUP(Tabla1[[#This Row],[HIPOTESIS_2]],listas!$D$1:$E$105,2,FALSE))),"")</f>
        <v/>
      </c>
      <c r="AR799" s="1" t="str">
        <f>IF(HOUR(Tabla1[[#This Row],[HORA_ACCIDENTE]])&lt;6,"MAÑANA",
 IF(HOUR(Tabla1[[#This Row],[HORA_ACCIDENTE]])&lt;12,"MAÑANA",
 IF(HOUR(Tabla1[[#This Row],[HORA_ACCIDENTE]])&lt;18,"TARDE","NOCHE")))</f>
        <v>NOCHE</v>
      </c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40"/>
    </row>
    <row r="800" spans="1:56" x14ac:dyDescent="0.25">
      <c r="A800" s="12">
        <v>15</v>
      </c>
      <c r="B800" s="38">
        <v>1</v>
      </c>
      <c r="C800" s="7">
        <v>0</v>
      </c>
      <c r="D800" s="7">
        <v>0</v>
      </c>
      <c r="E800" s="18" t="str">
        <f t="shared" si="48"/>
        <v>SOLO DAÑO</v>
      </c>
      <c r="F800" s="29" t="s">
        <v>433</v>
      </c>
      <c r="G800" s="17">
        <v>5.3478666666666665</v>
      </c>
      <c r="H800" s="17">
        <v>-72.394445000000005</v>
      </c>
      <c r="I800" s="93" t="s">
        <v>697</v>
      </c>
      <c r="J800" s="7" t="s">
        <v>717</v>
      </c>
      <c r="K800" s="24" t="str">
        <f t="shared" si="49"/>
        <v>2022</v>
      </c>
      <c r="L800" s="24" t="str">
        <f t="shared" si="50"/>
        <v>ENERO</v>
      </c>
      <c r="M800" s="232">
        <v>44574</v>
      </c>
      <c r="N800" s="24" t="str">
        <f t="shared" si="51"/>
        <v>JUEVES</v>
      </c>
      <c r="O800" s="106">
        <v>0.50694444444444398</v>
      </c>
      <c r="P800" s="8" t="s">
        <v>447</v>
      </c>
      <c r="Q800" s="8" t="s">
        <v>446</v>
      </c>
      <c r="R800" s="36">
        <f>COUNTIF(Tabla1[[#This Row],[VEHICULOS_ACCIDENTADOS]:[VEHICULOS_ACCIDENTADOS2]],"MOTOCICLETA")</f>
        <v>0</v>
      </c>
      <c r="S800" s="36">
        <f>COUNTIF(Tabla1[[#This Row],[VEHICULOS_ACCIDENTADOS]:[VEHICULOS_ACCIDENTADOS2]],"MOTOCARRO")</f>
        <v>0</v>
      </c>
      <c r="T800" s="36">
        <f>COUNTIF(Tabla1[[#This Row],[VEHICULOS_ACCIDENTADOS]:[VEHICULOS_ACCIDENTADOS2]],"AUTOMOVIL")</f>
        <v>1</v>
      </c>
      <c r="U800" s="36">
        <f>COUNTIF(Tabla1[[#This Row],[VEHICULOS_ACCIDENTADOS]:[VEHICULOS_ACCIDENTADOS2]],"CAMPERO")</f>
        <v>1</v>
      </c>
      <c r="V800" s="36">
        <f>COUNTIF(Tabla1[[#This Row],[VEHICULOS_ACCIDENTADOS]:[VEHICULOS_ACCIDENTADOS2]],"CAMIONETA")</f>
        <v>0</v>
      </c>
      <c r="W800" s="36">
        <f>COUNTIF(Tabla1[[#This Row],[VEHICULOS_ACCIDENTADOS]:[VEHICULOS_ACCIDENTADOS2]],"MICROBUS")</f>
        <v>0</v>
      </c>
      <c r="X800" s="36">
        <f>COUNTIF(Tabla1[[#This Row],[VEHICULOS_ACCIDENTADOS]:[VEHICULOS_ACCIDENTADOS2]],"BUS")</f>
        <v>0</v>
      </c>
      <c r="Y800" s="36">
        <f>COUNTIF(Tabla1[[#This Row],[VEHICULOS_ACCIDENTADOS]:[VEHICULOS_ACCIDENTADOS2]],"BUSETA")</f>
        <v>0</v>
      </c>
      <c r="Z800" s="36">
        <f>COUNTIF(Tabla1[[#This Row],[VEHICULOS_ACCIDENTADOS]:[VEHICULOS_ACCIDENTADOS2]],"CAMION")</f>
        <v>0</v>
      </c>
      <c r="AA800" s="36">
        <f>COUNTIF(Tabla1[[#This Row],[VEHICULOS_ACCIDENTADOS]:[VEHICULOS_ACCIDENTADOS2]],"TRACTOCAMION")</f>
        <v>0</v>
      </c>
      <c r="AB800" s="36">
        <f>COUNTIF(Tabla1[[#This Row],[VEHICULOS_ACCIDENTADOS]:[VEHICULOS_ACCIDENTADOS2]],"VOLQUETA")</f>
        <v>0</v>
      </c>
      <c r="AC800" s="36">
        <f>COUNTIF(Tabla1[[#This Row],[VEHICULOS_ACCIDENTADOS]:[VEHICULOS_ACCIDENTADOS2]],"BICICLETA")</f>
        <v>0</v>
      </c>
      <c r="AD800" s="38" t="s">
        <v>471</v>
      </c>
      <c r="AE800" s="38"/>
      <c r="AF800" s="38">
        <f>COUNTIF(Tabla1[[#This Row],[GENERO_MASCULINO]:[GENERO_FEMENINO]],"MASCULINO")</f>
        <v>1</v>
      </c>
      <c r="AG800" s="36">
        <f>COUNTIF(Tabla1[[#This Row],[GENERO_MASCULINO]:[GENERO_FEMENINO]],"FEMENINO")</f>
        <v>0</v>
      </c>
      <c r="AH800" s="73"/>
      <c r="AI800" s="73"/>
      <c r="AJ800" s="73"/>
      <c r="AK800" s="73"/>
      <c r="AL800" s="73"/>
      <c r="AM800" s="7"/>
      <c r="AN800" s="73">
        <v>112</v>
      </c>
      <c r="AO800" s="36" t="str">
        <f>IFERROR(((VLOOKUP(Tabla1[[#This Row],[HIPOTESIS_1]],listas!$D$1:$E$105,2,FALSE))),"SIN INFORMACIÓN")</f>
        <v>Desobedecer señales o normas de tránsito.</v>
      </c>
      <c r="AP800" s="7"/>
      <c r="AQ800" s="36" t="str">
        <f>IFERROR(((VLOOKUP(Tabla1[[#This Row],[HIPOTESIS_2]],listas!$D$1:$E$105,2,FALSE))),"")</f>
        <v/>
      </c>
      <c r="AR800" s="1" t="str">
        <f>IF(HOUR(Tabla1[[#This Row],[HORA_ACCIDENTE]])&lt;6,"MAÑANA",
 IF(HOUR(Tabla1[[#This Row],[HORA_ACCIDENTE]])&lt;12,"MAÑANA",
 IF(HOUR(Tabla1[[#This Row],[HORA_ACCIDENTE]])&lt;18,"TARDE","NOCHE")))</f>
        <v>TARDE</v>
      </c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  <c r="BD800" s="40"/>
    </row>
    <row r="801" spans="1:56" x14ac:dyDescent="0.25">
      <c r="A801" s="12">
        <v>465</v>
      </c>
      <c r="B801" s="38">
        <v>0</v>
      </c>
      <c r="C801" s="7">
        <v>1</v>
      </c>
      <c r="D801" s="7">
        <v>0</v>
      </c>
      <c r="E801" s="18" t="str">
        <f t="shared" si="48"/>
        <v>LESIONADO</v>
      </c>
      <c r="F801" s="29" t="s">
        <v>253</v>
      </c>
      <c r="G801" s="21">
        <v>5.3405722222222218</v>
      </c>
      <c r="H801" s="21">
        <v>-72.390641666666667</v>
      </c>
      <c r="I801" s="93" t="s">
        <v>697</v>
      </c>
      <c r="J801" s="7" t="s">
        <v>717</v>
      </c>
      <c r="K801" s="24" t="str">
        <f t="shared" si="49"/>
        <v>2023</v>
      </c>
      <c r="L801" s="24" t="str">
        <f t="shared" si="50"/>
        <v>MAYO</v>
      </c>
      <c r="M801" s="232">
        <v>45047</v>
      </c>
      <c r="N801" s="24" t="str">
        <f t="shared" si="51"/>
        <v>LUNES</v>
      </c>
      <c r="O801" s="106">
        <v>0.49305555555555558</v>
      </c>
      <c r="P801" s="39" t="s">
        <v>469</v>
      </c>
      <c r="Q801" s="39" t="s">
        <v>446</v>
      </c>
      <c r="R801" s="36">
        <f>COUNTIF(Tabla1[[#This Row],[VEHICULOS_ACCIDENTADOS]:[VEHICULOS_ACCIDENTADOS2]],"MOTOCICLETA")</f>
        <v>1</v>
      </c>
      <c r="S801" s="36">
        <f>COUNTIF(Tabla1[[#This Row],[VEHICULOS_ACCIDENTADOS]:[VEHICULOS_ACCIDENTADOS2]],"MOTOCARRO")</f>
        <v>0</v>
      </c>
      <c r="T801" s="36">
        <f>COUNTIF(Tabla1[[#This Row],[VEHICULOS_ACCIDENTADOS]:[VEHICULOS_ACCIDENTADOS2]],"AUTOMOVIL")</f>
        <v>0</v>
      </c>
      <c r="U801" s="36">
        <f>COUNTIF(Tabla1[[#This Row],[VEHICULOS_ACCIDENTADOS]:[VEHICULOS_ACCIDENTADOS2]],"CAMPERO")</f>
        <v>1</v>
      </c>
      <c r="V801" s="36">
        <f>COUNTIF(Tabla1[[#This Row],[VEHICULOS_ACCIDENTADOS]:[VEHICULOS_ACCIDENTADOS2]],"CAMIONETA")</f>
        <v>0</v>
      </c>
      <c r="W801" s="36">
        <f>COUNTIF(Tabla1[[#This Row],[VEHICULOS_ACCIDENTADOS]:[VEHICULOS_ACCIDENTADOS2]],"MICROBUS")</f>
        <v>0</v>
      </c>
      <c r="X801" s="36">
        <f>COUNTIF(Tabla1[[#This Row],[VEHICULOS_ACCIDENTADOS]:[VEHICULOS_ACCIDENTADOS2]],"BUS")</f>
        <v>0</v>
      </c>
      <c r="Y801" s="36">
        <f>COUNTIF(Tabla1[[#This Row],[VEHICULOS_ACCIDENTADOS]:[VEHICULOS_ACCIDENTADOS2]],"BUSETA")</f>
        <v>0</v>
      </c>
      <c r="Z801" s="36">
        <f>COUNTIF(Tabla1[[#This Row],[VEHICULOS_ACCIDENTADOS]:[VEHICULOS_ACCIDENTADOS2]],"CAMION")</f>
        <v>0</v>
      </c>
      <c r="AA801" s="36">
        <f>COUNTIF(Tabla1[[#This Row],[VEHICULOS_ACCIDENTADOS]:[VEHICULOS_ACCIDENTADOS2]],"TRACTOCAMION")</f>
        <v>0</v>
      </c>
      <c r="AB801" s="36">
        <f>COUNTIF(Tabla1[[#This Row],[VEHICULOS_ACCIDENTADOS]:[VEHICULOS_ACCIDENTADOS2]],"VOLQUETA")</f>
        <v>0</v>
      </c>
      <c r="AC801" s="36">
        <f>COUNTIF(Tabla1[[#This Row],[VEHICULOS_ACCIDENTADOS]:[VEHICULOS_ACCIDENTADOS2]],"BICICLETA")</f>
        <v>0</v>
      </c>
      <c r="AD801" s="38" t="s">
        <v>471</v>
      </c>
      <c r="AE801" s="38"/>
      <c r="AF801" s="38">
        <f>COUNTIF(Tabla1[[#This Row],[GENERO_MASCULINO]:[GENERO_FEMENINO]],"MASCULINO")</f>
        <v>1</v>
      </c>
      <c r="AG801" s="36">
        <f>COUNTIF(Tabla1[[#This Row],[GENERO_MASCULINO]:[GENERO_FEMENINO]],"FEMENINO")</f>
        <v>0</v>
      </c>
      <c r="AH801" s="73">
        <v>40</v>
      </c>
      <c r="AI801" s="73"/>
      <c r="AJ801" s="73"/>
      <c r="AK801" s="73"/>
      <c r="AL801" s="73"/>
      <c r="AM801" s="7"/>
      <c r="AN801" s="73">
        <v>112</v>
      </c>
      <c r="AO801" s="36" t="str">
        <f>IFERROR(((VLOOKUP(Tabla1[[#This Row],[HIPOTESIS_1]],listas!$D$1:$E$105,2,FALSE))),"SIN INFORMACIÓN")</f>
        <v>Desobedecer señales o normas de tránsito.</v>
      </c>
      <c r="AP801" s="7"/>
      <c r="AQ801" s="36" t="str">
        <f>IFERROR(((VLOOKUP(Tabla1[[#This Row],[HIPOTESIS_2]],listas!$D$1:$E$105,2,FALSE))),"")</f>
        <v/>
      </c>
      <c r="AR801" s="1" t="str">
        <f>IF(HOUR(Tabla1[[#This Row],[HORA_ACCIDENTE]])&lt;6,"MAÑANA",
 IF(HOUR(Tabla1[[#This Row],[HORA_ACCIDENTE]])&lt;12,"MAÑANA",
 IF(HOUR(Tabla1[[#This Row],[HORA_ACCIDENTE]])&lt;18,"TARDE","NOCHE")))</f>
        <v>MAÑANA</v>
      </c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40"/>
    </row>
    <row r="802" spans="1:56" x14ac:dyDescent="0.25">
      <c r="A802" s="12">
        <v>294</v>
      </c>
      <c r="B802" s="38">
        <v>0</v>
      </c>
      <c r="C802" s="7">
        <v>3</v>
      </c>
      <c r="D802" s="7">
        <v>0</v>
      </c>
      <c r="E802" s="18" t="str">
        <f t="shared" si="48"/>
        <v>LESIONADO</v>
      </c>
      <c r="F802" s="29" t="s">
        <v>1065</v>
      </c>
      <c r="G802" s="17">
        <v>5.3386388888888883</v>
      </c>
      <c r="H802" s="17">
        <v>-72.388586111111124</v>
      </c>
      <c r="I802" s="93" t="s">
        <v>697</v>
      </c>
      <c r="J802" s="7" t="s">
        <v>717</v>
      </c>
      <c r="K802" s="24" t="str">
        <f t="shared" si="49"/>
        <v>2022</v>
      </c>
      <c r="L802" s="24" t="str">
        <f t="shared" si="50"/>
        <v>SEPTIEMBRE</v>
      </c>
      <c r="M802" s="232">
        <v>44805</v>
      </c>
      <c r="N802" s="24" t="str">
        <f t="shared" si="51"/>
        <v>JUEVES</v>
      </c>
      <c r="O802" s="174">
        <v>0.89583333333333304</v>
      </c>
      <c r="P802" s="180" t="s">
        <v>469</v>
      </c>
      <c r="Q802" s="180" t="s">
        <v>469</v>
      </c>
      <c r="R802" s="36">
        <f>COUNTIF(Tabla1[[#This Row],[VEHICULOS_ACCIDENTADOS]:[VEHICULOS_ACCIDENTADOS2]],"MOTOCICLETA")</f>
        <v>2</v>
      </c>
      <c r="S802" s="36">
        <f>COUNTIF(Tabla1[[#This Row],[VEHICULOS_ACCIDENTADOS]:[VEHICULOS_ACCIDENTADOS2]],"MOTOCARRO")</f>
        <v>0</v>
      </c>
      <c r="T802" s="36">
        <f>COUNTIF(Tabla1[[#This Row],[VEHICULOS_ACCIDENTADOS]:[VEHICULOS_ACCIDENTADOS2]],"AUTOMOVIL")</f>
        <v>0</v>
      </c>
      <c r="U802" s="36">
        <f>COUNTIF(Tabla1[[#This Row],[VEHICULOS_ACCIDENTADOS]:[VEHICULOS_ACCIDENTADOS2]],"CAMPERO")</f>
        <v>0</v>
      </c>
      <c r="V802" s="36">
        <f>COUNTIF(Tabla1[[#This Row],[VEHICULOS_ACCIDENTADOS]:[VEHICULOS_ACCIDENTADOS2]],"CAMIONETA")</f>
        <v>0</v>
      </c>
      <c r="W802" s="36">
        <f>COUNTIF(Tabla1[[#This Row],[VEHICULOS_ACCIDENTADOS]:[VEHICULOS_ACCIDENTADOS2]],"MICROBUS")</f>
        <v>0</v>
      </c>
      <c r="X802" s="36">
        <f>COUNTIF(Tabla1[[#This Row],[VEHICULOS_ACCIDENTADOS]:[VEHICULOS_ACCIDENTADOS2]],"BUS")</f>
        <v>0</v>
      </c>
      <c r="Y802" s="36">
        <f>COUNTIF(Tabla1[[#This Row],[VEHICULOS_ACCIDENTADOS]:[VEHICULOS_ACCIDENTADOS2]],"BUSETA")</f>
        <v>0</v>
      </c>
      <c r="Z802" s="36">
        <f>COUNTIF(Tabla1[[#This Row],[VEHICULOS_ACCIDENTADOS]:[VEHICULOS_ACCIDENTADOS2]],"CAMION")</f>
        <v>0</v>
      </c>
      <c r="AA802" s="36">
        <f>COUNTIF(Tabla1[[#This Row],[VEHICULOS_ACCIDENTADOS]:[VEHICULOS_ACCIDENTADOS2]],"TRACTOCAMION")</f>
        <v>0</v>
      </c>
      <c r="AB802" s="36">
        <f>COUNTIF(Tabla1[[#This Row],[VEHICULOS_ACCIDENTADOS]:[VEHICULOS_ACCIDENTADOS2]],"VOLQUETA")</f>
        <v>0</v>
      </c>
      <c r="AC802" s="36">
        <f>COUNTIF(Tabla1[[#This Row],[VEHICULOS_ACCIDENTADOS]:[VEHICULOS_ACCIDENTADOS2]],"BICICLETA")</f>
        <v>0</v>
      </c>
      <c r="AD802" s="38" t="s">
        <v>471</v>
      </c>
      <c r="AE802" s="38" t="s">
        <v>472</v>
      </c>
      <c r="AF802" s="38">
        <f>COUNTIF(Tabla1[[#This Row],[GENERO_MASCULINO]:[GENERO_FEMENINO]],"MASCULINO")</f>
        <v>1</v>
      </c>
      <c r="AG802" s="36">
        <f>COUNTIF(Tabla1[[#This Row],[GENERO_MASCULINO]:[GENERO_FEMENINO]],"FEMENINO")</f>
        <v>1</v>
      </c>
      <c r="AH802" s="73">
        <v>16</v>
      </c>
      <c r="AI802" s="73">
        <v>35</v>
      </c>
      <c r="AJ802" s="87"/>
      <c r="AK802" s="73"/>
      <c r="AL802" s="73">
        <v>29</v>
      </c>
      <c r="AM802" s="7"/>
      <c r="AN802" s="73">
        <v>132</v>
      </c>
      <c r="AO802" s="36" t="str">
        <f>IFERROR(((VLOOKUP(Tabla1[[#This Row],[HIPOTESIS_1]],listas!$D$1:$E$105,2,FALSE))),"SIN INFORMACIÓN")</f>
        <v>No respetar prelación.</v>
      </c>
      <c r="AP802" s="7"/>
      <c r="AQ802" s="36" t="str">
        <f>IFERROR(((VLOOKUP(Tabla1[[#This Row],[HIPOTESIS_2]],listas!$D$1:$E$105,2,FALSE))),"")</f>
        <v/>
      </c>
      <c r="AR802" s="1" t="str">
        <f>IF(HOUR(Tabla1[[#This Row],[HORA_ACCIDENTE]])&lt;6,"MAÑANA",
 IF(HOUR(Tabla1[[#This Row],[HORA_ACCIDENTE]])&lt;12,"MAÑANA",
 IF(HOUR(Tabla1[[#This Row],[HORA_ACCIDENTE]])&lt;18,"TARDE","NOCHE")))</f>
        <v>NOCHE</v>
      </c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s="40"/>
    </row>
    <row r="803" spans="1:56" x14ac:dyDescent="0.25">
      <c r="A803" s="12">
        <v>1026</v>
      </c>
      <c r="B803" s="47">
        <v>0</v>
      </c>
      <c r="C803" s="24">
        <v>2</v>
      </c>
      <c r="D803" s="24">
        <v>0</v>
      </c>
      <c r="E803" s="24" t="str">
        <f t="shared" si="48"/>
        <v>LESIONADO</v>
      </c>
      <c r="F803" s="152" t="s">
        <v>949</v>
      </c>
      <c r="G803" s="30">
        <v>5.3450579999999999</v>
      </c>
      <c r="H803" s="30">
        <v>-72.392065000000002</v>
      </c>
      <c r="I803" s="93" t="s">
        <v>697</v>
      </c>
      <c r="J803" s="7" t="s">
        <v>717</v>
      </c>
      <c r="K803" s="24" t="str">
        <f t="shared" si="49"/>
        <v>2025</v>
      </c>
      <c r="L803" s="24" t="str">
        <f t="shared" si="50"/>
        <v>JULIO</v>
      </c>
      <c r="M803" s="232">
        <v>45868</v>
      </c>
      <c r="N803" s="24" t="str">
        <f t="shared" si="51"/>
        <v>MIÉRCOLES</v>
      </c>
      <c r="O803" s="106">
        <v>0.8125</v>
      </c>
      <c r="P803" s="8" t="s">
        <v>445</v>
      </c>
      <c r="Q803" s="8" t="s">
        <v>469</v>
      </c>
      <c r="R803" s="36">
        <f>COUNTIF(Tabla1[[#This Row],[VEHICULOS_ACCIDENTADOS]:[VEHICULOS_ACCIDENTADOS2]],"MOTOCICLETA")</f>
        <v>1</v>
      </c>
      <c r="S803" s="36">
        <f>COUNTIF(Tabla1[[#This Row],[VEHICULOS_ACCIDENTADOS]:[VEHICULOS_ACCIDENTADOS2]],"MOTOCARRO")</f>
        <v>0</v>
      </c>
      <c r="T803" s="36">
        <f>COUNTIF(Tabla1[[#This Row],[VEHICULOS_ACCIDENTADOS]:[VEHICULOS_ACCIDENTADOS2]],"AUTOMOVIL")</f>
        <v>0</v>
      </c>
      <c r="U803" s="36">
        <f>COUNTIF(Tabla1[[#This Row],[VEHICULOS_ACCIDENTADOS]:[VEHICULOS_ACCIDENTADOS2]],"CAMPERO")</f>
        <v>0</v>
      </c>
      <c r="V803" s="36">
        <f>COUNTIF(Tabla1[[#This Row],[VEHICULOS_ACCIDENTADOS]:[VEHICULOS_ACCIDENTADOS2]],"CAMIONETA")</f>
        <v>1</v>
      </c>
      <c r="W803" s="36">
        <f>COUNTIF(Tabla1[[#This Row],[VEHICULOS_ACCIDENTADOS]:[VEHICULOS_ACCIDENTADOS2]],"MICROBUS")</f>
        <v>0</v>
      </c>
      <c r="X803" s="36">
        <f>COUNTIF(Tabla1[[#This Row],[VEHICULOS_ACCIDENTADOS]:[VEHICULOS_ACCIDENTADOS2]],"BUS")</f>
        <v>0</v>
      </c>
      <c r="Y803" s="36">
        <f>COUNTIF(Tabla1[[#This Row],[VEHICULOS_ACCIDENTADOS]:[VEHICULOS_ACCIDENTADOS2]],"BUSETA")</f>
        <v>0</v>
      </c>
      <c r="Z803" s="36">
        <f>COUNTIF(Tabla1[[#This Row],[VEHICULOS_ACCIDENTADOS]:[VEHICULOS_ACCIDENTADOS2]],"CAMION")</f>
        <v>0</v>
      </c>
      <c r="AA803" s="36">
        <f>COUNTIF(Tabla1[[#This Row],[VEHICULOS_ACCIDENTADOS]:[VEHICULOS_ACCIDENTADOS2]],"TRACTOCAMION")</f>
        <v>0</v>
      </c>
      <c r="AB803" s="36">
        <f>COUNTIF(Tabla1[[#This Row],[VEHICULOS_ACCIDENTADOS]:[VEHICULOS_ACCIDENTADOS2]],"VOLQUETA")</f>
        <v>0</v>
      </c>
      <c r="AC803" s="36">
        <f>COUNTIF(Tabla1[[#This Row],[VEHICULOS_ACCIDENTADOS]:[VEHICULOS_ACCIDENTADOS2]],"BICICLETA")</f>
        <v>0</v>
      </c>
      <c r="AD803" s="189" t="s">
        <v>471</v>
      </c>
      <c r="AE803" s="189" t="s">
        <v>471</v>
      </c>
      <c r="AF803" s="38">
        <f>COUNTIF(Tabla1[[#This Row],[GENERO_MASCULINO]:[GENERO_FEMENINO]],"MASCULINO")</f>
        <v>2</v>
      </c>
      <c r="AG803" s="36">
        <f>COUNTIF(Tabla1[[#This Row],[GENERO_MASCULINO]:[GENERO_FEMENINO]],"FEMENINO")</f>
        <v>0</v>
      </c>
      <c r="AH803" s="86">
        <v>65</v>
      </c>
      <c r="AI803" s="86">
        <v>20</v>
      </c>
      <c r="AJ803" s="86"/>
      <c r="AK803" s="87"/>
      <c r="AL803" s="87"/>
      <c r="AM803" s="6"/>
      <c r="AN803" s="73">
        <v>112</v>
      </c>
      <c r="AO803" s="59" t="str">
        <f>IFERROR(((VLOOKUP(Tabla1[[#This Row],[HIPOTESIS_1]],listas!$D$1:$E$105,2,FALSE))),"SIN INFORMACIÓN")</f>
        <v>Desobedecer señales o normas de tránsito.</v>
      </c>
      <c r="AP803" s="7"/>
      <c r="AQ803" s="36" t="str">
        <f>IFERROR(((VLOOKUP(Tabla1[[#This Row],[HIPOTESIS_2]],listas!$D$1:$E$105,2,FALSE))),"")</f>
        <v/>
      </c>
      <c r="AR803" s="1" t="str">
        <f>IF(HOUR(Tabla1[[#This Row],[HORA_ACCIDENTE]])&lt;6,"MAÑANA",
 IF(HOUR(Tabla1[[#This Row],[HORA_ACCIDENTE]])&lt;12,"MAÑANA",
 IF(HOUR(Tabla1[[#This Row],[HORA_ACCIDENTE]])&lt;18,"TARDE","NOCHE")))</f>
        <v>NOCHE</v>
      </c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40"/>
    </row>
    <row r="804" spans="1:56" x14ac:dyDescent="0.25">
      <c r="A804" s="12">
        <v>1110</v>
      </c>
      <c r="B804" s="47">
        <v>0</v>
      </c>
      <c r="C804" s="24">
        <v>1</v>
      </c>
      <c r="D804" s="24">
        <v>0</v>
      </c>
      <c r="E804" s="24" t="str">
        <f t="shared" si="48"/>
        <v>LESIONADO</v>
      </c>
      <c r="F804" s="152" t="s">
        <v>950</v>
      </c>
      <c r="G804" s="30">
        <v>5.3391666666666602</v>
      </c>
      <c r="H804" s="30">
        <v>-72.388856666666598</v>
      </c>
      <c r="I804" s="165" t="s">
        <v>697</v>
      </c>
      <c r="J804" s="7" t="s">
        <v>717</v>
      </c>
      <c r="K804" s="24" t="str">
        <f t="shared" si="49"/>
        <v>2025</v>
      </c>
      <c r="L804" s="24" t="str">
        <f t="shared" si="50"/>
        <v>OCTUBRE</v>
      </c>
      <c r="M804" s="232">
        <v>45934</v>
      </c>
      <c r="N804" s="24" t="str">
        <f t="shared" si="51"/>
        <v>SÁBADO</v>
      </c>
      <c r="O804" s="106">
        <v>0.87708333333333333</v>
      </c>
      <c r="P804" s="8" t="s">
        <v>469</v>
      </c>
      <c r="Q804" s="8" t="s">
        <v>469</v>
      </c>
      <c r="R804" s="36">
        <f>COUNTIF(Tabla1[[#This Row],[VEHICULOS_ACCIDENTADOS]:[VEHICULOS_ACCIDENTADOS2]],"MOTOCICLETA")</f>
        <v>2</v>
      </c>
      <c r="S804" s="36">
        <f>COUNTIF(Tabla1[[#This Row],[VEHICULOS_ACCIDENTADOS]:[VEHICULOS_ACCIDENTADOS2]],"MOTOCARRO")</f>
        <v>0</v>
      </c>
      <c r="T804" s="36">
        <f>COUNTIF(Tabla1[[#This Row],[VEHICULOS_ACCIDENTADOS]:[VEHICULOS_ACCIDENTADOS2]],"AUTOMOVIL")</f>
        <v>0</v>
      </c>
      <c r="U804" s="36">
        <f>COUNTIF(Tabla1[[#This Row],[VEHICULOS_ACCIDENTADOS]:[VEHICULOS_ACCIDENTADOS2]],"CAMPERO")</f>
        <v>0</v>
      </c>
      <c r="V804" s="36">
        <f>COUNTIF(Tabla1[[#This Row],[VEHICULOS_ACCIDENTADOS]:[VEHICULOS_ACCIDENTADOS2]],"CAMIONETA")</f>
        <v>0</v>
      </c>
      <c r="W804" s="36">
        <f>COUNTIF(Tabla1[[#This Row],[VEHICULOS_ACCIDENTADOS]:[VEHICULOS_ACCIDENTADOS2]],"MICROBUS")</f>
        <v>0</v>
      </c>
      <c r="X804" s="36">
        <f>COUNTIF(Tabla1[[#This Row],[VEHICULOS_ACCIDENTADOS]:[VEHICULOS_ACCIDENTADOS2]],"BUS")</f>
        <v>0</v>
      </c>
      <c r="Y804" s="36">
        <f>COUNTIF(Tabla1[[#This Row],[VEHICULOS_ACCIDENTADOS]:[VEHICULOS_ACCIDENTADOS2]],"BUSETA")</f>
        <v>0</v>
      </c>
      <c r="Z804" s="36">
        <f>COUNTIF(Tabla1[[#This Row],[VEHICULOS_ACCIDENTADOS]:[VEHICULOS_ACCIDENTADOS2]],"CAMION")</f>
        <v>0</v>
      </c>
      <c r="AA804" s="36">
        <f>COUNTIF(Tabla1[[#This Row],[VEHICULOS_ACCIDENTADOS]:[VEHICULOS_ACCIDENTADOS2]],"TRACTOCAMION")</f>
        <v>0</v>
      </c>
      <c r="AB804" s="36">
        <f>COUNTIF(Tabla1[[#This Row],[VEHICULOS_ACCIDENTADOS]:[VEHICULOS_ACCIDENTADOS2]],"VOLQUETA")</f>
        <v>0</v>
      </c>
      <c r="AC804" s="36">
        <f>COUNTIF(Tabla1[[#This Row],[VEHICULOS_ACCIDENTADOS]:[VEHICULOS_ACCIDENTADOS2]],"BICICLETA")</f>
        <v>0</v>
      </c>
      <c r="AD804" s="189" t="s">
        <v>472</v>
      </c>
      <c r="AE804" s="189" t="s">
        <v>471</v>
      </c>
      <c r="AF804" s="38">
        <f>COUNTIF(Tabla1[[#This Row],[GENERO_MASCULINO]:[GENERO_FEMENINO]],"MASCULINO")</f>
        <v>1</v>
      </c>
      <c r="AG804" s="36">
        <f>COUNTIF(Tabla1[[#This Row],[GENERO_MASCULINO]:[GENERO_FEMENINO]],"FEMENINO")</f>
        <v>1</v>
      </c>
      <c r="AH804" s="86">
        <v>45</v>
      </c>
      <c r="AI804" s="86"/>
      <c r="AJ804" s="86"/>
      <c r="AK804" s="87"/>
      <c r="AL804" s="87"/>
      <c r="AM804" s="6"/>
      <c r="AN804" s="73">
        <v>132</v>
      </c>
      <c r="AO804" s="59" t="str">
        <f>IFERROR(((VLOOKUP(Tabla1[[#This Row],[HIPOTESIS_1]],listas!$D$1:$E$105,2,FALSE))),"SIN INFORMACIÓN")</f>
        <v>No respetar prelación.</v>
      </c>
      <c r="AP804" s="7"/>
      <c r="AQ804" s="36" t="str">
        <f>IFERROR(((VLOOKUP(Tabla1[[#This Row],[HIPOTESIS_2]],listas!$D$1:$E$105,2,FALSE))),"")</f>
        <v/>
      </c>
      <c r="AR804" s="2" t="str">
        <f>IF(HOUR(Tabla1[[#This Row],[HORA_ACCIDENTE]])&lt;6,"MAÑANA",
 IF(HOUR(Tabla1[[#This Row],[HORA_ACCIDENTE]])&lt;12,"MAÑANA",
 IF(HOUR(Tabla1[[#This Row],[HORA_ACCIDENTE]])&lt;18,"TARDE","NOCHE")))</f>
        <v>NOCHE</v>
      </c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  <c r="BD804" s="40"/>
    </row>
    <row r="805" spans="1:56" x14ac:dyDescent="0.25">
      <c r="A805" s="12">
        <v>565</v>
      </c>
      <c r="B805" s="38">
        <v>0</v>
      </c>
      <c r="C805" s="7">
        <v>1</v>
      </c>
      <c r="D805" s="7">
        <v>0</v>
      </c>
      <c r="E805" s="18" t="str">
        <f t="shared" si="48"/>
        <v>LESIONADO</v>
      </c>
      <c r="F805" s="29" t="s">
        <v>951</v>
      </c>
      <c r="G805" s="17">
        <v>5.3386388888888883</v>
      </c>
      <c r="H805" s="17">
        <v>-72.388586111111124</v>
      </c>
      <c r="I805" s="93" t="s">
        <v>697</v>
      </c>
      <c r="J805" s="7" t="s">
        <v>717</v>
      </c>
      <c r="K805" s="24" t="str">
        <f t="shared" si="49"/>
        <v>2023</v>
      </c>
      <c r="L805" s="24" t="str">
        <f t="shared" si="50"/>
        <v>SEPTIEMBRE</v>
      </c>
      <c r="M805" s="232">
        <v>45199</v>
      </c>
      <c r="N805" s="24" t="str">
        <f t="shared" si="51"/>
        <v>SÁBADO</v>
      </c>
      <c r="O805" s="106">
        <v>9.375E-2</v>
      </c>
      <c r="P805" s="39" t="s">
        <v>469</v>
      </c>
      <c r="Q805" s="39" t="s">
        <v>447</v>
      </c>
      <c r="R805" s="36">
        <f>COUNTIF(Tabla1[[#This Row],[VEHICULOS_ACCIDENTADOS]:[VEHICULOS_ACCIDENTADOS2]],"MOTOCICLETA")</f>
        <v>1</v>
      </c>
      <c r="S805" s="36">
        <f>COUNTIF(Tabla1[[#This Row],[VEHICULOS_ACCIDENTADOS]:[VEHICULOS_ACCIDENTADOS2]],"MOTOCARRO")</f>
        <v>0</v>
      </c>
      <c r="T805" s="36">
        <f>COUNTIF(Tabla1[[#This Row],[VEHICULOS_ACCIDENTADOS]:[VEHICULOS_ACCIDENTADOS2]],"AUTOMOVIL")</f>
        <v>1</v>
      </c>
      <c r="U805" s="36">
        <f>COUNTIF(Tabla1[[#This Row],[VEHICULOS_ACCIDENTADOS]:[VEHICULOS_ACCIDENTADOS2]],"CAMPERO")</f>
        <v>0</v>
      </c>
      <c r="V805" s="36">
        <f>COUNTIF(Tabla1[[#This Row],[VEHICULOS_ACCIDENTADOS]:[VEHICULOS_ACCIDENTADOS2]],"CAMIONETA")</f>
        <v>0</v>
      </c>
      <c r="W805" s="36">
        <f>COUNTIF(Tabla1[[#This Row],[VEHICULOS_ACCIDENTADOS]:[VEHICULOS_ACCIDENTADOS2]],"MICROBUS")</f>
        <v>0</v>
      </c>
      <c r="X805" s="36">
        <f>COUNTIF(Tabla1[[#This Row],[VEHICULOS_ACCIDENTADOS]:[VEHICULOS_ACCIDENTADOS2]],"BUS")</f>
        <v>0</v>
      </c>
      <c r="Y805" s="36">
        <f>COUNTIF(Tabla1[[#This Row],[VEHICULOS_ACCIDENTADOS]:[VEHICULOS_ACCIDENTADOS2]],"BUSETA")</f>
        <v>0</v>
      </c>
      <c r="Z805" s="36">
        <f>COUNTIF(Tabla1[[#This Row],[VEHICULOS_ACCIDENTADOS]:[VEHICULOS_ACCIDENTADOS2]],"CAMION")</f>
        <v>0</v>
      </c>
      <c r="AA805" s="36">
        <f>COUNTIF(Tabla1[[#This Row],[VEHICULOS_ACCIDENTADOS]:[VEHICULOS_ACCIDENTADOS2]],"TRACTOCAMION")</f>
        <v>0</v>
      </c>
      <c r="AB805" s="36">
        <f>COUNTIF(Tabla1[[#This Row],[VEHICULOS_ACCIDENTADOS]:[VEHICULOS_ACCIDENTADOS2]],"VOLQUETA")</f>
        <v>0</v>
      </c>
      <c r="AC805" s="36">
        <f>COUNTIF(Tabla1[[#This Row],[VEHICULOS_ACCIDENTADOS]:[VEHICULOS_ACCIDENTADOS2]],"BICICLETA")</f>
        <v>0</v>
      </c>
      <c r="AD805" s="38" t="s">
        <v>471</v>
      </c>
      <c r="AE805" s="38"/>
      <c r="AF805" s="38">
        <f>COUNTIF(Tabla1[[#This Row],[GENERO_MASCULINO]:[GENERO_FEMENINO]],"MASCULINO")</f>
        <v>1</v>
      </c>
      <c r="AG805" s="36">
        <f>COUNTIF(Tabla1[[#This Row],[GENERO_MASCULINO]:[GENERO_FEMENINO]],"FEMENINO")</f>
        <v>0</v>
      </c>
      <c r="AH805" s="73">
        <v>15</v>
      </c>
      <c r="AI805" s="73"/>
      <c r="AJ805" s="73"/>
      <c r="AK805" s="73"/>
      <c r="AL805" s="73"/>
      <c r="AM805" s="7"/>
      <c r="AN805" s="73">
        <v>127</v>
      </c>
      <c r="AO805" s="36" t="str">
        <f>IFERROR(((VLOOKUP(Tabla1[[#This Row],[HIPOTESIS_1]],listas!$D$1:$E$105,2,FALSE))),"SIN INFORMACIÓN")</f>
        <v>Transitar en contravía.</v>
      </c>
      <c r="AP805" s="7"/>
      <c r="AQ805" s="36" t="str">
        <f>IFERROR(((VLOOKUP(Tabla1[[#This Row],[HIPOTESIS_2]],listas!$D$1:$E$105,2,FALSE))),"")</f>
        <v/>
      </c>
      <c r="AR805" s="1" t="str">
        <f>IF(HOUR(Tabla1[[#This Row],[HORA_ACCIDENTE]])&lt;6,"MAÑANA",
 IF(HOUR(Tabla1[[#This Row],[HORA_ACCIDENTE]])&lt;12,"MAÑANA",
 IF(HOUR(Tabla1[[#This Row],[HORA_ACCIDENTE]])&lt;18,"TARDE","NOCHE")))</f>
        <v>MAÑANA</v>
      </c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40"/>
    </row>
    <row r="806" spans="1:56" x14ac:dyDescent="0.25">
      <c r="A806" s="12">
        <v>557</v>
      </c>
      <c r="B806" s="38">
        <v>0</v>
      </c>
      <c r="C806" s="7">
        <v>3</v>
      </c>
      <c r="D806" s="7">
        <v>0</v>
      </c>
      <c r="E806" s="18" t="str">
        <f t="shared" si="48"/>
        <v>LESIONADO</v>
      </c>
      <c r="F806" s="29" t="s">
        <v>205</v>
      </c>
      <c r="G806" s="21">
        <v>5.3446222222222222</v>
      </c>
      <c r="H806" s="21">
        <v>-72.391860000000008</v>
      </c>
      <c r="I806" s="93" t="s">
        <v>697</v>
      </c>
      <c r="J806" s="7" t="s">
        <v>717</v>
      </c>
      <c r="K806" s="24" t="str">
        <f t="shared" si="49"/>
        <v>2023</v>
      </c>
      <c r="L806" s="24" t="str">
        <f t="shared" si="50"/>
        <v>SEPTIEMBRE</v>
      </c>
      <c r="M806" s="232">
        <v>45182</v>
      </c>
      <c r="N806" s="24" t="str">
        <f t="shared" si="51"/>
        <v>MIÉRCOLES</v>
      </c>
      <c r="O806" s="106">
        <v>0.34166666666666662</v>
      </c>
      <c r="P806" s="39" t="s">
        <v>469</v>
      </c>
      <c r="Q806" s="39" t="s">
        <v>447</v>
      </c>
      <c r="R806" s="36">
        <f>COUNTIF(Tabla1[[#This Row],[VEHICULOS_ACCIDENTADOS]:[VEHICULOS_ACCIDENTADOS2]],"MOTOCICLETA")</f>
        <v>1</v>
      </c>
      <c r="S806" s="36">
        <f>COUNTIF(Tabla1[[#This Row],[VEHICULOS_ACCIDENTADOS]:[VEHICULOS_ACCIDENTADOS2]],"MOTOCARRO")</f>
        <v>0</v>
      </c>
      <c r="T806" s="36">
        <f>COUNTIF(Tabla1[[#This Row],[VEHICULOS_ACCIDENTADOS]:[VEHICULOS_ACCIDENTADOS2]],"AUTOMOVIL")</f>
        <v>1</v>
      </c>
      <c r="U806" s="36">
        <f>COUNTIF(Tabla1[[#This Row],[VEHICULOS_ACCIDENTADOS]:[VEHICULOS_ACCIDENTADOS2]],"CAMPERO")</f>
        <v>0</v>
      </c>
      <c r="V806" s="36">
        <f>COUNTIF(Tabla1[[#This Row],[VEHICULOS_ACCIDENTADOS]:[VEHICULOS_ACCIDENTADOS2]],"CAMIONETA")</f>
        <v>0</v>
      </c>
      <c r="W806" s="36">
        <f>COUNTIF(Tabla1[[#This Row],[VEHICULOS_ACCIDENTADOS]:[VEHICULOS_ACCIDENTADOS2]],"MICROBUS")</f>
        <v>0</v>
      </c>
      <c r="X806" s="36">
        <f>COUNTIF(Tabla1[[#This Row],[VEHICULOS_ACCIDENTADOS]:[VEHICULOS_ACCIDENTADOS2]],"BUS")</f>
        <v>0</v>
      </c>
      <c r="Y806" s="36">
        <f>COUNTIF(Tabla1[[#This Row],[VEHICULOS_ACCIDENTADOS]:[VEHICULOS_ACCIDENTADOS2]],"BUSETA")</f>
        <v>0</v>
      </c>
      <c r="Z806" s="36">
        <f>COUNTIF(Tabla1[[#This Row],[VEHICULOS_ACCIDENTADOS]:[VEHICULOS_ACCIDENTADOS2]],"CAMION")</f>
        <v>0</v>
      </c>
      <c r="AA806" s="36">
        <f>COUNTIF(Tabla1[[#This Row],[VEHICULOS_ACCIDENTADOS]:[VEHICULOS_ACCIDENTADOS2]],"TRACTOCAMION")</f>
        <v>0</v>
      </c>
      <c r="AB806" s="36">
        <f>COUNTIF(Tabla1[[#This Row],[VEHICULOS_ACCIDENTADOS]:[VEHICULOS_ACCIDENTADOS2]],"VOLQUETA")</f>
        <v>0</v>
      </c>
      <c r="AC806" s="36">
        <f>COUNTIF(Tabla1[[#This Row],[VEHICULOS_ACCIDENTADOS]:[VEHICULOS_ACCIDENTADOS2]],"BICICLETA")</f>
        <v>0</v>
      </c>
      <c r="AD806" s="38" t="s">
        <v>471</v>
      </c>
      <c r="AE806" s="38"/>
      <c r="AF806" s="38">
        <f>COUNTIF(Tabla1[[#This Row],[GENERO_MASCULINO]:[GENERO_FEMENINO]],"MASCULINO")</f>
        <v>1</v>
      </c>
      <c r="AG806" s="36">
        <f>COUNTIF(Tabla1[[#This Row],[GENERO_MASCULINO]:[GENERO_FEMENINO]],"FEMENINO")</f>
        <v>0</v>
      </c>
      <c r="AH806" s="73">
        <v>23</v>
      </c>
      <c r="AI806" s="73"/>
      <c r="AJ806" s="73"/>
      <c r="AK806" s="73"/>
      <c r="AL806" s="73">
        <v>27</v>
      </c>
      <c r="AM806" s="7"/>
      <c r="AN806" s="73">
        <v>1</v>
      </c>
      <c r="AO806" s="36" t="str">
        <f>IFERROR(((VLOOKUP(Tabla1[[#This Row],[HIPOTESIS_1]],listas!$D$1:$E$105,2,FALSE))),"SIN INFORMACIÓN")</f>
        <v>SIN INFORMACIÓN</v>
      </c>
      <c r="AP806" s="7"/>
      <c r="AQ806" s="36" t="str">
        <f>IFERROR(((VLOOKUP(Tabla1[[#This Row],[HIPOTESIS_2]],listas!$D$1:$E$105,2,FALSE))),"")</f>
        <v/>
      </c>
      <c r="AR806" s="1" t="str">
        <f>IF(HOUR(Tabla1[[#This Row],[HORA_ACCIDENTE]])&lt;6,"MAÑANA",
 IF(HOUR(Tabla1[[#This Row],[HORA_ACCIDENTE]])&lt;12,"MAÑANA",
 IF(HOUR(Tabla1[[#This Row],[HORA_ACCIDENTE]])&lt;18,"TARDE","NOCHE")))</f>
        <v>MAÑANA</v>
      </c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s="40"/>
    </row>
    <row r="807" spans="1:56" x14ac:dyDescent="0.25">
      <c r="A807" s="12">
        <v>177</v>
      </c>
      <c r="B807" s="38">
        <v>1</v>
      </c>
      <c r="C807" s="7">
        <v>0</v>
      </c>
      <c r="D807" s="7">
        <v>0</v>
      </c>
      <c r="E807" s="18" t="str">
        <f t="shared" si="48"/>
        <v>SOLO DAÑO</v>
      </c>
      <c r="F807" s="29" t="s">
        <v>369</v>
      </c>
      <c r="G807" s="17">
        <v>5.3442194444444437</v>
      </c>
      <c r="H807" s="17">
        <v>-72.391633333333345</v>
      </c>
      <c r="I807" s="93" t="s">
        <v>697</v>
      </c>
      <c r="J807" s="7" t="s">
        <v>717</v>
      </c>
      <c r="K807" s="24" t="str">
        <f t="shared" si="49"/>
        <v>2022</v>
      </c>
      <c r="L807" s="24" t="str">
        <f t="shared" si="50"/>
        <v>MAYO</v>
      </c>
      <c r="M807" s="232">
        <v>44684</v>
      </c>
      <c r="N807" s="24" t="str">
        <f t="shared" si="51"/>
        <v>MARTES</v>
      </c>
      <c r="O807" s="174">
        <v>0.42708333333333298</v>
      </c>
      <c r="P807" s="182" t="s">
        <v>469</v>
      </c>
      <c r="Q807" s="182" t="s">
        <v>445</v>
      </c>
      <c r="R807" s="36">
        <f>COUNTIF(Tabla1[[#This Row],[VEHICULOS_ACCIDENTADOS]:[VEHICULOS_ACCIDENTADOS2]],"MOTOCICLETA")</f>
        <v>1</v>
      </c>
      <c r="S807" s="36">
        <f>COUNTIF(Tabla1[[#This Row],[VEHICULOS_ACCIDENTADOS]:[VEHICULOS_ACCIDENTADOS2]],"MOTOCARRO")</f>
        <v>0</v>
      </c>
      <c r="T807" s="36">
        <f>COUNTIF(Tabla1[[#This Row],[VEHICULOS_ACCIDENTADOS]:[VEHICULOS_ACCIDENTADOS2]],"AUTOMOVIL")</f>
        <v>0</v>
      </c>
      <c r="U807" s="36">
        <f>COUNTIF(Tabla1[[#This Row],[VEHICULOS_ACCIDENTADOS]:[VEHICULOS_ACCIDENTADOS2]],"CAMPERO")</f>
        <v>0</v>
      </c>
      <c r="V807" s="36">
        <f>COUNTIF(Tabla1[[#This Row],[VEHICULOS_ACCIDENTADOS]:[VEHICULOS_ACCIDENTADOS2]],"CAMIONETA")</f>
        <v>1</v>
      </c>
      <c r="W807" s="36">
        <f>COUNTIF(Tabla1[[#This Row],[VEHICULOS_ACCIDENTADOS]:[VEHICULOS_ACCIDENTADOS2]],"MICROBUS")</f>
        <v>0</v>
      </c>
      <c r="X807" s="36">
        <f>COUNTIF(Tabla1[[#This Row],[VEHICULOS_ACCIDENTADOS]:[VEHICULOS_ACCIDENTADOS2]],"BUS")</f>
        <v>0</v>
      </c>
      <c r="Y807" s="36">
        <f>COUNTIF(Tabla1[[#This Row],[VEHICULOS_ACCIDENTADOS]:[VEHICULOS_ACCIDENTADOS2]],"BUSETA")</f>
        <v>0</v>
      </c>
      <c r="Z807" s="36">
        <f>COUNTIF(Tabla1[[#This Row],[VEHICULOS_ACCIDENTADOS]:[VEHICULOS_ACCIDENTADOS2]],"CAMION")</f>
        <v>0</v>
      </c>
      <c r="AA807" s="36">
        <f>COUNTIF(Tabla1[[#This Row],[VEHICULOS_ACCIDENTADOS]:[VEHICULOS_ACCIDENTADOS2]],"TRACTOCAMION")</f>
        <v>0</v>
      </c>
      <c r="AB807" s="36">
        <f>COUNTIF(Tabla1[[#This Row],[VEHICULOS_ACCIDENTADOS]:[VEHICULOS_ACCIDENTADOS2]],"VOLQUETA")</f>
        <v>0</v>
      </c>
      <c r="AC807" s="36">
        <f>COUNTIF(Tabla1[[#This Row],[VEHICULOS_ACCIDENTADOS]:[VEHICULOS_ACCIDENTADOS2]],"BICICLETA")</f>
        <v>0</v>
      </c>
      <c r="AD807" s="29" t="s">
        <v>471</v>
      </c>
      <c r="AE807" s="29" t="s">
        <v>472</v>
      </c>
      <c r="AF807" s="29">
        <f>COUNTIF(Tabla1[[#This Row],[GENERO_MASCULINO]:[GENERO_FEMENINO]],"MASCULINO")</f>
        <v>1</v>
      </c>
      <c r="AG807" s="36">
        <f>COUNTIF(Tabla1[[#This Row],[GENERO_MASCULINO]:[GENERO_FEMENINO]],"FEMENINO")</f>
        <v>1</v>
      </c>
      <c r="AH807" s="195"/>
      <c r="AI807" s="195"/>
      <c r="AJ807" s="195"/>
      <c r="AK807" s="195"/>
      <c r="AL807" s="73"/>
      <c r="AM807" s="7"/>
      <c r="AN807" s="73">
        <v>123</v>
      </c>
      <c r="AO807" s="36" t="str">
        <f>IFERROR(((VLOOKUP(Tabla1[[#This Row],[HIPOTESIS_1]],listas!$D$1:$E$105,2,FALSE))),"SIN INFORMACIÓN")</f>
        <v>No respetar prelación de intersecciones o giros.</v>
      </c>
      <c r="AP807" s="7"/>
      <c r="AQ807" s="36" t="str">
        <f>IFERROR(((VLOOKUP(Tabla1[[#This Row],[HIPOTESIS_2]],listas!$D$1:$E$105,2,FALSE))),"")</f>
        <v/>
      </c>
      <c r="AR807" s="1" t="str">
        <f>IF(HOUR(Tabla1[[#This Row],[HORA_ACCIDENTE]])&lt;6,"MAÑANA",
 IF(HOUR(Tabla1[[#This Row],[HORA_ACCIDENTE]])&lt;12,"MAÑANA",
 IF(HOUR(Tabla1[[#This Row],[HORA_ACCIDENTE]])&lt;18,"TARDE","NOCHE")))</f>
        <v>MAÑANA</v>
      </c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40"/>
    </row>
    <row r="808" spans="1:56" x14ac:dyDescent="0.25">
      <c r="A808" s="12">
        <v>352</v>
      </c>
      <c r="B808" s="38">
        <v>0</v>
      </c>
      <c r="C808" s="7">
        <v>4</v>
      </c>
      <c r="D808" s="7">
        <v>0</v>
      </c>
      <c r="E808" s="18" t="str">
        <f t="shared" si="48"/>
        <v>LESIONADO</v>
      </c>
      <c r="F808" s="29" t="s">
        <v>303</v>
      </c>
      <c r="G808" s="17">
        <v>5.3362472222222221</v>
      </c>
      <c r="H808" s="17">
        <v>-72.38730000000001</v>
      </c>
      <c r="I808" s="93" t="s">
        <v>697</v>
      </c>
      <c r="J808" s="7" t="s">
        <v>717</v>
      </c>
      <c r="K808" s="24" t="str">
        <f t="shared" si="49"/>
        <v>2022</v>
      </c>
      <c r="L808" s="24" t="str">
        <f t="shared" si="50"/>
        <v>NOVIEMBRE</v>
      </c>
      <c r="M808" s="232">
        <v>44875</v>
      </c>
      <c r="N808" s="24" t="str">
        <f t="shared" si="51"/>
        <v>JUEVES</v>
      </c>
      <c r="O808" s="174">
        <v>7.2916666666666699E-2</v>
      </c>
      <c r="P808" s="180" t="s">
        <v>446</v>
      </c>
      <c r="Q808" s="180" t="s">
        <v>444</v>
      </c>
      <c r="R808" s="36">
        <f>COUNTIF(Tabla1[[#This Row],[VEHICULOS_ACCIDENTADOS]:[VEHICULOS_ACCIDENTADOS2]],"MOTOCICLETA")</f>
        <v>0</v>
      </c>
      <c r="S808" s="36">
        <f>COUNTIF(Tabla1[[#This Row],[VEHICULOS_ACCIDENTADOS]:[VEHICULOS_ACCIDENTADOS2]],"MOTOCARRO")</f>
        <v>0</v>
      </c>
      <c r="T808" s="36">
        <f>COUNTIF(Tabla1[[#This Row],[VEHICULOS_ACCIDENTADOS]:[VEHICULOS_ACCIDENTADOS2]],"AUTOMOVIL")</f>
        <v>0</v>
      </c>
      <c r="U808" s="36">
        <f>COUNTIF(Tabla1[[#This Row],[VEHICULOS_ACCIDENTADOS]:[VEHICULOS_ACCIDENTADOS2]],"CAMPERO")</f>
        <v>1</v>
      </c>
      <c r="V808" s="36">
        <f>COUNTIF(Tabla1[[#This Row],[VEHICULOS_ACCIDENTADOS]:[VEHICULOS_ACCIDENTADOS2]],"CAMIONETA")</f>
        <v>0</v>
      </c>
      <c r="W808" s="36">
        <f>COUNTIF(Tabla1[[#This Row],[VEHICULOS_ACCIDENTADOS]:[VEHICULOS_ACCIDENTADOS2]],"MICROBUS")</f>
        <v>1</v>
      </c>
      <c r="X808" s="36">
        <f>COUNTIF(Tabla1[[#This Row],[VEHICULOS_ACCIDENTADOS]:[VEHICULOS_ACCIDENTADOS2]],"BUS")</f>
        <v>0</v>
      </c>
      <c r="Y808" s="36">
        <f>COUNTIF(Tabla1[[#This Row],[VEHICULOS_ACCIDENTADOS]:[VEHICULOS_ACCIDENTADOS2]],"BUSETA")</f>
        <v>0</v>
      </c>
      <c r="Z808" s="36">
        <f>COUNTIF(Tabla1[[#This Row],[VEHICULOS_ACCIDENTADOS]:[VEHICULOS_ACCIDENTADOS2]],"CAMION")</f>
        <v>0</v>
      </c>
      <c r="AA808" s="36">
        <f>COUNTIF(Tabla1[[#This Row],[VEHICULOS_ACCIDENTADOS]:[VEHICULOS_ACCIDENTADOS2]],"TRACTOCAMION")</f>
        <v>0</v>
      </c>
      <c r="AB808" s="36">
        <f>COUNTIF(Tabla1[[#This Row],[VEHICULOS_ACCIDENTADOS]:[VEHICULOS_ACCIDENTADOS2]],"VOLQUETA")</f>
        <v>0</v>
      </c>
      <c r="AC808" s="36">
        <f>COUNTIF(Tabla1[[#This Row],[VEHICULOS_ACCIDENTADOS]:[VEHICULOS_ACCIDENTADOS2]],"BICICLETA")</f>
        <v>0</v>
      </c>
      <c r="AD808" s="38" t="s">
        <v>471</v>
      </c>
      <c r="AE808" s="38" t="s">
        <v>472</v>
      </c>
      <c r="AF808" s="38">
        <f>COUNTIF(Tabla1[[#This Row],[GENERO_MASCULINO]:[GENERO_FEMENINO]],"MASCULINO")</f>
        <v>1</v>
      </c>
      <c r="AG808" s="36">
        <f>COUNTIF(Tabla1[[#This Row],[GENERO_MASCULINO]:[GENERO_FEMENINO]],"FEMENINO")</f>
        <v>1</v>
      </c>
      <c r="AH808" s="73"/>
      <c r="AI808" s="73"/>
      <c r="AJ808" s="73">
        <v>14</v>
      </c>
      <c r="AK808" s="73"/>
      <c r="AL808" s="73"/>
      <c r="AM808" s="7"/>
      <c r="AN808" s="73">
        <v>112</v>
      </c>
      <c r="AO808" s="36" t="str">
        <f>IFERROR(((VLOOKUP(Tabla1[[#This Row],[HIPOTESIS_1]],listas!$D$1:$E$105,2,FALSE))),"SIN INFORMACIÓN")</f>
        <v>Desobedecer señales o normas de tránsito.</v>
      </c>
      <c r="AP808" s="7"/>
      <c r="AQ808" s="36" t="str">
        <f>IFERROR(((VLOOKUP(Tabla1[[#This Row],[HIPOTESIS_2]],listas!$D$1:$E$105,2,FALSE))),"")</f>
        <v/>
      </c>
      <c r="AR808" s="1" t="str">
        <f>IF(HOUR(Tabla1[[#This Row],[HORA_ACCIDENTE]])&lt;6,"MAÑANA",
 IF(HOUR(Tabla1[[#This Row],[HORA_ACCIDENTE]])&lt;12,"MAÑANA",
 IF(HOUR(Tabla1[[#This Row],[HORA_ACCIDENTE]])&lt;18,"TARDE","NOCHE")))</f>
        <v>MAÑANA</v>
      </c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  <c r="BD808" s="40"/>
    </row>
    <row r="809" spans="1:56" x14ac:dyDescent="0.25">
      <c r="A809" s="12">
        <v>18</v>
      </c>
      <c r="B809" s="38">
        <v>0</v>
      </c>
      <c r="C809" s="7">
        <v>2</v>
      </c>
      <c r="D809" s="7">
        <v>0</v>
      </c>
      <c r="E809" s="18" t="str">
        <f t="shared" si="48"/>
        <v>LESIONADO</v>
      </c>
      <c r="F809" s="29" t="s">
        <v>953</v>
      </c>
      <c r="G809" s="17">
        <v>5.3364361111111105</v>
      </c>
      <c r="H809" s="17">
        <v>-72.396541666666678</v>
      </c>
      <c r="I809" s="93" t="s">
        <v>697</v>
      </c>
      <c r="J809" s="7" t="s">
        <v>717</v>
      </c>
      <c r="K809" s="24" t="str">
        <f t="shared" si="49"/>
        <v>2022</v>
      </c>
      <c r="L809" s="24" t="str">
        <f t="shared" si="50"/>
        <v>ENERO</v>
      </c>
      <c r="M809" s="232">
        <v>44580</v>
      </c>
      <c r="N809" s="24" t="str">
        <f t="shared" si="51"/>
        <v>MIÉRCOLES</v>
      </c>
      <c r="O809" s="106">
        <v>0.85416666666666696</v>
      </c>
      <c r="P809" s="8" t="s">
        <v>469</v>
      </c>
      <c r="Q809" s="8"/>
      <c r="R809" s="36">
        <f>COUNTIF(Tabla1[[#This Row],[VEHICULOS_ACCIDENTADOS]:[VEHICULOS_ACCIDENTADOS2]],"MOTOCICLETA")</f>
        <v>1</v>
      </c>
      <c r="S809" s="36">
        <f>COUNTIF(Tabla1[[#This Row],[VEHICULOS_ACCIDENTADOS]:[VEHICULOS_ACCIDENTADOS2]],"MOTOCARRO")</f>
        <v>0</v>
      </c>
      <c r="T809" s="36">
        <f>COUNTIF(Tabla1[[#This Row],[VEHICULOS_ACCIDENTADOS]:[VEHICULOS_ACCIDENTADOS2]],"AUTOMOVIL")</f>
        <v>0</v>
      </c>
      <c r="U809" s="36">
        <f>COUNTIF(Tabla1[[#This Row],[VEHICULOS_ACCIDENTADOS]:[VEHICULOS_ACCIDENTADOS2]],"CAMPERO")</f>
        <v>0</v>
      </c>
      <c r="V809" s="36">
        <f>COUNTIF(Tabla1[[#This Row],[VEHICULOS_ACCIDENTADOS]:[VEHICULOS_ACCIDENTADOS2]],"CAMIONETA")</f>
        <v>0</v>
      </c>
      <c r="W809" s="36">
        <f>COUNTIF(Tabla1[[#This Row],[VEHICULOS_ACCIDENTADOS]:[VEHICULOS_ACCIDENTADOS2]],"MICROBUS")</f>
        <v>0</v>
      </c>
      <c r="X809" s="36">
        <f>COUNTIF(Tabla1[[#This Row],[VEHICULOS_ACCIDENTADOS]:[VEHICULOS_ACCIDENTADOS2]],"BUS")</f>
        <v>0</v>
      </c>
      <c r="Y809" s="36">
        <f>COUNTIF(Tabla1[[#This Row],[VEHICULOS_ACCIDENTADOS]:[VEHICULOS_ACCIDENTADOS2]],"BUSETA")</f>
        <v>0</v>
      </c>
      <c r="Z809" s="36">
        <f>COUNTIF(Tabla1[[#This Row],[VEHICULOS_ACCIDENTADOS]:[VEHICULOS_ACCIDENTADOS2]],"CAMION")</f>
        <v>0</v>
      </c>
      <c r="AA809" s="36">
        <f>COUNTIF(Tabla1[[#This Row],[VEHICULOS_ACCIDENTADOS]:[VEHICULOS_ACCIDENTADOS2]],"TRACTOCAMION")</f>
        <v>0</v>
      </c>
      <c r="AB809" s="36">
        <f>COUNTIF(Tabla1[[#This Row],[VEHICULOS_ACCIDENTADOS]:[VEHICULOS_ACCIDENTADOS2]],"VOLQUETA")</f>
        <v>0</v>
      </c>
      <c r="AC809" s="36">
        <f>COUNTIF(Tabla1[[#This Row],[VEHICULOS_ACCIDENTADOS]:[VEHICULOS_ACCIDENTADOS2]],"BICICLETA")</f>
        <v>0</v>
      </c>
      <c r="AD809" s="38" t="s">
        <v>471</v>
      </c>
      <c r="AE809" s="38"/>
      <c r="AF809" s="38">
        <f>COUNTIF(Tabla1[[#This Row],[GENERO_MASCULINO]:[GENERO_FEMENINO]],"MASCULINO")</f>
        <v>1</v>
      </c>
      <c r="AG809" s="36">
        <f>COUNTIF(Tabla1[[#This Row],[GENERO_MASCULINO]:[GENERO_FEMENINO]],"FEMENINO")</f>
        <v>0</v>
      </c>
      <c r="AH809" s="73">
        <v>33</v>
      </c>
      <c r="AI809" s="73"/>
      <c r="AJ809" s="73"/>
      <c r="AK809" s="73">
        <v>40</v>
      </c>
      <c r="AL809" s="73"/>
      <c r="AM809" s="7"/>
      <c r="AN809" s="73">
        <v>404</v>
      </c>
      <c r="AO809" s="36" t="str">
        <f>IFERROR(((VLOOKUP(Tabla1[[#This Row],[HIPOTESIS_1]],listas!$D$1:$E$105,2,FALSE))),"SIN INFORMACIÓN")</f>
        <v>Transitar por la calzada.</v>
      </c>
      <c r="AP809" s="7"/>
      <c r="AQ809" s="36" t="str">
        <f>IFERROR(((VLOOKUP(Tabla1[[#This Row],[HIPOTESIS_2]],listas!$D$1:$E$105,2,FALSE))),"")</f>
        <v/>
      </c>
      <c r="AR809" s="1" t="str">
        <f>IF(HOUR(Tabla1[[#This Row],[HORA_ACCIDENTE]])&lt;6,"MAÑANA",
 IF(HOUR(Tabla1[[#This Row],[HORA_ACCIDENTE]])&lt;12,"MAÑANA",
 IF(HOUR(Tabla1[[#This Row],[HORA_ACCIDENTE]])&lt;18,"TARDE","NOCHE")))</f>
        <v>NOCHE</v>
      </c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40"/>
    </row>
    <row r="810" spans="1:56" x14ac:dyDescent="0.25">
      <c r="A810" s="12">
        <v>310</v>
      </c>
      <c r="B810" s="38">
        <v>0</v>
      </c>
      <c r="C810" s="7">
        <v>2</v>
      </c>
      <c r="D810" s="7">
        <v>0</v>
      </c>
      <c r="E810" s="18" t="str">
        <f t="shared" si="48"/>
        <v>LESIONADO</v>
      </c>
      <c r="F810" s="29" t="s">
        <v>1067</v>
      </c>
      <c r="G810" s="17">
        <v>5.3439291666666664</v>
      </c>
      <c r="H810" s="17">
        <v>-72.390399722222227</v>
      </c>
      <c r="I810" s="93" t="s">
        <v>697</v>
      </c>
      <c r="J810" s="7" t="s">
        <v>717</v>
      </c>
      <c r="K810" s="24" t="str">
        <f t="shared" si="49"/>
        <v>2022</v>
      </c>
      <c r="L810" s="24" t="str">
        <f t="shared" si="50"/>
        <v>SEPTIEMBRE</v>
      </c>
      <c r="M810" s="232">
        <v>44819</v>
      </c>
      <c r="N810" s="24" t="str">
        <f t="shared" si="51"/>
        <v>JUEVES</v>
      </c>
      <c r="O810" s="174">
        <v>0.67708333333333304</v>
      </c>
      <c r="P810" s="180" t="s">
        <v>469</v>
      </c>
      <c r="Q810" s="180" t="s">
        <v>445</v>
      </c>
      <c r="R810" s="36">
        <f>COUNTIF(Tabla1[[#This Row],[VEHICULOS_ACCIDENTADOS]:[VEHICULOS_ACCIDENTADOS2]],"MOTOCICLETA")</f>
        <v>1</v>
      </c>
      <c r="S810" s="36">
        <f>COUNTIF(Tabla1[[#This Row],[VEHICULOS_ACCIDENTADOS]:[VEHICULOS_ACCIDENTADOS2]],"MOTOCARRO")</f>
        <v>0</v>
      </c>
      <c r="T810" s="36">
        <f>COUNTIF(Tabla1[[#This Row],[VEHICULOS_ACCIDENTADOS]:[VEHICULOS_ACCIDENTADOS2]],"AUTOMOVIL")</f>
        <v>0</v>
      </c>
      <c r="U810" s="36">
        <f>COUNTIF(Tabla1[[#This Row],[VEHICULOS_ACCIDENTADOS]:[VEHICULOS_ACCIDENTADOS2]],"CAMPERO")</f>
        <v>0</v>
      </c>
      <c r="V810" s="36">
        <f>COUNTIF(Tabla1[[#This Row],[VEHICULOS_ACCIDENTADOS]:[VEHICULOS_ACCIDENTADOS2]],"CAMIONETA")</f>
        <v>1</v>
      </c>
      <c r="W810" s="36">
        <f>COUNTIF(Tabla1[[#This Row],[VEHICULOS_ACCIDENTADOS]:[VEHICULOS_ACCIDENTADOS2]],"MICROBUS")</f>
        <v>0</v>
      </c>
      <c r="X810" s="36">
        <f>COUNTIF(Tabla1[[#This Row],[VEHICULOS_ACCIDENTADOS]:[VEHICULOS_ACCIDENTADOS2]],"BUS")</f>
        <v>0</v>
      </c>
      <c r="Y810" s="36">
        <f>COUNTIF(Tabla1[[#This Row],[VEHICULOS_ACCIDENTADOS]:[VEHICULOS_ACCIDENTADOS2]],"BUSETA")</f>
        <v>0</v>
      </c>
      <c r="Z810" s="36">
        <f>COUNTIF(Tabla1[[#This Row],[VEHICULOS_ACCIDENTADOS]:[VEHICULOS_ACCIDENTADOS2]],"CAMION")</f>
        <v>0</v>
      </c>
      <c r="AA810" s="36">
        <f>COUNTIF(Tabla1[[#This Row],[VEHICULOS_ACCIDENTADOS]:[VEHICULOS_ACCIDENTADOS2]],"TRACTOCAMION")</f>
        <v>0</v>
      </c>
      <c r="AB810" s="36">
        <f>COUNTIF(Tabla1[[#This Row],[VEHICULOS_ACCIDENTADOS]:[VEHICULOS_ACCIDENTADOS2]],"VOLQUETA")</f>
        <v>0</v>
      </c>
      <c r="AC810" s="36">
        <f>COUNTIF(Tabla1[[#This Row],[VEHICULOS_ACCIDENTADOS]:[VEHICULOS_ACCIDENTADOS2]],"BICICLETA")</f>
        <v>0</v>
      </c>
      <c r="AD810" s="38"/>
      <c r="AE810" s="38" t="s">
        <v>472</v>
      </c>
      <c r="AF810" s="38">
        <f>COUNTIF(Tabla1[[#This Row],[GENERO_MASCULINO]:[GENERO_FEMENINO]],"MASCULINO")</f>
        <v>0</v>
      </c>
      <c r="AG810" s="36">
        <f>COUNTIF(Tabla1[[#This Row],[GENERO_MASCULINO]:[GENERO_FEMENINO]],"FEMENINO")</f>
        <v>1</v>
      </c>
      <c r="AH810" s="73">
        <v>19</v>
      </c>
      <c r="AI810" s="73"/>
      <c r="AJ810" s="87"/>
      <c r="AK810" s="73"/>
      <c r="AL810" s="73">
        <v>56</v>
      </c>
      <c r="AM810" s="7"/>
      <c r="AN810" s="73">
        <v>112</v>
      </c>
      <c r="AO810" s="36" t="str">
        <f>IFERROR(((VLOOKUP(Tabla1[[#This Row],[HIPOTESIS_1]],listas!$D$1:$E$105,2,FALSE))),"SIN INFORMACIÓN")</f>
        <v>Desobedecer señales o normas de tránsito.</v>
      </c>
      <c r="AP810" s="7"/>
      <c r="AQ810" s="36" t="str">
        <f>IFERROR(((VLOOKUP(Tabla1[[#This Row],[HIPOTESIS_2]],listas!$D$1:$E$105,2,FALSE))),"")</f>
        <v/>
      </c>
      <c r="AR810" s="1" t="str">
        <f>IF(HOUR(Tabla1[[#This Row],[HORA_ACCIDENTE]])&lt;6,"MAÑANA",
 IF(HOUR(Tabla1[[#This Row],[HORA_ACCIDENTE]])&lt;12,"MAÑANA",
 IF(HOUR(Tabla1[[#This Row],[HORA_ACCIDENTE]])&lt;18,"TARDE","NOCHE")))</f>
        <v>TARDE</v>
      </c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  <c r="BD810" s="40"/>
    </row>
    <row r="811" spans="1:56" x14ac:dyDescent="0.25">
      <c r="A811" s="12">
        <v>673</v>
      </c>
      <c r="B811" s="97">
        <v>0</v>
      </c>
      <c r="C811" s="15">
        <v>1</v>
      </c>
      <c r="D811" s="15">
        <v>0</v>
      </c>
      <c r="E811" s="18" t="str">
        <f t="shared" si="48"/>
        <v>LESIONADO</v>
      </c>
      <c r="F811" s="26" t="s">
        <v>1067</v>
      </c>
      <c r="G811" s="17">
        <v>5.3439291666666664</v>
      </c>
      <c r="H811" s="17">
        <v>-72.390399722222227</v>
      </c>
      <c r="I811" s="93" t="s">
        <v>697</v>
      </c>
      <c r="J811" s="15" t="s">
        <v>717</v>
      </c>
      <c r="K811" s="24" t="str">
        <f t="shared" si="49"/>
        <v>2024</v>
      </c>
      <c r="L811" s="24" t="str">
        <f t="shared" si="50"/>
        <v>MARZO</v>
      </c>
      <c r="M811" s="234">
        <v>45357</v>
      </c>
      <c r="N811" s="24" t="str">
        <f t="shared" si="51"/>
        <v>MIÉRCOLES</v>
      </c>
      <c r="O811" s="108">
        <v>0.64583333333333337</v>
      </c>
      <c r="P811" s="44" t="s">
        <v>469</v>
      </c>
      <c r="Q811" s="44" t="s">
        <v>447</v>
      </c>
      <c r="R811" s="36">
        <f>COUNTIF(Tabla1[[#This Row],[VEHICULOS_ACCIDENTADOS]:[VEHICULOS_ACCIDENTADOS2]],"MOTOCICLETA")</f>
        <v>1</v>
      </c>
      <c r="S811" s="36">
        <f>COUNTIF(Tabla1[[#This Row],[VEHICULOS_ACCIDENTADOS]:[VEHICULOS_ACCIDENTADOS2]],"MOTOCARRO")</f>
        <v>0</v>
      </c>
      <c r="T811" s="36">
        <f>COUNTIF(Tabla1[[#This Row],[VEHICULOS_ACCIDENTADOS]:[VEHICULOS_ACCIDENTADOS2]],"AUTOMOVIL")</f>
        <v>1</v>
      </c>
      <c r="U811" s="36">
        <f>COUNTIF(Tabla1[[#This Row],[VEHICULOS_ACCIDENTADOS]:[VEHICULOS_ACCIDENTADOS2]],"CAMPERO")</f>
        <v>0</v>
      </c>
      <c r="V811" s="36">
        <f>COUNTIF(Tabla1[[#This Row],[VEHICULOS_ACCIDENTADOS]:[VEHICULOS_ACCIDENTADOS2]],"CAMIONETA")</f>
        <v>0</v>
      </c>
      <c r="W811" s="36">
        <f>COUNTIF(Tabla1[[#This Row],[VEHICULOS_ACCIDENTADOS]:[VEHICULOS_ACCIDENTADOS2]],"MICROBUS")</f>
        <v>0</v>
      </c>
      <c r="X811" s="36">
        <f>COUNTIF(Tabla1[[#This Row],[VEHICULOS_ACCIDENTADOS]:[VEHICULOS_ACCIDENTADOS2]],"BUS")</f>
        <v>0</v>
      </c>
      <c r="Y811" s="36">
        <f>COUNTIF(Tabla1[[#This Row],[VEHICULOS_ACCIDENTADOS]:[VEHICULOS_ACCIDENTADOS2]],"BUSETA")</f>
        <v>0</v>
      </c>
      <c r="Z811" s="36">
        <f>COUNTIF(Tabla1[[#This Row],[VEHICULOS_ACCIDENTADOS]:[VEHICULOS_ACCIDENTADOS2]],"CAMION")</f>
        <v>0</v>
      </c>
      <c r="AA811" s="36">
        <f>COUNTIF(Tabla1[[#This Row],[VEHICULOS_ACCIDENTADOS]:[VEHICULOS_ACCIDENTADOS2]],"TRACTOCAMION")</f>
        <v>0</v>
      </c>
      <c r="AB811" s="36">
        <f>COUNTIF(Tabla1[[#This Row],[VEHICULOS_ACCIDENTADOS]:[VEHICULOS_ACCIDENTADOS2]],"VOLQUETA")</f>
        <v>0</v>
      </c>
      <c r="AC811" s="36">
        <f>COUNTIF(Tabla1[[#This Row],[VEHICULOS_ACCIDENTADOS]:[VEHICULOS_ACCIDENTADOS2]],"BICICLETA")</f>
        <v>0</v>
      </c>
      <c r="AD811" s="43"/>
      <c r="AE811" s="43" t="s">
        <v>472</v>
      </c>
      <c r="AF811" s="43">
        <f>COUNTIF(Tabla1[[#This Row],[GENERO_MASCULINO]:[GENERO_FEMENINO]],"MASCULINO")</f>
        <v>0</v>
      </c>
      <c r="AG811" s="36">
        <f>COUNTIF(Tabla1[[#This Row],[GENERO_MASCULINO]:[GENERO_FEMENINO]],"FEMENINO")</f>
        <v>1</v>
      </c>
      <c r="AH811" s="86">
        <v>27</v>
      </c>
      <c r="AI811" s="86">
        <v>27</v>
      </c>
      <c r="AJ811" s="86"/>
      <c r="AK811" s="86"/>
      <c r="AL811" s="86"/>
      <c r="AM811" s="15"/>
      <c r="AN811" s="86">
        <v>112</v>
      </c>
      <c r="AO811" s="36" t="str">
        <f>IFERROR(((VLOOKUP(Tabla1[[#This Row],[HIPOTESIS_1]],listas!$D$1:$E$105,2,FALSE))),"SIN INFORMACIÓN")</f>
        <v>Desobedecer señales o normas de tránsito.</v>
      </c>
      <c r="AP811" s="15"/>
      <c r="AQ811" s="36" t="str">
        <f>IFERROR(((VLOOKUP(Tabla1[[#This Row],[HIPOTESIS_2]],listas!$D$1:$E$105,2,FALSE))),"")</f>
        <v/>
      </c>
      <c r="AR811" s="1" t="str">
        <f>IF(HOUR(Tabla1[[#This Row],[HORA_ACCIDENTE]])&lt;6,"MAÑANA",
 IF(HOUR(Tabla1[[#This Row],[HORA_ACCIDENTE]])&lt;12,"MAÑANA",
 IF(HOUR(Tabla1[[#This Row],[HORA_ACCIDENTE]])&lt;18,"TARDE","NOCHE")))</f>
        <v>TARDE</v>
      </c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40"/>
    </row>
    <row r="812" spans="1:56" x14ac:dyDescent="0.25">
      <c r="A812" s="12">
        <v>471</v>
      </c>
      <c r="B812" s="38">
        <v>0</v>
      </c>
      <c r="C812" s="7">
        <v>2</v>
      </c>
      <c r="D812" s="7">
        <v>0</v>
      </c>
      <c r="E812" s="18" t="str">
        <f t="shared" si="48"/>
        <v>LESIONADO</v>
      </c>
      <c r="F812" s="29" t="s">
        <v>1068</v>
      </c>
      <c r="G812" s="17">
        <v>5.3406583333333328</v>
      </c>
      <c r="H812" s="17">
        <v>-72.388602777777791</v>
      </c>
      <c r="I812" s="93" t="s">
        <v>697</v>
      </c>
      <c r="J812" s="7" t="s">
        <v>717</v>
      </c>
      <c r="K812" s="24" t="str">
        <f t="shared" si="49"/>
        <v>2023</v>
      </c>
      <c r="L812" s="24" t="str">
        <f t="shared" si="50"/>
        <v>MAYO</v>
      </c>
      <c r="M812" s="232">
        <v>45052</v>
      </c>
      <c r="N812" s="24" t="str">
        <f t="shared" si="51"/>
        <v>SÁBADO</v>
      </c>
      <c r="O812" s="106">
        <v>1610</v>
      </c>
      <c r="P812" s="39" t="s">
        <v>469</v>
      </c>
      <c r="Q812" s="39" t="s">
        <v>446</v>
      </c>
      <c r="R812" s="36">
        <f>COUNTIF(Tabla1[[#This Row],[VEHICULOS_ACCIDENTADOS]:[VEHICULOS_ACCIDENTADOS2]],"MOTOCICLETA")</f>
        <v>1</v>
      </c>
      <c r="S812" s="36">
        <f>COUNTIF(Tabla1[[#This Row],[VEHICULOS_ACCIDENTADOS]:[VEHICULOS_ACCIDENTADOS2]],"MOTOCARRO")</f>
        <v>0</v>
      </c>
      <c r="T812" s="36">
        <f>COUNTIF(Tabla1[[#This Row],[VEHICULOS_ACCIDENTADOS]:[VEHICULOS_ACCIDENTADOS2]],"AUTOMOVIL")</f>
        <v>0</v>
      </c>
      <c r="U812" s="36">
        <f>COUNTIF(Tabla1[[#This Row],[VEHICULOS_ACCIDENTADOS]:[VEHICULOS_ACCIDENTADOS2]],"CAMPERO")</f>
        <v>1</v>
      </c>
      <c r="V812" s="36">
        <f>COUNTIF(Tabla1[[#This Row],[VEHICULOS_ACCIDENTADOS]:[VEHICULOS_ACCIDENTADOS2]],"CAMIONETA")</f>
        <v>0</v>
      </c>
      <c r="W812" s="36">
        <f>COUNTIF(Tabla1[[#This Row],[VEHICULOS_ACCIDENTADOS]:[VEHICULOS_ACCIDENTADOS2]],"MICROBUS")</f>
        <v>0</v>
      </c>
      <c r="X812" s="36">
        <f>COUNTIF(Tabla1[[#This Row],[VEHICULOS_ACCIDENTADOS]:[VEHICULOS_ACCIDENTADOS2]],"BUS")</f>
        <v>0</v>
      </c>
      <c r="Y812" s="36">
        <f>COUNTIF(Tabla1[[#This Row],[VEHICULOS_ACCIDENTADOS]:[VEHICULOS_ACCIDENTADOS2]],"BUSETA")</f>
        <v>0</v>
      </c>
      <c r="Z812" s="36">
        <f>COUNTIF(Tabla1[[#This Row],[VEHICULOS_ACCIDENTADOS]:[VEHICULOS_ACCIDENTADOS2]],"CAMION")</f>
        <v>0</v>
      </c>
      <c r="AA812" s="36">
        <f>COUNTIF(Tabla1[[#This Row],[VEHICULOS_ACCIDENTADOS]:[VEHICULOS_ACCIDENTADOS2]],"TRACTOCAMION")</f>
        <v>0</v>
      </c>
      <c r="AB812" s="36">
        <f>COUNTIF(Tabla1[[#This Row],[VEHICULOS_ACCIDENTADOS]:[VEHICULOS_ACCIDENTADOS2]],"VOLQUETA")</f>
        <v>0</v>
      </c>
      <c r="AC812" s="36">
        <f>COUNTIF(Tabla1[[#This Row],[VEHICULOS_ACCIDENTADOS]:[VEHICULOS_ACCIDENTADOS2]],"BICICLETA")</f>
        <v>0</v>
      </c>
      <c r="AD812" s="38" t="s">
        <v>471</v>
      </c>
      <c r="AE812" s="38" t="s">
        <v>472</v>
      </c>
      <c r="AF812" s="38">
        <f>COUNTIF(Tabla1[[#This Row],[GENERO_MASCULINO]:[GENERO_FEMENINO]],"MASCULINO")</f>
        <v>1</v>
      </c>
      <c r="AG812" s="36">
        <f>COUNTIF(Tabla1[[#This Row],[GENERO_MASCULINO]:[GENERO_FEMENINO]],"FEMENINO")</f>
        <v>1</v>
      </c>
      <c r="AH812" s="73">
        <v>58</v>
      </c>
      <c r="AI812" s="73"/>
      <c r="AJ812" s="73"/>
      <c r="AK812" s="73"/>
      <c r="AL812" s="73">
        <v>59</v>
      </c>
      <c r="AM812" s="7"/>
      <c r="AN812" s="73">
        <v>112</v>
      </c>
      <c r="AO812" s="36" t="str">
        <f>IFERROR(((VLOOKUP(Tabla1[[#This Row],[HIPOTESIS_1]],listas!$D$1:$E$105,2,FALSE))),"SIN INFORMACIÓN")</f>
        <v>Desobedecer señales o normas de tránsito.</v>
      </c>
      <c r="AP812" s="7"/>
      <c r="AQ812" s="36" t="str">
        <f>IFERROR(((VLOOKUP(Tabla1[[#This Row],[HIPOTESIS_2]],listas!$D$1:$E$105,2,FALSE))),"")</f>
        <v/>
      </c>
      <c r="AR812" s="1" t="str">
        <f>IF(HOUR(Tabla1[[#This Row],[HORA_ACCIDENTE]])&lt;6,"MAÑANA",
 IF(HOUR(Tabla1[[#This Row],[HORA_ACCIDENTE]])&lt;12,"MAÑANA",
 IF(HOUR(Tabla1[[#This Row],[HORA_ACCIDENTE]])&lt;18,"TARDE","NOCHE")))</f>
        <v>MAÑANA</v>
      </c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  <c r="BD812" s="40"/>
    </row>
    <row r="813" spans="1:56" x14ac:dyDescent="0.25">
      <c r="A813" s="12">
        <v>356</v>
      </c>
      <c r="B813" s="38">
        <v>0</v>
      </c>
      <c r="C813" s="7">
        <v>2</v>
      </c>
      <c r="D813" s="7">
        <v>0</v>
      </c>
      <c r="E813" s="18" t="str">
        <f t="shared" si="48"/>
        <v>LESIONADO</v>
      </c>
      <c r="F813" s="29" t="s">
        <v>1068</v>
      </c>
      <c r="G813" s="17">
        <v>5.3406583333333328</v>
      </c>
      <c r="H813" s="17">
        <v>-72.388602777777791</v>
      </c>
      <c r="I813" s="93" t="s">
        <v>697</v>
      </c>
      <c r="J813" s="7" t="s">
        <v>717</v>
      </c>
      <c r="K813" s="24" t="str">
        <f t="shared" si="49"/>
        <v>2022</v>
      </c>
      <c r="L813" s="24" t="str">
        <f t="shared" si="50"/>
        <v>NOVIEMBRE</v>
      </c>
      <c r="M813" s="232">
        <v>44883</v>
      </c>
      <c r="N813" s="24" t="str">
        <f t="shared" si="51"/>
        <v>VIERNES</v>
      </c>
      <c r="O813" s="174">
        <v>0.72916666666666696</v>
      </c>
      <c r="P813" s="180" t="s">
        <v>469</v>
      </c>
      <c r="Q813" s="180" t="s">
        <v>469</v>
      </c>
      <c r="R813" s="36">
        <f>COUNTIF(Tabla1[[#This Row],[VEHICULOS_ACCIDENTADOS]:[VEHICULOS_ACCIDENTADOS2]],"MOTOCICLETA")</f>
        <v>2</v>
      </c>
      <c r="S813" s="36">
        <f>COUNTIF(Tabla1[[#This Row],[VEHICULOS_ACCIDENTADOS]:[VEHICULOS_ACCIDENTADOS2]],"MOTOCARRO")</f>
        <v>0</v>
      </c>
      <c r="T813" s="36">
        <f>COUNTIF(Tabla1[[#This Row],[VEHICULOS_ACCIDENTADOS]:[VEHICULOS_ACCIDENTADOS2]],"AUTOMOVIL")</f>
        <v>0</v>
      </c>
      <c r="U813" s="36">
        <f>COUNTIF(Tabla1[[#This Row],[VEHICULOS_ACCIDENTADOS]:[VEHICULOS_ACCIDENTADOS2]],"CAMPERO")</f>
        <v>0</v>
      </c>
      <c r="V813" s="36">
        <f>COUNTIF(Tabla1[[#This Row],[VEHICULOS_ACCIDENTADOS]:[VEHICULOS_ACCIDENTADOS2]],"CAMIONETA")</f>
        <v>0</v>
      </c>
      <c r="W813" s="36">
        <f>COUNTIF(Tabla1[[#This Row],[VEHICULOS_ACCIDENTADOS]:[VEHICULOS_ACCIDENTADOS2]],"MICROBUS")</f>
        <v>0</v>
      </c>
      <c r="X813" s="36">
        <f>COUNTIF(Tabla1[[#This Row],[VEHICULOS_ACCIDENTADOS]:[VEHICULOS_ACCIDENTADOS2]],"BUS")</f>
        <v>0</v>
      </c>
      <c r="Y813" s="36">
        <f>COUNTIF(Tabla1[[#This Row],[VEHICULOS_ACCIDENTADOS]:[VEHICULOS_ACCIDENTADOS2]],"BUSETA")</f>
        <v>0</v>
      </c>
      <c r="Z813" s="36">
        <f>COUNTIF(Tabla1[[#This Row],[VEHICULOS_ACCIDENTADOS]:[VEHICULOS_ACCIDENTADOS2]],"CAMION")</f>
        <v>0</v>
      </c>
      <c r="AA813" s="36">
        <f>COUNTIF(Tabla1[[#This Row],[VEHICULOS_ACCIDENTADOS]:[VEHICULOS_ACCIDENTADOS2]],"TRACTOCAMION")</f>
        <v>0</v>
      </c>
      <c r="AB813" s="36">
        <f>COUNTIF(Tabla1[[#This Row],[VEHICULOS_ACCIDENTADOS]:[VEHICULOS_ACCIDENTADOS2]],"VOLQUETA")</f>
        <v>0</v>
      </c>
      <c r="AC813" s="36">
        <f>COUNTIF(Tabla1[[#This Row],[VEHICULOS_ACCIDENTADOS]:[VEHICULOS_ACCIDENTADOS2]],"BICICLETA")</f>
        <v>0</v>
      </c>
      <c r="AD813" s="38" t="s">
        <v>471</v>
      </c>
      <c r="AE813" s="38" t="s">
        <v>472</v>
      </c>
      <c r="AF813" s="38">
        <f>COUNTIF(Tabla1[[#This Row],[GENERO_MASCULINO]:[GENERO_FEMENINO]],"MASCULINO")</f>
        <v>1</v>
      </c>
      <c r="AG813" s="36">
        <f>COUNTIF(Tabla1[[#This Row],[GENERO_MASCULINO]:[GENERO_FEMENINO]],"FEMENINO")</f>
        <v>1</v>
      </c>
      <c r="AH813" s="73">
        <v>49</v>
      </c>
      <c r="AI813" s="73">
        <v>40</v>
      </c>
      <c r="AJ813" s="73"/>
      <c r="AK813" s="73"/>
      <c r="AL813" s="73"/>
      <c r="AM813" s="7"/>
      <c r="AN813" s="73">
        <v>112</v>
      </c>
      <c r="AO813" s="36" t="str">
        <f>IFERROR(((VLOOKUP(Tabla1[[#This Row],[HIPOTESIS_1]],listas!$D$1:$E$105,2,FALSE))),"SIN INFORMACIÓN")</f>
        <v>Desobedecer señales o normas de tránsito.</v>
      </c>
      <c r="AP813" s="7"/>
      <c r="AQ813" s="36" t="str">
        <f>IFERROR(((VLOOKUP(Tabla1[[#This Row],[HIPOTESIS_2]],listas!$D$1:$E$105,2,FALSE))),"")</f>
        <v/>
      </c>
      <c r="AR813" s="1" t="str">
        <f>IF(HOUR(Tabla1[[#This Row],[HORA_ACCIDENTE]])&lt;6,"MAÑANA",
 IF(HOUR(Tabla1[[#This Row],[HORA_ACCIDENTE]])&lt;12,"MAÑANA",
 IF(HOUR(Tabla1[[#This Row],[HORA_ACCIDENTE]])&lt;18,"TARDE","NOCHE")))</f>
        <v>TARDE</v>
      </c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40"/>
    </row>
    <row r="814" spans="1:56" x14ac:dyDescent="0.25">
      <c r="A814" s="12">
        <v>830</v>
      </c>
      <c r="B814" s="97">
        <v>0</v>
      </c>
      <c r="C814" s="15">
        <v>1</v>
      </c>
      <c r="D814" s="19">
        <v>0</v>
      </c>
      <c r="E814" s="18" t="str">
        <f t="shared" si="48"/>
        <v>LESIONADO</v>
      </c>
      <c r="F814" s="26" t="s">
        <v>1069</v>
      </c>
      <c r="G814" s="21">
        <v>5.3367183333333328</v>
      </c>
      <c r="H814" s="21">
        <v>-72.386454722222226</v>
      </c>
      <c r="I814" s="93" t="s">
        <v>697</v>
      </c>
      <c r="J814" s="7" t="s">
        <v>717</v>
      </c>
      <c r="K814" s="24" t="str">
        <f t="shared" si="49"/>
        <v>2024</v>
      </c>
      <c r="L814" s="24" t="str">
        <f t="shared" si="50"/>
        <v>DICIEMBRE</v>
      </c>
      <c r="M814" s="234">
        <v>45635</v>
      </c>
      <c r="N814" s="24" t="str">
        <f t="shared" si="51"/>
        <v>LUNES</v>
      </c>
      <c r="O814" s="108">
        <v>0.56944444444444442</v>
      </c>
      <c r="P814" s="44" t="s">
        <v>469</v>
      </c>
      <c r="Q814" s="44" t="s">
        <v>447</v>
      </c>
      <c r="R814" s="36">
        <f>COUNTIF(Tabla1[[#This Row],[VEHICULOS_ACCIDENTADOS]:[VEHICULOS_ACCIDENTADOS2]],"MOTOCICLETA")</f>
        <v>1</v>
      </c>
      <c r="S814" s="36">
        <f>COUNTIF(Tabla1[[#This Row],[VEHICULOS_ACCIDENTADOS]:[VEHICULOS_ACCIDENTADOS2]],"MOTOCARRO")</f>
        <v>0</v>
      </c>
      <c r="T814" s="36">
        <f>COUNTIF(Tabla1[[#This Row],[VEHICULOS_ACCIDENTADOS]:[VEHICULOS_ACCIDENTADOS2]],"AUTOMOVIL")</f>
        <v>1</v>
      </c>
      <c r="U814" s="36">
        <f>COUNTIF(Tabla1[[#This Row],[VEHICULOS_ACCIDENTADOS]:[VEHICULOS_ACCIDENTADOS2]],"CAMPERO")</f>
        <v>0</v>
      </c>
      <c r="V814" s="36">
        <f>COUNTIF(Tabla1[[#This Row],[VEHICULOS_ACCIDENTADOS]:[VEHICULOS_ACCIDENTADOS2]],"CAMIONETA")</f>
        <v>0</v>
      </c>
      <c r="W814" s="36">
        <f>COUNTIF(Tabla1[[#This Row],[VEHICULOS_ACCIDENTADOS]:[VEHICULOS_ACCIDENTADOS2]],"MICROBUS")</f>
        <v>0</v>
      </c>
      <c r="X814" s="36">
        <f>COUNTIF(Tabla1[[#This Row],[VEHICULOS_ACCIDENTADOS]:[VEHICULOS_ACCIDENTADOS2]],"BUS")</f>
        <v>0</v>
      </c>
      <c r="Y814" s="36">
        <f>COUNTIF(Tabla1[[#This Row],[VEHICULOS_ACCIDENTADOS]:[VEHICULOS_ACCIDENTADOS2]],"BUSETA")</f>
        <v>0</v>
      </c>
      <c r="Z814" s="36">
        <f>COUNTIF(Tabla1[[#This Row],[VEHICULOS_ACCIDENTADOS]:[VEHICULOS_ACCIDENTADOS2]],"CAMION")</f>
        <v>0</v>
      </c>
      <c r="AA814" s="36">
        <f>COUNTIF(Tabla1[[#This Row],[VEHICULOS_ACCIDENTADOS]:[VEHICULOS_ACCIDENTADOS2]],"TRACTOCAMION")</f>
        <v>0</v>
      </c>
      <c r="AB814" s="36">
        <f>COUNTIF(Tabla1[[#This Row],[VEHICULOS_ACCIDENTADOS]:[VEHICULOS_ACCIDENTADOS2]],"VOLQUETA")</f>
        <v>0</v>
      </c>
      <c r="AC814" s="36">
        <f>COUNTIF(Tabla1[[#This Row],[VEHICULOS_ACCIDENTADOS]:[VEHICULOS_ACCIDENTADOS2]],"BICICLETA")</f>
        <v>0</v>
      </c>
      <c r="AD814" s="43" t="s">
        <v>471</v>
      </c>
      <c r="AE814" s="43" t="s">
        <v>472</v>
      </c>
      <c r="AF814" s="43">
        <f>COUNTIF(Tabla1[[#This Row],[GENERO_MASCULINO]:[GENERO_FEMENINO]],"MASCULINO")</f>
        <v>1</v>
      </c>
      <c r="AG814" s="36">
        <f>COUNTIF(Tabla1[[#This Row],[GENERO_MASCULINO]:[GENERO_FEMENINO]],"FEMENINO")</f>
        <v>1</v>
      </c>
      <c r="AH814" s="86">
        <v>38</v>
      </c>
      <c r="AI814" s="86">
        <v>55</v>
      </c>
      <c r="AJ814" s="86"/>
      <c r="AK814" s="86"/>
      <c r="AL814" s="86"/>
      <c r="AM814" s="15"/>
      <c r="AN814" s="86">
        <v>112</v>
      </c>
      <c r="AO814" s="36" t="str">
        <f>IFERROR(((VLOOKUP(Tabla1[[#This Row],[HIPOTESIS_1]],listas!$D$1:$E$105,2,FALSE))),"SIN INFORMACIÓN")</f>
        <v>Desobedecer señales o normas de tránsito.</v>
      </c>
      <c r="AP814" s="15"/>
      <c r="AQ814" s="36" t="str">
        <f>IFERROR(((VLOOKUP(Tabla1[[#This Row],[HIPOTESIS_2]],listas!$D$1:$E$105,2,FALSE))),"")</f>
        <v/>
      </c>
      <c r="AR814" s="1" t="str">
        <f>IF(HOUR(Tabla1[[#This Row],[HORA_ACCIDENTE]])&lt;6,"MAÑANA",
 IF(HOUR(Tabla1[[#This Row],[HORA_ACCIDENTE]])&lt;12,"MAÑANA",
 IF(HOUR(Tabla1[[#This Row],[HORA_ACCIDENTE]])&lt;18,"TARDE","NOCHE")))</f>
        <v>TARDE</v>
      </c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  <c r="BD814" s="40"/>
    </row>
    <row r="815" spans="1:56" x14ac:dyDescent="0.25">
      <c r="A815" s="12">
        <v>207</v>
      </c>
      <c r="B815" s="38">
        <v>0</v>
      </c>
      <c r="C815" s="7">
        <v>1</v>
      </c>
      <c r="D815" s="7">
        <v>0</v>
      </c>
      <c r="E815" s="18" t="str">
        <f t="shared" si="48"/>
        <v>LESIONADO</v>
      </c>
      <c r="F815" s="29" t="s">
        <v>954</v>
      </c>
      <c r="G815" s="17">
        <v>5.348694444444444</v>
      </c>
      <c r="H815" s="17">
        <v>-72.393038888888896</v>
      </c>
      <c r="I815" s="93" t="s">
        <v>697</v>
      </c>
      <c r="J815" s="7" t="s">
        <v>717</v>
      </c>
      <c r="K815" s="24" t="str">
        <f t="shared" si="49"/>
        <v>2022</v>
      </c>
      <c r="L815" s="24" t="str">
        <f t="shared" si="50"/>
        <v>JUNIO</v>
      </c>
      <c r="M815" s="232">
        <v>44719</v>
      </c>
      <c r="N815" s="24" t="str">
        <f t="shared" si="51"/>
        <v>MARTES</v>
      </c>
      <c r="O815" s="174">
        <v>0.82638888888888895</v>
      </c>
      <c r="P815" s="180" t="s">
        <v>469</v>
      </c>
      <c r="Q815" s="180" t="s">
        <v>447</v>
      </c>
      <c r="R815" s="36">
        <f>COUNTIF(Tabla1[[#This Row],[VEHICULOS_ACCIDENTADOS]:[VEHICULOS_ACCIDENTADOS2]],"MOTOCICLETA")</f>
        <v>1</v>
      </c>
      <c r="S815" s="36">
        <f>COUNTIF(Tabla1[[#This Row],[VEHICULOS_ACCIDENTADOS]:[VEHICULOS_ACCIDENTADOS2]],"MOTOCARRO")</f>
        <v>0</v>
      </c>
      <c r="T815" s="36">
        <f>COUNTIF(Tabla1[[#This Row],[VEHICULOS_ACCIDENTADOS]:[VEHICULOS_ACCIDENTADOS2]],"AUTOMOVIL")</f>
        <v>1</v>
      </c>
      <c r="U815" s="36">
        <f>COUNTIF(Tabla1[[#This Row],[VEHICULOS_ACCIDENTADOS]:[VEHICULOS_ACCIDENTADOS2]],"CAMPERO")</f>
        <v>0</v>
      </c>
      <c r="V815" s="36">
        <f>COUNTIF(Tabla1[[#This Row],[VEHICULOS_ACCIDENTADOS]:[VEHICULOS_ACCIDENTADOS2]],"CAMIONETA")</f>
        <v>0</v>
      </c>
      <c r="W815" s="36">
        <f>COUNTIF(Tabla1[[#This Row],[VEHICULOS_ACCIDENTADOS]:[VEHICULOS_ACCIDENTADOS2]],"MICROBUS")</f>
        <v>0</v>
      </c>
      <c r="X815" s="36">
        <f>COUNTIF(Tabla1[[#This Row],[VEHICULOS_ACCIDENTADOS]:[VEHICULOS_ACCIDENTADOS2]],"BUS")</f>
        <v>0</v>
      </c>
      <c r="Y815" s="36">
        <f>COUNTIF(Tabla1[[#This Row],[VEHICULOS_ACCIDENTADOS]:[VEHICULOS_ACCIDENTADOS2]],"BUSETA")</f>
        <v>0</v>
      </c>
      <c r="Z815" s="36">
        <f>COUNTIF(Tabla1[[#This Row],[VEHICULOS_ACCIDENTADOS]:[VEHICULOS_ACCIDENTADOS2]],"CAMION")</f>
        <v>0</v>
      </c>
      <c r="AA815" s="36">
        <f>COUNTIF(Tabla1[[#This Row],[VEHICULOS_ACCIDENTADOS]:[VEHICULOS_ACCIDENTADOS2]],"TRACTOCAMION")</f>
        <v>0</v>
      </c>
      <c r="AB815" s="36">
        <f>COUNTIF(Tabla1[[#This Row],[VEHICULOS_ACCIDENTADOS]:[VEHICULOS_ACCIDENTADOS2]],"VOLQUETA")</f>
        <v>0</v>
      </c>
      <c r="AC815" s="36">
        <f>COUNTIF(Tabla1[[#This Row],[VEHICULOS_ACCIDENTADOS]:[VEHICULOS_ACCIDENTADOS2]],"BICICLETA")</f>
        <v>0</v>
      </c>
      <c r="AD815" s="38" t="s">
        <v>471</v>
      </c>
      <c r="AE815" s="38"/>
      <c r="AF815" s="38">
        <f>COUNTIF(Tabla1[[#This Row],[GENERO_MASCULINO]:[GENERO_FEMENINO]],"MASCULINO")</f>
        <v>1</v>
      </c>
      <c r="AG815" s="36">
        <f>COUNTIF(Tabla1[[#This Row],[GENERO_MASCULINO]:[GENERO_FEMENINO]],"FEMENINO")</f>
        <v>0</v>
      </c>
      <c r="AH815" s="73">
        <v>24</v>
      </c>
      <c r="AI815" s="73"/>
      <c r="AJ815" s="73"/>
      <c r="AK815" s="73"/>
      <c r="AL815" s="73"/>
      <c r="AM815" s="7"/>
      <c r="AN815" s="73">
        <v>112</v>
      </c>
      <c r="AO815" s="36" t="str">
        <f>IFERROR(((VLOOKUP(Tabla1[[#This Row],[HIPOTESIS_1]],listas!$D$1:$E$105,2,FALSE))),"SIN INFORMACIÓN")</f>
        <v>Desobedecer señales o normas de tránsito.</v>
      </c>
      <c r="AP815" s="7"/>
      <c r="AQ815" s="36" t="str">
        <f>IFERROR(((VLOOKUP(Tabla1[[#This Row],[HIPOTESIS_2]],listas!$D$1:$E$105,2,FALSE))),"")</f>
        <v/>
      </c>
      <c r="AR815" s="1" t="str">
        <f>IF(HOUR(Tabla1[[#This Row],[HORA_ACCIDENTE]])&lt;6,"MAÑANA",
 IF(HOUR(Tabla1[[#This Row],[HORA_ACCIDENTE]])&lt;12,"MAÑANA",
 IF(HOUR(Tabla1[[#This Row],[HORA_ACCIDENTE]])&lt;18,"TARDE","NOCHE")))</f>
        <v>NOCHE</v>
      </c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40"/>
    </row>
    <row r="816" spans="1:56" x14ac:dyDescent="0.25">
      <c r="A816" s="12">
        <v>891</v>
      </c>
      <c r="B816" s="97">
        <v>0</v>
      </c>
      <c r="C816" s="15">
        <v>1</v>
      </c>
      <c r="D816" s="15">
        <v>0</v>
      </c>
      <c r="E816" s="18" t="str">
        <f t="shared" si="48"/>
        <v>LESIONADO</v>
      </c>
      <c r="F816" s="26" t="s">
        <v>955</v>
      </c>
      <c r="G816" s="21">
        <v>5.3478500000000002</v>
      </c>
      <c r="H816" s="21">
        <v>-72.392555000000002</v>
      </c>
      <c r="I816" s="93" t="s">
        <v>697</v>
      </c>
      <c r="J816" s="21" t="s">
        <v>717</v>
      </c>
      <c r="K816" s="24" t="str">
        <f t="shared" si="49"/>
        <v>2025</v>
      </c>
      <c r="L816" s="24" t="str">
        <f t="shared" si="50"/>
        <v>MARZO</v>
      </c>
      <c r="M816" s="234">
        <v>45719</v>
      </c>
      <c r="N816" s="24" t="str">
        <f t="shared" si="51"/>
        <v>LUNES</v>
      </c>
      <c r="O816" s="108">
        <v>0.5625</v>
      </c>
      <c r="P816" s="44" t="s">
        <v>445</v>
      </c>
      <c r="Q816" s="44" t="s">
        <v>469</v>
      </c>
      <c r="R816" s="36">
        <f>COUNTIF(Tabla1[[#This Row],[VEHICULOS_ACCIDENTADOS]:[VEHICULOS_ACCIDENTADOS2]],"MOTOCICLETA")</f>
        <v>1</v>
      </c>
      <c r="S816" s="36">
        <f>COUNTIF(Tabla1[[#This Row],[VEHICULOS_ACCIDENTADOS]:[VEHICULOS_ACCIDENTADOS2]],"MOTOCARRO")</f>
        <v>0</v>
      </c>
      <c r="T816" s="36">
        <f>COUNTIF(Tabla1[[#This Row],[VEHICULOS_ACCIDENTADOS]:[VEHICULOS_ACCIDENTADOS2]],"AUTOMOVIL")</f>
        <v>0</v>
      </c>
      <c r="U816" s="36">
        <f>COUNTIF(Tabla1[[#This Row],[VEHICULOS_ACCIDENTADOS]:[VEHICULOS_ACCIDENTADOS2]],"CAMPERO")</f>
        <v>0</v>
      </c>
      <c r="V816" s="36">
        <f>COUNTIF(Tabla1[[#This Row],[VEHICULOS_ACCIDENTADOS]:[VEHICULOS_ACCIDENTADOS2]],"CAMIONETA")</f>
        <v>1</v>
      </c>
      <c r="W816" s="36">
        <f>COUNTIF(Tabla1[[#This Row],[VEHICULOS_ACCIDENTADOS]:[VEHICULOS_ACCIDENTADOS2]],"MICROBUS")</f>
        <v>0</v>
      </c>
      <c r="X816" s="36">
        <f>COUNTIF(Tabla1[[#This Row],[VEHICULOS_ACCIDENTADOS]:[VEHICULOS_ACCIDENTADOS2]],"BUS")</f>
        <v>0</v>
      </c>
      <c r="Y816" s="36">
        <f>COUNTIF(Tabla1[[#This Row],[VEHICULOS_ACCIDENTADOS]:[VEHICULOS_ACCIDENTADOS2]],"BUSETA")</f>
        <v>0</v>
      </c>
      <c r="Z816" s="36">
        <f>COUNTIF(Tabla1[[#This Row],[VEHICULOS_ACCIDENTADOS]:[VEHICULOS_ACCIDENTADOS2]],"CAMION")</f>
        <v>0</v>
      </c>
      <c r="AA816" s="36">
        <f>COUNTIF(Tabla1[[#This Row],[VEHICULOS_ACCIDENTADOS]:[VEHICULOS_ACCIDENTADOS2]],"TRACTOCAMION")</f>
        <v>0</v>
      </c>
      <c r="AB816" s="36">
        <f>COUNTIF(Tabla1[[#This Row],[VEHICULOS_ACCIDENTADOS]:[VEHICULOS_ACCIDENTADOS2]],"VOLQUETA")</f>
        <v>0</v>
      </c>
      <c r="AC816" s="36">
        <f>COUNTIF(Tabla1[[#This Row],[VEHICULOS_ACCIDENTADOS]:[VEHICULOS_ACCIDENTADOS2]],"BICICLETA")</f>
        <v>0</v>
      </c>
      <c r="AD816" s="43" t="s">
        <v>471</v>
      </c>
      <c r="AE816" s="43" t="s">
        <v>471</v>
      </c>
      <c r="AF816" s="43">
        <f>COUNTIF(Tabla1[[#This Row],[GENERO_MASCULINO]:[GENERO_FEMENINO]],"MASCULINO")</f>
        <v>2</v>
      </c>
      <c r="AG816" s="36">
        <f>COUNTIF(Tabla1[[#This Row],[GENERO_MASCULINO]:[GENERO_FEMENINO]],"FEMENINO")</f>
        <v>0</v>
      </c>
      <c r="AH816" s="86">
        <v>32</v>
      </c>
      <c r="AI816" s="86">
        <v>17</v>
      </c>
      <c r="AJ816" s="86"/>
      <c r="AK816" s="86"/>
      <c r="AL816" s="86"/>
      <c r="AM816" s="15"/>
      <c r="AN816" s="86">
        <v>112</v>
      </c>
      <c r="AO816" s="36" t="str">
        <f>IFERROR(((VLOOKUP(Tabla1[[#This Row],[HIPOTESIS_1]],listas!$D$1:$E$105,2,FALSE))),"SIN INFORMACIÓN")</f>
        <v>Desobedecer señales o normas de tránsito.</v>
      </c>
      <c r="AP816" s="15"/>
      <c r="AQ816" s="36" t="str">
        <f>IFERROR(((VLOOKUP(Tabla1[[#This Row],[HIPOTESIS_2]],listas!$D$1:$E$105,2,FALSE))),"")</f>
        <v/>
      </c>
      <c r="AR816" s="1" t="str">
        <f>IF(HOUR(Tabla1[[#This Row],[HORA_ACCIDENTE]])&lt;6,"MAÑANA",
 IF(HOUR(Tabla1[[#This Row],[HORA_ACCIDENTE]])&lt;12,"MAÑANA",
 IF(HOUR(Tabla1[[#This Row],[HORA_ACCIDENTE]])&lt;18,"TARDE","NOCHE")))</f>
        <v>TARDE</v>
      </c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  <c r="BD816" s="40"/>
    </row>
    <row r="817" spans="1:56" x14ac:dyDescent="0.25">
      <c r="A817" s="12">
        <v>796</v>
      </c>
      <c r="B817" s="97">
        <v>0</v>
      </c>
      <c r="C817" s="15">
        <v>1</v>
      </c>
      <c r="D817" s="19">
        <v>0</v>
      </c>
      <c r="E817" s="18" t="str">
        <f t="shared" si="48"/>
        <v>LESIONADO</v>
      </c>
      <c r="F817" s="26" t="s">
        <v>956</v>
      </c>
      <c r="G817" s="21">
        <v>5.3463097222222222</v>
      </c>
      <c r="H817" s="21">
        <v>-72.391696388888889</v>
      </c>
      <c r="I817" s="93" t="s">
        <v>697</v>
      </c>
      <c r="J817" s="7" t="s">
        <v>717</v>
      </c>
      <c r="K817" s="24" t="str">
        <f t="shared" si="49"/>
        <v>2024</v>
      </c>
      <c r="L817" s="24" t="str">
        <f t="shared" si="50"/>
        <v>OCTUBRE</v>
      </c>
      <c r="M817" s="234">
        <v>45584</v>
      </c>
      <c r="N817" s="24" t="str">
        <f t="shared" si="51"/>
        <v>SÁBADO</v>
      </c>
      <c r="O817" s="108">
        <v>0.4375</v>
      </c>
      <c r="P817" s="44" t="s">
        <v>445</v>
      </c>
      <c r="Q817" s="44" t="s">
        <v>445</v>
      </c>
      <c r="R817" s="36">
        <f>COUNTIF(Tabla1[[#This Row],[VEHICULOS_ACCIDENTADOS]:[VEHICULOS_ACCIDENTADOS2]],"MOTOCICLETA")</f>
        <v>0</v>
      </c>
      <c r="S817" s="36">
        <f>COUNTIF(Tabla1[[#This Row],[VEHICULOS_ACCIDENTADOS]:[VEHICULOS_ACCIDENTADOS2]],"MOTOCARRO")</f>
        <v>0</v>
      </c>
      <c r="T817" s="36">
        <f>COUNTIF(Tabla1[[#This Row],[VEHICULOS_ACCIDENTADOS]:[VEHICULOS_ACCIDENTADOS2]],"AUTOMOVIL")</f>
        <v>0</v>
      </c>
      <c r="U817" s="36">
        <f>COUNTIF(Tabla1[[#This Row],[VEHICULOS_ACCIDENTADOS]:[VEHICULOS_ACCIDENTADOS2]],"CAMPERO")</f>
        <v>0</v>
      </c>
      <c r="V817" s="36">
        <f>COUNTIF(Tabla1[[#This Row],[VEHICULOS_ACCIDENTADOS]:[VEHICULOS_ACCIDENTADOS2]],"CAMIONETA")</f>
        <v>2</v>
      </c>
      <c r="W817" s="36">
        <f>COUNTIF(Tabla1[[#This Row],[VEHICULOS_ACCIDENTADOS]:[VEHICULOS_ACCIDENTADOS2]],"MICROBUS")</f>
        <v>0</v>
      </c>
      <c r="X817" s="36">
        <f>COUNTIF(Tabla1[[#This Row],[VEHICULOS_ACCIDENTADOS]:[VEHICULOS_ACCIDENTADOS2]],"BUS")</f>
        <v>0</v>
      </c>
      <c r="Y817" s="36">
        <f>COUNTIF(Tabla1[[#This Row],[VEHICULOS_ACCIDENTADOS]:[VEHICULOS_ACCIDENTADOS2]],"BUSETA")</f>
        <v>0</v>
      </c>
      <c r="Z817" s="36">
        <f>COUNTIF(Tabla1[[#This Row],[VEHICULOS_ACCIDENTADOS]:[VEHICULOS_ACCIDENTADOS2]],"CAMION")</f>
        <v>0</v>
      </c>
      <c r="AA817" s="36">
        <f>COUNTIF(Tabla1[[#This Row],[VEHICULOS_ACCIDENTADOS]:[VEHICULOS_ACCIDENTADOS2]],"TRACTOCAMION")</f>
        <v>0</v>
      </c>
      <c r="AB817" s="36">
        <f>COUNTIF(Tabla1[[#This Row],[VEHICULOS_ACCIDENTADOS]:[VEHICULOS_ACCIDENTADOS2]],"VOLQUETA")</f>
        <v>0</v>
      </c>
      <c r="AC817" s="36">
        <f>COUNTIF(Tabla1[[#This Row],[VEHICULOS_ACCIDENTADOS]:[VEHICULOS_ACCIDENTADOS2]],"BICICLETA")</f>
        <v>0</v>
      </c>
      <c r="AD817" s="43"/>
      <c r="AE817" s="43" t="s">
        <v>472</v>
      </c>
      <c r="AF817" s="43">
        <f>COUNTIF(Tabla1[[#This Row],[GENERO_MASCULINO]:[GENERO_FEMENINO]],"MASCULINO")</f>
        <v>0</v>
      </c>
      <c r="AG817" s="36">
        <f>COUNTIF(Tabla1[[#This Row],[GENERO_MASCULINO]:[GENERO_FEMENINO]],"FEMENINO")</f>
        <v>1</v>
      </c>
      <c r="AH817" s="86">
        <v>41</v>
      </c>
      <c r="AI817" s="86"/>
      <c r="AJ817" s="86"/>
      <c r="AK817" s="86"/>
      <c r="AL817" s="86"/>
      <c r="AM817" s="15"/>
      <c r="AN817" s="86">
        <v>112</v>
      </c>
      <c r="AO817" s="36" t="str">
        <f>IFERROR(((VLOOKUP(Tabla1[[#This Row],[HIPOTESIS_1]],listas!$D$1:$E$105,2,FALSE))),"SIN INFORMACIÓN")</f>
        <v>Desobedecer señales o normas de tránsito.</v>
      </c>
      <c r="AP817" s="15"/>
      <c r="AQ817" s="36" t="str">
        <f>IFERROR(((VLOOKUP(Tabla1[[#This Row],[HIPOTESIS_2]],listas!$D$1:$E$105,2,FALSE))),"")</f>
        <v/>
      </c>
      <c r="AR817" s="1" t="str">
        <f>IF(HOUR(Tabla1[[#This Row],[HORA_ACCIDENTE]])&lt;6,"MAÑANA",
 IF(HOUR(Tabla1[[#This Row],[HORA_ACCIDENTE]])&lt;12,"MAÑANA",
 IF(HOUR(Tabla1[[#This Row],[HORA_ACCIDENTE]])&lt;18,"TARDE","NOCHE")))</f>
        <v>MAÑANA</v>
      </c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40"/>
    </row>
    <row r="818" spans="1:56" x14ac:dyDescent="0.25">
      <c r="A818" s="12">
        <v>522</v>
      </c>
      <c r="B818" s="38">
        <v>0</v>
      </c>
      <c r="C818" s="7">
        <v>1</v>
      </c>
      <c r="D818" s="7">
        <v>0</v>
      </c>
      <c r="E818" s="18" t="str">
        <f t="shared" si="48"/>
        <v>LESIONADO</v>
      </c>
      <c r="F818" s="29" t="s">
        <v>957</v>
      </c>
      <c r="G818" s="21">
        <v>5.3455083333333331</v>
      </c>
      <c r="H818" s="21">
        <v>-72.39126111111112</v>
      </c>
      <c r="I818" s="93" t="s">
        <v>697</v>
      </c>
      <c r="J818" s="7" t="s">
        <v>717</v>
      </c>
      <c r="K818" s="24" t="str">
        <f t="shared" si="49"/>
        <v>2023</v>
      </c>
      <c r="L818" s="24" t="str">
        <f t="shared" si="50"/>
        <v>JULIO</v>
      </c>
      <c r="M818" s="232">
        <v>45128</v>
      </c>
      <c r="N818" s="24" t="str">
        <f t="shared" si="51"/>
        <v>VIERNES</v>
      </c>
      <c r="O818" s="106">
        <v>0.51041666666666663</v>
      </c>
      <c r="P818" s="39" t="s">
        <v>469</v>
      </c>
      <c r="Q818" s="39" t="s">
        <v>447</v>
      </c>
      <c r="R818" s="36">
        <f>COUNTIF(Tabla1[[#This Row],[VEHICULOS_ACCIDENTADOS]:[VEHICULOS_ACCIDENTADOS2]],"MOTOCICLETA")</f>
        <v>1</v>
      </c>
      <c r="S818" s="36">
        <f>COUNTIF(Tabla1[[#This Row],[VEHICULOS_ACCIDENTADOS]:[VEHICULOS_ACCIDENTADOS2]],"MOTOCARRO")</f>
        <v>0</v>
      </c>
      <c r="T818" s="36">
        <f>COUNTIF(Tabla1[[#This Row],[VEHICULOS_ACCIDENTADOS]:[VEHICULOS_ACCIDENTADOS2]],"AUTOMOVIL")</f>
        <v>1</v>
      </c>
      <c r="U818" s="36">
        <f>COUNTIF(Tabla1[[#This Row],[VEHICULOS_ACCIDENTADOS]:[VEHICULOS_ACCIDENTADOS2]],"CAMPERO")</f>
        <v>0</v>
      </c>
      <c r="V818" s="36">
        <f>COUNTIF(Tabla1[[#This Row],[VEHICULOS_ACCIDENTADOS]:[VEHICULOS_ACCIDENTADOS2]],"CAMIONETA")</f>
        <v>0</v>
      </c>
      <c r="W818" s="36">
        <f>COUNTIF(Tabla1[[#This Row],[VEHICULOS_ACCIDENTADOS]:[VEHICULOS_ACCIDENTADOS2]],"MICROBUS")</f>
        <v>0</v>
      </c>
      <c r="X818" s="36">
        <f>COUNTIF(Tabla1[[#This Row],[VEHICULOS_ACCIDENTADOS]:[VEHICULOS_ACCIDENTADOS2]],"BUS")</f>
        <v>0</v>
      </c>
      <c r="Y818" s="36">
        <f>COUNTIF(Tabla1[[#This Row],[VEHICULOS_ACCIDENTADOS]:[VEHICULOS_ACCIDENTADOS2]],"BUSETA")</f>
        <v>0</v>
      </c>
      <c r="Z818" s="36">
        <f>COUNTIF(Tabla1[[#This Row],[VEHICULOS_ACCIDENTADOS]:[VEHICULOS_ACCIDENTADOS2]],"CAMION")</f>
        <v>0</v>
      </c>
      <c r="AA818" s="36">
        <f>COUNTIF(Tabla1[[#This Row],[VEHICULOS_ACCIDENTADOS]:[VEHICULOS_ACCIDENTADOS2]],"TRACTOCAMION")</f>
        <v>0</v>
      </c>
      <c r="AB818" s="36">
        <f>COUNTIF(Tabla1[[#This Row],[VEHICULOS_ACCIDENTADOS]:[VEHICULOS_ACCIDENTADOS2]],"VOLQUETA")</f>
        <v>0</v>
      </c>
      <c r="AC818" s="36">
        <f>COUNTIF(Tabla1[[#This Row],[VEHICULOS_ACCIDENTADOS]:[VEHICULOS_ACCIDENTADOS2]],"BICICLETA")</f>
        <v>0</v>
      </c>
      <c r="AD818" s="38"/>
      <c r="AE818" s="38" t="s">
        <v>472</v>
      </c>
      <c r="AF818" s="38">
        <f>COUNTIF(Tabla1[[#This Row],[GENERO_MASCULINO]:[GENERO_FEMENINO]],"MASCULINO")</f>
        <v>0</v>
      </c>
      <c r="AG818" s="36">
        <f>COUNTIF(Tabla1[[#This Row],[GENERO_MASCULINO]:[GENERO_FEMENINO]],"FEMENINO")</f>
        <v>1</v>
      </c>
      <c r="AH818" s="73">
        <v>28</v>
      </c>
      <c r="AI818" s="73"/>
      <c r="AJ818" s="73"/>
      <c r="AK818" s="73"/>
      <c r="AL818" s="73"/>
      <c r="AM818" s="7"/>
      <c r="AN818" s="73">
        <v>157</v>
      </c>
      <c r="AO818" s="36" t="str">
        <f>IFERROR(((VLOOKUP(Tabla1[[#This Row],[HIPOTESIS_1]],listas!$D$1:$E$105,2,FALSE))),"SIN INFORMACIÓN")</f>
        <v>Otra</v>
      </c>
      <c r="AP818" s="7"/>
      <c r="AQ818" s="36" t="str">
        <f>IFERROR(((VLOOKUP(Tabla1[[#This Row],[HIPOTESIS_2]],listas!$D$1:$E$105,2,FALSE))),"")</f>
        <v/>
      </c>
      <c r="AR818" s="1" t="str">
        <f>IF(HOUR(Tabla1[[#This Row],[HORA_ACCIDENTE]])&lt;6,"MAÑANA",
 IF(HOUR(Tabla1[[#This Row],[HORA_ACCIDENTE]])&lt;12,"MAÑANA",
 IF(HOUR(Tabla1[[#This Row],[HORA_ACCIDENTE]])&lt;18,"TARDE","NOCHE")))</f>
        <v>TARDE</v>
      </c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  <c r="BC818" s="15"/>
      <c r="BD818" s="40"/>
    </row>
    <row r="819" spans="1:56" x14ac:dyDescent="0.25">
      <c r="A819" s="12">
        <v>116</v>
      </c>
      <c r="B819" s="38">
        <v>0</v>
      </c>
      <c r="C819" s="7">
        <v>1</v>
      </c>
      <c r="D819" s="7">
        <v>0</v>
      </c>
      <c r="E819" s="18" t="str">
        <f t="shared" si="48"/>
        <v>LESIONADO</v>
      </c>
      <c r="F819" s="29" t="s">
        <v>958</v>
      </c>
      <c r="G819" s="17">
        <v>5.3447027777777771</v>
      </c>
      <c r="H819" s="17">
        <v>-72.390847222222234</v>
      </c>
      <c r="I819" s="93" t="s">
        <v>697</v>
      </c>
      <c r="J819" s="7" t="s">
        <v>717</v>
      </c>
      <c r="K819" s="24" t="str">
        <f t="shared" si="49"/>
        <v>2022</v>
      </c>
      <c r="L819" s="24" t="str">
        <f t="shared" si="50"/>
        <v>ABRIL</v>
      </c>
      <c r="M819" s="232">
        <v>44658</v>
      </c>
      <c r="N819" s="24" t="str">
        <f t="shared" si="51"/>
        <v>JUEVES</v>
      </c>
      <c r="O819" s="106">
        <v>0.63888888888888895</v>
      </c>
      <c r="P819" s="8" t="s">
        <v>469</v>
      </c>
      <c r="Q819" s="8" t="s">
        <v>441</v>
      </c>
      <c r="R819" s="36">
        <f>COUNTIF(Tabla1[[#This Row],[VEHICULOS_ACCIDENTADOS]:[VEHICULOS_ACCIDENTADOS2]],"MOTOCICLETA")</f>
        <v>1</v>
      </c>
      <c r="S819" s="36">
        <f>COUNTIF(Tabla1[[#This Row],[VEHICULOS_ACCIDENTADOS]:[VEHICULOS_ACCIDENTADOS2]],"MOTOCARRO")</f>
        <v>0</v>
      </c>
      <c r="T819" s="36">
        <f>COUNTIF(Tabla1[[#This Row],[VEHICULOS_ACCIDENTADOS]:[VEHICULOS_ACCIDENTADOS2]],"AUTOMOVIL")</f>
        <v>0</v>
      </c>
      <c r="U819" s="36">
        <f>COUNTIF(Tabla1[[#This Row],[VEHICULOS_ACCIDENTADOS]:[VEHICULOS_ACCIDENTADOS2]],"CAMPERO")</f>
        <v>0</v>
      </c>
      <c r="V819" s="36">
        <f>COUNTIF(Tabla1[[#This Row],[VEHICULOS_ACCIDENTADOS]:[VEHICULOS_ACCIDENTADOS2]],"CAMIONETA")</f>
        <v>0</v>
      </c>
      <c r="W819" s="36">
        <f>COUNTIF(Tabla1[[#This Row],[VEHICULOS_ACCIDENTADOS]:[VEHICULOS_ACCIDENTADOS2]],"MICROBUS")</f>
        <v>0</v>
      </c>
      <c r="X819" s="36">
        <f>COUNTIF(Tabla1[[#This Row],[VEHICULOS_ACCIDENTADOS]:[VEHICULOS_ACCIDENTADOS2]],"BUS")</f>
        <v>0</v>
      </c>
      <c r="Y819" s="36">
        <f>COUNTIF(Tabla1[[#This Row],[VEHICULOS_ACCIDENTADOS]:[VEHICULOS_ACCIDENTADOS2]],"BUSETA")</f>
        <v>0</v>
      </c>
      <c r="Z819" s="36">
        <f>COUNTIF(Tabla1[[#This Row],[VEHICULOS_ACCIDENTADOS]:[VEHICULOS_ACCIDENTADOS2]],"CAMION")</f>
        <v>1</v>
      </c>
      <c r="AA819" s="36">
        <f>COUNTIF(Tabla1[[#This Row],[VEHICULOS_ACCIDENTADOS]:[VEHICULOS_ACCIDENTADOS2]],"TRACTOCAMION")</f>
        <v>0</v>
      </c>
      <c r="AB819" s="36">
        <f>COUNTIF(Tabla1[[#This Row],[VEHICULOS_ACCIDENTADOS]:[VEHICULOS_ACCIDENTADOS2]],"VOLQUETA")</f>
        <v>0</v>
      </c>
      <c r="AC819" s="36">
        <f>COUNTIF(Tabla1[[#This Row],[VEHICULOS_ACCIDENTADOS]:[VEHICULOS_ACCIDENTADOS2]],"BICICLETA")</f>
        <v>0</v>
      </c>
      <c r="AD819" s="38" t="s">
        <v>471</v>
      </c>
      <c r="AE819" s="38"/>
      <c r="AF819" s="38">
        <f>COUNTIF(Tabla1[[#This Row],[GENERO_MASCULINO]:[GENERO_FEMENINO]],"MASCULINO")</f>
        <v>1</v>
      </c>
      <c r="AG819" s="36">
        <f>COUNTIF(Tabla1[[#This Row],[GENERO_MASCULINO]:[GENERO_FEMENINO]],"FEMENINO")</f>
        <v>0</v>
      </c>
      <c r="AH819" s="193">
        <v>58</v>
      </c>
      <c r="AI819" s="193"/>
      <c r="AJ819" s="89"/>
      <c r="AK819" s="193"/>
      <c r="AL819" s="193"/>
      <c r="AM819" s="32"/>
      <c r="AN819" s="193">
        <v>112</v>
      </c>
      <c r="AO819" s="36" t="str">
        <f>IFERROR(((VLOOKUP(Tabla1[[#This Row],[HIPOTESIS_1]],listas!$D$1:$E$105,2,FALSE))),"SIN INFORMACIÓN")</f>
        <v>Desobedecer señales o normas de tránsito.</v>
      </c>
      <c r="AP819" s="32"/>
      <c r="AQ819" s="36" t="str">
        <f>IFERROR(((VLOOKUP(Tabla1[[#This Row],[HIPOTESIS_2]],listas!$D$1:$E$105,2,FALSE))),"")</f>
        <v/>
      </c>
      <c r="AR819" s="1" t="str">
        <f>IF(HOUR(Tabla1[[#This Row],[HORA_ACCIDENTE]])&lt;6,"MAÑANA",
 IF(HOUR(Tabla1[[#This Row],[HORA_ACCIDENTE]])&lt;12,"MAÑANA",
 IF(HOUR(Tabla1[[#This Row],[HORA_ACCIDENTE]])&lt;18,"TARDE","NOCHE")))</f>
        <v>TARDE</v>
      </c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40"/>
    </row>
    <row r="820" spans="1:56" x14ac:dyDescent="0.25">
      <c r="A820" s="12">
        <v>81</v>
      </c>
      <c r="B820" s="38">
        <v>0</v>
      </c>
      <c r="C820" s="7">
        <v>2</v>
      </c>
      <c r="D820" s="7">
        <v>0</v>
      </c>
      <c r="E820" s="18" t="str">
        <f t="shared" si="48"/>
        <v>LESIONADO</v>
      </c>
      <c r="F820" s="29" t="s">
        <v>961</v>
      </c>
      <c r="G820" s="17">
        <v>5.339722222222222</v>
      </c>
      <c r="H820" s="17">
        <v>-72.388194444444451</v>
      </c>
      <c r="I820" s="93" t="s">
        <v>697</v>
      </c>
      <c r="J820" s="7" t="s">
        <v>717</v>
      </c>
      <c r="K820" s="24" t="str">
        <f t="shared" si="49"/>
        <v>2022</v>
      </c>
      <c r="L820" s="24" t="str">
        <f t="shared" si="50"/>
        <v>MARZO</v>
      </c>
      <c r="M820" s="232">
        <v>44631</v>
      </c>
      <c r="N820" s="24" t="str">
        <f t="shared" si="51"/>
        <v>VIERNES</v>
      </c>
      <c r="O820" s="106">
        <v>0.72916666666666663</v>
      </c>
      <c r="P820" s="8" t="s">
        <v>469</v>
      </c>
      <c r="Q820" s="8" t="s">
        <v>445</v>
      </c>
      <c r="R820" s="36">
        <f>COUNTIF(Tabla1[[#This Row],[VEHICULOS_ACCIDENTADOS]:[VEHICULOS_ACCIDENTADOS2]],"MOTOCICLETA")</f>
        <v>1</v>
      </c>
      <c r="S820" s="36">
        <f>COUNTIF(Tabla1[[#This Row],[VEHICULOS_ACCIDENTADOS]:[VEHICULOS_ACCIDENTADOS2]],"MOTOCARRO")</f>
        <v>0</v>
      </c>
      <c r="T820" s="36">
        <f>COUNTIF(Tabla1[[#This Row],[VEHICULOS_ACCIDENTADOS]:[VEHICULOS_ACCIDENTADOS2]],"AUTOMOVIL")</f>
        <v>0</v>
      </c>
      <c r="U820" s="36">
        <f>COUNTIF(Tabla1[[#This Row],[VEHICULOS_ACCIDENTADOS]:[VEHICULOS_ACCIDENTADOS2]],"CAMPERO")</f>
        <v>0</v>
      </c>
      <c r="V820" s="36">
        <f>COUNTIF(Tabla1[[#This Row],[VEHICULOS_ACCIDENTADOS]:[VEHICULOS_ACCIDENTADOS2]],"CAMIONETA")</f>
        <v>1</v>
      </c>
      <c r="W820" s="36">
        <f>COUNTIF(Tabla1[[#This Row],[VEHICULOS_ACCIDENTADOS]:[VEHICULOS_ACCIDENTADOS2]],"MICROBUS")</f>
        <v>0</v>
      </c>
      <c r="X820" s="36">
        <f>COUNTIF(Tabla1[[#This Row],[VEHICULOS_ACCIDENTADOS]:[VEHICULOS_ACCIDENTADOS2]],"BUS")</f>
        <v>0</v>
      </c>
      <c r="Y820" s="36">
        <f>COUNTIF(Tabla1[[#This Row],[VEHICULOS_ACCIDENTADOS]:[VEHICULOS_ACCIDENTADOS2]],"BUSETA")</f>
        <v>0</v>
      </c>
      <c r="Z820" s="36">
        <f>COUNTIF(Tabla1[[#This Row],[VEHICULOS_ACCIDENTADOS]:[VEHICULOS_ACCIDENTADOS2]],"CAMION")</f>
        <v>0</v>
      </c>
      <c r="AA820" s="36">
        <f>COUNTIF(Tabla1[[#This Row],[VEHICULOS_ACCIDENTADOS]:[VEHICULOS_ACCIDENTADOS2]],"TRACTOCAMION")</f>
        <v>0</v>
      </c>
      <c r="AB820" s="36">
        <f>COUNTIF(Tabla1[[#This Row],[VEHICULOS_ACCIDENTADOS]:[VEHICULOS_ACCIDENTADOS2]],"VOLQUETA")</f>
        <v>0</v>
      </c>
      <c r="AC820" s="36">
        <f>COUNTIF(Tabla1[[#This Row],[VEHICULOS_ACCIDENTADOS]:[VEHICULOS_ACCIDENTADOS2]],"BICICLETA")</f>
        <v>0</v>
      </c>
      <c r="AD820" s="38"/>
      <c r="AE820" s="38" t="s">
        <v>472</v>
      </c>
      <c r="AF820" s="38">
        <f>COUNTIF(Tabla1[[#This Row],[GENERO_MASCULINO]:[GENERO_FEMENINO]],"MASCULINO")</f>
        <v>0</v>
      </c>
      <c r="AG820" s="36">
        <f>COUNTIF(Tabla1[[#This Row],[GENERO_MASCULINO]:[GENERO_FEMENINO]],"FEMENINO")</f>
        <v>1</v>
      </c>
      <c r="AH820" s="73">
        <v>20</v>
      </c>
      <c r="AI820" s="73"/>
      <c r="AJ820" s="73"/>
      <c r="AK820" s="73"/>
      <c r="AL820" s="73">
        <v>48</v>
      </c>
      <c r="AM820" s="7"/>
      <c r="AN820" s="73">
        <v>112</v>
      </c>
      <c r="AO820" s="36" t="str">
        <f>IFERROR(((VLOOKUP(Tabla1[[#This Row],[HIPOTESIS_1]],listas!$D$1:$E$105,2,FALSE))),"SIN INFORMACIÓN")</f>
        <v>Desobedecer señales o normas de tránsito.</v>
      </c>
      <c r="AP820" s="7"/>
      <c r="AQ820" s="36" t="str">
        <f>IFERROR(((VLOOKUP(Tabla1[[#This Row],[HIPOTESIS_2]],listas!$D$1:$E$105,2,FALSE))),"")</f>
        <v/>
      </c>
      <c r="AR820" s="1" t="str">
        <f>IF(HOUR(Tabla1[[#This Row],[HORA_ACCIDENTE]])&lt;6,"MAÑANA",
 IF(HOUR(Tabla1[[#This Row],[HORA_ACCIDENTE]])&lt;12,"MAÑANA",
 IF(HOUR(Tabla1[[#This Row],[HORA_ACCIDENTE]])&lt;18,"TARDE","NOCHE")))</f>
        <v>TARDE</v>
      </c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  <c r="BD820" s="40"/>
    </row>
    <row r="821" spans="1:56" x14ac:dyDescent="0.25">
      <c r="A821" s="12">
        <v>1000</v>
      </c>
      <c r="B821" s="47">
        <v>0</v>
      </c>
      <c r="C821" s="24">
        <v>3</v>
      </c>
      <c r="D821" s="24">
        <v>0</v>
      </c>
      <c r="E821" s="18" t="str">
        <f t="shared" si="48"/>
        <v>LESIONADO</v>
      </c>
      <c r="F821" s="152" t="s">
        <v>964</v>
      </c>
      <c r="G821" s="30">
        <v>5.3366949999999997</v>
      </c>
      <c r="H821" s="30">
        <v>-72.386443</v>
      </c>
      <c r="I821" s="93" t="s">
        <v>697</v>
      </c>
      <c r="J821" s="7" t="s">
        <v>717</v>
      </c>
      <c r="K821" s="24" t="str">
        <f t="shared" si="49"/>
        <v>2025</v>
      </c>
      <c r="L821" s="24" t="str">
        <f t="shared" si="50"/>
        <v>JUNIO</v>
      </c>
      <c r="M821" s="237">
        <v>45830</v>
      </c>
      <c r="N821" s="24" t="str">
        <f t="shared" si="51"/>
        <v>DOMINGO</v>
      </c>
      <c r="O821" s="106">
        <v>0.79861111111111116</v>
      </c>
      <c r="P821" s="8" t="s">
        <v>469</v>
      </c>
      <c r="Q821" s="8" t="s">
        <v>469</v>
      </c>
      <c r="R821" s="36">
        <f>COUNTIF(Tabla1[[#This Row],[VEHICULOS_ACCIDENTADOS]:[VEHICULOS_ACCIDENTADOS2]],"MOTOCICLETA")</f>
        <v>2</v>
      </c>
      <c r="S821" s="36">
        <f>COUNTIF(Tabla1[[#This Row],[VEHICULOS_ACCIDENTADOS]:[VEHICULOS_ACCIDENTADOS2]],"MOTOCARRO")</f>
        <v>0</v>
      </c>
      <c r="T821" s="36">
        <f>COUNTIF(Tabla1[[#This Row],[VEHICULOS_ACCIDENTADOS]:[VEHICULOS_ACCIDENTADOS2]],"AUTOMOVIL")</f>
        <v>0</v>
      </c>
      <c r="U821" s="36">
        <f>COUNTIF(Tabla1[[#This Row],[VEHICULOS_ACCIDENTADOS]:[VEHICULOS_ACCIDENTADOS2]],"CAMPERO")</f>
        <v>0</v>
      </c>
      <c r="V821" s="36">
        <f>COUNTIF(Tabla1[[#This Row],[VEHICULOS_ACCIDENTADOS]:[VEHICULOS_ACCIDENTADOS2]],"CAMIONETA")</f>
        <v>0</v>
      </c>
      <c r="W821" s="36">
        <f>COUNTIF(Tabla1[[#This Row],[VEHICULOS_ACCIDENTADOS]:[VEHICULOS_ACCIDENTADOS2]],"MICROBUS")</f>
        <v>0</v>
      </c>
      <c r="X821" s="36">
        <f>COUNTIF(Tabla1[[#This Row],[VEHICULOS_ACCIDENTADOS]:[VEHICULOS_ACCIDENTADOS2]],"BUS")</f>
        <v>0</v>
      </c>
      <c r="Y821" s="36">
        <f>COUNTIF(Tabla1[[#This Row],[VEHICULOS_ACCIDENTADOS]:[VEHICULOS_ACCIDENTADOS2]],"BUSETA")</f>
        <v>0</v>
      </c>
      <c r="Z821" s="36">
        <f>COUNTIF(Tabla1[[#This Row],[VEHICULOS_ACCIDENTADOS]:[VEHICULOS_ACCIDENTADOS2]],"CAMION")</f>
        <v>0</v>
      </c>
      <c r="AA821" s="36">
        <f>COUNTIF(Tabla1[[#This Row],[VEHICULOS_ACCIDENTADOS]:[VEHICULOS_ACCIDENTADOS2]],"TRACTOCAMION")</f>
        <v>0</v>
      </c>
      <c r="AB821" s="36">
        <f>COUNTIF(Tabla1[[#This Row],[VEHICULOS_ACCIDENTADOS]:[VEHICULOS_ACCIDENTADOS2]],"VOLQUETA")</f>
        <v>0</v>
      </c>
      <c r="AC821" s="36">
        <f>COUNTIF(Tabla1[[#This Row],[VEHICULOS_ACCIDENTADOS]:[VEHICULOS_ACCIDENTADOS2]],"BICICLETA")</f>
        <v>0</v>
      </c>
      <c r="AD821" s="38" t="s">
        <v>471</v>
      </c>
      <c r="AE821" s="38" t="s">
        <v>471</v>
      </c>
      <c r="AF821" s="38">
        <f>COUNTIF(Tabla1[[#This Row],[GENERO_MASCULINO]:[GENERO_FEMENINO]],"MASCULINO")</f>
        <v>2</v>
      </c>
      <c r="AG821" s="36">
        <f>COUNTIF(Tabla1[[#This Row],[GENERO_MASCULINO]:[GENERO_FEMENINO]],"FEMENINO")</f>
        <v>0</v>
      </c>
      <c r="AH821" s="86">
        <v>39</v>
      </c>
      <c r="AI821" s="86">
        <v>18</v>
      </c>
      <c r="AJ821" s="86">
        <v>26</v>
      </c>
      <c r="AK821" s="87"/>
      <c r="AL821" s="87"/>
      <c r="AM821" s="6"/>
      <c r="AN821" s="73">
        <v>139</v>
      </c>
      <c r="AO821" s="36" t="str">
        <f>IFERROR(((VLOOKUP(Tabla1[[#This Row],[HIPOTESIS_1]],listas!$D$1:$E$105,2,FALSE))),"SIN INFORMACIÓN")</f>
        <v>Impericia en el manejo.</v>
      </c>
      <c r="AP821" s="7"/>
      <c r="AQ821" s="36" t="str">
        <f>IFERROR(((VLOOKUP(Tabla1[[#This Row],[HIPOTESIS_2]],listas!$D$1:$E$105,2,FALSE))),"")</f>
        <v/>
      </c>
      <c r="AR821" s="1" t="str">
        <f>IF(HOUR(Tabla1[[#This Row],[HORA_ACCIDENTE]])&lt;6,"MAÑANA",
 IF(HOUR(Tabla1[[#This Row],[HORA_ACCIDENTE]])&lt;12,"MAÑANA",
 IF(HOUR(Tabla1[[#This Row],[HORA_ACCIDENTE]])&lt;18,"TARDE","NOCHE")))</f>
        <v>NOCHE</v>
      </c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40"/>
    </row>
    <row r="822" spans="1:56" x14ac:dyDescent="0.25">
      <c r="A822" s="12">
        <v>651</v>
      </c>
      <c r="B822" s="43">
        <v>0</v>
      </c>
      <c r="C822" s="15">
        <v>0</v>
      </c>
      <c r="D822" s="19">
        <v>1</v>
      </c>
      <c r="E822" s="18" t="str">
        <f t="shared" si="48"/>
        <v>FALLECIDO</v>
      </c>
      <c r="F822" s="26" t="s">
        <v>965</v>
      </c>
      <c r="G822" s="21">
        <v>5.3328499999999996</v>
      </c>
      <c r="H822" s="21">
        <v>-72.382452777777772</v>
      </c>
      <c r="I822" s="93" t="s">
        <v>697</v>
      </c>
      <c r="J822" s="15" t="s">
        <v>717</v>
      </c>
      <c r="K822" s="24" t="str">
        <f t="shared" si="49"/>
        <v>2024</v>
      </c>
      <c r="L822" s="24" t="str">
        <f t="shared" si="50"/>
        <v>ENERO</v>
      </c>
      <c r="M822" s="234">
        <v>45318</v>
      </c>
      <c r="N822" s="24" t="str">
        <f t="shared" si="51"/>
        <v>SÁBADO</v>
      </c>
      <c r="O822" s="174">
        <v>0.51736111111111116</v>
      </c>
      <c r="P822" s="44" t="s">
        <v>469</v>
      </c>
      <c r="Q822" s="44" t="s">
        <v>447</v>
      </c>
      <c r="R822" s="36">
        <f>COUNTIF(Tabla1[[#This Row],[VEHICULOS_ACCIDENTADOS]:[VEHICULOS_ACCIDENTADOS2]],"MOTOCICLETA")</f>
        <v>1</v>
      </c>
      <c r="S822" s="36">
        <f>COUNTIF(Tabla1[[#This Row],[VEHICULOS_ACCIDENTADOS]:[VEHICULOS_ACCIDENTADOS2]],"MOTOCARRO")</f>
        <v>0</v>
      </c>
      <c r="T822" s="36">
        <f>COUNTIF(Tabla1[[#This Row],[VEHICULOS_ACCIDENTADOS]:[VEHICULOS_ACCIDENTADOS2]],"AUTOMOVIL")</f>
        <v>1</v>
      </c>
      <c r="U822" s="36">
        <f>COUNTIF(Tabla1[[#This Row],[VEHICULOS_ACCIDENTADOS]:[VEHICULOS_ACCIDENTADOS2]],"CAMPERO")</f>
        <v>0</v>
      </c>
      <c r="V822" s="36">
        <f>COUNTIF(Tabla1[[#This Row],[VEHICULOS_ACCIDENTADOS]:[VEHICULOS_ACCIDENTADOS2]],"CAMIONETA")</f>
        <v>0</v>
      </c>
      <c r="W822" s="36">
        <f>COUNTIF(Tabla1[[#This Row],[VEHICULOS_ACCIDENTADOS]:[VEHICULOS_ACCIDENTADOS2]],"MICROBUS")</f>
        <v>0</v>
      </c>
      <c r="X822" s="36">
        <f>COUNTIF(Tabla1[[#This Row],[VEHICULOS_ACCIDENTADOS]:[VEHICULOS_ACCIDENTADOS2]],"BUS")</f>
        <v>0</v>
      </c>
      <c r="Y822" s="36">
        <f>COUNTIF(Tabla1[[#This Row],[VEHICULOS_ACCIDENTADOS]:[VEHICULOS_ACCIDENTADOS2]],"BUSETA")</f>
        <v>0</v>
      </c>
      <c r="Z822" s="36">
        <f>COUNTIF(Tabla1[[#This Row],[VEHICULOS_ACCIDENTADOS]:[VEHICULOS_ACCIDENTADOS2]],"CAMION")</f>
        <v>0</v>
      </c>
      <c r="AA822" s="36">
        <f>COUNTIF(Tabla1[[#This Row],[VEHICULOS_ACCIDENTADOS]:[VEHICULOS_ACCIDENTADOS2]],"TRACTOCAMION")</f>
        <v>0</v>
      </c>
      <c r="AB822" s="36">
        <f>COUNTIF(Tabla1[[#This Row],[VEHICULOS_ACCIDENTADOS]:[VEHICULOS_ACCIDENTADOS2]],"VOLQUETA")</f>
        <v>0</v>
      </c>
      <c r="AC822" s="36">
        <f>COUNTIF(Tabla1[[#This Row],[VEHICULOS_ACCIDENTADOS]:[VEHICULOS_ACCIDENTADOS2]],"BICICLETA")</f>
        <v>0</v>
      </c>
      <c r="AD822" s="49"/>
      <c r="AE822" s="49" t="s">
        <v>472</v>
      </c>
      <c r="AF822" s="43">
        <f>COUNTIF(Tabla1[[#This Row],[GENERO_MASCULINO]:[GENERO_FEMENINO]],"MASCULINO")</f>
        <v>0</v>
      </c>
      <c r="AG822" s="36">
        <f>COUNTIF(Tabla1[[#This Row],[GENERO_MASCULINO]:[GENERO_FEMENINO]],"FEMENINO")</f>
        <v>1</v>
      </c>
      <c r="AH822" s="86"/>
      <c r="AI822" s="86"/>
      <c r="AJ822" s="86"/>
      <c r="AK822" s="86"/>
      <c r="AL822" s="86"/>
      <c r="AM822" s="44"/>
      <c r="AN822" s="86">
        <v>1</v>
      </c>
      <c r="AO822" s="36" t="str">
        <f>IFERROR(((VLOOKUP(Tabla1[[#This Row],[HIPOTESIS_1]],listas!$D$1:$E$105,2,FALSE))),"SIN INFORMACIÓN")</f>
        <v>SIN INFORMACIÓN</v>
      </c>
      <c r="AP822" s="44"/>
      <c r="AQ822" s="36" t="str">
        <f>IFERROR(((VLOOKUP(Tabla1[[#This Row],[HIPOTESIS_2]],listas!$D$1:$E$105,2,FALSE))),"")</f>
        <v/>
      </c>
      <c r="AR822" s="1" t="str">
        <f>IF(HOUR(Tabla1[[#This Row],[HORA_ACCIDENTE]])&lt;6,"MAÑANA",
 IF(HOUR(Tabla1[[#This Row],[HORA_ACCIDENTE]])&lt;12,"MAÑANA",
 IF(HOUR(Tabla1[[#This Row],[HORA_ACCIDENTE]])&lt;18,"TARDE","NOCHE")))</f>
        <v>TARDE</v>
      </c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  <c r="BD822" s="40"/>
    </row>
    <row r="823" spans="1:56" x14ac:dyDescent="0.25">
      <c r="A823" s="12">
        <v>60</v>
      </c>
      <c r="B823" s="38">
        <v>0</v>
      </c>
      <c r="C823" s="7">
        <v>1</v>
      </c>
      <c r="D823" s="7">
        <v>0</v>
      </c>
      <c r="E823" s="18" t="str">
        <f t="shared" si="48"/>
        <v>LESIONADO</v>
      </c>
      <c r="F823" s="29" t="s">
        <v>966</v>
      </c>
      <c r="G823" s="17">
        <v>5.3289527777777774</v>
      </c>
      <c r="H823" s="17">
        <v>-72.379888888888885</v>
      </c>
      <c r="I823" s="93" t="s">
        <v>697</v>
      </c>
      <c r="J823" s="7" t="s">
        <v>717</v>
      </c>
      <c r="K823" s="24" t="str">
        <f t="shared" si="49"/>
        <v>2022</v>
      </c>
      <c r="L823" s="24" t="str">
        <f t="shared" si="50"/>
        <v>FEBRERO</v>
      </c>
      <c r="M823" s="232">
        <v>44612</v>
      </c>
      <c r="N823" s="24" t="str">
        <f t="shared" si="51"/>
        <v>DOMINGO</v>
      </c>
      <c r="O823" s="106">
        <v>0.31944444444444398</v>
      </c>
      <c r="P823" s="8" t="s">
        <v>469</v>
      </c>
      <c r="Q823" s="8" t="s">
        <v>447</v>
      </c>
      <c r="R823" s="36">
        <f>COUNTIF(Tabla1[[#This Row],[VEHICULOS_ACCIDENTADOS]:[VEHICULOS_ACCIDENTADOS2]],"MOTOCICLETA")</f>
        <v>1</v>
      </c>
      <c r="S823" s="36">
        <f>COUNTIF(Tabla1[[#This Row],[VEHICULOS_ACCIDENTADOS]:[VEHICULOS_ACCIDENTADOS2]],"MOTOCARRO")</f>
        <v>0</v>
      </c>
      <c r="T823" s="36">
        <f>COUNTIF(Tabla1[[#This Row],[VEHICULOS_ACCIDENTADOS]:[VEHICULOS_ACCIDENTADOS2]],"AUTOMOVIL")</f>
        <v>1</v>
      </c>
      <c r="U823" s="36">
        <f>COUNTIF(Tabla1[[#This Row],[VEHICULOS_ACCIDENTADOS]:[VEHICULOS_ACCIDENTADOS2]],"CAMPERO")</f>
        <v>0</v>
      </c>
      <c r="V823" s="36">
        <f>COUNTIF(Tabla1[[#This Row],[VEHICULOS_ACCIDENTADOS]:[VEHICULOS_ACCIDENTADOS2]],"CAMIONETA")</f>
        <v>0</v>
      </c>
      <c r="W823" s="36">
        <f>COUNTIF(Tabla1[[#This Row],[VEHICULOS_ACCIDENTADOS]:[VEHICULOS_ACCIDENTADOS2]],"MICROBUS")</f>
        <v>0</v>
      </c>
      <c r="X823" s="36">
        <f>COUNTIF(Tabla1[[#This Row],[VEHICULOS_ACCIDENTADOS]:[VEHICULOS_ACCIDENTADOS2]],"BUS")</f>
        <v>0</v>
      </c>
      <c r="Y823" s="36">
        <f>COUNTIF(Tabla1[[#This Row],[VEHICULOS_ACCIDENTADOS]:[VEHICULOS_ACCIDENTADOS2]],"BUSETA")</f>
        <v>0</v>
      </c>
      <c r="Z823" s="36">
        <f>COUNTIF(Tabla1[[#This Row],[VEHICULOS_ACCIDENTADOS]:[VEHICULOS_ACCIDENTADOS2]],"CAMION")</f>
        <v>0</v>
      </c>
      <c r="AA823" s="36">
        <f>COUNTIF(Tabla1[[#This Row],[VEHICULOS_ACCIDENTADOS]:[VEHICULOS_ACCIDENTADOS2]],"TRACTOCAMION")</f>
        <v>0</v>
      </c>
      <c r="AB823" s="36">
        <f>COUNTIF(Tabla1[[#This Row],[VEHICULOS_ACCIDENTADOS]:[VEHICULOS_ACCIDENTADOS2]],"VOLQUETA")</f>
        <v>0</v>
      </c>
      <c r="AC823" s="36">
        <f>COUNTIF(Tabla1[[#This Row],[VEHICULOS_ACCIDENTADOS]:[VEHICULOS_ACCIDENTADOS2]],"BICICLETA")</f>
        <v>0</v>
      </c>
      <c r="AD823" s="38"/>
      <c r="AE823" s="38" t="s">
        <v>472</v>
      </c>
      <c r="AF823" s="38">
        <f>COUNTIF(Tabla1[[#This Row],[GENERO_MASCULINO]:[GENERO_FEMENINO]],"MASCULINO")</f>
        <v>0</v>
      </c>
      <c r="AG823" s="36">
        <f>COUNTIF(Tabla1[[#This Row],[GENERO_MASCULINO]:[GENERO_FEMENINO]],"FEMENINO")</f>
        <v>1</v>
      </c>
      <c r="AH823" s="73">
        <v>33</v>
      </c>
      <c r="AI823" s="73"/>
      <c r="AJ823" s="73"/>
      <c r="AK823" s="73"/>
      <c r="AL823" s="73"/>
      <c r="AM823" s="7"/>
      <c r="AN823" s="73">
        <v>139</v>
      </c>
      <c r="AO823" s="36" t="str">
        <f>IFERROR(((VLOOKUP(Tabla1[[#This Row],[HIPOTESIS_1]],listas!$D$1:$E$105,2,FALSE))),"SIN INFORMACIÓN")</f>
        <v>Impericia en el manejo.</v>
      </c>
      <c r="AP823" s="7"/>
      <c r="AQ823" s="36" t="str">
        <f>IFERROR(((VLOOKUP(Tabla1[[#This Row],[HIPOTESIS_2]],listas!$D$1:$E$105,2,FALSE))),"")</f>
        <v/>
      </c>
      <c r="AR823" s="1" t="str">
        <f>IF(HOUR(Tabla1[[#This Row],[HORA_ACCIDENTE]])&lt;6,"MAÑANA",
 IF(HOUR(Tabla1[[#This Row],[HORA_ACCIDENTE]])&lt;12,"MAÑANA",
 IF(HOUR(Tabla1[[#This Row],[HORA_ACCIDENTE]])&lt;18,"TARDE","NOCHE")))</f>
        <v>MAÑANA</v>
      </c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40"/>
    </row>
    <row r="824" spans="1:56" x14ac:dyDescent="0.25">
      <c r="A824" s="12">
        <v>9</v>
      </c>
      <c r="B824" s="38">
        <v>1</v>
      </c>
      <c r="C824" s="7">
        <v>0</v>
      </c>
      <c r="D824" s="7">
        <v>0</v>
      </c>
      <c r="E824" s="18" t="str">
        <f t="shared" si="48"/>
        <v>SOLO DAÑO</v>
      </c>
      <c r="F824" s="29" t="s">
        <v>1074</v>
      </c>
      <c r="G824" s="17">
        <v>5.341844444444444</v>
      </c>
      <c r="H824" s="17">
        <v>-72.388277777777787</v>
      </c>
      <c r="I824" s="93" t="s">
        <v>697</v>
      </c>
      <c r="J824" s="7" t="s">
        <v>717</v>
      </c>
      <c r="K824" s="24" t="str">
        <f t="shared" si="49"/>
        <v>2022</v>
      </c>
      <c r="L824" s="24" t="str">
        <f t="shared" si="50"/>
        <v>ENERO</v>
      </c>
      <c r="M824" s="232">
        <v>44577</v>
      </c>
      <c r="N824" s="24" t="str">
        <f t="shared" si="51"/>
        <v>DOMINGO</v>
      </c>
      <c r="O824" s="106">
        <v>0.63888888888888884</v>
      </c>
      <c r="P824" s="8" t="s">
        <v>447</v>
      </c>
      <c r="Q824" s="8" t="s">
        <v>447</v>
      </c>
      <c r="R824" s="36">
        <f>COUNTIF(Tabla1[[#This Row],[VEHICULOS_ACCIDENTADOS]:[VEHICULOS_ACCIDENTADOS2]],"MOTOCICLETA")</f>
        <v>0</v>
      </c>
      <c r="S824" s="36">
        <f>COUNTIF(Tabla1[[#This Row],[VEHICULOS_ACCIDENTADOS]:[VEHICULOS_ACCIDENTADOS2]],"MOTOCARRO")</f>
        <v>0</v>
      </c>
      <c r="T824" s="36">
        <f>COUNTIF(Tabla1[[#This Row],[VEHICULOS_ACCIDENTADOS]:[VEHICULOS_ACCIDENTADOS2]],"AUTOMOVIL")</f>
        <v>2</v>
      </c>
      <c r="U824" s="36">
        <f>COUNTIF(Tabla1[[#This Row],[VEHICULOS_ACCIDENTADOS]:[VEHICULOS_ACCIDENTADOS2]],"CAMPERO")</f>
        <v>0</v>
      </c>
      <c r="V824" s="36">
        <f>COUNTIF(Tabla1[[#This Row],[VEHICULOS_ACCIDENTADOS]:[VEHICULOS_ACCIDENTADOS2]],"CAMIONETA")</f>
        <v>0</v>
      </c>
      <c r="W824" s="36">
        <f>COUNTIF(Tabla1[[#This Row],[VEHICULOS_ACCIDENTADOS]:[VEHICULOS_ACCIDENTADOS2]],"MICROBUS")</f>
        <v>0</v>
      </c>
      <c r="X824" s="36">
        <f>COUNTIF(Tabla1[[#This Row],[VEHICULOS_ACCIDENTADOS]:[VEHICULOS_ACCIDENTADOS2]],"BUS")</f>
        <v>0</v>
      </c>
      <c r="Y824" s="36">
        <f>COUNTIF(Tabla1[[#This Row],[VEHICULOS_ACCIDENTADOS]:[VEHICULOS_ACCIDENTADOS2]],"BUSETA")</f>
        <v>0</v>
      </c>
      <c r="Z824" s="36">
        <f>COUNTIF(Tabla1[[#This Row],[VEHICULOS_ACCIDENTADOS]:[VEHICULOS_ACCIDENTADOS2]],"CAMION")</f>
        <v>0</v>
      </c>
      <c r="AA824" s="36">
        <f>COUNTIF(Tabla1[[#This Row],[VEHICULOS_ACCIDENTADOS]:[VEHICULOS_ACCIDENTADOS2]],"TRACTOCAMION")</f>
        <v>0</v>
      </c>
      <c r="AB824" s="36">
        <f>COUNTIF(Tabla1[[#This Row],[VEHICULOS_ACCIDENTADOS]:[VEHICULOS_ACCIDENTADOS2]],"VOLQUETA")</f>
        <v>0</v>
      </c>
      <c r="AC824" s="36">
        <f>COUNTIF(Tabla1[[#This Row],[VEHICULOS_ACCIDENTADOS]:[VEHICULOS_ACCIDENTADOS2]],"BICICLETA")</f>
        <v>0</v>
      </c>
      <c r="AD824" s="38" t="s">
        <v>471</v>
      </c>
      <c r="AE824" s="38"/>
      <c r="AF824" s="38">
        <f>COUNTIF(Tabla1[[#This Row],[GENERO_MASCULINO]:[GENERO_FEMENINO]],"MASCULINO")</f>
        <v>1</v>
      </c>
      <c r="AG824" s="36">
        <f>COUNTIF(Tabla1[[#This Row],[GENERO_MASCULINO]:[GENERO_FEMENINO]],"FEMENINO")</f>
        <v>0</v>
      </c>
      <c r="AH824" s="73"/>
      <c r="AI824" s="73"/>
      <c r="AJ824" s="73"/>
      <c r="AK824" s="73"/>
      <c r="AL824" s="73"/>
      <c r="AM824" s="7"/>
      <c r="AN824" s="73">
        <v>112</v>
      </c>
      <c r="AO824" s="36" t="str">
        <f>IFERROR(((VLOOKUP(Tabla1[[#This Row],[HIPOTESIS_1]],listas!$D$1:$E$105,2,FALSE))),"SIN INFORMACIÓN")</f>
        <v>Desobedecer señales o normas de tránsito.</v>
      </c>
      <c r="AP824" s="7"/>
      <c r="AQ824" s="36" t="str">
        <f>IFERROR(((VLOOKUP(Tabla1[[#This Row],[HIPOTESIS_2]],listas!$D$1:$E$105,2,FALSE))),"")</f>
        <v/>
      </c>
      <c r="AR824" s="1" t="str">
        <f>IF(HOUR(Tabla1[[#This Row],[HORA_ACCIDENTE]])&lt;6,"MAÑANA",
 IF(HOUR(Tabla1[[#This Row],[HORA_ACCIDENTE]])&lt;12,"MAÑANA",
 IF(HOUR(Tabla1[[#This Row],[HORA_ACCIDENTE]])&lt;18,"TARDE","NOCHE")))</f>
        <v>TARDE</v>
      </c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  <c r="BC824" s="15"/>
      <c r="BD824" s="40"/>
    </row>
    <row r="825" spans="1:56" x14ac:dyDescent="0.25">
      <c r="A825" s="12">
        <v>1057</v>
      </c>
      <c r="B825" s="47">
        <v>0</v>
      </c>
      <c r="C825" s="24">
        <v>1</v>
      </c>
      <c r="D825" s="24">
        <v>0</v>
      </c>
      <c r="E825" s="18" t="str">
        <f t="shared" si="48"/>
        <v>LESIONADO</v>
      </c>
      <c r="F825" s="155" t="s">
        <v>694</v>
      </c>
      <c r="G825" s="30">
        <v>5.3467500000000001</v>
      </c>
      <c r="H825" s="30">
        <v>-72.390956000000003</v>
      </c>
      <c r="I825" s="93" t="s">
        <v>697</v>
      </c>
      <c r="J825" s="7" t="s">
        <v>717</v>
      </c>
      <c r="K825" s="24" t="str">
        <f t="shared" si="49"/>
        <v>2025</v>
      </c>
      <c r="L825" s="24" t="str">
        <f t="shared" si="50"/>
        <v>SEPTIEMBRE</v>
      </c>
      <c r="M825" s="232">
        <v>45906</v>
      </c>
      <c r="N825" s="24" t="str">
        <f t="shared" si="51"/>
        <v>SÁBADO</v>
      </c>
      <c r="O825" s="106">
        <v>0.63541666666666663</v>
      </c>
      <c r="P825" s="8" t="s">
        <v>445</v>
      </c>
      <c r="Q825" s="8" t="s">
        <v>469</v>
      </c>
      <c r="R825" s="36">
        <f>COUNTIF(Tabla1[[#This Row],[VEHICULOS_ACCIDENTADOS]:[VEHICULOS_ACCIDENTADOS2]],"MOTOCICLETA")</f>
        <v>1</v>
      </c>
      <c r="S825" s="36">
        <f>COUNTIF(Tabla1[[#This Row],[VEHICULOS_ACCIDENTADOS]:[VEHICULOS_ACCIDENTADOS2]],"MOTOCARRO")</f>
        <v>0</v>
      </c>
      <c r="T825" s="36">
        <f>COUNTIF(Tabla1[[#This Row],[VEHICULOS_ACCIDENTADOS]:[VEHICULOS_ACCIDENTADOS2]],"AUTOMOVIL")</f>
        <v>0</v>
      </c>
      <c r="U825" s="36">
        <f>COUNTIF(Tabla1[[#This Row],[VEHICULOS_ACCIDENTADOS]:[VEHICULOS_ACCIDENTADOS2]],"CAMPERO")</f>
        <v>0</v>
      </c>
      <c r="V825" s="36">
        <f>COUNTIF(Tabla1[[#This Row],[VEHICULOS_ACCIDENTADOS]:[VEHICULOS_ACCIDENTADOS2]],"CAMIONETA")</f>
        <v>1</v>
      </c>
      <c r="W825" s="36">
        <f>COUNTIF(Tabla1[[#This Row],[VEHICULOS_ACCIDENTADOS]:[VEHICULOS_ACCIDENTADOS2]],"MICROBUS")</f>
        <v>0</v>
      </c>
      <c r="X825" s="36">
        <f>COUNTIF(Tabla1[[#This Row],[VEHICULOS_ACCIDENTADOS]:[VEHICULOS_ACCIDENTADOS2]],"BUS")</f>
        <v>0</v>
      </c>
      <c r="Y825" s="36">
        <f>COUNTIF(Tabla1[[#This Row],[VEHICULOS_ACCIDENTADOS]:[VEHICULOS_ACCIDENTADOS2]],"BUSETA")</f>
        <v>0</v>
      </c>
      <c r="Z825" s="36">
        <f>COUNTIF(Tabla1[[#This Row],[VEHICULOS_ACCIDENTADOS]:[VEHICULOS_ACCIDENTADOS2]],"CAMION")</f>
        <v>0</v>
      </c>
      <c r="AA825" s="36">
        <f>COUNTIF(Tabla1[[#This Row],[VEHICULOS_ACCIDENTADOS]:[VEHICULOS_ACCIDENTADOS2]],"TRACTOCAMION")</f>
        <v>0</v>
      </c>
      <c r="AB825" s="36">
        <f>COUNTIF(Tabla1[[#This Row],[VEHICULOS_ACCIDENTADOS]:[VEHICULOS_ACCIDENTADOS2]],"VOLQUETA")</f>
        <v>0</v>
      </c>
      <c r="AC825" s="36">
        <f>COUNTIF(Tabla1[[#This Row],[VEHICULOS_ACCIDENTADOS]:[VEHICULOS_ACCIDENTADOS2]],"BICICLETA")</f>
        <v>0</v>
      </c>
      <c r="AD825" s="189" t="s">
        <v>471</v>
      </c>
      <c r="AE825" s="189" t="s">
        <v>471</v>
      </c>
      <c r="AF825" s="38">
        <f>COUNTIF(Tabla1[[#This Row],[GENERO_MASCULINO]:[GENERO_FEMENINO]],"MASCULINO")</f>
        <v>2</v>
      </c>
      <c r="AG825" s="36">
        <f>COUNTIF(Tabla1[[#This Row],[GENERO_MASCULINO]:[GENERO_FEMENINO]],"FEMENINO")</f>
        <v>0</v>
      </c>
      <c r="AH825" s="86">
        <v>47</v>
      </c>
      <c r="AI825" s="86">
        <v>41</v>
      </c>
      <c r="AJ825" s="86"/>
      <c r="AK825" s="87"/>
      <c r="AL825" s="87"/>
      <c r="AM825" s="6"/>
      <c r="AN825" s="73">
        <v>157</v>
      </c>
      <c r="AO825" s="59" t="str">
        <f>IFERROR(((VLOOKUP(Tabla1[[#This Row],[HIPOTESIS_1]],listas!$D$1:$E$105,2,FALSE))),"SIN INFORMACIÓN")</f>
        <v>Otra</v>
      </c>
      <c r="AP825" s="7"/>
      <c r="AQ825" s="36" t="str">
        <f>IFERROR(((VLOOKUP(Tabla1[[#This Row],[HIPOTESIS_2]],listas!$D$1:$E$105,2,FALSE))),"")</f>
        <v/>
      </c>
      <c r="AR825" s="1" t="str">
        <f>IF(HOUR(Tabla1[[#This Row],[HORA_ACCIDENTE]])&lt;6,"MAÑANA",
 IF(HOUR(Tabla1[[#This Row],[HORA_ACCIDENTE]])&lt;12,"MAÑANA",
 IF(HOUR(Tabla1[[#This Row],[HORA_ACCIDENTE]])&lt;18,"TARDE","NOCHE")))</f>
        <v>TARDE</v>
      </c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40"/>
    </row>
    <row r="826" spans="1:56" x14ac:dyDescent="0.25">
      <c r="A826" s="12">
        <v>706</v>
      </c>
      <c r="B826" s="43">
        <v>0</v>
      </c>
      <c r="C826" s="7">
        <v>1</v>
      </c>
      <c r="D826" s="7">
        <v>0</v>
      </c>
      <c r="E826" s="18" t="str">
        <f t="shared" si="48"/>
        <v>LESIONADO</v>
      </c>
      <c r="F826" s="29" t="s">
        <v>145</v>
      </c>
      <c r="G826" s="21">
        <v>5.3328438888888883</v>
      </c>
      <c r="H826" s="21">
        <v>-72.382451388888882</v>
      </c>
      <c r="I826" s="93" t="s">
        <v>697</v>
      </c>
      <c r="J826" s="15" t="s">
        <v>717</v>
      </c>
      <c r="K826" s="24" t="str">
        <f t="shared" si="49"/>
        <v>2024</v>
      </c>
      <c r="L826" s="24" t="str">
        <f t="shared" si="50"/>
        <v>MAYO</v>
      </c>
      <c r="M826" s="232">
        <v>45422</v>
      </c>
      <c r="N826" s="24" t="str">
        <f t="shared" si="51"/>
        <v>VIERNES</v>
      </c>
      <c r="O826" s="106">
        <v>0.37847222222222227</v>
      </c>
      <c r="P826" s="39" t="s">
        <v>469</v>
      </c>
      <c r="Q826" s="39" t="s">
        <v>447</v>
      </c>
      <c r="R826" s="36">
        <f>COUNTIF(Tabla1[[#This Row],[VEHICULOS_ACCIDENTADOS]:[VEHICULOS_ACCIDENTADOS2]],"MOTOCICLETA")</f>
        <v>1</v>
      </c>
      <c r="S826" s="36">
        <f>COUNTIF(Tabla1[[#This Row],[VEHICULOS_ACCIDENTADOS]:[VEHICULOS_ACCIDENTADOS2]],"MOTOCARRO")</f>
        <v>0</v>
      </c>
      <c r="T826" s="36">
        <f>COUNTIF(Tabla1[[#This Row],[VEHICULOS_ACCIDENTADOS]:[VEHICULOS_ACCIDENTADOS2]],"AUTOMOVIL")</f>
        <v>1</v>
      </c>
      <c r="U826" s="36">
        <f>COUNTIF(Tabla1[[#This Row],[VEHICULOS_ACCIDENTADOS]:[VEHICULOS_ACCIDENTADOS2]],"CAMPERO")</f>
        <v>0</v>
      </c>
      <c r="V826" s="36">
        <f>COUNTIF(Tabla1[[#This Row],[VEHICULOS_ACCIDENTADOS]:[VEHICULOS_ACCIDENTADOS2]],"CAMIONETA")</f>
        <v>0</v>
      </c>
      <c r="W826" s="36">
        <f>COUNTIF(Tabla1[[#This Row],[VEHICULOS_ACCIDENTADOS]:[VEHICULOS_ACCIDENTADOS2]],"MICROBUS")</f>
        <v>0</v>
      </c>
      <c r="X826" s="36">
        <f>COUNTIF(Tabla1[[#This Row],[VEHICULOS_ACCIDENTADOS]:[VEHICULOS_ACCIDENTADOS2]],"BUS")</f>
        <v>0</v>
      </c>
      <c r="Y826" s="36">
        <f>COUNTIF(Tabla1[[#This Row],[VEHICULOS_ACCIDENTADOS]:[VEHICULOS_ACCIDENTADOS2]],"BUSETA")</f>
        <v>0</v>
      </c>
      <c r="Z826" s="36">
        <f>COUNTIF(Tabla1[[#This Row],[VEHICULOS_ACCIDENTADOS]:[VEHICULOS_ACCIDENTADOS2]],"CAMION")</f>
        <v>0</v>
      </c>
      <c r="AA826" s="36">
        <f>COUNTIF(Tabla1[[#This Row],[VEHICULOS_ACCIDENTADOS]:[VEHICULOS_ACCIDENTADOS2]],"TRACTOCAMION")</f>
        <v>0</v>
      </c>
      <c r="AB826" s="36">
        <f>COUNTIF(Tabla1[[#This Row],[VEHICULOS_ACCIDENTADOS]:[VEHICULOS_ACCIDENTADOS2]],"VOLQUETA")</f>
        <v>0</v>
      </c>
      <c r="AC826" s="36">
        <f>COUNTIF(Tabla1[[#This Row],[VEHICULOS_ACCIDENTADOS]:[VEHICULOS_ACCIDENTADOS2]],"BICICLETA")</f>
        <v>0</v>
      </c>
      <c r="AD826" s="38" t="s">
        <v>471</v>
      </c>
      <c r="AE826" s="38" t="s">
        <v>472</v>
      </c>
      <c r="AF826" s="38">
        <f>COUNTIF(Tabla1[[#This Row],[GENERO_MASCULINO]:[GENERO_FEMENINO]],"MASCULINO")</f>
        <v>1</v>
      </c>
      <c r="AG826" s="36">
        <f>COUNTIF(Tabla1[[#This Row],[GENERO_MASCULINO]:[GENERO_FEMENINO]],"FEMENINO")</f>
        <v>1</v>
      </c>
      <c r="AH826" s="73">
        <v>33</v>
      </c>
      <c r="AI826" s="73">
        <v>53</v>
      </c>
      <c r="AJ826" s="73"/>
      <c r="AK826" s="73"/>
      <c r="AL826" s="73"/>
      <c r="AM826" s="7"/>
      <c r="AN826" s="73">
        <v>132</v>
      </c>
      <c r="AO826" s="36" t="str">
        <f>IFERROR(((VLOOKUP(Tabla1[[#This Row],[HIPOTESIS_1]],listas!$D$1:$E$105,2,FALSE))),"SIN INFORMACIÓN")</f>
        <v>No respetar prelación.</v>
      </c>
      <c r="AP826" s="7"/>
      <c r="AQ826" s="36" t="str">
        <f>IFERROR(((VLOOKUP(Tabla1[[#This Row],[HIPOTESIS_2]],listas!$D$1:$E$105,2,FALSE))),"")</f>
        <v/>
      </c>
      <c r="AR826" s="1" t="str">
        <f>IF(HOUR(Tabla1[[#This Row],[HORA_ACCIDENTE]])&lt;6,"MAÑANA",
 IF(HOUR(Tabla1[[#This Row],[HORA_ACCIDENTE]])&lt;12,"MAÑANA",
 IF(HOUR(Tabla1[[#This Row],[HORA_ACCIDENTE]])&lt;18,"TARDE","NOCHE")))</f>
        <v>MAÑANA</v>
      </c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  <c r="BC826" s="15"/>
      <c r="BD826" s="40"/>
    </row>
    <row r="827" spans="1:56" x14ac:dyDescent="0.25">
      <c r="A827" s="12">
        <v>258</v>
      </c>
      <c r="B827" s="38">
        <v>0</v>
      </c>
      <c r="C827" s="7">
        <v>1</v>
      </c>
      <c r="D827" s="7">
        <v>0</v>
      </c>
      <c r="E827" s="18" t="str">
        <f t="shared" si="48"/>
        <v>LESIONADO</v>
      </c>
      <c r="F827" s="29" t="s">
        <v>968</v>
      </c>
      <c r="G827" s="17">
        <v>5.3487833333333334</v>
      </c>
      <c r="H827" s="17">
        <v>-72.391946111111125</v>
      </c>
      <c r="I827" s="93" t="s">
        <v>697</v>
      </c>
      <c r="J827" s="7" t="s">
        <v>717</v>
      </c>
      <c r="K827" s="24" t="str">
        <f t="shared" si="49"/>
        <v>2022</v>
      </c>
      <c r="L827" s="24" t="str">
        <f t="shared" si="50"/>
        <v>JULIO</v>
      </c>
      <c r="M827" s="232">
        <v>44767</v>
      </c>
      <c r="N827" s="24" t="str">
        <f t="shared" si="51"/>
        <v>LUNES</v>
      </c>
      <c r="O827" s="174">
        <v>0.27083333333333331</v>
      </c>
      <c r="P827" s="180" t="s">
        <v>469</v>
      </c>
      <c r="Q827" s="180"/>
      <c r="R827" s="36">
        <f>COUNTIF(Tabla1[[#This Row],[VEHICULOS_ACCIDENTADOS]:[VEHICULOS_ACCIDENTADOS2]],"MOTOCICLETA")</f>
        <v>1</v>
      </c>
      <c r="S827" s="36">
        <f>COUNTIF(Tabla1[[#This Row],[VEHICULOS_ACCIDENTADOS]:[VEHICULOS_ACCIDENTADOS2]],"MOTOCARRO")</f>
        <v>0</v>
      </c>
      <c r="T827" s="36">
        <f>COUNTIF(Tabla1[[#This Row],[VEHICULOS_ACCIDENTADOS]:[VEHICULOS_ACCIDENTADOS2]],"AUTOMOVIL")</f>
        <v>0</v>
      </c>
      <c r="U827" s="36">
        <f>COUNTIF(Tabla1[[#This Row],[VEHICULOS_ACCIDENTADOS]:[VEHICULOS_ACCIDENTADOS2]],"CAMPERO")</f>
        <v>0</v>
      </c>
      <c r="V827" s="36">
        <f>COUNTIF(Tabla1[[#This Row],[VEHICULOS_ACCIDENTADOS]:[VEHICULOS_ACCIDENTADOS2]],"CAMIONETA")</f>
        <v>0</v>
      </c>
      <c r="W827" s="36">
        <f>COUNTIF(Tabla1[[#This Row],[VEHICULOS_ACCIDENTADOS]:[VEHICULOS_ACCIDENTADOS2]],"MICROBUS")</f>
        <v>0</v>
      </c>
      <c r="X827" s="36">
        <f>COUNTIF(Tabla1[[#This Row],[VEHICULOS_ACCIDENTADOS]:[VEHICULOS_ACCIDENTADOS2]],"BUS")</f>
        <v>0</v>
      </c>
      <c r="Y827" s="36">
        <f>COUNTIF(Tabla1[[#This Row],[VEHICULOS_ACCIDENTADOS]:[VEHICULOS_ACCIDENTADOS2]],"BUSETA")</f>
        <v>0</v>
      </c>
      <c r="Z827" s="36">
        <f>COUNTIF(Tabla1[[#This Row],[VEHICULOS_ACCIDENTADOS]:[VEHICULOS_ACCIDENTADOS2]],"CAMION")</f>
        <v>0</v>
      </c>
      <c r="AA827" s="36">
        <f>COUNTIF(Tabla1[[#This Row],[VEHICULOS_ACCIDENTADOS]:[VEHICULOS_ACCIDENTADOS2]],"TRACTOCAMION")</f>
        <v>0</v>
      </c>
      <c r="AB827" s="36">
        <f>COUNTIF(Tabla1[[#This Row],[VEHICULOS_ACCIDENTADOS]:[VEHICULOS_ACCIDENTADOS2]],"VOLQUETA")</f>
        <v>0</v>
      </c>
      <c r="AC827" s="36">
        <f>COUNTIF(Tabla1[[#This Row],[VEHICULOS_ACCIDENTADOS]:[VEHICULOS_ACCIDENTADOS2]],"BICICLETA")</f>
        <v>0</v>
      </c>
      <c r="AD827" s="38"/>
      <c r="AE827" s="38" t="s">
        <v>472</v>
      </c>
      <c r="AF827" s="38">
        <f>COUNTIF(Tabla1[[#This Row],[GENERO_MASCULINO]:[GENERO_FEMENINO]],"MASCULINO")</f>
        <v>0</v>
      </c>
      <c r="AG827" s="36">
        <f>COUNTIF(Tabla1[[#This Row],[GENERO_MASCULINO]:[GENERO_FEMENINO]],"FEMENINO")</f>
        <v>1</v>
      </c>
      <c r="AH827" s="73"/>
      <c r="AI827" s="73"/>
      <c r="AJ827" s="87"/>
      <c r="AK827" s="73">
        <v>61</v>
      </c>
      <c r="AL827" s="73"/>
      <c r="AM827" s="7"/>
      <c r="AN827" s="73">
        <v>409</v>
      </c>
      <c r="AO827" s="36" t="str">
        <f>IFERROR(((VLOOKUP(Tabla1[[#This Row],[HIPOTESIS_1]],listas!$D$1:$E$105,2,FALSE))),"SIN INFORMACIÓN")</f>
        <v>Cruzar sin observar.</v>
      </c>
      <c r="AP827" s="7"/>
      <c r="AQ827" s="36" t="str">
        <f>IFERROR(((VLOOKUP(Tabla1[[#This Row],[HIPOTESIS_2]],listas!$D$1:$E$105,2,FALSE))),"")</f>
        <v/>
      </c>
      <c r="AR827" s="1" t="str">
        <f>IF(HOUR(Tabla1[[#This Row],[HORA_ACCIDENTE]])&lt;6,"MAÑANA",
 IF(HOUR(Tabla1[[#This Row],[HORA_ACCIDENTE]])&lt;12,"MAÑANA",
 IF(HOUR(Tabla1[[#This Row],[HORA_ACCIDENTE]])&lt;18,"TARDE","NOCHE")))</f>
        <v>MAÑANA</v>
      </c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40"/>
    </row>
    <row r="828" spans="1:56" x14ac:dyDescent="0.25">
      <c r="A828" s="12">
        <v>412</v>
      </c>
      <c r="B828" s="38">
        <v>0</v>
      </c>
      <c r="C828" s="7">
        <v>1</v>
      </c>
      <c r="D828" s="7">
        <v>0</v>
      </c>
      <c r="E828" s="18" t="str">
        <f t="shared" si="48"/>
        <v>LESIONADO</v>
      </c>
      <c r="F828" s="29" t="s">
        <v>969</v>
      </c>
      <c r="G828" s="21">
        <v>5.3187736111111112</v>
      </c>
      <c r="H828" s="21">
        <v>-72.404438333333346</v>
      </c>
      <c r="I828" s="93" t="s">
        <v>697</v>
      </c>
      <c r="J828" s="7" t="s">
        <v>717</v>
      </c>
      <c r="K828" s="24" t="str">
        <f t="shared" si="49"/>
        <v>2023</v>
      </c>
      <c r="L828" s="24" t="str">
        <f t="shared" si="50"/>
        <v>FEBRERO</v>
      </c>
      <c r="M828" s="232">
        <v>44976</v>
      </c>
      <c r="N828" s="24" t="str">
        <f t="shared" si="51"/>
        <v>DOMINGO</v>
      </c>
      <c r="O828" s="106">
        <v>0.80555555555555503</v>
      </c>
      <c r="P828" s="39" t="s">
        <v>469</v>
      </c>
      <c r="Q828" s="39"/>
      <c r="R828" s="36">
        <f>COUNTIF(Tabla1[[#This Row],[VEHICULOS_ACCIDENTADOS]:[VEHICULOS_ACCIDENTADOS2]],"MOTOCICLETA")</f>
        <v>1</v>
      </c>
      <c r="S828" s="36">
        <f>COUNTIF(Tabla1[[#This Row],[VEHICULOS_ACCIDENTADOS]:[VEHICULOS_ACCIDENTADOS2]],"MOTOCARRO")</f>
        <v>0</v>
      </c>
      <c r="T828" s="36">
        <f>COUNTIF(Tabla1[[#This Row],[VEHICULOS_ACCIDENTADOS]:[VEHICULOS_ACCIDENTADOS2]],"AUTOMOVIL")</f>
        <v>0</v>
      </c>
      <c r="U828" s="36">
        <f>COUNTIF(Tabla1[[#This Row],[VEHICULOS_ACCIDENTADOS]:[VEHICULOS_ACCIDENTADOS2]],"CAMPERO")</f>
        <v>0</v>
      </c>
      <c r="V828" s="36">
        <f>COUNTIF(Tabla1[[#This Row],[VEHICULOS_ACCIDENTADOS]:[VEHICULOS_ACCIDENTADOS2]],"CAMIONETA")</f>
        <v>0</v>
      </c>
      <c r="W828" s="36">
        <f>COUNTIF(Tabla1[[#This Row],[VEHICULOS_ACCIDENTADOS]:[VEHICULOS_ACCIDENTADOS2]],"MICROBUS")</f>
        <v>0</v>
      </c>
      <c r="X828" s="36">
        <f>COUNTIF(Tabla1[[#This Row],[VEHICULOS_ACCIDENTADOS]:[VEHICULOS_ACCIDENTADOS2]],"BUS")</f>
        <v>0</v>
      </c>
      <c r="Y828" s="36">
        <f>COUNTIF(Tabla1[[#This Row],[VEHICULOS_ACCIDENTADOS]:[VEHICULOS_ACCIDENTADOS2]],"BUSETA")</f>
        <v>0</v>
      </c>
      <c r="Z828" s="36">
        <f>COUNTIF(Tabla1[[#This Row],[VEHICULOS_ACCIDENTADOS]:[VEHICULOS_ACCIDENTADOS2]],"CAMION")</f>
        <v>0</v>
      </c>
      <c r="AA828" s="36">
        <f>COUNTIF(Tabla1[[#This Row],[VEHICULOS_ACCIDENTADOS]:[VEHICULOS_ACCIDENTADOS2]],"TRACTOCAMION")</f>
        <v>0</v>
      </c>
      <c r="AB828" s="36">
        <f>COUNTIF(Tabla1[[#This Row],[VEHICULOS_ACCIDENTADOS]:[VEHICULOS_ACCIDENTADOS2]],"VOLQUETA")</f>
        <v>0</v>
      </c>
      <c r="AC828" s="36">
        <f>COUNTIF(Tabla1[[#This Row],[VEHICULOS_ACCIDENTADOS]:[VEHICULOS_ACCIDENTADOS2]],"BICICLETA")</f>
        <v>0</v>
      </c>
      <c r="AD828" s="38" t="s">
        <v>471</v>
      </c>
      <c r="AE828" s="38"/>
      <c r="AF828" s="38">
        <f>COUNTIF(Tabla1[[#This Row],[GENERO_MASCULINO]:[GENERO_FEMENINO]],"MASCULINO")</f>
        <v>1</v>
      </c>
      <c r="AG828" s="36">
        <f>COUNTIF(Tabla1[[#This Row],[GENERO_MASCULINO]:[GENERO_FEMENINO]],"FEMENINO")</f>
        <v>0</v>
      </c>
      <c r="AH828" s="73"/>
      <c r="AI828" s="73"/>
      <c r="AJ828" s="73"/>
      <c r="AK828" s="73">
        <v>46</v>
      </c>
      <c r="AL828" s="73"/>
      <c r="AM828" s="7"/>
      <c r="AN828" s="73">
        <v>139</v>
      </c>
      <c r="AO828" s="36" t="str">
        <f>IFERROR(((VLOOKUP(Tabla1[[#This Row],[HIPOTESIS_1]],listas!$D$1:$E$105,2,FALSE))),"SIN INFORMACIÓN")</f>
        <v>Impericia en el manejo.</v>
      </c>
      <c r="AP828" s="7"/>
      <c r="AQ828" s="36" t="str">
        <f>IFERROR(((VLOOKUP(Tabla1[[#This Row],[HIPOTESIS_2]],listas!$D$1:$E$105,2,FALSE))),"")</f>
        <v/>
      </c>
      <c r="AR828" s="1" t="str">
        <f>IF(HOUR(Tabla1[[#This Row],[HORA_ACCIDENTE]])&lt;6,"MAÑANA",
 IF(HOUR(Tabla1[[#This Row],[HORA_ACCIDENTE]])&lt;12,"MAÑANA",
 IF(HOUR(Tabla1[[#This Row],[HORA_ACCIDENTE]])&lt;18,"TARDE","NOCHE")))</f>
        <v>NOCHE</v>
      </c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  <c r="BD828" s="40"/>
    </row>
    <row r="829" spans="1:56" x14ac:dyDescent="0.25">
      <c r="A829" s="12">
        <v>393</v>
      </c>
      <c r="B829" s="38">
        <v>0</v>
      </c>
      <c r="C829" s="7">
        <v>3</v>
      </c>
      <c r="D829" s="7">
        <v>0</v>
      </c>
      <c r="E829" s="18" t="str">
        <f t="shared" si="48"/>
        <v>LESIONADO</v>
      </c>
      <c r="F829" s="29" t="s">
        <v>970</v>
      </c>
      <c r="G829" s="21">
        <v>5.3438583333333334</v>
      </c>
      <c r="H829" s="21">
        <v>-72.387997222222225</v>
      </c>
      <c r="I829" s="93" t="s">
        <v>697</v>
      </c>
      <c r="J829" s="7" t="s">
        <v>717</v>
      </c>
      <c r="K829" s="24" t="str">
        <f t="shared" si="49"/>
        <v>2023</v>
      </c>
      <c r="L829" s="24" t="str">
        <f t="shared" si="50"/>
        <v>ENERO</v>
      </c>
      <c r="M829" s="232">
        <v>44950</v>
      </c>
      <c r="N829" s="24" t="str">
        <f t="shared" si="51"/>
        <v>MARTES</v>
      </c>
      <c r="O829" s="106">
        <v>0.875</v>
      </c>
      <c r="P829" s="39" t="s">
        <v>469</v>
      </c>
      <c r="Q829" s="39" t="s">
        <v>469</v>
      </c>
      <c r="R829" s="36">
        <f>COUNTIF(Tabla1[[#This Row],[VEHICULOS_ACCIDENTADOS]:[VEHICULOS_ACCIDENTADOS2]],"MOTOCICLETA")</f>
        <v>2</v>
      </c>
      <c r="S829" s="36">
        <f>COUNTIF(Tabla1[[#This Row],[VEHICULOS_ACCIDENTADOS]:[VEHICULOS_ACCIDENTADOS2]],"MOTOCARRO")</f>
        <v>0</v>
      </c>
      <c r="T829" s="36">
        <f>COUNTIF(Tabla1[[#This Row],[VEHICULOS_ACCIDENTADOS]:[VEHICULOS_ACCIDENTADOS2]],"AUTOMOVIL")</f>
        <v>0</v>
      </c>
      <c r="U829" s="36">
        <f>COUNTIF(Tabla1[[#This Row],[VEHICULOS_ACCIDENTADOS]:[VEHICULOS_ACCIDENTADOS2]],"CAMPERO")</f>
        <v>0</v>
      </c>
      <c r="V829" s="36">
        <f>COUNTIF(Tabla1[[#This Row],[VEHICULOS_ACCIDENTADOS]:[VEHICULOS_ACCIDENTADOS2]],"CAMIONETA")</f>
        <v>0</v>
      </c>
      <c r="W829" s="36">
        <f>COUNTIF(Tabla1[[#This Row],[VEHICULOS_ACCIDENTADOS]:[VEHICULOS_ACCIDENTADOS2]],"MICROBUS")</f>
        <v>0</v>
      </c>
      <c r="X829" s="36">
        <f>COUNTIF(Tabla1[[#This Row],[VEHICULOS_ACCIDENTADOS]:[VEHICULOS_ACCIDENTADOS2]],"BUS")</f>
        <v>0</v>
      </c>
      <c r="Y829" s="36">
        <f>COUNTIF(Tabla1[[#This Row],[VEHICULOS_ACCIDENTADOS]:[VEHICULOS_ACCIDENTADOS2]],"BUSETA")</f>
        <v>0</v>
      </c>
      <c r="Z829" s="36">
        <f>COUNTIF(Tabla1[[#This Row],[VEHICULOS_ACCIDENTADOS]:[VEHICULOS_ACCIDENTADOS2]],"CAMION")</f>
        <v>0</v>
      </c>
      <c r="AA829" s="36">
        <f>COUNTIF(Tabla1[[#This Row],[VEHICULOS_ACCIDENTADOS]:[VEHICULOS_ACCIDENTADOS2]],"TRACTOCAMION")</f>
        <v>0</v>
      </c>
      <c r="AB829" s="36">
        <f>COUNTIF(Tabla1[[#This Row],[VEHICULOS_ACCIDENTADOS]:[VEHICULOS_ACCIDENTADOS2]],"VOLQUETA")</f>
        <v>0</v>
      </c>
      <c r="AC829" s="36">
        <f>COUNTIF(Tabla1[[#This Row],[VEHICULOS_ACCIDENTADOS]:[VEHICULOS_ACCIDENTADOS2]],"BICICLETA")</f>
        <v>0</v>
      </c>
      <c r="AD829" s="38" t="s">
        <v>471</v>
      </c>
      <c r="AE829" s="38" t="s">
        <v>472</v>
      </c>
      <c r="AF829" s="38">
        <f>COUNTIF(Tabla1[[#This Row],[GENERO_MASCULINO]:[GENERO_FEMENINO]],"MASCULINO")</f>
        <v>1</v>
      </c>
      <c r="AG829" s="36">
        <f>COUNTIF(Tabla1[[#This Row],[GENERO_MASCULINO]:[GENERO_FEMENINO]],"FEMENINO")</f>
        <v>1</v>
      </c>
      <c r="AH829" s="73">
        <v>43</v>
      </c>
      <c r="AI829" s="73">
        <v>57</v>
      </c>
      <c r="AJ829" s="73">
        <v>44</v>
      </c>
      <c r="AK829" s="73"/>
      <c r="AL829" s="73"/>
      <c r="AM829" s="7"/>
      <c r="AN829" s="73">
        <v>1</v>
      </c>
      <c r="AO829" s="36" t="str">
        <f>IFERROR(((VLOOKUP(Tabla1[[#This Row],[HIPOTESIS_1]],listas!$D$1:$E$105,2,FALSE))),"SIN INFORMACIÓN")</f>
        <v>SIN INFORMACIÓN</v>
      </c>
      <c r="AP829" s="7"/>
      <c r="AQ829" s="36" t="str">
        <f>IFERROR(((VLOOKUP(Tabla1[[#This Row],[HIPOTESIS_2]],listas!$D$1:$E$105,2,FALSE))),"")</f>
        <v/>
      </c>
      <c r="AR829" s="1" t="str">
        <f>IF(HOUR(Tabla1[[#This Row],[HORA_ACCIDENTE]])&lt;6,"MAÑANA",
 IF(HOUR(Tabla1[[#This Row],[HORA_ACCIDENTE]])&lt;12,"MAÑANA",
 IF(HOUR(Tabla1[[#This Row],[HORA_ACCIDENTE]])&lt;18,"TARDE","NOCHE")))</f>
        <v>NOCHE</v>
      </c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40"/>
    </row>
    <row r="830" spans="1:56" x14ac:dyDescent="0.25">
      <c r="A830" s="12">
        <v>61</v>
      </c>
      <c r="B830" s="38">
        <v>1</v>
      </c>
      <c r="C830" s="7">
        <v>0</v>
      </c>
      <c r="D830" s="7">
        <v>0</v>
      </c>
      <c r="E830" s="18" t="str">
        <f t="shared" si="48"/>
        <v>SOLO DAÑO</v>
      </c>
      <c r="F830" s="29" t="s">
        <v>971</v>
      </c>
      <c r="G830" s="17">
        <v>5.3407638888888886</v>
      </c>
      <c r="H830" s="17">
        <v>-72.386127777777787</v>
      </c>
      <c r="I830" s="93" t="s">
        <v>697</v>
      </c>
      <c r="J830" s="7" t="s">
        <v>717</v>
      </c>
      <c r="K830" s="24" t="str">
        <f t="shared" si="49"/>
        <v>2022</v>
      </c>
      <c r="L830" s="24" t="str">
        <f t="shared" si="50"/>
        <v>FEBRERO</v>
      </c>
      <c r="M830" s="232">
        <v>44611</v>
      </c>
      <c r="N830" s="24" t="str">
        <f t="shared" si="51"/>
        <v>SÁBADO</v>
      </c>
      <c r="O830" s="106">
        <v>0.70833333333333304</v>
      </c>
      <c r="P830" s="8" t="s">
        <v>447</v>
      </c>
      <c r="Q830" s="8" t="s">
        <v>445</v>
      </c>
      <c r="R830" s="36">
        <f>COUNTIF(Tabla1[[#This Row],[VEHICULOS_ACCIDENTADOS]:[VEHICULOS_ACCIDENTADOS2]],"MOTOCICLETA")</f>
        <v>0</v>
      </c>
      <c r="S830" s="36">
        <f>COUNTIF(Tabla1[[#This Row],[VEHICULOS_ACCIDENTADOS]:[VEHICULOS_ACCIDENTADOS2]],"MOTOCARRO")</f>
        <v>0</v>
      </c>
      <c r="T830" s="36">
        <f>COUNTIF(Tabla1[[#This Row],[VEHICULOS_ACCIDENTADOS]:[VEHICULOS_ACCIDENTADOS2]],"AUTOMOVIL")</f>
        <v>1</v>
      </c>
      <c r="U830" s="36">
        <f>COUNTIF(Tabla1[[#This Row],[VEHICULOS_ACCIDENTADOS]:[VEHICULOS_ACCIDENTADOS2]],"CAMPERO")</f>
        <v>0</v>
      </c>
      <c r="V830" s="36">
        <f>COUNTIF(Tabla1[[#This Row],[VEHICULOS_ACCIDENTADOS]:[VEHICULOS_ACCIDENTADOS2]],"CAMIONETA")</f>
        <v>1</v>
      </c>
      <c r="W830" s="36">
        <f>COUNTIF(Tabla1[[#This Row],[VEHICULOS_ACCIDENTADOS]:[VEHICULOS_ACCIDENTADOS2]],"MICROBUS")</f>
        <v>0</v>
      </c>
      <c r="X830" s="36">
        <f>COUNTIF(Tabla1[[#This Row],[VEHICULOS_ACCIDENTADOS]:[VEHICULOS_ACCIDENTADOS2]],"BUS")</f>
        <v>0</v>
      </c>
      <c r="Y830" s="36">
        <f>COUNTIF(Tabla1[[#This Row],[VEHICULOS_ACCIDENTADOS]:[VEHICULOS_ACCIDENTADOS2]],"BUSETA")</f>
        <v>0</v>
      </c>
      <c r="Z830" s="36">
        <f>COUNTIF(Tabla1[[#This Row],[VEHICULOS_ACCIDENTADOS]:[VEHICULOS_ACCIDENTADOS2]],"CAMION")</f>
        <v>0</v>
      </c>
      <c r="AA830" s="36">
        <f>COUNTIF(Tabla1[[#This Row],[VEHICULOS_ACCIDENTADOS]:[VEHICULOS_ACCIDENTADOS2]],"TRACTOCAMION")</f>
        <v>0</v>
      </c>
      <c r="AB830" s="36">
        <f>COUNTIF(Tabla1[[#This Row],[VEHICULOS_ACCIDENTADOS]:[VEHICULOS_ACCIDENTADOS2]],"VOLQUETA")</f>
        <v>0</v>
      </c>
      <c r="AC830" s="36">
        <f>COUNTIF(Tabla1[[#This Row],[VEHICULOS_ACCIDENTADOS]:[VEHICULOS_ACCIDENTADOS2]],"BICICLETA")</f>
        <v>0</v>
      </c>
      <c r="AD830" s="38"/>
      <c r="AE830" s="38" t="s">
        <v>472</v>
      </c>
      <c r="AF830" s="38">
        <f>COUNTIF(Tabla1[[#This Row],[GENERO_MASCULINO]:[GENERO_FEMENINO]],"MASCULINO")</f>
        <v>0</v>
      </c>
      <c r="AG830" s="36">
        <f>COUNTIF(Tabla1[[#This Row],[GENERO_MASCULINO]:[GENERO_FEMENINO]],"FEMENINO")</f>
        <v>1</v>
      </c>
      <c r="AH830" s="73"/>
      <c r="AI830" s="73"/>
      <c r="AJ830" s="73"/>
      <c r="AK830" s="73"/>
      <c r="AL830" s="73"/>
      <c r="AM830" s="7"/>
      <c r="AN830" s="73">
        <v>121</v>
      </c>
      <c r="AO830" s="36" t="str">
        <f>IFERROR(((VLOOKUP(Tabla1[[#This Row],[HIPOTESIS_1]],listas!$D$1:$E$105,2,FALSE))),"SIN INFORMACIÓN")</f>
        <v>No mantener distancia de seguridad.</v>
      </c>
      <c r="AP830" s="7"/>
      <c r="AQ830" s="36" t="str">
        <f>IFERROR(((VLOOKUP(Tabla1[[#This Row],[HIPOTESIS_2]],listas!$D$1:$E$105,2,FALSE))),"")</f>
        <v/>
      </c>
      <c r="AR830" s="1" t="str">
        <f>IF(HOUR(Tabla1[[#This Row],[HORA_ACCIDENTE]])&lt;6,"MAÑANA",
 IF(HOUR(Tabla1[[#This Row],[HORA_ACCIDENTE]])&lt;12,"MAÑANA",
 IF(HOUR(Tabla1[[#This Row],[HORA_ACCIDENTE]])&lt;18,"TARDE","NOCHE")))</f>
        <v>TARDE</v>
      </c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  <c r="BD830" s="40"/>
    </row>
    <row r="831" spans="1:56" x14ac:dyDescent="0.25">
      <c r="A831" s="12">
        <v>462</v>
      </c>
      <c r="B831" s="140">
        <v>0</v>
      </c>
      <c r="C831" s="32">
        <v>2</v>
      </c>
      <c r="D831" s="32">
        <v>0</v>
      </c>
      <c r="E831" s="18" t="str">
        <f t="shared" si="48"/>
        <v>LESIONADO</v>
      </c>
      <c r="F831" s="29" t="s">
        <v>972</v>
      </c>
      <c r="G831" s="21">
        <v>5.3408572222222217</v>
      </c>
      <c r="H831" s="21">
        <v>-72.386051944444446</v>
      </c>
      <c r="I831" s="93" t="s">
        <v>697</v>
      </c>
      <c r="J831" s="7" t="s">
        <v>717</v>
      </c>
      <c r="K831" s="24" t="str">
        <f t="shared" si="49"/>
        <v>2023</v>
      </c>
      <c r="L831" s="24" t="str">
        <f t="shared" si="50"/>
        <v>ABRIL</v>
      </c>
      <c r="M831" s="232">
        <v>45042</v>
      </c>
      <c r="N831" s="24" t="str">
        <f t="shared" si="51"/>
        <v>MIÉRCOLES</v>
      </c>
      <c r="O831" s="106">
        <v>0.67499999999999993</v>
      </c>
      <c r="P831" s="186" t="s">
        <v>469</v>
      </c>
      <c r="Q831" s="186" t="s">
        <v>447</v>
      </c>
      <c r="R831" s="36">
        <f>COUNTIF(Tabla1[[#This Row],[VEHICULOS_ACCIDENTADOS]:[VEHICULOS_ACCIDENTADOS2]],"MOTOCICLETA")</f>
        <v>1</v>
      </c>
      <c r="S831" s="36">
        <f>COUNTIF(Tabla1[[#This Row],[VEHICULOS_ACCIDENTADOS]:[VEHICULOS_ACCIDENTADOS2]],"MOTOCARRO")</f>
        <v>0</v>
      </c>
      <c r="T831" s="36">
        <f>COUNTIF(Tabla1[[#This Row],[VEHICULOS_ACCIDENTADOS]:[VEHICULOS_ACCIDENTADOS2]],"AUTOMOVIL")</f>
        <v>1</v>
      </c>
      <c r="U831" s="36">
        <f>COUNTIF(Tabla1[[#This Row],[VEHICULOS_ACCIDENTADOS]:[VEHICULOS_ACCIDENTADOS2]],"CAMPERO")</f>
        <v>0</v>
      </c>
      <c r="V831" s="36">
        <f>COUNTIF(Tabla1[[#This Row],[VEHICULOS_ACCIDENTADOS]:[VEHICULOS_ACCIDENTADOS2]],"CAMIONETA")</f>
        <v>0</v>
      </c>
      <c r="W831" s="36">
        <f>COUNTIF(Tabla1[[#This Row],[VEHICULOS_ACCIDENTADOS]:[VEHICULOS_ACCIDENTADOS2]],"MICROBUS")</f>
        <v>0</v>
      </c>
      <c r="X831" s="36">
        <f>COUNTIF(Tabla1[[#This Row],[VEHICULOS_ACCIDENTADOS]:[VEHICULOS_ACCIDENTADOS2]],"BUS")</f>
        <v>0</v>
      </c>
      <c r="Y831" s="36">
        <f>COUNTIF(Tabla1[[#This Row],[VEHICULOS_ACCIDENTADOS]:[VEHICULOS_ACCIDENTADOS2]],"BUSETA")</f>
        <v>0</v>
      </c>
      <c r="Z831" s="36">
        <f>COUNTIF(Tabla1[[#This Row],[VEHICULOS_ACCIDENTADOS]:[VEHICULOS_ACCIDENTADOS2]],"CAMION")</f>
        <v>0</v>
      </c>
      <c r="AA831" s="36">
        <f>COUNTIF(Tabla1[[#This Row],[VEHICULOS_ACCIDENTADOS]:[VEHICULOS_ACCIDENTADOS2]],"TRACTOCAMION")</f>
        <v>0</v>
      </c>
      <c r="AB831" s="36">
        <f>COUNTIF(Tabla1[[#This Row],[VEHICULOS_ACCIDENTADOS]:[VEHICULOS_ACCIDENTADOS2]],"VOLQUETA")</f>
        <v>0</v>
      </c>
      <c r="AC831" s="36">
        <f>COUNTIF(Tabla1[[#This Row],[VEHICULOS_ACCIDENTADOS]:[VEHICULOS_ACCIDENTADOS2]],"BICICLETA")</f>
        <v>0</v>
      </c>
      <c r="AD831" s="38"/>
      <c r="AE831" s="38" t="s">
        <v>472</v>
      </c>
      <c r="AF831" s="38">
        <f>COUNTIF(Tabla1[[#This Row],[GENERO_MASCULINO]:[GENERO_FEMENINO]],"MASCULINO")</f>
        <v>0</v>
      </c>
      <c r="AG831" s="36">
        <f>COUNTIF(Tabla1[[#This Row],[GENERO_MASCULINO]:[GENERO_FEMENINO]],"FEMENINO")</f>
        <v>1</v>
      </c>
      <c r="AH831" s="88">
        <v>23</v>
      </c>
      <c r="AI831" s="88"/>
      <c r="AJ831" s="89"/>
      <c r="AK831" s="89"/>
      <c r="AL831" s="89">
        <v>2</v>
      </c>
      <c r="AM831" s="31"/>
      <c r="AN831" s="193">
        <v>1</v>
      </c>
      <c r="AO831" s="36" t="str">
        <f>IFERROR(((VLOOKUP(Tabla1[[#This Row],[HIPOTESIS_1]],listas!$D$1:$E$105,2,FALSE))),"SIN INFORMACIÓN")</f>
        <v>SIN INFORMACIÓN</v>
      </c>
      <c r="AP831" s="32"/>
      <c r="AQ831" s="36" t="str">
        <f>IFERROR(((VLOOKUP(Tabla1[[#This Row],[HIPOTESIS_2]],listas!$D$1:$E$105,2,FALSE))),"")</f>
        <v/>
      </c>
      <c r="AR831" s="1" t="str">
        <f>IF(HOUR(Tabla1[[#This Row],[HORA_ACCIDENTE]])&lt;6,"MAÑANA",
 IF(HOUR(Tabla1[[#This Row],[HORA_ACCIDENTE]])&lt;12,"MAÑANA",
 IF(HOUR(Tabla1[[#This Row],[HORA_ACCIDENTE]])&lt;18,"TARDE","NOCHE")))</f>
        <v>TARDE</v>
      </c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40"/>
    </row>
    <row r="832" spans="1:56" x14ac:dyDescent="0.25">
      <c r="A832" s="12">
        <v>287</v>
      </c>
      <c r="B832" s="38">
        <v>0</v>
      </c>
      <c r="C832" s="7">
        <v>1</v>
      </c>
      <c r="D832" s="7">
        <v>0</v>
      </c>
      <c r="E832" s="18" t="str">
        <f t="shared" si="48"/>
        <v>LESIONADO</v>
      </c>
      <c r="F832" s="29" t="s">
        <v>974</v>
      </c>
      <c r="G832" s="17">
        <v>5.3381266666666667</v>
      </c>
      <c r="H832" s="17">
        <v>-72.384352222222233</v>
      </c>
      <c r="I832" s="93" t="s">
        <v>697</v>
      </c>
      <c r="J832" s="7" t="s">
        <v>717</v>
      </c>
      <c r="K832" s="24" t="str">
        <f t="shared" si="49"/>
        <v>2022</v>
      </c>
      <c r="L832" s="24" t="str">
        <f t="shared" si="50"/>
        <v>AGOSTO</v>
      </c>
      <c r="M832" s="232">
        <v>44795</v>
      </c>
      <c r="N832" s="24" t="str">
        <f t="shared" si="51"/>
        <v>LUNES</v>
      </c>
      <c r="O832" s="174">
        <v>0.34027777777777801</v>
      </c>
      <c r="P832" s="180" t="s">
        <v>469</v>
      </c>
      <c r="Q832" s="180" t="s">
        <v>447</v>
      </c>
      <c r="R832" s="36">
        <f>COUNTIF(Tabla1[[#This Row],[VEHICULOS_ACCIDENTADOS]:[VEHICULOS_ACCIDENTADOS2]],"MOTOCICLETA")</f>
        <v>1</v>
      </c>
      <c r="S832" s="36">
        <f>COUNTIF(Tabla1[[#This Row],[VEHICULOS_ACCIDENTADOS]:[VEHICULOS_ACCIDENTADOS2]],"MOTOCARRO")</f>
        <v>0</v>
      </c>
      <c r="T832" s="36">
        <f>COUNTIF(Tabla1[[#This Row],[VEHICULOS_ACCIDENTADOS]:[VEHICULOS_ACCIDENTADOS2]],"AUTOMOVIL")</f>
        <v>1</v>
      </c>
      <c r="U832" s="36">
        <f>COUNTIF(Tabla1[[#This Row],[VEHICULOS_ACCIDENTADOS]:[VEHICULOS_ACCIDENTADOS2]],"CAMPERO")</f>
        <v>0</v>
      </c>
      <c r="V832" s="36">
        <f>COUNTIF(Tabla1[[#This Row],[VEHICULOS_ACCIDENTADOS]:[VEHICULOS_ACCIDENTADOS2]],"CAMIONETA")</f>
        <v>0</v>
      </c>
      <c r="W832" s="36">
        <f>COUNTIF(Tabla1[[#This Row],[VEHICULOS_ACCIDENTADOS]:[VEHICULOS_ACCIDENTADOS2]],"MICROBUS")</f>
        <v>0</v>
      </c>
      <c r="X832" s="36">
        <f>COUNTIF(Tabla1[[#This Row],[VEHICULOS_ACCIDENTADOS]:[VEHICULOS_ACCIDENTADOS2]],"BUS")</f>
        <v>0</v>
      </c>
      <c r="Y832" s="36">
        <f>COUNTIF(Tabla1[[#This Row],[VEHICULOS_ACCIDENTADOS]:[VEHICULOS_ACCIDENTADOS2]],"BUSETA")</f>
        <v>0</v>
      </c>
      <c r="Z832" s="36">
        <f>COUNTIF(Tabla1[[#This Row],[VEHICULOS_ACCIDENTADOS]:[VEHICULOS_ACCIDENTADOS2]],"CAMION")</f>
        <v>0</v>
      </c>
      <c r="AA832" s="36">
        <f>COUNTIF(Tabla1[[#This Row],[VEHICULOS_ACCIDENTADOS]:[VEHICULOS_ACCIDENTADOS2]],"TRACTOCAMION")</f>
        <v>0</v>
      </c>
      <c r="AB832" s="36">
        <f>COUNTIF(Tabla1[[#This Row],[VEHICULOS_ACCIDENTADOS]:[VEHICULOS_ACCIDENTADOS2]],"VOLQUETA")</f>
        <v>0</v>
      </c>
      <c r="AC832" s="36">
        <f>COUNTIF(Tabla1[[#This Row],[VEHICULOS_ACCIDENTADOS]:[VEHICULOS_ACCIDENTADOS2]],"BICICLETA")</f>
        <v>0</v>
      </c>
      <c r="AD832" s="38"/>
      <c r="AE832" s="38" t="s">
        <v>472</v>
      </c>
      <c r="AF832" s="38">
        <f>COUNTIF(Tabla1[[#This Row],[GENERO_MASCULINO]:[GENERO_FEMENINO]],"MASCULINO")</f>
        <v>0</v>
      </c>
      <c r="AG832" s="36">
        <f>COUNTIF(Tabla1[[#This Row],[GENERO_MASCULINO]:[GENERO_FEMENINO]],"FEMENINO")</f>
        <v>1</v>
      </c>
      <c r="AH832" s="73">
        <v>31</v>
      </c>
      <c r="AI832" s="73"/>
      <c r="AJ832" s="73"/>
      <c r="AK832" s="73"/>
      <c r="AL832" s="73"/>
      <c r="AM832" s="7"/>
      <c r="AN832" s="73">
        <v>121</v>
      </c>
      <c r="AO832" s="36" t="str">
        <f>IFERROR(((VLOOKUP(Tabla1[[#This Row],[HIPOTESIS_1]],listas!$D$1:$E$105,2,FALSE))),"SIN INFORMACIÓN")</f>
        <v>No mantener distancia de seguridad.</v>
      </c>
      <c r="AP832" s="7"/>
      <c r="AQ832" s="36" t="str">
        <f>IFERROR(((VLOOKUP(Tabla1[[#This Row],[HIPOTESIS_2]],listas!$D$1:$E$105,2,FALSE))),"")</f>
        <v/>
      </c>
      <c r="AR832" s="1" t="str">
        <f>IF(HOUR(Tabla1[[#This Row],[HORA_ACCIDENTE]])&lt;6,"MAÑANA",
 IF(HOUR(Tabla1[[#This Row],[HORA_ACCIDENTE]])&lt;12,"MAÑANA",
 IF(HOUR(Tabla1[[#This Row],[HORA_ACCIDENTE]])&lt;18,"TARDE","NOCHE")))</f>
        <v>MAÑANA</v>
      </c>
      <c r="AS832" s="15"/>
      <c r="AT832" s="6"/>
      <c r="AU832" s="6"/>
      <c r="AV832" s="6"/>
      <c r="AW832" s="6"/>
      <c r="AX832" s="15"/>
      <c r="AY832" s="15"/>
      <c r="AZ832" s="15"/>
      <c r="BA832" s="15"/>
      <c r="BB832" s="15"/>
      <c r="BC832" s="15"/>
      <c r="BD832" s="40"/>
    </row>
    <row r="833" spans="1:56" x14ac:dyDescent="0.25">
      <c r="A833" s="12">
        <v>892</v>
      </c>
      <c r="B833" s="97">
        <v>0</v>
      </c>
      <c r="C833" s="15">
        <v>1</v>
      </c>
      <c r="D833" s="15">
        <v>0</v>
      </c>
      <c r="E833" s="18" t="str">
        <f t="shared" si="48"/>
        <v>LESIONADO</v>
      </c>
      <c r="F833" s="26" t="s">
        <v>975</v>
      </c>
      <c r="G833" s="21">
        <v>5.3337159999999999</v>
      </c>
      <c r="H833" s="21">
        <v>-72.381630000000001</v>
      </c>
      <c r="I833" s="93" t="s">
        <v>697</v>
      </c>
      <c r="J833" s="21" t="s">
        <v>717</v>
      </c>
      <c r="K833" s="24" t="str">
        <f t="shared" si="49"/>
        <v>2025</v>
      </c>
      <c r="L833" s="24" t="str">
        <f t="shared" si="50"/>
        <v>MARZO</v>
      </c>
      <c r="M833" s="234">
        <v>45719</v>
      </c>
      <c r="N833" s="24" t="str">
        <f t="shared" si="51"/>
        <v>LUNES</v>
      </c>
      <c r="O833" s="108">
        <v>0.65972222222222221</v>
      </c>
      <c r="P833" s="44" t="s">
        <v>469</v>
      </c>
      <c r="Q833" s="44" t="s">
        <v>446</v>
      </c>
      <c r="R833" s="36">
        <f>COUNTIF(Tabla1[[#This Row],[VEHICULOS_ACCIDENTADOS]:[VEHICULOS_ACCIDENTADOS2]],"MOTOCICLETA")</f>
        <v>1</v>
      </c>
      <c r="S833" s="36">
        <f>COUNTIF(Tabla1[[#This Row],[VEHICULOS_ACCIDENTADOS]:[VEHICULOS_ACCIDENTADOS2]],"MOTOCARRO")</f>
        <v>0</v>
      </c>
      <c r="T833" s="36">
        <f>COUNTIF(Tabla1[[#This Row],[VEHICULOS_ACCIDENTADOS]:[VEHICULOS_ACCIDENTADOS2]],"AUTOMOVIL")</f>
        <v>0</v>
      </c>
      <c r="U833" s="36">
        <f>COUNTIF(Tabla1[[#This Row],[VEHICULOS_ACCIDENTADOS]:[VEHICULOS_ACCIDENTADOS2]],"CAMPERO")</f>
        <v>1</v>
      </c>
      <c r="V833" s="36">
        <f>COUNTIF(Tabla1[[#This Row],[VEHICULOS_ACCIDENTADOS]:[VEHICULOS_ACCIDENTADOS2]],"CAMIONETA")</f>
        <v>0</v>
      </c>
      <c r="W833" s="36">
        <f>COUNTIF(Tabla1[[#This Row],[VEHICULOS_ACCIDENTADOS]:[VEHICULOS_ACCIDENTADOS2]],"MICROBUS")</f>
        <v>0</v>
      </c>
      <c r="X833" s="36">
        <f>COUNTIF(Tabla1[[#This Row],[VEHICULOS_ACCIDENTADOS]:[VEHICULOS_ACCIDENTADOS2]],"BUS")</f>
        <v>0</v>
      </c>
      <c r="Y833" s="36">
        <f>COUNTIF(Tabla1[[#This Row],[VEHICULOS_ACCIDENTADOS]:[VEHICULOS_ACCIDENTADOS2]],"BUSETA")</f>
        <v>0</v>
      </c>
      <c r="Z833" s="36">
        <f>COUNTIF(Tabla1[[#This Row],[VEHICULOS_ACCIDENTADOS]:[VEHICULOS_ACCIDENTADOS2]],"CAMION")</f>
        <v>0</v>
      </c>
      <c r="AA833" s="36">
        <f>COUNTIF(Tabla1[[#This Row],[VEHICULOS_ACCIDENTADOS]:[VEHICULOS_ACCIDENTADOS2]],"TRACTOCAMION")</f>
        <v>0</v>
      </c>
      <c r="AB833" s="36">
        <f>COUNTIF(Tabla1[[#This Row],[VEHICULOS_ACCIDENTADOS]:[VEHICULOS_ACCIDENTADOS2]],"VOLQUETA")</f>
        <v>0</v>
      </c>
      <c r="AC833" s="36">
        <f>COUNTIF(Tabla1[[#This Row],[VEHICULOS_ACCIDENTADOS]:[VEHICULOS_ACCIDENTADOS2]],"BICICLETA")</f>
        <v>0</v>
      </c>
      <c r="AD833" s="43" t="s">
        <v>471</v>
      </c>
      <c r="AE833" s="43" t="s">
        <v>471</v>
      </c>
      <c r="AF833" s="43">
        <f>COUNTIF(Tabla1[[#This Row],[GENERO_MASCULINO]:[GENERO_FEMENINO]],"MASCULINO")</f>
        <v>2</v>
      </c>
      <c r="AG833" s="36">
        <f>COUNTIF(Tabla1[[#This Row],[GENERO_MASCULINO]:[GENERO_FEMENINO]],"FEMENINO")</f>
        <v>0</v>
      </c>
      <c r="AH833" s="86">
        <v>26</v>
      </c>
      <c r="AI833" s="86">
        <v>17</v>
      </c>
      <c r="AJ833" s="86"/>
      <c r="AK833" s="86"/>
      <c r="AL833" s="86"/>
      <c r="AM833" s="15"/>
      <c r="AN833" s="86">
        <v>121</v>
      </c>
      <c r="AO833" s="36" t="str">
        <f>IFERROR(((VLOOKUP(Tabla1[[#This Row],[HIPOTESIS_1]],listas!$D$1:$E$105,2,FALSE))),"SIN INFORMACIÓN")</f>
        <v>No mantener distancia de seguridad.</v>
      </c>
      <c r="AP833" s="15"/>
      <c r="AQ833" s="36" t="str">
        <f>IFERROR(((VLOOKUP(Tabla1[[#This Row],[HIPOTESIS_2]],listas!$D$1:$E$105,2,FALSE))),"")</f>
        <v/>
      </c>
      <c r="AR833" s="1" t="str">
        <f>IF(HOUR(Tabla1[[#This Row],[HORA_ACCIDENTE]])&lt;6,"MAÑANA",
 IF(HOUR(Tabla1[[#This Row],[HORA_ACCIDENTE]])&lt;12,"MAÑANA",
 IF(HOUR(Tabla1[[#This Row],[HORA_ACCIDENTE]])&lt;18,"TARDE","NOCHE")))</f>
        <v>TARDE</v>
      </c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40"/>
    </row>
    <row r="834" spans="1:56" x14ac:dyDescent="0.25">
      <c r="A834" s="12">
        <v>34</v>
      </c>
      <c r="B834" s="38">
        <v>1</v>
      </c>
      <c r="C834" s="7">
        <v>0</v>
      </c>
      <c r="D834" s="7">
        <v>0</v>
      </c>
      <c r="E834" s="18" t="str">
        <f t="shared" ref="E834:E897" si="52">IF(D834&gt;=1,"FALLECIDO",IF(C834&gt;=1,"LESIONADO",IF(B834&gt;=1,"SOLO DAÑO","")))</f>
        <v>SOLO DAÑO</v>
      </c>
      <c r="F834" s="29" t="s">
        <v>976</v>
      </c>
      <c r="G834" s="17">
        <v>5.3314777777777778</v>
      </c>
      <c r="H834" s="17">
        <v>-72.380216666666655</v>
      </c>
      <c r="I834" s="93" t="s">
        <v>697</v>
      </c>
      <c r="J834" s="7" t="s">
        <v>717</v>
      </c>
      <c r="K834" s="24" t="str">
        <f t="shared" ref="K834:K897" si="53">UPPER(TEXT(M834,"YYYY"))</f>
        <v>2022</v>
      </c>
      <c r="L834" s="24" t="str">
        <f t="shared" ref="L834:L897" si="54">UPPER(TEXT(M834,"MMMM"))</f>
        <v>ENERO</v>
      </c>
      <c r="M834" s="232">
        <v>44588</v>
      </c>
      <c r="N834" s="24" t="str">
        <f t="shared" ref="N834:N897" si="55">UPPER(TEXT(M834,"DDDD"))</f>
        <v>JUEVES</v>
      </c>
      <c r="O834" s="106">
        <v>0.81944444444444497</v>
      </c>
      <c r="P834" s="8" t="s">
        <v>447</v>
      </c>
      <c r="Q834" s="8" t="s">
        <v>447</v>
      </c>
      <c r="R834" s="36">
        <f>COUNTIF(Tabla1[[#This Row],[VEHICULOS_ACCIDENTADOS]:[VEHICULOS_ACCIDENTADOS2]],"MOTOCICLETA")</f>
        <v>0</v>
      </c>
      <c r="S834" s="36">
        <f>COUNTIF(Tabla1[[#This Row],[VEHICULOS_ACCIDENTADOS]:[VEHICULOS_ACCIDENTADOS2]],"MOTOCARRO")</f>
        <v>0</v>
      </c>
      <c r="T834" s="36">
        <f>COUNTIF(Tabla1[[#This Row],[VEHICULOS_ACCIDENTADOS]:[VEHICULOS_ACCIDENTADOS2]],"AUTOMOVIL")</f>
        <v>2</v>
      </c>
      <c r="U834" s="36">
        <f>COUNTIF(Tabla1[[#This Row],[VEHICULOS_ACCIDENTADOS]:[VEHICULOS_ACCIDENTADOS2]],"CAMPERO")</f>
        <v>0</v>
      </c>
      <c r="V834" s="36">
        <f>COUNTIF(Tabla1[[#This Row],[VEHICULOS_ACCIDENTADOS]:[VEHICULOS_ACCIDENTADOS2]],"CAMIONETA")</f>
        <v>0</v>
      </c>
      <c r="W834" s="36">
        <f>COUNTIF(Tabla1[[#This Row],[VEHICULOS_ACCIDENTADOS]:[VEHICULOS_ACCIDENTADOS2]],"MICROBUS")</f>
        <v>0</v>
      </c>
      <c r="X834" s="36">
        <f>COUNTIF(Tabla1[[#This Row],[VEHICULOS_ACCIDENTADOS]:[VEHICULOS_ACCIDENTADOS2]],"BUS")</f>
        <v>0</v>
      </c>
      <c r="Y834" s="36">
        <f>COUNTIF(Tabla1[[#This Row],[VEHICULOS_ACCIDENTADOS]:[VEHICULOS_ACCIDENTADOS2]],"BUSETA")</f>
        <v>0</v>
      </c>
      <c r="Z834" s="36">
        <f>COUNTIF(Tabla1[[#This Row],[VEHICULOS_ACCIDENTADOS]:[VEHICULOS_ACCIDENTADOS2]],"CAMION")</f>
        <v>0</v>
      </c>
      <c r="AA834" s="36">
        <f>COUNTIF(Tabla1[[#This Row],[VEHICULOS_ACCIDENTADOS]:[VEHICULOS_ACCIDENTADOS2]],"TRACTOCAMION")</f>
        <v>0</v>
      </c>
      <c r="AB834" s="36">
        <f>COUNTIF(Tabla1[[#This Row],[VEHICULOS_ACCIDENTADOS]:[VEHICULOS_ACCIDENTADOS2]],"VOLQUETA")</f>
        <v>0</v>
      </c>
      <c r="AC834" s="36">
        <f>COUNTIF(Tabla1[[#This Row],[VEHICULOS_ACCIDENTADOS]:[VEHICULOS_ACCIDENTADOS2]],"BICICLETA")</f>
        <v>0</v>
      </c>
      <c r="AD834" s="38" t="s">
        <v>471</v>
      </c>
      <c r="AE834" s="38"/>
      <c r="AF834" s="38">
        <f>COUNTIF(Tabla1[[#This Row],[GENERO_MASCULINO]:[GENERO_FEMENINO]],"MASCULINO")</f>
        <v>1</v>
      </c>
      <c r="AG834" s="36">
        <f>COUNTIF(Tabla1[[#This Row],[GENERO_MASCULINO]:[GENERO_FEMENINO]],"FEMENINO")</f>
        <v>0</v>
      </c>
      <c r="AH834" s="73"/>
      <c r="AI834" s="73"/>
      <c r="AJ834" s="73"/>
      <c r="AK834" s="73"/>
      <c r="AL834" s="73"/>
      <c r="AM834" s="7"/>
      <c r="AN834" s="73">
        <v>115</v>
      </c>
      <c r="AO834" s="36" t="str">
        <f>IFERROR(((VLOOKUP(Tabla1[[#This Row],[HIPOTESIS_1]],listas!$D$1:$E$105,2,FALSE))),"SIN INFORMACIÓN")</f>
        <v>Embriaguez o Sustancias alucinogenas</v>
      </c>
      <c r="AP834" s="7"/>
      <c r="AQ834" s="36" t="str">
        <f>IFERROR(((VLOOKUP(Tabla1[[#This Row],[HIPOTESIS_2]],listas!$D$1:$E$105,2,FALSE))),"")</f>
        <v/>
      </c>
      <c r="AR834" s="1" t="str">
        <f>IF(HOUR(Tabla1[[#This Row],[HORA_ACCIDENTE]])&lt;6,"MAÑANA",
 IF(HOUR(Tabla1[[#This Row],[HORA_ACCIDENTE]])&lt;12,"MAÑANA",
 IF(HOUR(Tabla1[[#This Row],[HORA_ACCIDENTE]])&lt;18,"TARDE","NOCHE")))</f>
        <v>NOCHE</v>
      </c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  <c r="BD834" s="40"/>
    </row>
    <row r="835" spans="1:56" x14ac:dyDescent="0.25">
      <c r="A835" s="12">
        <v>13</v>
      </c>
      <c r="B835" s="38">
        <v>0</v>
      </c>
      <c r="C835" s="7">
        <v>1</v>
      </c>
      <c r="D835" s="7">
        <v>0</v>
      </c>
      <c r="E835" s="18" t="str">
        <f t="shared" si="52"/>
        <v>LESIONADO</v>
      </c>
      <c r="F835" s="29" t="s">
        <v>977</v>
      </c>
      <c r="G835" s="17">
        <v>5.3489944444444442</v>
      </c>
      <c r="H835" s="17">
        <v>-72.392166666666668</v>
      </c>
      <c r="I835" s="93" t="s">
        <v>697</v>
      </c>
      <c r="J835" s="7" t="s">
        <v>717</v>
      </c>
      <c r="K835" s="24" t="str">
        <f t="shared" si="53"/>
        <v>2022</v>
      </c>
      <c r="L835" s="24" t="str">
        <f t="shared" si="54"/>
        <v>ENERO</v>
      </c>
      <c r="M835" s="232">
        <v>44575</v>
      </c>
      <c r="N835" s="24" t="str">
        <f t="shared" si="55"/>
        <v>VIERNES</v>
      </c>
      <c r="O835" s="106">
        <v>0.82638888888888895</v>
      </c>
      <c r="P835" s="8" t="s">
        <v>469</v>
      </c>
      <c r="Q835" s="8" t="s">
        <v>447</v>
      </c>
      <c r="R835" s="36">
        <f>COUNTIF(Tabla1[[#This Row],[VEHICULOS_ACCIDENTADOS]:[VEHICULOS_ACCIDENTADOS2]],"MOTOCICLETA")</f>
        <v>1</v>
      </c>
      <c r="S835" s="36">
        <f>COUNTIF(Tabla1[[#This Row],[VEHICULOS_ACCIDENTADOS]:[VEHICULOS_ACCIDENTADOS2]],"MOTOCARRO")</f>
        <v>0</v>
      </c>
      <c r="T835" s="36">
        <f>COUNTIF(Tabla1[[#This Row],[VEHICULOS_ACCIDENTADOS]:[VEHICULOS_ACCIDENTADOS2]],"AUTOMOVIL")</f>
        <v>1</v>
      </c>
      <c r="U835" s="36">
        <f>COUNTIF(Tabla1[[#This Row],[VEHICULOS_ACCIDENTADOS]:[VEHICULOS_ACCIDENTADOS2]],"CAMPERO")</f>
        <v>0</v>
      </c>
      <c r="V835" s="36">
        <f>COUNTIF(Tabla1[[#This Row],[VEHICULOS_ACCIDENTADOS]:[VEHICULOS_ACCIDENTADOS2]],"CAMIONETA")</f>
        <v>0</v>
      </c>
      <c r="W835" s="36">
        <f>COUNTIF(Tabla1[[#This Row],[VEHICULOS_ACCIDENTADOS]:[VEHICULOS_ACCIDENTADOS2]],"MICROBUS")</f>
        <v>0</v>
      </c>
      <c r="X835" s="36">
        <f>COUNTIF(Tabla1[[#This Row],[VEHICULOS_ACCIDENTADOS]:[VEHICULOS_ACCIDENTADOS2]],"BUS")</f>
        <v>0</v>
      </c>
      <c r="Y835" s="36">
        <f>COUNTIF(Tabla1[[#This Row],[VEHICULOS_ACCIDENTADOS]:[VEHICULOS_ACCIDENTADOS2]],"BUSETA")</f>
        <v>0</v>
      </c>
      <c r="Z835" s="36">
        <f>COUNTIF(Tabla1[[#This Row],[VEHICULOS_ACCIDENTADOS]:[VEHICULOS_ACCIDENTADOS2]],"CAMION")</f>
        <v>0</v>
      </c>
      <c r="AA835" s="36">
        <f>COUNTIF(Tabla1[[#This Row],[VEHICULOS_ACCIDENTADOS]:[VEHICULOS_ACCIDENTADOS2]],"TRACTOCAMION")</f>
        <v>0</v>
      </c>
      <c r="AB835" s="36">
        <f>COUNTIF(Tabla1[[#This Row],[VEHICULOS_ACCIDENTADOS]:[VEHICULOS_ACCIDENTADOS2]],"VOLQUETA")</f>
        <v>0</v>
      </c>
      <c r="AC835" s="36">
        <f>COUNTIF(Tabla1[[#This Row],[VEHICULOS_ACCIDENTADOS]:[VEHICULOS_ACCIDENTADOS2]],"BICICLETA")</f>
        <v>0</v>
      </c>
      <c r="AD835" s="38" t="s">
        <v>471</v>
      </c>
      <c r="AE835" s="38"/>
      <c r="AF835" s="38">
        <f>COUNTIF(Tabla1[[#This Row],[GENERO_MASCULINO]:[GENERO_FEMENINO]],"MASCULINO")</f>
        <v>1</v>
      </c>
      <c r="AG835" s="36">
        <f>COUNTIF(Tabla1[[#This Row],[GENERO_MASCULINO]:[GENERO_FEMENINO]],"FEMENINO")</f>
        <v>0</v>
      </c>
      <c r="AH835" s="73">
        <v>22</v>
      </c>
      <c r="AI835" s="73"/>
      <c r="AJ835" s="73"/>
      <c r="AK835" s="73"/>
      <c r="AL835" s="73"/>
      <c r="AM835" s="7"/>
      <c r="AN835" s="73">
        <v>157</v>
      </c>
      <c r="AO835" s="36" t="str">
        <f>IFERROR(((VLOOKUP(Tabla1[[#This Row],[HIPOTESIS_1]],listas!$D$1:$E$105,2,FALSE))),"SIN INFORMACIÓN")</f>
        <v>Otra</v>
      </c>
      <c r="AP835" s="7"/>
      <c r="AQ835" s="36" t="str">
        <f>IFERROR(((VLOOKUP(Tabla1[[#This Row],[HIPOTESIS_2]],listas!$D$1:$E$105,2,FALSE))),"")</f>
        <v/>
      </c>
      <c r="AR835" s="1" t="str">
        <f>IF(HOUR(Tabla1[[#This Row],[HORA_ACCIDENTE]])&lt;6,"MAÑANA",
 IF(HOUR(Tabla1[[#This Row],[HORA_ACCIDENTE]])&lt;12,"MAÑANA",
 IF(HOUR(Tabla1[[#This Row],[HORA_ACCIDENTE]])&lt;18,"TARDE","NOCHE")))</f>
        <v>NOCHE</v>
      </c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40"/>
    </row>
    <row r="836" spans="1:56" x14ac:dyDescent="0.25">
      <c r="A836" s="12">
        <v>28</v>
      </c>
      <c r="B836" s="38">
        <v>0</v>
      </c>
      <c r="C836" s="7">
        <v>1</v>
      </c>
      <c r="D836" s="7">
        <v>0</v>
      </c>
      <c r="E836" s="18" t="str">
        <f t="shared" si="52"/>
        <v>LESIONADO</v>
      </c>
      <c r="F836" s="29" t="s">
        <v>1075</v>
      </c>
      <c r="G836" s="17">
        <v>5.3470250000000004</v>
      </c>
      <c r="H836" s="17">
        <v>-72.390389999999996</v>
      </c>
      <c r="I836" s="93" t="s">
        <v>697</v>
      </c>
      <c r="J836" s="7" t="s">
        <v>717</v>
      </c>
      <c r="K836" s="24" t="str">
        <f t="shared" si="53"/>
        <v>2022</v>
      </c>
      <c r="L836" s="24" t="str">
        <f t="shared" si="54"/>
        <v>ENERO</v>
      </c>
      <c r="M836" s="232">
        <v>44590</v>
      </c>
      <c r="N836" s="24" t="str">
        <f t="shared" si="55"/>
        <v>SÁBADO</v>
      </c>
      <c r="O836" s="106">
        <v>0.56527777777777799</v>
      </c>
      <c r="P836" s="8" t="s">
        <v>469</v>
      </c>
      <c r="Q836" s="8"/>
      <c r="R836" s="36">
        <f>COUNTIF(Tabla1[[#This Row],[VEHICULOS_ACCIDENTADOS]:[VEHICULOS_ACCIDENTADOS2]],"MOTOCICLETA")</f>
        <v>1</v>
      </c>
      <c r="S836" s="36">
        <f>COUNTIF(Tabla1[[#This Row],[VEHICULOS_ACCIDENTADOS]:[VEHICULOS_ACCIDENTADOS2]],"MOTOCARRO")</f>
        <v>0</v>
      </c>
      <c r="T836" s="36">
        <f>COUNTIF(Tabla1[[#This Row],[VEHICULOS_ACCIDENTADOS]:[VEHICULOS_ACCIDENTADOS2]],"AUTOMOVIL")</f>
        <v>0</v>
      </c>
      <c r="U836" s="36">
        <f>COUNTIF(Tabla1[[#This Row],[VEHICULOS_ACCIDENTADOS]:[VEHICULOS_ACCIDENTADOS2]],"CAMPERO")</f>
        <v>0</v>
      </c>
      <c r="V836" s="36">
        <f>COUNTIF(Tabla1[[#This Row],[VEHICULOS_ACCIDENTADOS]:[VEHICULOS_ACCIDENTADOS2]],"CAMIONETA")</f>
        <v>0</v>
      </c>
      <c r="W836" s="36">
        <f>COUNTIF(Tabla1[[#This Row],[VEHICULOS_ACCIDENTADOS]:[VEHICULOS_ACCIDENTADOS2]],"MICROBUS")</f>
        <v>0</v>
      </c>
      <c r="X836" s="36">
        <f>COUNTIF(Tabla1[[#This Row],[VEHICULOS_ACCIDENTADOS]:[VEHICULOS_ACCIDENTADOS2]],"BUS")</f>
        <v>0</v>
      </c>
      <c r="Y836" s="36">
        <f>COUNTIF(Tabla1[[#This Row],[VEHICULOS_ACCIDENTADOS]:[VEHICULOS_ACCIDENTADOS2]],"BUSETA")</f>
        <v>0</v>
      </c>
      <c r="Z836" s="36">
        <f>COUNTIF(Tabla1[[#This Row],[VEHICULOS_ACCIDENTADOS]:[VEHICULOS_ACCIDENTADOS2]],"CAMION")</f>
        <v>0</v>
      </c>
      <c r="AA836" s="36">
        <f>COUNTIF(Tabla1[[#This Row],[VEHICULOS_ACCIDENTADOS]:[VEHICULOS_ACCIDENTADOS2]],"TRACTOCAMION")</f>
        <v>0</v>
      </c>
      <c r="AB836" s="36">
        <f>COUNTIF(Tabla1[[#This Row],[VEHICULOS_ACCIDENTADOS]:[VEHICULOS_ACCIDENTADOS2]],"VOLQUETA")</f>
        <v>0</v>
      </c>
      <c r="AC836" s="36">
        <f>COUNTIF(Tabla1[[#This Row],[VEHICULOS_ACCIDENTADOS]:[VEHICULOS_ACCIDENTADOS2]],"BICICLETA")</f>
        <v>0</v>
      </c>
      <c r="AD836" s="38" t="s">
        <v>471</v>
      </c>
      <c r="AE836" s="38"/>
      <c r="AF836" s="38">
        <f>COUNTIF(Tabla1[[#This Row],[GENERO_MASCULINO]:[GENERO_FEMENINO]],"MASCULINO")</f>
        <v>1</v>
      </c>
      <c r="AG836" s="36">
        <f>COUNTIF(Tabla1[[#This Row],[GENERO_MASCULINO]:[GENERO_FEMENINO]],"FEMENINO")</f>
        <v>0</v>
      </c>
      <c r="AH836" s="73"/>
      <c r="AI836" s="73"/>
      <c r="AJ836" s="73"/>
      <c r="AK836" s="73">
        <v>63</v>
      </c>
      <c r="AL836" s="73"/>
      <c r="AM836" s="7"/>
      <c r="AN836" s="73">
        <v>139</v>
      </c>
      <c r="AO836" s="36" t="str">
        <f>IFERROR(((VLOOKUP(Tabla1[[#This Row],[HIPOTESIS_1]],listas!$D$1:$E$105,2,FALSE))),"SIN INFORMACIÓN")</f>
        <v>Impericia en el manejo.</v>
      </c>
      <c r="AP836" s="7"/>
      <c r="AQ836" s="36" t="str">
        <f>IFERROR(((VLOOKUP(Tabla1[[#This Row],[HIPOTESIS_2]],listas!$D$1:$E$105,2,FALSE))),"")</f>
        <v/>
      </c>
      <c r="AR836" s="1" t="str">
        <f>IF(HOUR(Tabla1[[#This Row],[HORA_ACCIDENTE]])&lt;6,"MAÑANA",
 IF(HOUR(Tabla1[[#This Row],[HORA_ACCIDENTE]])&lt;12,"MAÑANA",
 IF(HOUR(Tabla1[[#This Row],[HORA_ACCIDENTE]])&lt;18,"TARDE","NOCHE")))</f>
        <v>TARDE</v>
      </c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  <c r="BC836" s="15"/>
      <c r="BD836" s="40"/>
    </row>
    <row r="837" spans="1:56" x14ac:dyDescent="0.25">
      <c r="A837" s="12">
        <v>198</v>
      </c>
      <c r="B837" s="38">
        <v>0</v>
      </c>
      <c r="C837" s="7">
        <v>2</v>
      </c>
      <c r="D837" s="7">
        <v>0</v>
      </c>
      <c r="E837" s="18" t="str">
        <f t="shared" si="52"/>
        <v>LESIONADO</v>
      </c>
      <c r="F837" s="29" t="s">
        <v>1075</v>
      </c>
      <c r="G837" s="17">
        <v>5.3470250000000004</v>
      </c>
      <c r="H837" s="17">
        <v>-72.390389999999996</v>
      </c>
      <c r="I837" s="93" t="s">
        <v>697</v>
      </c>
      <c r="J837" s="7" t="s">
        <v>717</v>
      </c>
      <c r="K837" s="24" t="str">
        <f t="shared" si="53"/>
        <v>2022</v>
      </c>
      <c r="L837" s="24" t="str">
        <f t="shared" si="54"/>
        <v>MAYO</v>
      </c>
      <c r="M837" s="232">
        <v>44705</v>
      </c>
      <c r="N837" s="24" t="str">
        <f t="shared" si="55"/>
        <v>MARTES</v>
      </c>
      <c r="O837" s="106">
        <v>0.89930555555555503</v>
      </c>
      <c r="P837" s="8" t="s">
        <v>469</v>
      </c>
      <c r="Q837" s="8" t="s">
        <v>446</v>
      </c>
      <c r="R837" s="36">
        <f>COUNTIF(Tabla1[[#This Row],[VEHICULOS_ACCIDENTADOS]:[VEHICULOS_ACCIDENTADOS2]],"MOTOCICLETA")</f>
        <v>1</v>
      </c>
      <c r="S837" s="36">
        <f>COUNTIF(Tabla1[[#This Row],[VEHICULOS_ACCIDENTADOS]:[VEHICULOS_ACCIDENTADOS2]],"MOTOCARRO")</f>
        <v>0</v>
      </c>
      <c r="T837" s="36">
        <f>COUNTIF(Tabla1[[#This Row],[VEHICULOS_ACCIDENTADOS]:[VEHICULOS_ACCIDENTADOS2]],"AUTOMOVIL")</f>
        <v>0</v>
      </c>
      <c r="U837" s="36">
        <f>COUNTIF(Tabla1[[#This Row],[VEHICULOS_ACCIDENTADOS]:[VEHICULOS_ACCIDENTADOS2]],"CAMPERO")</f>
        <v>1</v>
      </c>
      <c r="V837" s="36">
        <f>COUNTIF(Tabla1[[#This Row],[VEHICULOS_ACCIDENTADOS]:[VEHICULOS_ACCIDENTADOS2]],"CAMIONETA")</f>
        <v>0</v>
      </c>
      <c r="W837" s="36">
        <f>COUNTIF(Tabla1[[#This Row],[VEHICULOS_ACCIDENTADOS]:[VEHICULOS_ACCIDENTADOS2]],"MICROBUS")</f>
        <v>0</v>
      </c>
      <c r="X837" s="36">
        <f>COUNTIF(Tabla1[[#This Row],[VEHICULOS_ACCIDENTADOS]:[VEHICULOS_ACCIDENTADOS2]],"BUS")</f>
        <v>0</v>
      </c>
      <c r="Y837" s="36">
        <f>COUNTIF(Tabla1[[#This Row],[VEHICULOS_ACCIDENTADOS]:[VEHICULOS_ACCIDENTADOS2]],"BUSETA")</f>
        <v>0</v>
      </c>
      <c r="Z837" s="36">
        <f>COUNTIF(Tabla1[[#This Row],[VEHICULOS_ACCIDENTADOS]:[VEHICULOS_ACCIDENTADOS2]],"CAMION")</f>
        <v>0</v>
      </c>
      <c r="AA837" s="36">
        <f>COUNTIF(Tabla1[[#This Row],[VEHICULOS_ACCIDENTADOS]:[VEHICULOS_ACCIDENTADOS2]],"TRACTOCAMION")</f>
        <v>0</v>
      </c>
      <c r="AB837" s="36">
        <f>COUNTIF(Tabla1[[#This Row],[VEHICULOS_ACCIDENTADOS]:[VEHICULOS_ACCIDENTADOS2]],"VOLQUETA")</f>
        <v>0</v>
      </c>
      <c r="AC837" s="36">
        <f>COUNTIF(Tabla1[[#This Row],[VEHICULOS_ACCIDENTADOS]:[VEHICULOS_ACCIDENTADOS2]],"BICICLETA")</f>
        <v>0</v>
      </c>
      <c r="AD837" s="38" t="s">
        <v>471</v>
      </c>
      <c r="AE837" s="38" t="s">
        <v>472</v>
      </c>
      <c r="AF837" s="38">
        <f>COUNTIF(Tabla1[[#This Row],[GENERO_MASCULINO]:[GENERO_FEMENINO]],"MASCULINO")</f>
        <v>1</v>
      </c>
      <c r="AG837" s="36">
        <f>COUNTIF(Tabla1[[#This Row],[GENERO_MASCULINO]:[GENERO_FEMENINO]],"FEMENINO")</f>
        <v>1</v>
      </c>
      <c r="AH837" s="73">
        <v>22</v>
      </c>
      <c r="AI837" s="73"/>
      <c r="AJ837" s="73"/>
      <c r="AK837" s="73"/>
      <c r="AL837" s="73">
        <v>46</v>
      </c>
      <c r="AM837" s="7"/>
      <c r="AN837" s="73">
        <v>121</v>
      </c>
      <c r="AO837" s="36" t="str">
        <f>IFERROR(((VLOOKUP(Tabla1[[#This Row],[HIPOTESIS_1]],listas!$D$1:$E$105,2,FALSE))),"SIN INFORMACIÓN")</f>
        <v>No mantener distancia de seguridad.</v>
      </c>
      <c r="AP837" s="7"/>
      <c r="AQ837" s="36" t="str">
        <f>IFERROR(((VLOOKUP(Tabla1[[#This Row],[HIPOTESIS_2]],listas!$D$1:$E$105,2,FALSE))),"")</f>
        <v/>
      </c>
      <c r="AR837" s="1" t="str">
        <f>IF(HOUR(Tabla1[[#This Row],[HORA_ACCIDENTE]])&lt;6,"MAÑANA",
 IF(HOUR(Tabla1[[#This Row],[HORA_ACCIDENTE]])&lt;12,"MAÑANA",
 IF(HOUR(Tabla1[[#This Row],[HORA_ACCIDENTE]])&lt;18,"TARDE","NOCHE")))</f>
        <v>NOCHE</v>
      </c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40"/>
    </row>
    <row r="838" spans="1:56" x14ac:dyDescent="0.25">
      <c r="A838" s="12">
        <v>440</v>
      </c>
      <c r="B838" s="38">
        <v>0</v>
      </c>
      <c r="C838" s="7">
        <v>1</v>
      </c>
      <c r="D838" s="7">
        <v>0</v>
      </c>
      <c r="E838" s="18" t="str">
        <f t="shared" si="52"/>
        <v>LESIONADO</v>
      </c>
      <c r="F838" s="29" t="s">
        <v>1076</v>
      </c>
      <c r="G838" s="21">
        <v>5.3464413888888886</v>
      </c>
      <c r="H838" s="21">
        <v>-72.389745555555564</v>
      </c>
      <c r="I838" s="93" t="s">
        <v>697</v>
      </c>
      <c r="J838" s="7" t="s">
        <v>717</v>
      </c>
      <c r="K838" s="24" t="str">
        <f t="shared" si="53"/>
        <v>2023</v>
      </c>
      <c r="L838" s="24" t="str">
        <f t="shared" si="54"/>
        <v>MARZO</v>
      </c>
      <c r="M838" s="232">
        <v>45010</v>
      </c>
      <c r="N838" s="24" t="str">
        <f t="shared" si="55"/>
        <v>SÁBADO</v>
      </c>
      <c r="O838" s="106">
        <v>0.90277777777777779</v>
      </c>
      <c r="P838" s="39" t="s">
        <v>469</v>
      </c>
      <c r="Q838" s="39" t="s">
        <v>469</v>
      </c>
      <c r="R838" s="36">
        <f>COUNTIF(Tabla1[[#This Row],[VEHICULOS_ACCIDENTADOS]:[VEHICULOS_ACCIDENTADOS2]],"MOTOCICLETA")</f>
        <v>2</v>
      </c>
      <c r="S838" s="36">
        <f>COUNTIF(Tabla1[[#This Row],[VEHICULOS_ACCIDENTADOS]:[VEHICULOS_ACCIDENTADOS2]],"MOTOCARRO")</f>
        <v>0</v>
      </c>
      <c r="T838" s="36">
        <f>COUNTIF(Tabla1[[#This Row],[VEHICULOS_ACCIDENTADOS]:[VEHICULOS_ACCIDENTADOS2]],"AUTOMOVIL")</f>
        <v>0</v>
      </c>
      <c r="U838" s="36">
        <f>COUNTIF(Tabla1[[#This Row],[VEHICULOS_ACCIDENTADOS]:[VEHICULOS_ACCIDENTADOS2]],"CAMPERO")</f>
        <v>0</v>
      </c>
      <c r="V838" s="36">
        <f>COUNTIF(Tabla1[[#This Row],[VEHICULOS_ACCIDENTADOS]:[VEHICULOS_ACCIDENTADOS2]],"CAMIONETA")</f>
        <v>0</v>
      </c>
      <c r="W838" s="36">
        <f>COUNTIF(Tabla1[[#This Row],[VEHICULOS_ACCIDENTADOS]:[VEHICULOS_ACCIDENTADOS2]],"MICROBUS")</f>
        <v>0</v>
      </c>
      <c r="X838" s="36">
        <f>COUNTIF(Tabla1[[#This Row],[VEHICULOS_ACCIDENTADOS]:[VEHICULOS_ACCIDENTADOS2]],"BUS")</f>
        <v>0</v>
      </c>
      <c r="Y838" s="36">
        <f>COUNTIF(Tabla1[[#This Row],[VEHICULOS_ACCIDENTADOS]:[VEHICULOS_ACCIDENTADOS2]],"BUSETA")</f>
        <v>0</v>
      </c>
      <c r="Z838" s="36">
        <f>COUNTIF(Tabla1[[#This Row],[VEHICULOS_ACCIDENTADOS]:[VEHICULOS_ACCIDENTADOS2]],"CAMION")</f>
        <v>0</v>
      </c>
      <c r="AA838" s="36">
        <f>COUNTIF(Tabla1[[#This Row],[VEHICULOS_ACCIDENTADOS]:[VEHICULOS_ACCIDENTADOS2]],"TRACTOCAMION")</f>
        <v>0</v>
      </c>
      <c r="AB838" s="36">
        <f>COUNTIF(Tabla1[[#This Row],[VEHICULOS_ACCIDENTADOS]:[VEHICULOS_ACCIDENTADOS2]],"VOLQUETA")</f>
        <v>0</v>
      </c>
      <c r="AC838" s="36">
        <f>COUNTIF(Tabla1[[#This Row],[VEHICULOS_ACCIDENTADOS]:[VEHICULOS_ACCIDENTADOS2]],"BICICLETA")</f>
        <v>0</v>
      </c>
      <c r="AD838" s="38"/>
      <c r="AE838" s="38" t="s">
        <v>472</v>
      </c>
      <c r="AF838" s="38">
        <f>COUNTIF(Tabla1[[#This Row],[GENERO_MASCULINO]:[GENERO_FEMENINO]],"MASCULINO")</f>
        <v>0</v>
      </c>
      <c r="AG838" s="36">
        <f>COUNTIF(Tabla1[[#This Row],[GENERO_MASCULINO]:[GENERO_FEMENINO]],"FEMENINO")</f>
        <v>1</v>
      </c>
      <c r="AH838" s="73">
        <v>29</v>
      </c>
      <c r="AI838" s="73"/>
      <c r="AJ838" s="73"/>
      <c r="AK838" s="73"/>
      <c r="AL838" s="73"/>
      <c r="AM838" s="7"/>
      <c r="AN838" s="73">
        <v>115</v>
      </c>
      <c r="AO838" s="36" t="str">
        <f>IFERROR(((VLOOKUP(Tabla1[[#This Row],[HIPOTESIS_1]],listas!$D$1:$E$105,2,FALSE))),"SIN INFORMACIÓN")</f>
        <v>Embriaguez o Sustancias alucinogenas</v>
      </c>
      <c r="AP838" s="7"/>
      <c r="AQ838" s="36" t="str">
        <f>IFERROR(((VLOOKUP(Tabla1[[#This Row],[HIPOTESIS_2]],listas!$D$1:$E$105,2,FALSE))),"")</f>
        <v/>
      </c>
      <c r="AR838" s="1" t="str">
        <f>IF(HOUR(Tabla1[[#This Row],[HORA_ACCIDENTE]])&lt;6,"MAÑANA",
 IF(HOUR(Tabla1[[#This Row],[HORA_ACCIDENTE]])&lt;12,"MAÑANA",
 IF(HOUR(Tabla1[[#This Row],[HORA_ACCIDENTE]])&lt;18,"TARDE","NOCHE")))</f>
        <v>NOCHE</v>
      </c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  <c r="BD838" s="40"/>
    </row>
    <row r="839" spans="1:56" x14ac:dyDescent="0.25">
      <c r="A839" s="12">
        <v>650</v>
      </c>
      <c r="B839" s="97">
        <v>0</v>
      </c>
      <c r="C839" s="15">
        <v>1</v>
      </c>
      <c r="D839" s="15">
        <v>0</v>
      </c>
      <c r="E839" s="18" t="str">
        <f t="shared" si="52"/>
        <v>LESIONADO</v>
      </c>
      <c r="F839" s="26" t="s">
        <v>1077</v>
      </c>
      <c r="G839" s="17">
        <v>5.3448583333333328</v>
      </c>
      <c r="H839" s="17">
        <v>-72.388841666666679</v>
      </c>
      <c r="I839" s="93" t="s">
        <v>697</v>
      </c>
      <c r="J839" s="15" t="s">
        <v>717</v>
      </c>
      <c r="K839" s="24" t="str">
        <f t="shared" si="53"/>
        <v>2024</v>
      </c>
      <c r="L839" s="24" t="str">
        <f t="shared" si="54"/>
        <v>ENERO</v>
      </c>
      <c r="M839" s="234">
        <v>45317</v>
      </c>
      <c r="N839" s="24" t="str">
        <f t="shared" si="55"/>
        <v>VIERNES</v>
      </c>
      <c r="O839" s="108">
        <v>0.77083333333333337</v>
      </c>
      <c r="P839" s="44" t="s">
        <v>444</v>
      </c>
      <c r="Q839" s="44"/>
      <c r="R839" s="36">
        <f>COUNTIF(Tabla1[[#This Row],[VEHICULOS_ACCIDENTADOS]:[VEHICULOS_ACCIDENTADOS2]],"MOTOCICLETA")</f>
        <v>0</v>
      </c>
      <c r="S839" s="36">
        <f>COUNTIF(Tabla1[[#This Row],[VEHICULOS_ACCIDENTADOS]:[VEHICULOS_ACCIDENTADOS2]],"MOTOCARRO")</f>
        <v>0</v>
      </c>
      <c r="T839" s="36">
        <f>COUNTIF(Tabla1[[#This Row],[VEHICULOS_ACCIDENTADOS]:[VEHICULOS_ACCIDENTADOS2]],"AUTOMOVIL")</f>
        <v>0</v>
      </c>
      <c r="U839" s="36">
        <f>COUNTIF(Tabla1[[#This Row],[VEHICULOS_ACCIDENTADOS]:[VEHICULOS_ACCIDENTADOS2]],"CAMPERO")</f>
        <v>0</v>
      </c>
      <c r="V839" s="36">
        <f>COUNTIF(Tabla1[[#This Row],[VEHICULOS_ACCIDENTADOS]:[VEHICULOS_ACCIDENTADOS2]],"CAMIONETA")</f>
        <v>0</v>
      </c>
      <c r="W839" s="36">
        <f>COUNTIF(Tabla1[[#This Row],[VEHICULOS_ACCIDENTADOS]:[VEHICULOS_ACCIDENTADOS2]],"MICROBUS")</f>
        <v>1</v>
      </c>
      <c r="X839" s="36">
        <f>COUNTIF(Tabla1[[#This Row],[VEHICULOS_ACCIDENTADOS]:[VEHICULOS_ACCIDENTADOS2]],"BUS")</f>
        <v>0</v>
      </c>
      <c r="Y839" s="36">
        <f>COUNTIF(Tabla1[[#This Row],[VEHICULOS_ACCIDENTADOS]:[VEHICULOS_ACCIDENTADOS2]],"BUSETA")</f>
        <v>0</v>
      </c>
      <c r="Z839" s="36">
        <f>COUNTIF(Tabla1[[#This Row],[VEHICULOS_ACCIDENTADOS]:[VEHICULOS_ACCIDENTADOS2]],"CAMION")</f>
        <v>0</v>
      </c>
      <c r="AA839" s="36">
        <f>COUNTIF(Tabla1[[#This Row],[VEHICULOS_ACCIDENTADOS]:[VEHICULOS_ACCIDENTADOS2]],"TRACTOCAMION")</f>
        <v>0</v>
      </c>
      <c r="AB839" s="36">
        <f>COUNTIF(Tabla1[[#This Row],[VEHICULOS_ACCIDENTADOS]:[VEHICULOS_ACCIDENTADOS2]],"VOLQUETA")</f>
        <v>0</v>
      </c>
      <c r="AC839" s="36">
        <f>COUNTIF(Tabla1[[#This Row],[VEHICULOS_ACCIDENTADOS]:[VEHICULOS_ACCIDENTADOS2]],"BICICLETA")</f>
        <v>0</v>
      </c>
      <c r="AD839" s="43" t="s">
        <v>471</v>
      </c>
      <c r="AE839" s="43" t="s">
        <v>472</v>
      </c>
      <c r="AF839" s="43">
        <f>COUNTIF(Tabla1[[#This Row],[GENERO_MASCULINO]:[GENERO_FEMENINO]],"MASCULINO")</f>
        <v>1</v>
      </c>
      <c r="AG839" s="36">
        <f>COUNTIF(Tabla1[[#This Row],[GENERO_MASCULINO]:[GENERO_FEMENINO]],"FEMENINO")</f>
        <v>1</v>
      </c>
      <c r="AH839" s="86">
        <v>33</v>
      </c>
      <c r="AI839" s="86">
        <v>24</v>
      </c>
      <c r="AJ839" s="86"/>
      <c r="AK839" s="86"/>
      <c r="AL839" s="86"/>
      <c r="AM839" s="15"/>
      <c r="AN839" s="86">
        <v>154</v>
      </c>
      <c r="AO839" s="36" t="str">
        <f>IFERROR(((VLOOKUP(Tabla1[[#This Row],[HIPOTESIS_1]],listas!$D$1:$E$105,2,FALSE))),"SIN INFORMACIÓN")</f>
        <v>Transitar con puertas abiertas.</v>
      </c>
      <c r="AP839" s="15"/>
      <c r="AQ839" s="36" t="str">
        <f>IFERROR(((VLOOKUP(Tabla1[[#This Row],[HIPOTESIS_2]],listas!$D$1:$E$105,2,FALSE))),"")</f>
        <v/>
      </c>
      <c r="AR839" s="1" t="str">
        <f>IF(HOUR(Tabla1[[#This Row],[HORA_ACCIDENTE]])&lt;6,"MAÑANA",
 IF(HOUR(Tabla1[[#This Row],[HORA_ACCIDENTE]])&lt;12,"MAÑANA",
 IF(HOUR(Tabla1[[#This Row],[HORA_ACCIDENTE]])&lt;18,"TARDE","NOCHE")))</f>
        <v>NOCHE</v>
      </c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40"/>
    </row>
    <row r="840" spans="1:56" x14ac:dyDescent="0.25">
      <c r="A840" s="12">
        <v>931</v>
      </c>
      <c r="B840" s="97">
        <v>0</v>
      </c>
      <c r="C840" s="7">
        <v>1</v>
      </c>
      <c r="D840" s="15">
        <v>0</v>
      </c>
      <c r="E840" s="18" t="str">
        <f t="shared" si="52"/>
        <v>LESIONADO</v>
      </c>
      <c r="F840" s="29" t="s">
        <v>1077</v>
      </c>
      <c r="G840" s="17">
        <v>5.3448583333333328</v>
      </c>
      <c r="H840" s="17">
        <v>-72.388841666666679</v>
      </c>
      <c r="I840" s="93" t="s">
        <v>697</v>
      </c>
      <c r="J840" s="7" t="s">
        <v>717</v>
      </c>
      <c r="K840" s="24" t="str">
        <f t="shared" si="53"/>
        <v>2025</v>
      </c>
      <c r="L840" s="24" t="str">
        <f t="shared" si="54"/>
        <v>ABRIL</v>
      </c>
      <c r="M840" s="232">
        <v>45757</v>
      </c>
      <c r="N840" s="24" t="str">
        <f t="shared" si="55"/>
        <v>JUEVES</v>
      </c>
      <c r="O840" s="106">
        <v>0.38194444444444442</v>
      </c>
      <c r="P840" s="7" t="s">
        <v>469</v>
      </c>
      <c r="Q840" s="7" t="s">
        <v>447</v>
      </c>
      <c r="R840" s="36">
        <f>COUNTIF(Tabla1[[#This Row],[VEHICULOS_ACCIDENTADOS]:[VEHICULOS_ACCIDENTADOS2]],"MOTOCICLETA")</f>
        <v>1</v>
      </c>
      <c r="S840" s="36">
        <f>COUNTIF(Tabla1[[#This Row],[VEHICULOS_ACCIDENTADOS]:[VEHICULOS_ACCIDENTADOS2]],"MOTOCARRO")</f>
        <v>0</v>
      </c>
      <c r="T840" s="36">
        <f>COUNTIF(Tabla1[[#This Row],[VEHICULOS_ACCIDENTADOS]:[VEHICULOS_ACCIDENTADOS2]],"AUTOMOVIL")</f>
        <v>1</v>
      </c>
      <c r="U840" s="36">
        <f>COUNTIF(Tabla1[[#This Row],[VEHICULOS_ACCIDENTADOS]:[VEHICULOS_ACCIDENTADOS2]],"CAMPERO")</f>
        <v>0</v>
      </c>
      <c r="V840" s="36">
        <f>COUNTIF(Tabla1[[#This Row],[VEHICULOS_ACCIDENTADOS]:[VEHICULOS_ACCIDENTADOS2]],"CAMIONETA")</f>
        <v>0</v>
      </c>
      <c r="W840" s="36">
        <f>COUNTIF(Tabla1[[#This Row],[VEHICULOS_ACCIDENTADOS]:[VEHICULOS_ACCIDENTADOS2]],"MICROBUS")</f>
        <v>0</v>
      </c>
      <c r="X840" s="36">
        <f>COUNTIF(Tabla1[[#This Row],[VEHICULOS_ACCIDENTADOS]:[VEHICULOS_ACCIDENTADOS2]],"BUS")</f>
        <v>0</v>
      </c>
      <c r="Y840" s="36">
        <f>COUNTIF(Tabla1[[#This Row],[VEHICULOS_ACCIDENTADOS]:[VEHICULOS_ACCIDENTADOS2]],"BUSETA")</f>
        <v>0</v>
      </c>
      <c r="Z840" s="36">
        <f>COUNTIF(Tabla1[[#This Row],[VEHICULOS_ACCIDENTADOS]:[VEHICULOS_ACCIDENTADOS2]],"CAMION")</f>
        <v>0</v>
      </c>
      <c r="AA840" s="36">
        <f>COUNTIF(Tabla1[[#This Row],[VEHICULOS_ACCIDENTADOS]:[VEHICULOS_ACCIDENTADOS2]],"TRACTOCAMION")</f>
        <v>0</v>
      </c>
      <c r="AB840" s="36">
        <f>COUNTIF(Tabla1[[#This Row],[VEHICULOS_ACCIDENTADOS]:[VEHICULOS_ACCIDENTADOS2]],"VOLQUETA")</f>
        <v>0</v>
      </c>
      <c r="AC840" s="36">
        <f>COUNTIF(Tabla1[[#This Row],[VEHICULOS_ACCIDENTADOS]:[VEHICULOS_ACCIDENTADOS2]],"BICICLETA")</f>
        <v>0</v>
      </c>
      <c r="AD840" s="38" t="s">
        <v>471</v>
      </c>
      <c r="AE840" s="38" t="s">
        <v>472</v>
      </c>
      <c r="AF840" s="38">
        <f>COUNTIF(Tabla1[[#This Row],[GENERO_MASCULINO]:[GENERO_FEMENINO]],"MASCULINO")</f>
        <v>1</v>
      </c>
      <c r="AG840" s="36">
        <f>COUNTIF(Tabla1[[#This Row],[GENERO_MASCULINO]:[GENERO_FEMENINO]],"FEMENINO")</f>
        <v>1</v>
      </c>
      <c r="AH840" s="86">
        <v>52</v>
      </c>
      <c r="AI840" s="86">
        <v>42</v>
      </c>
      <c r="AJ840" s="86"/>
      <c r="AK840" s="87"/>
      <c r="AL840" s="87"/>
      <c r="AM840" s="6"/>
      <c r="AN840" s="73">
        <v>146</v>
      </c>
      <c r="AO840" s="36" t="str">
        <f>IFERROR(((VLOOKUP(Tabla1[[#This Row],[HIPOTESIS_1]],listas!$D$1:$E$105,2,FALSE))),"SIN INFORMACIÓN")</f>
        <v>Realizar giro en “U”.</v>
      </c>
      <c r="AP840" s="7"/>
      <c r="AQ840" s="36" t="str">
        <f>IFERROR(((VLOOKUP(Tabla1[[#This Row],[HIPOTESIS_2]],listas!$D$1:$E$105,2,FALSE))),"")</f>
        <v/>
      </c>
      <c r="AR840" s="1" t="str">
        <f>IF(HOUR(Tabla1[[#This Row],[HORA_ACCIDENTE]])&lt;6,"MAÑANA",
 IF(HOUR(Tabla1[[#This Row],[HORA_ACCIDENTE]])&lt;12,"MAÑANA",
 IF(HOUR(Tabla1[[#This Row],[HORA_ACCIDENTE]])&lt;18,"TARDE","NOCHE")))</f>
        <v>MAÑANA</v>
      </c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  <c r="BD840" s="40"/>
    </row>
    <row r="841" spans="1:56" x14ac:dyDescent="0.25">
      <c r="A841" s="12">
        <v>357</v>
      </c>
      <c r="B841" s="38">
        <v>0</v>
      </c>
      <c r="C841" s="7">
        <v>1</v>
      </c>
      <c r="D841" s="7">
        <v>0</v>
      </c>
      <c r="E841" s="18" t="str">
        <f t="shared" si="52"/>
        <v>LESIONADO</v>
      </c>
      <c r="F841" s="29" t="s">
        <v>1077</v>
      </c>
      <c r="G841" s="17">
        <v>5.3448583333333328</v>
      </c>
      <c r="H841" s="17">
        <v>-72.388841666666679</v>
      </c>
      <c r="I841" s="93" t="s">
        <v>697</v>
      </c>
      <c r="J841" s="7" t="s">
        <v>717</v>
      </c>
      <c r="K841" s="24" t="str">
        <f t="shared" si="53"/>
        <v>2022</v>
      </c>
      <c r="L841" s="24" t="str">
        <f t="shared" si="54"/>
        <v>NOVIEMBRE</v>
      </c>
      <c r="M841" s="232">
        <v>44885</v>
      </c>
      <c r="N841" s="24" t="str">
        <f t="shared" si="55"/>
        <v>DOMINGO</v>
      </c>
      <c r="O841" s="174">
        <v>0.40972222222222199</v>
      </c>
      <c r="P841" s="180" t="s">
        <v>469</v>
      </c>
      <c r="Q841" s="180" t="s">
        <v>445</v>
      </c>
      <c r="R841" s="36">
        <f>COUNTIF(Tabla1[[#This Row],[VEHICULOS_ACCIDENTADOS]:[VEHICULOS_ACCIDENTADOS2]],"MOTOCICLETA")</f>
        <v>1</v>
      </c>
      <c r="S841" s="36">
        <f>COUNTIF(Tabla1[[#This Row],[VEHICULOS_ACCIDENTADOS]:[VEHICULOS_ACCIDENTADOS2]],"MOTOCARRO")</f>
        <v>0</v>
      </c>
      <c r="T841" s="36">
        <f>COUNTIF(Tabla1[[#This Row],[VEHICULOS_ACCIDENTADOS]:[VEHICULOS_ACCIDENTADOS2]],"AUTOMOVIL")</f>
        <v>0</v>
      </c>
      <c r="U841" s="36">
        <f>COUNTIF(Tabla1[[#This Row],[VEHICULOS_ACCIDENTADOS]:[VEHICULOS_ACCIDENTADOS2]],"CAMPERO")</f>
        <v>0</v>
      </c>
      <c r="V841" s="36">
        <f>COUNTIF(Tabla1[[#This Row],[VEHICULOS_ACCIDENTADOS]:[VEHICULOS_ACCIDENTADOS2]],"CAMIONETA")</f>
        <v>1</v>
      </c>
      <c r="W841" s="36">
        <f>COUNTIF(Tabla1[[#This Row],[VEHICULOS_ACCIDENTADOS]:[VEHICULOS_ACCIDENTADOS2]],"MICROBUS")</f>
        <v>0</v>
      </c>
      <c r="X841" s="36">
        <f>COUNTIF(Tabla1[[#This Row],[VEHICULOS_ACCIDENTADOS]:[VEHICULOS_ACCIDENTADOS2]],"BUS")</f>
        <v>0</v>
      </c>
      <c r="Y841" s="36">
        <f>COUNTIF(Tabla1[[#This Row],[VEHICULOS_ACCIDENTADOS]:[VEHICULOS_ACCIDENTADOS2]],"BUSETA")</f>
        <v>0</v>
      </c>
      <c r="Z841" s="36">
        <f>COUNTIF(Tabla1[[#This Row],[VEHICULOS_ACCIDENTADOS]:[VEHICULOS_ACCIDENTADOS2]],"CAMION")</f>
        <v>0</v>
      </c>
      <c r="AA841" s="36">
        <f>COUNTIF(Tabla1[[#This Row],[VEHICULOS_ACCIDENTADOS]:[VEHICULOS_ACCIDENTADOS2]],"TRACTOCAMION")</f>
        <v>0</v>
      </c>
      <c r="AB841" s="36">
        <f>COUNTIF(Tabla1[[#This Row],[VEHICULOS_ACCIDENTADOS]:[VEHICULOS_ACCIDENTADOS2]],"VOLQUETA")</f>
        <v>0</v>
      </c>
      <c r="AC841" s="36">
        <f>COUNTIF(Tabla1[[#This Row],[VEHICULOS_ACCIDENTADOS]:[VEHICULOS_ACCIDENTADOS2]],"BICICLETA")</f>
        <v>0</v>
      </c>
      <c r="AD841" s="38" t="s">
        <v>471</v>
      </c>
      <c r="AE841" s="38"/>
      <c r="AF841" s="38">
        <f>COUNTIF(Tabla1[[#This Row],[GENERO_MASCULINO]:[GENERO_FEMENINO]],"MASCULINO")</f>
        <v>1</v>
      </c>
      <c r="AG841" s="36">
        <f>COUNTIF(Tabla1[[#This Row],[GENERO_MASCULINO]:[GENERO_FEMENINO]],"FEMENINO")</f>
        <v>0</v>
      </c>
      <c r="AH841" s="73">
        <v>21</v>
      </c>
      <c r="AI841" s="73"/>
      <c r="AJ841" s="73"/>
      <c r="AK841" s="73"/>
      <c r="AL841" s="73"/>
      <c r="AM841" s="7"/>
      <c r="AN841" s="73">
        <v>121</v>
      </c>
      <c r="AO841" s="36" t="str">
        <f>IFERROR(((VLOOKUP(Tabla1[[#This Row],[HIPOTESIS_1]],listas!$D$1:$E$105,2,FALSE))),"SIN INFORMACIÓN")</f>
        <v>No mantener distancia de seguridad.</v>
      </c>
      <c r="AP841" s="7"/>
      <c r="AQ841" s="36" t="str">
        <f>IFERROR(((VLOOKUP(Tabla1[[#This Row],[HIPOTESIS_2]],listas!$D$1:$E$105,2,FALSE))),"")</f>
        <v/>
      </c>
      <c r="AR841" s="1" t="str">
        <f>IF(HOUR(Tabla1[[#This Row],[HORA_ACCIDENTE]])&lt;6,"MAÑANA",
 IF(HOUR(Tabla1[[#This Row],[HORA_ACCIDENTE]])&lt;12,"MAÑANA",
 IF(HOUR(Tabla1[[#This Row],[HORA_ACCIDENTE]])&lt;18,"TARDE","NOCHE")))</f>
        <v>MAÑANA</v>
      </c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40"/>
    </row>
    <row r="842" spans="1:56" x14ac:dyDescent="0.25">
      <c r="A842" s="12">
        <v>202</v>
      </c>
      <c r="B842" s="38">
        <v>1</v>
      </c>
      <c r="C842" s="7">
        <v>0</v>
      </c>
      <c r="D842" s="7">
        <v>0</v>
      </c>
      <c r="E842" s="18" t="str">
        <f t="shared" si="52"/>
        <v>SOLO DAÑO</v>
      </c>
      <c r="F842" s="29" t="s">
        <v>1079</v>
      </c>
      <c r="G842" s="17">
        <v>5.3417149999999998</v>
      </c>
      <c r="H842" s="17">
        <v>-72.386667000000003</v>
      </c>
      <c r="I842" s="93" t="s">
        <v>697</v>
      </c>
      <c r="J842" s="7" t="s">
        <v>717</v>
      </c>
      <c r="K842" s="24" t="str">
        <f t="shared" si="53"/>
        <v>2022</v>
      </c>
      <c r="L842" s="24" t="str">
        <f t="shared" si="54"/>
        <v>JUNIO</v>
      </c>
      <c r="M842" s="232">
        <v>44740</v>
      </c>
      <c r="N842" s="24" t="str">
        <f t="shared" si="55"/>
        <v>MARTES</v>
      </c>
      <c r="O842" s="106">
        <v>0.75</v>
      </c>
      <c r="P842" s="8" t="s">
        <v>469</v>
      </c>
      <c r="Q842" s="8" t="s">
        <v>447</v>
      </c>
      <c r="R842" s="36">
        <f>COUNTIF(Tabla1[[#This Row],[VEHICULOS_ACCIDENTADOS]:[VEHICULOS_ACCIDENTADOS2]],"MOTOCICLETA")</f>
        <v>1</v>
      </c>
      <c r="S842" s="36">
        <f>COUNTIF(Tabla1[[#This Row],[VEHICULOS_ACCIDENTADOS]:[VEHICULOS_ACCIDENTADOS2]],"MOTOCARRO")</f>
        <v>0</v>
      </c>
      <c r="T842" s="36">
        <f>COUNTIF(Tabla1[[#This Row],[VEHICULOS_ACCIDENTADOS]:[VEHICULOS_ACCIDENTADOS2]],"AUTOMOVIL")</f>
        <v>1</v>
      </c>
      <c r="U842" s="36">
        <f>COUNTIF(Tabla1[[#This Row],[VEHICULOS_ACCIDENTADOS]:[VEHICULOS_ACCIDENTADOS2]],"CAMPERO")</f>
        <v>0</v>
      </c>
      <c r="V842" s="36">
        <f>COUNTIF(Tabla1[[#This Row],[VEHICULOS_ACCIDENTADOS]:[VEHICULOS_ACCIDENTADOS2]],"CAMIONETA")</f>
        <v>0</v>
      </c>
      <c r="W842" s="36">
        <f>COUNTIF(Tabla1[[#This Row],[VEHICULOS_ACCIDENTADOS]:[VEHICULOS_ACCIDENTADOS2]],"MICROBUS")</f>
        <v>0</v>
      </c>
      <c r="X842" s="36">
        <f>COUNTIF(Tabla1[[#This Row],[VEHICULOS_ACCIDENTADOS]:[VEHICULOS_ACCIDENTADOS2]],"BUS")</f>
        <v>0</v>
      </c>
      <c r="Y842" s="36">
        <f>COUNTIF(Tabla1[[#This Row],[VEHICULOS_ACCIDENTADOS]:[VEHICULOS_ACCIDENTADOS2]],"BUSETA")</f>
        <v>0</v>
      </c>
      <c r="Z842" s="36">
        <f>COUNTIF(Tabla1[[#This Row],[VEHICULOS_ACCIDENTADOS]:[VEHICULOS_ACCIDENTADOS2]],"CAMION")</f>
        <v>0</v>
      </c>
      <c r="AA842" s="36">
        <f>COUNTIF(Tabla1[[#This Row],[VEHICULOS_ACCIDENTADOS]:[VEHICULOS_ACCIDENTADOS2]],"TRACTOCAMION")</f>
        <v>0</v>
      </c>
      <c r="AB842" s="36">
        <f>COUNTIF(Tabla1[[#This Row],[VEHICULOS_ACCIDENTADOS]:[VEHICULOS_ACCIDENTADOS2]],"VOLQUETA")</f>
        <v>0</v>
      </c>
      <c r="AC842" s="36">
        <f>COUNTIF(Tabla1[[#This Row],[VEHICULOS_ACCIDENTADOS]:[VEHICULOS_ACCIDENTADOS2]],"BICICLETA")</f>
        <v>0</v>
      </c>
      <c r="AD842" s="38" t="s">
        <v>471</v>
      </c>
      <c r="AE842" s="38"/>
      <c r="AF842" s="38">
        <f>COUNTIF(Tabla1[[#This Row],[GENERO_MASCULINO]:[GENERO_FEMENINO]],"MASCULINO")</f>
        <v>1</v>
      </c>
      <c r="AG842" s="36">
        <f>COUNTIF(Tabla1[[#This Row],[GENERO_MASCULINO]:[GENERO_FEMENINO]],"FEMENINO")</f>
        <v>0</v>
      </c>
      <c r="AH842" s="73"/>
      <c r="AI842" s="73"/>
      <c r="AJ842" s="73"/>
      <c r="AK842" s="73"/>
      <c r="AL842" s="73"/>
      <c r="AM842" s="7"/>
      <c r="AN842" s="73">
        <v>139</v>
      </c>
      <c r="AO842" s="36" t="str">
        <f>IFERROR(((VLOOKUP(Tabla1[[#This Row],[HIPOTESIS_1]],listas!$D$1:$E$105,2,FALSE))),"SIN INFORMACIÓN")</f>
        <v>Impericia en el manejo.</v>
      </c>
      <c r="AP842" s="7"/>
      <c r="AQ842" s="36" t="str">
        <f>IFERROR(((VLOOKUP(Tabla1[[#This Row],[HIPOTESIS_2]],listas!$D$1:$E$105,2,FALSE))),"")</f>
        <v/>
      </c>
      <c r="AR842" s="1" t="str">
        <f>IF(HOUR(Tabla1[[#This Row],[HORA_ACCIDENTE]])&lt;6,"MAÑANA",
 IF(HOUR(Tabla1[[#This Row],[HORA_ACCIDENTE]])&lt;12,"MAÑANA",
 IF(HOUR(Tabla1[[#This Row],[HORA_ACCIDENTE]])&lt;18,"TARDE","NOCHE")))</f>
        <v>NOCHE</v>
      </c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  <c r="BD842" s="40"/>
    </row>
    <row r="843" spans="1:56" x14ac:dyDescent="0.25">
      <c r="A843" s="12">
        <v>123</v>
      </c>
      <c r="B843" s="38">
        <v>1</v>
      </c>
      <c r="C843" s="7">
        <v>0</v>
      </c>
      <c r="D843" s="7">
        <v>0</v>
      </c>
      <c r="E843" s="18" t="str">
        <f t="shared" si="52"/>
        <v>SOLO DAÑO</v>
      </c>
      <c r="F843" s="29" t="s">
        <v>1079</v>
      </c>
      <c r="G843" s="17">
        <v>5.3417149999999998</v>
      </c>
      <c r="H843" s="17">
        <v>-72.386667000000003</v>
      </c>
      <c r="I843" s="93" t="s">
        <v>697</v>
      </c>
      <c r="J843" s="7" t="s">
        <v>717</v>
      </c>
      <c r="K843" s="24" t="str">
        <f t="shared" si="53"/>
        <v>2022</v>
      </c>
      <c r="L843" s="24" t="str">
        <f t="shared" si="54"/>
        <v>ABRIL</v>
      </c>
      <c r="M843" s="232">
        <v>44659</v>
      </c>
      <c r="N843" s="24" t="str">
        <f t="shared" si="55"/>
        <v>VIERNES</v>
      </c>
      <c r="O843" s="106">
        <v>0.54166666666666696</v>
      </c>
      <c r="P843" s="8" t="s">
        <v>447</v>
      </c>
      <c r="Q843" s="8" t="s">
        <v>445</v>
      </c>
      <c r="R843" s="36">
        <f>COUNTIF(Tabla1[[#This Row],[VEHICULOS_ACCIDENTADOS]:[VEHICULOS_ACCIDENTADOS2]],"MOTOCICLETA")</f>
        <v>0</v>
      </c>
      <c r="S843" s="36">
        <f>COUNTIF(Tabla1[[#This Row],[VEHICULOS_ACCIDENTADOS]:[VEHICULOS_ACCIDENTADOS2]],"MOTOCARRO")</f>
        <v>0</v>
      </c>
      <c r="T843" s="36">
        <f>COUNTIF(Tabla1[[#This Row],[VEHICULOS_ACCIDENTADOS]:[VEHICULOS_ACCIDENTADOS2]],"AUTOMOVIL")</f>
        <v>1</v>
      </c>
      <c r="U843" s="36">
        <f>COUNTIF(Tabla1[[#This Row],[VEHICULOS_ACCIDENTADOS]:[VEHICULOS_ACCIDENTADOS2]],"CAMPERO")</f>
        <v>0</v>
      </c>
      <c r="V843" s="36">
        <f>COUNTIF(Tabla1[[#This Row],[VEHICULOS_ACCIDENTADOS]:[VEHICULOS_ACCIDENTADOS2]],"CAMIONETA")</f>
        <v>1</v>
      </c>
      <c r="W843" s="36">
        <f>COUNTIF(Tabla1[[#This Row],[VEHICULOS_ACCIDENTADOS]:[VEHICULOS_ACCIDENTADOS2]],"MICROBUS")</f>
        <v>0</v>
      </c>
      <c r="X843" s="36">
        <f>COUNTIF(Tabla1[[#This Row],[VEHICULOS_ACCIDENTADOS]:[VEHICULOS_ACCIDENTADOS2]],"BUS")</f>
        <v>0</v>
      </c>
      <c r="Y843" s="36">
        <f>COUNTIF(Tabla1[[#This Row],[VEHICULOS_ACCIDENTADOS]:[VEHICULOS_ACCIDENTADOS2]],"BUSETA")</f>
        <v>0</v>
      </c>
      <c r="Z843" s="36">
        <f>COUNTIF(Tabla1[[#This Row],[VEHICULOS_ACCIDENTADOS]:[VEHICULOS_ACCIDENTADOS2]],"CAMION")</f>
        <v>0</v>
      </c>
      <c r="AA843" s="36">
        <f>COUNTIF(Tabla1[[#This Row],[VEHICULOS_ACCIDENTADOS]:[VEHICULOS_ACCIDENTADOS2]],"TRACTOCAMION")</f>
        <v>0</v>
      </c>
      <c r="AB843" s="36">
        <f>COUNTIF(Tabla1[[#This Row],[VEHICULOS_ACCIDENTADOS]:[VEHICULOS_ACCIDENTADOS2]],"VOLQUETA")</f>
        <v>0</v>
      </c>
      <c r="AC843" s="36">
        <f>COUNTIF(Tabla1[[#This Row],[VEHICULOS_ACCIDENTADOS]:[VEHICULOS_ACCIDENTADOS2]],"BICICLETA")</f>
        <v>0</v>
      </c>
      <c r="AD843" s="38" t="s">
        <v>471</v>
      </c>
      <c r="AE843" s="38" t="s">
        <v>472</v>
      </c>
      <c r="AF843" s="38">
        <f>COUNTIF(Tabla1[[#This Row],[GENERO_MASCULINO]:[GENERO_FEMENINO]],"MASCULINO")</f>
        <v>1</v>
      </c>
      <c r="AG843" s="36">
        <f>COUNTIF(Tabla1[[#This Row],[GENERO_MASCULINO]:[GENERO_FEMENINO]],"FEMENINO")</f>
        <v>1</v>
      </c>
      <c r="AH843" s="193"/>
      <c r="AI843" s="193"/>
      <c r="AJ843" s="89"/>
      <c r="AK843" s="193"/>
      <c r="AL843" s="193"/>
      <c r="AM843" s="32"/>
      <c r="AN843" s="193">
        <v>121</v>
      </c>
      <c r="AO843" s="36" t="str">
        <f>IFERROR(((VLOOKUP(Tabla1[[#This Row],[HIPOTESIS_1]],listas!$D$1:$E$105,2,FALSE))),"SIN INFORMACIÓN")</f>
        <v>No mantener distancia de seguridad.</v>
      </c>
      <c r="AP843" s="32"/>
      <c r="AQ843" s="36" t="str">
        <f>IFERROR(((VLOOKUP(Tabla1[[#This Row],[HIPOTESIS_2]],listas!$D$1:$E$105,2,FALSE))),"")</f>
        <v/>
      </c>
      <c r="AR843" s="1" t="str">
        <f>IF(HOUR(Tabla1[[#This Row],[HORA_ACCIDENTE]])&lt;6,"MAÑANA",
 IF(HOUR(Tabla1[[#This Row],[HORA_ACCIDENTE]])&lt;12,"MAÑANA",
 IF(HOUR(Tabla1[[#This Row],[HORA_ACCIDENTE]])&lt;18,"TARDE","NOCHE")))</f>
        <v>TARDE</v>
      </c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40"/>
    </row>
    <row r="844" spans="1:56" x14ac:dyDescent="0.25">
      <c r="A844" s="12">
        <v>295</v>
      </c>
      <c r="B844" s="38">
        <v>0</v>
      </c>
      <c r="C844" s="7">
        <v>1</v>
      </c>
      <c r="D844" s="7">
        <v>0</v>
      </c>
      <c r="E844" s="18" t="str">
        <f t="shared" si="52"/>
        <v>LESIONADO</v>
      </c>
      <c r="F844" s="29" t="s">
        <v>1080</v>
      </c>
      <c r="G844" s="17">
        <v>5.3386527777777779</v>
      </c>
      <c r="H844" s="17">
        <v>-72.384800000000013</v>
      </c>
      <c r="I844" s="93" t="s">
        <v>697</v>
      </c>
      <c r="J844" s="7" t="s">
        <v>717</v>
      </c>
      <c r="K844" s="24" t="str">
        <f t="shared" si="53"/>
        <v>2022</v>
      </c>
      <c r="L844" s="24" t="str">
        <f t="shared" si="54"/>
        <v>SEPTIEMBRE</v>
      </c>
      <c r="M844" s="232">
        <v>44806</v>
      </c>
      <c r="N844" s="24" t="str">
        <f t="shared" si="55"/>
        <v>VIERNES</v>
      </c>
      <c r="O844" s="174">
        <v>0.15277777777777801</v>
      </c>
      <c r="P844" s="180" t="s">
        <v>469</v>
      </c>
      <c r="Q844" s="180"/>
      <c r="R844" s="36">
        <f>COUNTIF(Tabla1[[#This Row],[VEHICULOS_ACCIDENTADOS]:[VEHICULOS_ACCIDENTADOS2]],"MOTOCICLETA")</f>
        <v>1</v>
      </c>
      <c r="S844" s="36">
        <f>COUNTIF(Tabla1[[#This Row],[VEHICULOS_ACCIDENTADOS]:[VEHICULOS_ACCIDENTADOS2]],"MOTOCARRO")</f>
        <v>0</v>
      </c>
      <c r="T844" s="36">
        <f>COUNTIF(Tabla1[[#This Row],[VEHICULOS_ACCIDENTADOS]:[VEHICULOS_ACCIDENTADOS2]],"AUTOMOVIL")</f>
        <v>0</v>
      </c>
      <c r="U844" s="36">
        <f>COUNTIF(Tabla1[[#This Row],[VEHICULOS_ACCIDENTADOS]:[VEHICULOS_ACCIDENTADOS2]],"CAMPERO")</f>
        <v>0</v>
      </c>
      <c r="V844" s="36">
        <f>COUNTIF(Tabla1[[#This Row],[VEHICULOS_ACCIDENTADOS]:[VEHICULOS_ACCIDENTADOS2]],"CAMIONETA")</f>
        <v>0</v>
      </c>
      <c r="W844" s="36">
        <f>COUNTIF(Tabla1[[#This Row],[VEHICULOS_ACCIDENTADOS]:[VEHICULOS_ACCIDENTADOS2]],"MICROBUS")</f>
        <v>0</v>
      </c>
      <c r="X844" s="36">
        <f>COUNTIF(Tabla1[[#This Row],[VEHICULOS_ACCIDENTADOS]:[VEHICULOS_ACCIDENTADOS2]],"BUS")</f>
        <v>0</v>
      </c>
      <c r="Y844" s="36">
        <f>COUNTIF(Tabla1[[#This Row],[VEHICULOS_ACCIDENTADOS]:[VEHICULOS_ACCIDENTADOS2]],"BUSETA")</f>
        <v>0</v>
      </c>
      <c r="Z844" s="36">
        <f>COUNTIF(Tabla1[[#This Row],[VEHICULOS_ACCIDENTADOS]:[VEHICULOS_ACCIDENTADOS2]],"CAMION")</f>
        <v>0</v>
      </c>
      <c r="AA844" s="36">
        <f>COUNTIF(Tabla1[[#This Row],[VEHICULOS_ACCIDENTADOS]:[VEHICULOS_ACCIDENTADOS2]],"TRACTOCAMION")</f>
        <v>0</v>
      </c>
      <c r="AB844" s="36">
        <f>COUNTIF(Tabla1[[#This Row],[VEHICULOS_ACCIDENTADOS]:[VEHICULOS_ACCIDENTADOS2]],"VOLQUETA")</f>
        <v>0</v>
      </c>
      <c r="AC844" s="36">
        <f>COUNTIF(Tabla1[[#This Row],[VEHICULOS_ACCIDENTADOS]:[VEHICULOS_ACCIDENTADOS2]],"BICICLETA")</f>
        <v>0</v>
      </c>
      <c r="AD844" s="38"/>
      <c r="AE844" s="38" t="s">
        <v>472</v>
      </c>
      <c r="AF844" s="38">
        <f>COUNTIF(Tabla1[[#This Row],[GENERO_MASCULINO]:[GENERO_FEMENINO]],"MASCULINO")</f>
        <v>0</v>
      </c>
      <c r="AG844" s="36">
        <f>COUNTIF(Tabla1[[#This Row],[GENERO_MASCULINO]:[GENERO_FEMENINO]],"FEMENINO")</f>
        <v>1</v>
      </c>
      <c r="AH844" s="73"/>
      <c r="AI844" s="73"/>
      <c r="AJ844" s="87"/>
      <c r="AK844" s="73">
        <v>56</v>
      </c>
      <c r="AL844" s="73"/>
      <c r="AM844" s="7"/>
      <c r="AN844" s="73">
        <v>409</v>
      </c>
      <c r="AO844" s="36" t="str">
        <f>IFERROR(((VLOOKUP(Tabla1[[#This Row],[HIPOTESIS_1]],listas!$D$1:$E$105,2,FALSE))),"SIN INFORMACIÓN")</f>
        <v>Cruzar sin observar.</v>
      </c>
      <c r="AP844" s="7"/>
      <c r="AQ844" s="36" t="str">
        <f>IFERROR(((VLOOKUP(Tabla1[[#This Row],[HIPOTESIS_2]],listas!$D$1:$E$105,2,FALSE))),"")</f>
        <v/>
      </c>
      <c r="AR844" s="1" t="str">
        <f>IF(HOUR(Tabla1[[#This Row],[HORA_ACCIDENTE]])&lt;6,"MAÑANA",
 IF(HOUR(Tabla1[[#This Row],[HORA_ACCIDENTE]])&lt;12,"MAÑANA",
 IF(HOUR(Tabla1[[#This Row],[HORA_ACCIDENTE]])&lt;18,"TARDE","NOCHE")))</f>
        <v>MAÑANA</v>
      </c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  <c r="BD844" s="40"/>
    </row>
    <row r="845" spans="1:56" x14ac:dyDescent="0.25">
      <c r="A845" s="12">
        <v>997</v>
      </c>
      <c r="B845" s="47">
        <v>0</v>
      </c>
      <c r="C845" s="24">
        <v>1</v>
      </c>
      <c r="D845" s="24">
        <v>0</v>
      </c>
      <c r="E845" s="18" t="str">
        <f t="shared" si="52"/>
        <v>LESIONADO</v>
      </c>
      <c r="F845" s="152" t="s">
        <v>1080</v>
      </c>
      <c r="G845" s="30">
        <v>5.3385480000000003</v>
      </c>
      <c r="H845" s="30">
        <v>-72.384702000000004</v>
      </c>
      <c r="I845" s="93" t="s">
        <v>697</v>
      </c>
      <c r="J845" s="7" t="s">
        <v>717</v>
      </c>
      <c r="K845" s="24" t="str">
        <f t="shared" si="53"/>
        <v>2025</v>
      </c>
      <c r="L845" s="24" t="str">
        <f t="shared" si="54"/>
        <v>JUNIO</v>
      </c>
      <c r="M845" s="237">
        <v>45828</v>
      </c>
      <c r="N845" s="24" t="str">
        <f t="shared" si="55"/>
        <v>VIERNES</v>
      </c>
      <c r="O845" s="106">
        <v>0.70138888888888884</v>
      </c>
      <c r="P845" s="8" t="s">
        <v>469</v>
      </c>
      <c r="Q845" s="8" t="s">
        <v>469</v>
      </c>
      <c r="R845" s="36">
        <f>COUNTIF(Tabla1[[#This Row],[VEHICULOS_ACCIDENTADOS]:[VEHICULOS_ACCIDENTADOS2]],"MOTOCICLETA")</f>
        <v>2</v>
      </c>
      <c r="S845" s="36">
        <f>COUNTIF(Tabla1[[#This Row],[VEHICULOS_ACCIDENTADOS]:[VEHICULOS_ACCIDENTADOS2]],"MOTOCARRO")</f>
        <v>0</v>
      </c>
      <c r="T845" s="36">
        <f>COUNTIF(Tabla1[[#This Row],[VEHICULOS_ACCIDENTADOS]:[VEHICULOS_ACCIDENTADOS2]],"AUTOMOVIL")</f>
        <v>0</v>
      </c>
      <c r="U845" s="36">
        <f>COUNTIF(Tabla1[[#This Row],[VEHICULOS_ACCIDENTADOS]:[VEHICULOS_ACCIDENTADOS2]],"CAMPERO")</f>
        <v>0</v>
      </c>
      <c r="V845" s="36">
        <f>COUNTIF(Tabla1[[#This Row],[VEHICULOS_ACCIDENTADOS]:[VEHICULOS_ACCIDENTADOS2]],"CAMIONETA")</f>
        <v>0</v>
      </c>
      <c r="W845" s="36">
        <f>COUNTIF(Tabla1[[#This Row],[VEHICULOS_ACCIDENTADOS]:[VEHICULOS_ACCIDENTADOS2]],"MICROBUS")</f>
        <v>0</v>
      </c>
      <c r="X845" s="36">
        <f>COUNTIF(Tabla1[[#This Row],[VEHICULOS_ACCIDENTADOS]:[VEHICULOS_ACCIDENTADOS2]],"BUS")</f>
        <v>0</v>
      </c>
      <c r="Y845" s="36">
        <f>COUNTIF(Tabla1[[#This Row],[VEHICULOS_ACCIDENTADOS]:[VEHICULOS_ACCIDENTADOS2]],"BUSETA")</f>
        <v>0</v>
      </c>
      <c r="Z845" s="36">
        <f>COUNTIF(Tabla1[[#This Row],[VEHICULOS_ACCIDENTADOS]:[VEHICULOS_ACCIDENTADOS2]],"CAMION")</f>
        <v>0</v>
      </c>
      <c r="AA845" s="36">
        <f>COUNTIF(Tabla1[[#This Row],[VEHICULOS_ACCIDENTADOS]:[VEHICULOS_ACCIDENTADOS2]],"TRACTOCAMION")</f>
        <v>0</v>
      </c>
      <c r="AB845" s="36">
        <f>COUNTIF(Tabla1[[#This Row],[VEHICULOS_ACCIDENTADOS]:[VEHICULOS_ACCIDENTADOS2]],"VOLQUETA")</f>
        <v>0</v>
      </c>
      <c r="AC845" s="36">
        <f>COUNTIF(Tabla1[[#This Row],[VEHICULOS_ACCIDENTADOS]:[VEHICULOS_ACCIDENTADOS2]],"BICICLETA")</f>
        <v>0</v>
      </c>
      <c r="AD845" s="38" t="s">
        <v>471</v>
      </c>
      <c r="AE845" s="38" t="s">
        <v>471</v>
      </c>
      <c r="AF845" s="38">
        <f>COUNTIF(Tabla1[[#This Row],[GENERO_MASCULINO]:[GENERO_FEMENINO]],"MASCULINO")</f>
        <v>2</v>
      </c>
      <c r="AG845" s="36">
        <f>COUNTIF(Tabla1[[#This Row],[GENERO_MASCULINO]:[GENERO_FEMENINO]],"FEMENINO")</f>
        <v>0</v>
      </c>
      <c r="AH845" s="86">
        <v>35</v>
      </c>
      <c r="AI845" s="86">
        <v>19</v>
      </c>
      <c r="AJ845" s="86"/>
      <c r="AK845" s="87"/>
      <c r="AL845" s="87"/>
      <c r="AM845" s="6"/>
      <c r="AN845" s="73">
        <v>139</v>
      </c>
      <c r="AO845" s="36" t="str">
        <f>IFERROR(((VLOOKUP(Tabla1[[#This Row],[HIPOTESIS_1]],listas!$D$1:$E$105,2,FALSE))),"SIN INFORMACIÓN")</f>
        <v>Impericia en el manejo.</v>
      </c>
      <c r="AP845" s="7"/>
      <c r="AQ845" s="36" t="str">
        <f>IFERROR(((VLOOKUP(Tabla1[[#This Row],[HIPOTESIS_2]],listas!$D$1:$E$105,2,FALSE))),"")</f>
        <v/>
      </c>
      <c r="AR845" s="1" t="str">
        <f>IF(HOUR(Tabla1[[#This Row],[HORA_ACCIDENTE]])&lt;6,"MAÑANA",
 IF(HOUR(Tabla1[[#This Row],[HORA_ACCIDENTE]])&lt;12,"MAÑANA",
 IF(HOUR(Tabla1[[#This Row],[HORA_ACCIDENTE]])&lt;18,"TARDE","NOCHE")))</f>
        <v>TARDE</v>
      </c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40"/>
    </row>
    <row r="846" spans="1:56" x14ac:dyDescent="0.25">
      <c r="A846" s="12">
        <v>321</v>
      </c>
      <c r="B846" s="38">
        <v>0</v>
      </c>
      <c r="C846" s="7">
        <v>1</v>
      </c>
      <c r="D846" s="7">
        <v>0</v>
      </c>
      <c r="E846" s="18" t="str">
        <f t="shared" si="52"/>
        <v>LESIONADO</v>
      </c>
      <c r="F846" s="29" t="s">
        <v>1081</v>
      </c>
      <c r="G846" s="17">
        <v>5.3355259999999998</v>
      </c>
      <c r="H846" s="17">
        <v>-72.382839000000004</v>
      </c>
      <c r="I846" s="93" t="s">
        <v>697</v>
      </c>
      <c r="J846" s="7" t="s">
        <v>717</v>
      </c>
      <c r="K846" s="24" t="str">
        <f t="shared" si="53"/>
        <v>2022</v>
      </c>
      <c r="L846" s="24" t="str">
        <f t="shared" si="54"/>
        <v>OCTUBRE</v>
      </c>
      <c r="M846" s="232">
        <v>44835</v>
      </c>
      <c r="N846" s="24" t="str">
        <f t="shared" si="55"/>
        <v>SÁBADO</v>
      </c>
      <c r="O846" s="174">
        <v>0.97222222222222199</v>
      </c>
      <c r="P846" s="180" t="s">
        <v>469</v>
      </c>
      <c r="Q846" s="180" t="s">
        <v>469</v>
      </c>
      <c r="R846" s="36">
        <f>COUNTIF(Tabla1[[#This Row],[VEHICULOS_ACCIDENTADOS]:[VEHICULOS_ACCIDENTADOS2]],"MOTOCICLETA")</f>
        <v>2</v>
      </c>
      <c r="S846" s="36">
        <f>COUNTIF(Tabla1[[#This Row],[VEHICULOS_ACCIDENTADOS]:[VEHICULOS_ACCIDENTADOS2]],"MOTOCARRO")</f>
        <v>0</v>
      </c>
      <c r="T846" s="36">
        <f>COUNTIF(Tabla1[[#This Row],[VEHICULOS_ACCIDENTADOS]:[VEHICULOS_ACCIDENTADOS2]],"AUTOMOVIL")</f>
        <v>0</v>
      </c>
      <c r="U846" s="36">
        <f>COUNTIF(Tabla1[[#This Row],[VEHICULOS_ACCIDENTADOS]:[VEHICULOS_ACCIDENTADOS2]],"CAMPERO")</f>
        <v>0</v>
      </c>
      <c r="V846" s="36">
        <f>COUNTIF(Tabla1[[#This Row],[VEHICULOS_ACCIDENTADOS]:[VEHICULOS_ACCIDENTADOS2]],"CAMIONETA")</f>
        <v>0</v>
      </c>
      <c r="W846" s="36">
        <f>COUNTIF(Tabla1[[#This Row],[VEHICULOS_ACCIDENTADOS]:[VEHICULOS_ACCIDENTADOS2]],"MICROBUS")</f>
        <v>0</v>
      </c>
      <c r="X846" s="36">
        <f>COUNTIF(Tabla1[[#This Row],[VEHICULOS_ACCIDENTADOS]:[VEHICULOS_ACCIDENTADOS2]],"BUS")</f>
        <v>0</v>
      </c>
      <c r="Y846" s="36">
        <f>COUNTIF(Tabla1[[#This Row],[VEHICULOS_ACCIDENTADOS]:[VEHICULOS_ACCIDENTADOS2]],"BUSETA")</f>
        <v>0</v>
      </c>
      <c r="Z846" s="36">
        <f>COUNTIF(Tabla1[[#This Row],[VEHICULOS_ACCIDENTADOS]:[VEHICULOS_ACCIDENTADOS2]],"CAMION")</f>
        <v>0</v>
      </c>
      <c r="AA846" s="36">
        <f>COUNTIF(Tabla1[[#This Row],[VEHICULOS_ACCIDENTADOS]:[VEHICULOS_ACCIDENTADOS2]],"TRACTOCAMION")</f>
        <v>0</v>
      </c>
      <c r="AB846" s="36">
        <f>COUNTIF(Tabla1[[#This Row],[VEHICULOS_ACCIDENTADOS]:[VEHICULOS_ACCIDENTADOS2]],"VOLQUETA")</f>
        <v>0</v>
      </c>
      <c r="AC846" s="36">
        <f>COUNTIF(Tabla1[[#This Row],[VEHICULOS_ACCIDENTADOS]:[VEHICULOS_ACCIDENTADOS2]],"BICICLETA")</f>
        <v>0</v>
      </c>
      <c r="AD846" s="38" t="s">
        <v>471</v>
      </c>
      <c r="AE846" s="38"/>
      <c r="AF846" s="38">
        <f>COUNTIF(Tabla1[[#This Row],[GENERO_MASCULINO]:[GENERO_FEMENINO]],"MASCULINO")</f>
        <v>1</v>
      </c>
      <c r="AG846" s="36">
        <f>COUNTIF(Tabla1[[#This Row],[GENERO_MASCULINO]:[GENERO_FEMENINO]],"FEMENINO")</f>
        <v>0</v>
      </c>
      <c r="AH846" s="73">
        <v>58</v>
      </c>
      <c r="AI846" s="73"/>
      <c r="AJ846" s="200"/>
      <c r="AK846" s="73"/>
      <c r="AL846" s="73"/>
      <c r="AM846" s="7"/>
      <c r="AN846" s="73">
        <v>157</v>
      </c>
      <c r="AO846" s="36" t="str">
        <f>IFERROR(((VLOOKUP(Tabla1[[#This Row],[HIPOTESIS_1]],listas!$D$1:$E$105,2,FALSE))),"SIN INFORMACIÓN")</f>
        <v>Otra</v>
      </c>
      <c r="AP846" s="7"/>
      <c r="AQ846" s="36" t="str">
        <f>IFERROR(((VLOOKUP(Tabla1[[#This Row],[HIPOTESIS_2]],listas!$D$1:$E$105,2,FALSE))),"")</f>
        <v/>
      </c>
      <c r="AR846" s="1" t="str">
        <f>IF(HOUR(Tabla1[[#This Row],[HORA_ACCIDENTE]])&lt;6,"MAÑANA",
 IF(HOUR(Tabla1[[#This Row],[HORA_ACCIDENTE]])&lt;12,"MAÑANA",
 IF(HOUR(Tabla1[[#This Row],[HORA_ACCIDENTE]])&lt;18,"TARDE","NOCHE")))</f>
        <v>NOCHE</v>
      </c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  <c r="BD846" s="40"/>
    </row>
    <row r="847" spans="1:56" x14ac:dyDescent="0.25">
      <c r="A847" s="12">
        <v>304</v>
      </c>
      <c r="B847" s="38">
        <v>0</v>
      </c>
      <c r="C847" s="7">
        <v>2</v>
      </c>
      <c r="D847" s="7">
        <v>0</v>
      </c>
      <c r="E847" s="18" t="str">
        <f t="shared" si="52"/>
        <v>LESIONADO</v>
      </c>
      <c r="F847" s="29" t="s">
        <v>1081</v>
      </c>
      <c r="G847" s="17">
        <v>5.3355259999999998</v>
      </c>
      <c r="H847" s="17">
        <v>-72.382839000000004</v>
      </c>
      <c r="I847" s="93" t="s">
        <v>697</v>
      </c>
      <c r="J847" s="7" t="s">
        <v>717</v>
      </c>
      <c r="K847" s="24" t="str">
        <f t="shared" si="53"/>
        <v>2022</v>
      </c>
      <c r="L847" s="24" t="str">
        <f t="shared" si="54"/>
        <v>SEPTIEMBRE</v>
      </c>
      <c r="M847" s="232">
        <v>44816</v>
      </c>
      <c r="N847" s="24" t="str">
        <f t="shared" si="55"/>
        <v>LUNES</v>
      </c>
      <c r="O847" s="174">
        <v>0.30208333333333298</v>
      </c>
      <c r="P847" s="180" t="s">
        <v>469</v>
      </c>
      <c r="Q847" s="180"/>
      <c r="R847" s="36">
        <f>COUNTIF(Tabla1[[#This Row],[VEHICULOS_ACCIDENTADOS]:[VEHICULOS_ACCIDENTADOS2]],"MOTOCICLETA")</f>
        <v>1</v>
      </c>
      <c r="S847" s="36">
        <f>COUNTIF(Tabla1[[#This Row],[VEHICULOS_ACCIDENTADOS]:[VEHICULOS_ACCIDENTADOS2]],"MOTOCARRO")</f>
        <v>0</v>
      </c>
      <c r="T847" s="36">
        <f>COUNTIF(Tabla1[[#This Row],[VEHICULOS_ACCIDENTADOS]:[VEHICULOS_ACCIDENTADOS2]],"AUTOMOVIL")</f>
        <v>0</v>
      </c>
      <c r="U847" s="36">
        <f>COUNTIF(Tabla1[[#This Row],[VEHICULOS_ACCIDENTADOS]:[VEHICULOS_ACCIDENTADOS2]],"CAMPERO")</f>
        <v>0</v>
      </c>
      <c r="V847" s="36">
        <f>COUNTIF(Tabla1[[#This Row],[VEHICULOS_ACCIDENTADOS]:[VEHICULOS_ACCIDENTADOS2]],"CAMIONETA")</f>
        <v>0</v>
      </c>
      <c r="W847" s="36">
        <f>COUNTIF(Tabla1[[#This Row],[VEHICULOS_ACCIDENTADOS]:[VEHICULOS_ACCIDENTADOS2]],"MICROBUS")</f>
        <v>0</v>
      </c>
      <c r="X847" s="36">
        <f>COUNTIF(Tabla1[[#This Row],[VEHICULOS_ACCIDENTADOS]:[VEHICULOS_ACCIDENTADOS2]],"BUS")</f>
        <v>0</v>
      </c>
      <c r="Y847" s="36">
        <f>COUNTIF(Tabla1[[#This Row],[VEHICULOS_ACCIDENTADOS]:[VEHICULOS_ACCIDENTADOS2]],"BUSETA")</f>
        <v>0</v>
      </c>
      <c r="Z847" s="36">
        <f>COUNTIF(Tabla1[[#This Row],[VEHICULOS_ACCIDENTADOS]:[VEHICULOS_ACCIDENTADOS2]],"CAMION")</f>
        <v>0</v>
      </c>
      <c r="AA847" s="36">
        <f>COUNTIF(Tabla1[[#This Row],[VEHICULOS_ACCIDENTADOS]:[VEHICULOS_ACCIDENTADOS2]],"TRACTOCAMION")</f>
        <v>0</v>
      </c>
      <c r="AB847" s="36">
        <f>COUNTIF(Tabla1[[#This Row],[VEHICULOS_ACCIDENTADOS]:[VEHICULOS_ACCIDENTADOS2]],"VOLQUETA")</f>
        <v>0</v>
      </c>
      <c r="AC847" s="36">
        <f>COUNTIF(Tabla1[[#This Row],[VEHICULOS_ACCIDENTADOS]:[VEHICULOS_ACCIDENTADOS2]],"BICICLETA")</f>
        <v>0</v>
      </c>
      <c r="AD847" s="38" t="s">
        <v>471</v>
      </c>
      <c r="AE847" s="38" t="s">
        <v>472</v>
      </c>
      <c r="AF847" s="38">
        <f>COUNTIF(Tabla1[[#This Row],[GENERO_MASCULINO]:[GENERO_FEMENINO]],"MASCULINO")</f>
        <v>1</v>
      </c>
      <c r="AG847" s="36">
        <f>COUNTIF(Tabla1[[#This Row],[GENERO_MASCULINO]:[GENERO_FEMENINO]],"FEMENINO")</f>
        <v>1</v>
      </c>
      <c r="AH847" s="73">
        <v>21</v>
      </c>
      <c r="AI847" s="73"/>
      <c r="AJ847" s="87"/>
      <c r="AK847" s="73">
        <v>47</v>
      </c>
      <c r="AL847" s="73"/>
      <c r="AM847" s="7"/>
      <c r="AN847" s="73">
        <v>139</v>
      </c>
      <c r="AO847" s="36" t="str">
        <f>IFERROR(((VLOOKUP(Tabla1[[#This Row],[HIPOTESIS_1]],listas!$D$1:$E$105,2,FALSE))),"SIN INFORMACIÓN")</f>
        <v>Impericia en el manejo.</v>
      </c>
      <c r="AP847" s="7"/>
      <c r="AQ847" s="36" t="str">
        <f>IFERROR(((VLOOKUP(Tabla1[[#This Row],[HIPOTESIS_2]],listas!$D$1:$E$105,2,FALSE))),"")</f>
        <v/>
      </c>
      <c r="AR847" s="1" t="str">
        <f>IF(HOUR(Tabla1[[#This Row],[HORA_ACCIDENTE]])&lt;6,"MAÑANA",
 IF(HOUR(Tabla1[[#This Row],[HORA_ACCIDENTE]])&lt;12,"MAÑANA",
 IF(HOUR(Tabla1[[#This Row],[HORA_ACCIDENTE]])&lt;18,"TARDE","NOCHE")))</f>
        <v>MAÑANA</v>
      </c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40"/>
    </row>
    <row r="848" spans="1:56" x14ac:dyDescent="0.25">
      <c r="A848" s="12">
        <v>355</v>
      </c>
      <c r="B848" s="38">
        <v>0</v>
      </c>
      <c r="C848" s="7">
        <v>1</v>
      </c>
      <c r="D848" s="7">
        <v>0</v>
      </c>
      <c r="E848" s="18" t="str">
        <f t="shared" si="52"/>
        <v>LESIONADO</v>
      </c>
      <c r="F848" s="29" t="s">
        <v>1083</v>
      </c>
      <c r="G848" s="17">
        <v>5.3295766666666662</v>
      </c>
      <c r="H848" s="17">
        <v>-72.37913694444444</v>
      </c>
      <c r="I848" s="93" t="s">
        <v>697</v>
      </c>
      <c r="J848" s="7" t="s">
        <v>717</v>
      </c>
      <c r="K848" s="24" t="str">
        <f t="shared" si="53"/>
        <v>2022</v>
      </c>
      <c r="L848" s="24" t="str">
        <f t="shared" si="54"/>
        <v>NOVIEMBRE</v>
      </c>
      <c r="M848" s="232">
        <v>44885</v>
      </c>
      <c r="N848" s="24" t="str">
        <f t="shared" si="55"/>
        <v>DOMINGO</v>
      </c>
      <c r="O848" s="174">
        <v>0.47916666666666702</v>
      </c>
      <c r="P848" s="180" t="s">
        <v>469</v>
      </c>
      <c r="Q848" s="180" t="s">
        <v>445</v>
      </c>
      <c r="R848" s="36">
        <f>COUNTIF(Tabla1[[#This Row],[VEHICULOS_ACCIDENTADOS]:[VEHICULOS_ACCIDENTADOS2]],"MOTOCICLETA")</f>
        <v>1</v>
      </c>
      <c r="S848" s="36">
        <f>COUNTIF(Tabla1[[#This Row],[VEHICULOS_ACCIDENTADOS]:[VEHICULOS_ACCIDENTADOS2]],"MOTOCARRO")</f>
        <v>0</v>
      </c>
      <c r="T848" s="36">
        <f>COUNTIF(Tabla1[[#This Row],[VEHICULOS_ACCIDENTADOS]:[VEHICULOS_ACCIDENTADOS2]],"AUTOMOVIL")</f>
        <v>0</v>
      </c>
      <c r="U848" s="36">
        <f>COUNTIF(Tabla1[[#This Row],[VEHICULOS_ACCIDENTADOS]:[VEHICULOS_ACCIDENTADOS2]],"CAMPERO")</f>
        <v>0</v>
      </c>
      <c r="V848" s="36">
        <f>COUNTIF(Tabla1[[#This Row],[VEHICULOS_ACCIDENTADOS]:[VEHICULOS_ACCIDENTADOS2]],"CAMIONETA")</f>
        <v>1</v>
      </c>
      <c r="W848" s="36">
        <f>COUNTIF(Tabla1[[#This Row],[VEHICULOS_ACCIDENTADOS]:[VEHICULOS_ACCIDENTADOS2]],"MICROBUS")</f>
        <v>0</v>
      </c>
      <c r="X848" s="36">
        <f>COUNTIF(Tabla1[[#This Row],[VEHICULOS_ACCIDENTADOS]:[VEHICULOS_ACCIDENTADOS2]],"BUS")</f>
        <v>0</v>
      </c>
      <c r="Y848" s="36">
        <f>COUNTIF(Tabla1[[#This Row],[VEHICULOS_ACCIDENTADOS]:[VEHICULOS_ACCIDENTADOS2]],"BUSETA")</f>
        <v>0</v>
      </c>
      <c r="Z848" s="36">
        <f>COUNTIF(Tabla1[[#This Row],[VEHICULOS_ACCIDENTADOS]:[VEHICULOS_ACCIDENTADOS2]],"CAMION")</f>
        <v>0</v>
      </c>
      <c r="AA848" s="36">
        <f>COUNTIF(Tabla1[[#This Row],[VEHICULOS_ACCIDENTADOS]:[VEHICULOS_ACCIDENTADOS2]],"TRACTOCAMION")</f>
        <v>0</v>
      </c>
      <c r="AB848" s="36">
        <f>COUNTIF(Tabla1[[#This Row],[VEHICULOS_ACCIDENTADOS]:[VEHICULOS_ACCIDENTADOS2]],"VOLQUETA")</f>
        <v>0</v>
      </c>
      <c r="AC848" s="36">
        <f>COUNTIF(Tabla1[[#This Row],[VEHICULOS_ACCIDENTADOS]:[VEHICULOS_ACCIDENTADOS2]],"BICICLETA")</f>
        <v>0</v>
      </c>
      <c r="AD848" s="38" t="s">
        <v>471</v>
      </c>
      <c r="AE848" s="38"/>
      <c r="AF848" s="38">
        <f>COUNTIF(Tabla1[[#This Row],[GENERO_MASCULINO]:[GENERO_FEMENINO]],"MASCULINO")</f>
        <v>1</v>
      </c>
      <c r="AG848" s="36">
        <f>COUNTIF(Tabla1[[#This Row],[GENERO_MASCULINO]:[GENERO_FEMENINO]],"FEMENINO")</f>
        <v>0</v>
      </c>
      <c r="AH848" s="73">
        <v>18</v>
      </c>
      <c r="AI848" s="73"/>
      <c r="AJ848" s="73"/>
      <c r="AK848" s="73"/>
      <c r="AL848" s="73"/>
      <c r="AM848" s="7"/>
      <c r="AN848" s="73">
        <v>121</v>
      </c>
      <c r="AO848" s="36" t="str">
        <f>IFERROR(((VLOOKUP(Tabla1[[#This Row],[HIPOTESIS_1]],listas!$D$1:$E$105,2,FALSE))),"SIN INFORMACIÓN")</f>
        <v>No mantener distancia de seguridad.</v>
      </c>
      <c r="AP848" s="7"/>
      <c r="AQ848" s="36" t="str">
        <f>IFERROR(((VLOOKUP(Tabla1[[#This Row],[HIPOTESIS_2]],listas!$D$1:$E$105,2,FALSE))),"")</f>
        <v/>
      </c>
      <c r="AR848" s="1" t="str">
        <f>IF(HOUR(Tabla1[[#This Row],[HORA_ACCIDENTE]])&lt;6,"MAÑANA",
 IF(HOUR(Tabla1[[#This Row],[HORA_ACCIDENTE]])&lt;12,"MAÑANA",
 IF(HOUR(Tabla1[[#This Row],[HORA_ACCIDENTE]])&lt;18,"TARDE","NOCHE")))</f>
        <v>MAÑANA</v>
      </c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  <c r="BD848" s="40"/>
    </row>
    <row r="849" spans="1:56" x14ac:dyDescent="0.25">
      <c r="A849" s="12">
        <v>444</v>
      </c>
      <c r="B849" s="38">
        <v>0</v>
      </c>
      <c r="C849" s="7">
        <v>1</v>
      </c>
      <c r="D849" s="7">
        <v>0</v>
      </c>
      <c r="E849" s="18" t="str">
        <f t="shared" si="52"/>
        <v>LESIONADO</v>
      </c>
      <c r="F849" s="29" t="s">
        <v>1083</v>
      </c>
      <c r="G849" s="17">
        <v>5.3295766666666662</v>
      </c>
      <c r="H849" s="17">
        <v>-72.37913694444444</v>
      </c>
      <c r="I849" s="93" t="s">
        <v>697</v>
      </c>
      <c r="J849" s="7" t="s">
        <v>717</v>
      </c>
      <c r="K849" s="24" t="str">
        <f t="shared" si="53"/>
        <v>2023</v>
      </c>
      <c r="L849" s="24" t="str">
        <f t="shared" si="54"/>
        <v>ABRIL</v>
      </c>
      <c r="M849" s="232">
        <v>45018</v>
      </c>
      <c r="N849" s="24" t="str">
        <f t="shared" si="55"/>
        <v>DOMINGO</v>
      </c>
      <c r="O849" s="106">
        <v>0.65625</v>
      </c>
      <c r="P849" s="39" t="s">
        <v>469</v>
      </c>
      <c r="Q849" s="39" t="s">
        <v>447</v>
      </c>
      <c r="R849" s="36">
        <f>COUNTIF(Tabla1[[#This Row],[VEHICULOS_ACCIDENTADOS]:[VEHICULOS_ACCIDENTADOS2]],"MOTOCICLETA")</f>
        <v>1</v>
      </c>
      <c r="S849" s="36">
        <f>COUNTIF(Tabla1[[#This Row],[VEHICULOS_ACCIDENTADOS]:[VEHICULOS_ACCIDENTADOS2]],"MOTOCARRO")</f>
        <v>0</v>
      </c>
      <c r="T849" s="36">
        <f>COUNTIF(Tabla1[[#This Row],[VEHICULOS_ACCIDENTADOS]:[VEHICULOS_ACCIDENTADOS2]],"AUTOMOVIL")</f>
        <v>1</v>
      </c>
      <c r="U849" s="36">
        <f>COUNTIF(Tabla1[[#This Row],[VEHICULOS_ACCIDENTADOS]:[VEHICULOS_ACCIDENTADOS2]],"CAMPERO")</f>
        <v>0</v>
      </c>
      <c r="V849" s="36">
        <f>COUNTIF(Tabla1[[#This Row],[VEHICULOS_ACCIDENTADOS]:[VEHICULOS_ACCIDENTADOS2]],"CAMIONETA")</f>
        <v>0</v>
      </c>
      <c r="W849" s="36">
        <f>COUNTIF(Tabla1[[#This Row],[VEHICULOS_ACCIDENTADOS]:[VEHICULOS_ACCIDENTADOS2]],"MICROBUS")</f>
        <v>0</v>
      </c>
      <c r="X849" s="36">
        <f>COUNTIF(Tabla1[[#This Row],[VEHICULOS_ACCIDENTADOS]:[VEHICULOS_ACCIDENTADOS2]],"BUS")</f>
        <v>0</v>
      </c>
      <c r="Y849" s="36">
        <f>COUNTIF(Tabla1[[#This Row],[VEHICULOS_ACCIDENTADOS]:[VEHICULOS_ACCIDENTADOS2]],"BUSETA")</f>
        <v>0</v>
      </c>
      <c r="Z849" s="36">
        <f>COUNTIF(Tabla1[[#This Row],[VEHICULOS_ACCIDENTADOS]:[VEHICULOS_ACCIDENTADOS2]],"CAMION")</f>
        <v>0</v>
      </c>
      <c r="AA849" s="36">
        <f>COUNTIF(Tabla1[[#This Row],[VEHICULOS_ACCIDENTADOS]:[VEHICULOS_ACCIDENTADOS2]],"TRACTOCAMION")</f>
        <v>0</v>
      </c>
      <c r="AB849" s="36">
        <f>COUNTIF(Tabla1[[#This Row],[VEHICULOS_ACCIDENTADOS]:[VEHICULOS_ACCIDENTADOS2]],"VOLQUETA")</f>
        <v>0</v>
      </c>
      <c r="AC849" s="36">
        <f>COUNTIF(Tabla1[[#This Row],[VEHICULOS_ACCIDENTADOS]:[VEHICULOS_ACCIDENTADOS2]],"BICICLETA")</f>
        <v>0</v>
      </c>
      <c r="AD849" s="38"/>
      <c r="AE849" s="38" t="s">
        <v>472</v>
      </c>
      <c r="AF849" s="38">
        <f>COUNTIF(Tabla1[[#This Row],[GENERO_MASCULINO]:[GENERO_FEMENINO]],"MASCULINO")</f>
        <v>0</v>
      </c>
      <c r="AG849" s="36">
        <f>COUNTIF(Tabla1[[#This Row],[GENERO_MASCULINO]:[GENERO_FEMENINO]],"FEMENINO")</f>
        <v>1</v>
      </c>
      <c r="AH849" s="73">
        <v>24</v>
      </c>
      <c r="AI849" s="73"/>
      <c r="AJ849" s="73"/>
      <c r="AK849" s="73"/>
      <c r="AL849" s="73"/>
      <c r="AM849" s="7"/>
      <c r="AN849" s="73">
        <v>121</v>
      </c>
      <c r="AO849" s="36" t="str">
        <f>IFERROR(((VLOOKUP(Tabla1[[#This Row],[HIPOTESIS_1]],listas!$D$1:$E$105,2,FALSE))),"SIN INFORMACIÓN")</f>
        <v>No mantener distancia de seguridad.</v>
      </c>
      <c r="AP849" s="7"/>
      <c r="AQ849" s="36" t="str">
        <f>IFERROR(((VLOOKUP(Tabla1[[#This Row],[HIPOTESIS_2]],listas!$D$1:$E$105,2,FALSE))),"")</f>
        <v/>
      </c>
      <c r="AR849" s="1" t="str">
        <f>IF(HOUR(Tabla1[[#This Row],[HORA_ACCIDENTE]])&lt;6,"MAÑANA",
 IF(HOUR(Tabla1[[#This Row],[HORA_ACCIDENTE]])&lt;12,"MAÑANA",
 IF(HOUR(Tabla1[[#This Row],[HORA_ACCIDENTE]])&lt;18,"TARDE","NOCHE")))</f>
        <v>TARDE</v>
      </c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40"/>
    </row>
    <row r="850" spans="1:56" x14ac:dyDescent="0.25">
      <c r="A850" s="12">
        <v>1010</v>
      </c>
      <c r="B850" s="47">
        <v>0</v>
      </c>
      <c r="C850" s="24">
        <v>1</v>
      </c>
      <c r="D850" s="24">
        <v>0</v>
      </c>
      <c r="E850" s="18" t="str">
        <f t="shared" si="52"/>
        <v>LESIONADO</v>
      </c>
      <c r="F850" s="152" t="s">
        <v>978</v>
      </c>
      <c r="G850" s="30">
        <v>5.3434419999999996</v>
      </c>
      <c r="H850" s="30">
        <v>-72.387720999999999</v>
      </c>
      <c r="I850" s="93" t="s">
        <v>697</v>
      </c>
      <c r="J850" s="7" t="s">
        <v>717</v>
      </c>
      <c r="K850" s="24" t="str">
        <f t="shared" si="53"/>
        <v>2025</v>
      </c>
      <c r="L850" s="24" t="str">
        <f t="shared" si="54"/>
        <v>JULIO</v>
      </c>
      <c r="M850" s="232">
        <v>45850</v>
      </c>
      <c r="N850" s="24" t="str">
        <f t="shared" si="55"/>
        <v>SÁBADO</v>
      </c>
      <c r="O850" s="106">
        <v>0.32291666666666669</v>
      </c>
      <c r="P850" s="8" t="s">
        <v>469</v>
      </c>
      <c r="Q850" s="8" t="s">
        <v>446</v>
      </c>
      <c r="R850" s="36">
        <f>COUNTIF(Tabla1[[#This Row],[VEHICULOS_ACCIDENTADOS]:[VEHICULOS_ACCIDENTADOS2]],"MOTOCICLETA")</f>
        <v>1</v>
      </c>
      <c r="S850" s="36">
        <f>COUNTIF(Tabla1[[#This Row],[VEHICULOS_ACCIDENTADOS]:[VEHICULOS_ACCIDENTADOS2]],"MOTOCARRO")</f>
        <v>0</v>
      </c>
      <c r="T850" s="36">
        <f>COUNTIF(Tabla1[[#This Row],[VEHICULOS_ACCIDENTADOS]:[VEHICULOS_ACCIDENTADOS2]],"AUTOMOVIL")</f>
        <v>0</v>
      </c>
      <c r="U850" s="36">
        <f>COUNTIF(Tabla1[[#This Row],[VEHICULOS_ACCIDENTADOS]:[VEHICULOS_ACCIDENTADOS2]],"CAMPERO")</f>
        <v>1</v>
      </c>
      <c r="V850" s="36">
        <f>COUNTIF(Tabla1[[#This Row],[VEHICULOS_ACCIDENTADOS]:[VEHICULOS_ACCIDENTADOS2]],"CAMIONETA")</f>
        <v>0</v>
      </c>
      <c r="W850" s="36">
        <f>COUNTIF(Tabla1[[#This Row],[VEHICULOS_ACCIDENTADOS]:[VEHICULOS_ACCIDENTADOS2]],"MICROBUS")</f>
        <v>0</v>
      </c>
      <c r="X850" s="36">
        <f>COUNTIF(Tabla1[[#This Row],[VEHICULOS_ACCIDENTADOS]:[VEHICULOS_ACCIDENTADOS2]],"BUS")</f>
        <v>0</v>
      </c>
      <c r="Y850" s="36">
        <f>COUNTIF(Tabla1[[#This Row],[VEHICULOS_ACCIDENTADOS]:[VEHICULOS_ACCIDENTADOS2]],"BUSETA")</f>
        <v>0</v>
      </c>
      <c r="Z850" s="36">
        <f>COUNTIF(Tabla1[[#This Row],[VEHICULOS_ACCIDENTADOS]:[VEHICULOS_ACCIDENTADOS2]],"CAMION")</f>
        <v>0</v>
      </c>
      <c r="AA850" s="36">
        <f>COUNTIF(Tabla1[[#This Row],[VEHICULOS_ACCIDENTADOS]:[VEHICULOS_ACCIDENTADOS2]],"TRACTOCAMION")</f>
        <v>0</v>
      </c>
      <c r="AB850" s="36">
        <f>COUNTIF(Tabla1[[#This Row],[VEHICULOS_ACCIDENTADOS]:[VEHICULOS_ACCIDENTADOS2]],"VOLQUETA")</f>
        <v>0</v>
      </c>
      <c r="AC850" s="36">
        <f>COUNTIF(Tabla1[[#This Row],[VEHICULOS_ACCIDENTADOS]:[VEHICULOS_ACCIDENTADOS2]],"BICICLETA")</f>
        <v>0</v>
      </c>
      <c r="AD850" s="38" t="s">
        <v>471</v>
      </c>
      <c r="AE850" s="38" t="s">
        <v>471</v>
      </c>
      <c r="AF850" s="38">
        <f>COUNTIF(Tabla1[[#This Row],[GENERO_MASCULINO]:[GENERO_FEMENINO]],"MASCULINO")</f>
        <v>2</v>
      </c>
      <c r="AG850" s="36">
        <f>COUNTIF(Tabla1[[#This Row],[GENERO_MASCULINO]:[GENERO_FEMENINO]],"FEMENINO")</f>
        <v>0</v>
      </c>
      <c r="AH850" s="86">
        <v>16</v>
      </c>
      <c r="AI850" s="86">
        <v>60</v>
      </c>
      <c r="AJ850" s="86"/>
      <c r="AK850" s="87"/>
      <c r="AL850" s="87"/>
      <c r="AM850" s="6"/>
      <c r="AN850" s="73">
        <v>139</v>
      </c>
      <c r="AO850" s="36" t="str">
        <f>IFERROR(((VLOOKUP(Tabla1[[#This Row],[HIPOTESIS_1]],listas!$D$1:$E$105,2,FALSE))),"SIN INFORMACIÓN")</f>
        <v>Impericia en el manejo.</v>
      </c>
      <c r="AP850" s="7"/>
      <c r="AQ850" s="36" t="str">
        <f>IFERROR(((VLOOKUP(Tabla1[[#This Row],[HIPOTESIS_2]],listas!$D$1:$E$105,2,FALSE))),"")</f>
        <v/>
      </c>
      <c r="AR850" s="1" t="str">
        <f>IF(HOUR(Tabla1[[#This Row],[HORA_ACCIDENTE]])&lt;6,"MAÑANA",
 IF(HOUR(Tabla1[[#This Row],[HORA_ACCIDENTE]])&lt;12,"MAÑANA",
 IF(HOUR(Tabla1[[#This Row],[HORA_ACCIDENTE]])&lt;18,"TARDE","NOCHE")))</f>
        <v>MAÑANA</v>
      </c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  <c r="BD850" s="40"/>
    </row>
    <row r="851" spans="1:56" x14ac:dyDescent="0.25">
      <c r="A851" s="12">
        <v>297</v>
      </c>
      <c r="B851" s="38">
        <v>0</v>
      </c>
      <c r="C851" s="7">
        <v>1</v>
      </c>
      <c r="D851" s="7">
        <v>0</v>
      </c>
      <c r="E851" s="18" t="str">
        <f t="shared" si="52"/>
        <v>LESIONADO</v>
      </c>
      <c r="F851" s="29" t="s">
        <v>979</v>
      </c>
      <c r="G851" s="17">
        <v>5.3402458333333334</v>
      </c>
      <c r="H851" s="17">
        <v>-72.385781666666674</v>
      </c>
      <c r="I851" s="93" t="s">
        <v>697</v>
      </c>
      <c r="J851" s="7" t="s">
        <v>717</v>
      </c>
      <c r="K851" s="24" t="str">
        <f t="shared" si="53"/>
        <v>2022</v>
      </c>
      <c r="L851" s="24" t="str">
        <f t="shared" si="54"/>
        <v>SEPTIEMBRE</v>
      </c>
      <c r="M851" s="232">
        <v>44807</v>
      </c>
      <c r="N851" s="24" t="str">
        <f t="shared" si="55"/>
        <v>SÁBADO</v>
      </c>
      <c r="O851" s="174">
        <v>0.86111111111111105</v>
      </c>
      <c r="P851" s="180" t="s">
        <v>469</v>
      </c>
      <c r="Q851" s="180" t="s">
        <v>447</v>
      </c>
      <c r="R851" s="36">
        <f>COUNTIF(Tabla1[[#This Row],[VEHICULOS_ACCIDENTADOS]:[VEHICULOS_ACCIDENTADOS2]],"MOTOCICLETA")</f>
        <v>1</v>
      </c>
      <c r="S851" s="36">
        <f>COUNTIF(Tabla1[[#This Row],[VEHICULOS_ACCIDENTADOS]:[VEHICULOS_ACCIDENTADOS2]],"MOTOCARRO")</f>
        <v>0</v>
      </c>
      <c r="T851" s="36">
        <f>COUNTIF(Tabla1[[#This Row],[VEHICULOS_ACCIDENTADOS]:[VEHICULOS_ACCIDENTADOS2]],"AUTOMOVIL")</f>
        <v>1</v>
      </c>
      <c r="U851" s="36">
        <f>COUNTIF(Tabla1[[#This Row],[VEHICULOS_ACCIDENTADOS]:[VEHICULOS_ACCIDENTADOS2]],"CAMPERO")</f>
        <v>0</v>
      </c>
      <c r="V851" s="36">
        <f>COUNTIF(Tabla1[[#This Row],[VEHICULOS_ACCIDENTADOS]:[VEHICULOS_ACCIDENTADOS2]],"CAMIONETA")</f>
        <v>0</v>
      </c>
      <c r="W851" s="36">
        <f>COUNTIF(Tabla1[[#This Row],[VEHICULOS_ACCIDENTADOS]:[VEHICULOS_ACCIDENTADOS2]],"MICROBUS")</f>
        <v>0</v>
      </c>
      <c r="X851" s="36">
        <f>COUNTIF(Tabla1[[#This Row],[VEHICULOS_ACCIDENTADOS]:[VEHICULOS_ACCIDENTADOS2]],"BUS")</f>
        <v>0</v>
      </c>
      <c r="Y851" s="36">
        <f>COUNTIF(Tabla1[[#This Row],[VEHICULOS_ACCIDENTADOS]:[VEHICULOS_ACCIDENTADOS2]],"BUSETA")</f>
        <v>0</v>
      </c>
      <c r="Z851" s="36">
        <f>COUNTIF(Tabla1[[#This Row],[VEHICULOS_ACCIDENTADOS]:[VEHICULOS_ACCIDENTADOS2]],"CAMION")</f>
        <v>0</v>
      </c>
      <c r="AA851" s="36">
        <f>COUNTIF(Tabla1[[#This Row],[VEHICULOS_ACCIDENTADOS]:[VEHICULOS_ACCIDENTADOS2]],"TRACTOCAMION")</f>
        <v>0</v>
      </c>
      <c r="AB851" s="36">
        <f>COUNTIF(Tabla1[[#This Row],[VEHICULOS_ACCIDENTADOS]:[VEHICULOS_ACCIDENTADOS2]],"VOLQUETA")</f>
        <v>0</v>
      </c>
      <c r="AC851" s="36">
        <f>COUNTIF(Tabla1[[#This Row],[VEHICULOS_ACCIDENTADOS]:[VEHICULOS_ACCIDENTADOS2]],"BICICLETA")</f>
        <v>0</v>
      </c>
      <c r="AD851" s="38" t="s">
        <v>471</v>
      </c>
      <c r="AE851" s="38"/>
      <c r="AF851" s="38">
        <f>COUNTIF(Tabla1[[#This Row],[GENERO_MASCULINO]:[GENERO_FEMENINO]],"MASCULINO")</f>
        <v>1</v>
      </c>
      <c r="AG851" s="36">
        <f>COUNTIF(Tabla1[[#This Row],[GENERO_MASCULINO]:[GENERO_FEMENINO]],"FEMENINO")</f>
        <v>0</v>
      </c>
      <c r="AH851" s="73">
        <v>24</v>
      </c>
      <c r="AI851" s="73"/>
      <c r="AJ851" s="87"/>
      <c r="AK851" s="73"/>
      <c r="AL851" s="73"/>
      <c r="AM851" s="7"/>
      <c r="AN851" s="73">
        <v>113</v>
      </c>
      <c r="AO851" s="36" t="str">
        <f>IFERROR(((VLOOKUP(Tabla1[[#This Row],[HIPOTESIS_1]],listas!$D$1:$E$105,2,FALSE))),"SIN INFORMACIÓN")</f>
        <v>Desobedecer al agente.</v>
      </c>
      <c r="AP851" s="7"/>
      <c r="AQ851" s="36" t="str">
        <f>IFERROR(((VLOOKUP(Tabla1[[#This Row],[HIPOTESIS_2]],listas!$D$1:$E$105,2,FALSE))),"")</f>
        <v/>
      </c>
      <c r="AR851" s="1" t="str">
        <f>IF(HOUR(Tabla1[[#This Row],[HORA_ACCIDENTE]])&lt;6,"MAÑANA",
 IF(HOUR(Tabla1[[#This Row],[HORA_ACCIDENTE]])&lt;12,"MAÑANA",
 IF(HOUR(Tabla1[[#This Row],[HORA_ACCIDENTE]])&lt;18,"TARDE","NOCHE")))</f>
        <v>NOCHE</v>
      </c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40"/>
    </row>
    <row r="852" spans="1:56" x14ac:dyDescent="0.25">
      <c r="A852" s="12">
        <v>1052</v>
      </c>
      <c r="B852" s="47">
        <v>1</v>
      </c>
      <c r="C852" s="24">
        <v>0</v>
      </c>
      <c r="D852" s="24">
        <v>0</v>
      </c>
      <c r="E852" s="18" t="str">
        <f t="shared" si="52"/>
        <v>SOLO DAÑO</v>
      </c>
      <c r="F852" s="152" t="s">
        <v>981</v>
      </c>
      <c r="G852" s="37">
        <v>5.3335173999999999</v>
      </c>
      <c r="H852" s="37">
        <v>-72.381627800000004</v>
      </c>
      <c r="I852" s="93" t="s">
        <v>697</v>
      </c>
      <c r="J852" s="7" t="s">
        <v>717</v>
      </c>
      <c r="K852" s="24" t="str">
        <f t="shared" si="53"/>
        <v>2025</v>
      </c>
      <c r="L852" s="24" t="str">
        <f t="shared" si="54"/>
        <v>AGOSTO</v>
      </c>
      <c r="M852" s="232">
        <v>45892</v>
      </c>
      <c r="N852" s="24" t="str">
        <f t="shared" si="55"/>
        <v>SÁBADO</v>
      </c>
      <c r="O852" s="106">
        <v>0.64583333333333337</v>
      </c>
      <c r="P852" s="8" t="s">
        <v>469</v>
      </c>
      <c r="R852" s="36">
        <f>COUNTIF(Tabla1[[#This Row],[VEHICULOS_ACCIDENTADOS]:[VEHICULOS_ACCIDENTADOS2]],"MOTOCICLETA")</f>
        <v>1</v>
      </c>
      <c r="S852" s="36">
        <f>COUNTIF(Tabla1[[#This Row],[VEHICULOS_ACCIDENTADOS]:[VEHICULOS_ACCIDENTADOS2]],"MOTOCARRO")</f>
        <v>0</v>
      </c>
      <c r="T852" s="36">
        <f>COUNTIF(Tabla1[[#This Row],[VEHICULOS_ACCIDENTADOS]:[VEHICULOS_ACCIDENTADOS2]],"AUTOMOVIL")</f>
        <v>0</v>
      </c>
      <c r="U852" s="36">
        <f>COUNTIF(Tabla1[[#This Row],[VEHICULOS_ACCIDENTADOS]:[VEHICULOS_ACCIDENTADOS2]],"CAMPERO")</f>
        <v>0</v>
      </c>
      <c r="V852" s="36">
        <f>COUNTIF(Tabla1[[#This Row],[VEHICULOS_ACCIDENTADOS]:[VEHICULOS_ACCIDENTADOS2]],"CAMIONETA")</f>
        <v>0</v>
      </c>
      <c r="W852" s="36">
        <f>COUNTIF(Tabla1[[#This Row],[VEHICULOS_ACCIDENTADOS]:[VEHICULOS_ACCIDENTADOS2]],"MICROBUS")</f>
        <v>0</v>
      </c>
      <c r="X852" s="36">
        <f>COUNTIF(Tabla1[[#This Row],[VEHICULOS_ACCIDENTADOS]:[VEHICULOS_ACCIDENTADOS2]],"BUS")</f>
        <v>0</v>
      </c>
      <c r="Y852" s="36">
        <f>COUNTIF(Tabla1[[#This Row],[VEHICULOS_ACCIDENTADOS]:[VEHICULOS_ACCIDENTADOS2]],"BUSETA")</f>
        <v>0</v>
      </c>
      <c r="Z852" s="36">
        <f>COUNTIF(Tabla1[[#This Row],[VEHICULOS_ACCIDENTADOS]:[VEHICULOS_ACCIDENTADOS2]],"CAMION")</f>
        <v>0</v>
      </c>
      <c r="AA852" s="36">
        <f>COUNTIF(Tabla1[[#This Row],[VEHICULOS_ACCIDENTADOS]:[VEHICULOS_ACCIDENTADOS2]],"TRACTOCAMION")</f>
        <v>0</v>
      </c>
      <c r="AB852" s="36">
        <f>COUNTIF(Tabla1[[#This Row],[VEHICULOS_ACCIDENTADOS]:[VEHICULOS_ACCIDENTADOS2]],"VOLQUETA")</f>
        <v>0</v>
      </c>
      <c r="AC852" s="36">
        <f>COUNTIF(Tabla1[[#This Row],[VEHICULOS_ACCIDENTADOS]:[VEHICULOS_ACCIDENTADOS2]],"BICICLETA")</f>
        <v>0</v>
      </c>
      <c r="AD852" s="189" t="s">
        <v>472</v>
      </c>
      <c r="AE852" s="189" t="s">
        <v>471</v>
      </c>
      <c r="AF852" s="38">
        <f>COUNTIF(Tabla1[[#This Row],[GENERO_MASCULINO]:[GENERO_FEMENINO]],"MASCULINO")</f>
        <v>1</v>
      </c>
      <c r="AG852" s="36">
        <f>COUNTIF(Tabla1[[#This Row],[GENERO_MASCULINO]:[GENERO_FEMENINO]],"FEMENINO")</f>
        <v>1</v>
      </c>
      <c r="AH852" s="86">
        <v>30</v>
      </c>
      <c r="AI852" s="86"/>
      <c r="AJ852" s="86"/>
      <c r="AK852" s="87"/>
      <c r="AL852" s="87"/>
      <c r="AM852" s="6"/>
      <c r="AN852" s="73">
        <v>1</v>
      </c>
      <c r="AO852" s="59" t="str">
        <f>IFERROR(((VLOOKUP(Tabla1[[#This Row],[HIPOTESIS_1]],listas!$D$1:$E$105,2,FALSE))),"SIN INFORMACIÓN")</f>
        <v>SIN INFORMACIÓN</v>
      </c>
      <c r="AP852" s="7"/>
      <c r="AQ852" s="36" t="str">
        <f>IFERROR(((VLOOKUP(Tabla1[[#This Row],[HIPOTESIS_2]],listas!$D$1:$E$105,2,FALSE))),"")</f>
        <v/>
      </c>
      <c r="AR852" s="1" t="str">
        <f>IF(HOUR(Tabla1[[#This Row],[HORA_ACCIDENTE]])&lt;6,"MAÑANA",
 IF(HOUR(Tabla1[[#This Row],[HORA_ACCIDENTE]])&lt;12,"MAÑANA",
 IF(HOUR(Tabla1[[#This Row],[HORA_ACCIDENTE]])&lt;18,"TARDE","NOCHE")))</f>
        <v>TARDE</v>
      </c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  <c r="BD852" s="40"/>
    </row>
    <row r="853" spans="1:56" x14ac:dyDescent="0.25">
      <c r="A853" s="12">
        <v>351</v>
      </c>
      <c r="B853" s="38">
        <v>0</v>
      </c>
      <c r="C853" s="29">
        <v>1</v>
      </c>
      <c r="D853" s="7">
        <v>0</v>
      </c>
      <c r="E853" s="18" t="str">
        <f t="shared" si="52"/>
        <v>LESIONADO</v>
      </c>
      <c r="F853" s="7" t="s">
        <v>304</v>
      </c>
      <c r="G853" s="17">
        <v>5.3440611111111105</v>
      </c>
      <c r="H853" s="17">
        <v>-72.388338888888896</v>
      </c>
      <c r="I853" s="93" t="s">
        <v>697</v>
      </c>
      <c r="J853" s="7" t="s">
        <v>717</v>
      </c>
      <c r="K853" s="24" t="str">
        <f t="shared" si="53"/>
        <v>2022</v>
      </c>
      <c r="L853" s="24" t="str">
        <f t="shared" si="54"/>
        <v>NOVIEMBRE</v>
      </c>
      <c r="M853" s="232">
        <v>44877</v>
      </c>
      <c r="N853" s="24" t="str">
        <f t="shared" si="55"/>
        <v>SÁBADO</v>
      </c>
      <c r="O853" s="174">
        <v>0.30208333333333298</v>
      </c>
      <c r="P853" s="180" t="s">
        <v>469</v>
      </c>
      <c r="Q853" s="180"/>
      <c r="R853" s="36">
        <f>COUNTIF(Tabla1[[#This Row],[VEHICULOS_ACCIDENTADOS]:[VEHICULOS_ACCIDENTADOS2]],"MOTOCICLETA")</f>
        <v>1</v>
      </c>
      <c r="S853" s="36">
        <f>COUNTIF(Tabla1[[#This Row],[VEHICULOS_ACCIDENTADOS]:[VEHICULOS_ACCIDENTADOS2]],"MOTOCARRO")</f>
        <v>0</v>
      </c>
      <c r="T853" s="36">
        <f>COUNTIF(Tabla1[[#This Row],[VEHICULOS_ACCIDENTADOS]:[VEHICULOS_ACCIDENTADOS2]],"AUTOMOVIL")</f>
        <v>0</v>
      </c>
      <c r="U853" s="36">
        <f>COUNTIF(Tabla1[[#This Row],[VEHICULOS_ACCIDENTADOS]:[VEHICULOS_ACCIDENTADOS2]],"CAMPERO")</f>
        <v>0</v>
      </c>
      <c r="V853" s="36">
        <f>COUNTIF(Tabla1[[#This Row],[VEHICULOS_ACCIDENTADOS]:[VEHICULOS_ACCIDENTADOS2]],"CAMIONETA")</f>
        <v>0</v>
      </c>
      <c r="W853" s="36">
        <f>COUNTIF(Tabla1[[#This Row],[VEHICULOS_ACCIDENTADOS]:[VEHICULOS_ACCIDENTADOS2]],"MICROBUS")</f>
        <v>0</v>
      </c>
      <c r="X853" s="36">
        <f>COUNTIF(Tabla1[[#This Row],[VEHICULOS_ACCIDENTADOS]:[VEHICULOS_ACCIDENTADOS2]],"BUS")</f>
        <v>0</v>
      </c>
      <c r="Y853" s="36">
        <f>COUNTIF(Tabla1[[#This Row],[VEHICULOS_ACCIDENTADOS]:[VEHICULOS_ACCIDENTADOS2]],"BUSETA")</f>
        <v>0</v>
      </c>
      <c r="Z853" s="36">
        <f>COUNTIF(Tabla1[[#This Row],[VEHICULOS_ACCIDENTADOS]:[VEHICULOS_ACCIDENTADOS2]],"CAMION")</f>
        <v>0</v>
      </c>
      <c r="AA853" s="36">
        <f>COUNTIF(Tabla1[[#This Row],[VEHICULOS_ACCIDENTADOS]:[VEHICULOS_ACCIDENTADOS2]],"TRACTOCAMION")</f>
        <v>0</v>
      </c>
      <c r="AB853" s="36">
        <f>COUNTIF(Tabla1[[#This Row],[VEHICULOS_ACCIDENTADOS]:[VEHICULOS_ACCIDENTADOS2]],"VOLQUETA")</f>
        <v>0</v>
      </c>
      <c r="AC853" s="36">
        <f>COUNTIF(Tabla1[[#This Row],[VEHICULOS_ACCIDENTADOS]:[VEHICULOS_ACCIDENTADOS2]],"BICICLETA")</f>
        <v>0</v>
      </c>
      <c r="AD853" s="38"/>
      <c r="AE853" s="38" t="s">
        <v>472</v>
      </c>
      <c r="AF853" s="38">
        <f>COUNTIF(Tabla1[[#This Row],[GENERO_MASCULINO]:[GENERO_FEMENINO]],"MASCULINO")</f>
        <v>0</v>
      </c>
      <c r="AG853" s="36">
        <f>COUNTIF(Tabla1[[#This Row],[GENERO_MASCULINO]:[GENERO_FEMENINO]],"FEMENINO")</f>
        <v>1</v>
      </c>
      <c r="AH853" s="73"/>
      <c r="AI853" s="73"/>
      <c r="AJ853" s="73"/>
      <c r="AK853" s="73"/>
      <c r="AL853" s="73">
        <v>33</v>
      </c>
      <c r="AM853" s="7"/>
      <c r="AN853" s="73">
        <v>115</v>
      </c>
      <c r="AO853" s="36" t="str">
        <f>IFERROR(((VLOOKUP(Tabla1[[#This Row],[HIPOTESIS_1]],listas!$D$1:$E$105,2,FALSE))),"SIN INFORMACIÓN")</f>
        <v>Embriaguez o Sustancias alucinogenas</v>
      </c>
      <c r="AP853" s="7"/>
      <c r="AQ853" s="36" t="str">
        <f>IFERROR(((VLOOKUP(Tabla1[[#This Row],[HIPOTESIS_2]],listas!$D$1:$E$105,2,FALSE))),"")</f>
        <v/>
      </c>
      <c r="AR853" s="1" t="str">
        <f>IF(HOUR(Tabla1[[#This Row],[HORA_ACCIDENTE]])&lt;6,"MAÑANA",
 IF(HOUR(Tabla1[[#This Row],[HORA_ACCIDENTE]])&lt;12,"MAÑANA",
 IF(HOUR(Tabla1[[#This Row],[HORA_ACCIDENTE]])&lt;18,"TARDE","NOCHE")))</f>
        <v>MAÑANA</v>
      </c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40"/>
    </row>
    <row r="854" spans="1:56" x14ac:dyDescent="0.25">
      <c r="A854" s="12">
        <v>863</v>
      </c>
      <c r="B854" s="97">
        <v>0</v>
      </c>
      <c r="C854" s="26">
        <v>1</v>
      </c>
      <c r="D854" s="15">
        <v>0</v>
      </c>
      <c r="E854" s="18" t="str">
        <f t="shared" si="52"/>
        <v>LESIONADO</v>
      </c>
      <c r="F854" s="15" t="s">
        <v>78</v>
      </c>
      <c r="G854" s="17">
        <v>5.3355259999999998</v>
      </c>
      <c r="H854" s="17">
        <v>-72.382839000000004</v>
      </c>
      <c r="I854" s="93" t="s">
        <v>697</v>
      </c>
      <c r="J854" s="21" t="s">
        <v>717</v>
      </c>
      <c r="K854" s="24" t="str">
        <f t="shared" si="53"/>
        <v>2025</v>
      </c>
      <c r="L854" s="24" t="str">
        <f t="shared" si="54"/>
        <v>ENERO</v>
      </c>
      <c r="M854" s="234">
        <v>45680</v>
      </c>
      <c r="N854" s="24" t="str">
        <f t="shared" si="55"/>
        <v>JUEVES</v>
      </c>
      <c r="O854" s="108">
        <v>0.25347222222222221</v>
      </c>
      <c r="P854" s="44" t="s">
        <v>441</v>
      </c>
      <c r="Q854" s="44" t="s">
        <v>469</v>
      </c>
      <c r="R854" s="36">
        <f>COUNTIF(Tabla1[[#This Row],[VEHICULOS_ACCIDENTADOS]:[VEHICULOS_ACCIDENTADOS2]],"MOTOCICLETA")</f>
        <v>1</v>
      </c>
      <c r="S854" s="36">
        <f>COUNTIF(Tabla1[[#This Row],[VEHICULOS_ACCIDENTADOS]:[VEHICULOS_ACCIDENTADOS2]],"MOTOCARRO")</f>
        <v>0</v>
      </c>
      <c r="T854" s="36">
        <f>COUNTIF(Tabla1[[#This Row],[VEHICULOS_ACCIDENTADOS]:[VEHICULOS_ACCIDENTADOS2]],"AUTOMOVIL")</f>
        <v>0</v>
      </c>
      <c r="U854" s="36">
        <f>COUNTIF(Tabla1[[#This Row],[VEHICULOS_ACCIDENTADOS]:[VEHICULOS_ACCIDENTADOS2]],"CAMPERO")</f>
        <v>0</v>
      </c>
      <c r="V854" s="36">
        <f>COUNTIF(Tabla1[[#This Row],[VEHICULOS_ACCIDENTADOS]:[VEHICULOS_ACCIDENTADOS2]],"CAMIONETA")</f>
        <v>0</v>
      </c>
      <c r="W854" s="36">
        <f>COUNTIF(Tabla1[[#This Row],[VEHICULOS_ACCIDENTADOS]:[VEHICULOS_ACCIDENTADOS2]],"MICROBUS")</f>
        <v>0</v>
      </c>
      <c r="X854" s="36">
        <f>COUNTIF(Tabla1[[#This Row],[VEHICULOS_ACCIDENTADOS]:[VEHICULOS_ACCIDENTADOS2]],"BUS")</f>
        <v>0</v>
      </c>
      <c r="Y854" s="36">
        <f>COUNTIF(Tabla1[[#This Row],[VEHICULOS_ACCIDENTADOS]:[VEHICULOS_ACCIDENTADOS2]],"BUSETA")</f>
        <v>0</v>
      </c>
      <c r="Z854" s="36">
        <f>COUNTIF(Tabla1[[#This Row],[VEHICULOS_ACCIDENTADOS]:[VEHICULOS_ACCIDENTADOS2]],"CAMION")</f>
        <v>1</v>
      </c>
      <c r="AA854" s="36">
        <f>COUNTIF(Tabla1[[#This Row],[VEHICULOS_ACCIDENTADOS]:[VEHICULOS_ACCIDENTADOS2]],"TRACTOCAMION")</f>
        <v>0</v>
      </c>
      <c r="AB854" s="36">
        <f>COUNTIF(Tabla1[[#This Row],[VEHICULOS_ACCIDENTADOS]:[VEHICULOS_ACCIDENTADOS2]],"VOLQUETA")</f>
        <v>0</v>
      </c>
      <c r="AC854" s="36">
        <f>COUNTIF(Tabla1[[#This Row],[VEHICULOS_ACCIDENTADOS]:[VEHICULOS_ACCIDENTADOS2]],"BICICLETA")</f>
        <v>0</v>
      </c>
      <c r="AD854" s="49" t="s">
        <v>471</v>
      </c>
      <c r="AE854" s="49" t="s">
        <v>471</v>
      </c>
      <c r="AF854" s="43">
        <f>COUNTIF(Tabla1[[#This Row],[GENERO_MASCULINO]:[GENERO_FEMENINO]],"MASCULINO")</f>
        <v>2</v>
      </c>
      <c r="AG854" s="36">
        <f>COUNTIF(Tabla1[[#This Row],[GENERO_MASCULINO]:[GENERO_FEMENINO]],"FEMENINO")</f>
        <v>0</v>
      </c>
      <c r="AH854" s="86">
        <v>27</v>
      </c>
      <c r="AI854" s="86">
        <v>20</v>
      </c>
      <c r="AJ854" s="86"/>
      <c r="AK854" s="86"/>
      <c r="AL854" s="86"/>
      <c r="AM854" s="15"/>
      <c r="AN854" s="86">
        <v>142</v>
      </c>
      <c r="AO854" s="36" t="str">
        <f>IFERROR(((VLOOKUP(Tabla1[[#This Row],[HIPOTESIS_1]],listas!$D$1:$E$105,2,FALSE))),"SIN INFORMACIÓN")</f>
        <v>Semáforo en rojo.</v>
      </c>
      <c r="AP854" s="15"/>
      <c r="AQ854" s="36" t="str">
        <f>IFERROR(((VLOOKUP(Tabla1[[#This Row],[HIPOTESIS_2]],listas!$D$1:$E$105,2,FALSE))),"")</f>
        <v/>
      </c>
      <c r="AR854" s="1" t="str">
        <f>IF(HOUR(Tabla1[[#This Row],[HORA_ACCIDENTE]])&lt;6,"MAÑANA",
 IF(HOUR(Tabla1[[#This Row],[HORA_ACCIDENTE]])&lt;12,"MAÑANA",
 IF(HOUR(Tabla1[[#This Row],[HORA_ACCIDENTE]])&lt;18,"TARDE","NOCHE")))</f>
        <v>MAÑANA</v>
      </c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  <c r="BD854" s="40"/>
    </row>
    <row r="855" spans="1:56" x14ac:dyDescent="0.25">
      <c r="A855" s="12">
        <v>842</v>
      </c>
      <c r="B855" s="97">
        <v>0</v>
      </c>
      <c r="C855" s="26">
        <v>2</v>
      </c>
      <c r="D855" s="19">
        <v>0</v>
      </c>
      <c r="E855" s="18" t="str">
        <f t="shared" si="52"/>
        <v>LESIONADO</v>
      </c>
      <c r="F855" s="15" t="s">
        <v>90</v>
      </c>
      <c r="G855" s="17">
        <v>5.3355259999999998</v>
      </c>
      <c r="H855" s="17">
        <v>-72.382839000000004</v>
      </c>
      <c r="I855" s="93" t="s">
        <v>697</v>
      </c>
      <c r="J855" s="7" t="s">
        <v>717</v>
      </c>
      <c r="K855" s="24" t="str">
        <f t="shared" si="53"/>
        <v>2024</v>
      </c>
      <c r="L855" s="24" t="str">
        <f t="shared" si="54"/>
        <v>DICIEMBRE</v>
      </c>
      <c r="M855" s="234">
        <v>45648</v>
      </c>
      <c r="N855" s="24" t="str">
        <f t="shared" si="55"/>
        <v>DOMINGO</v>
      </c>
      <c r="O855" s="108">
        <v>0.96875</v>
      </c>
      <c r="P855" s="44" t="s">
        <v>469</v>
      </c>
      <c r="Q855" s="44" t="s">
        <v>469</v>
      </c>
      <c r="R855" s="36">
        <f>COUNTIF(Tabla1[[#This Row],[VEHICULOS_ACCIDENTADOS]:[VEHICULOS_ACCIDENTADOS2]],"MOTOCICLETA")</f>
        <v>2</v>
      </c>
      <c r="S855" s="36">
        <f>COUNTIF(Tabla1[[#This Row],[VEHICULOS_ACCIDENTADOS]:[VEHICULOS_ACCIDENTADOS2]],"MOTOCARRO")</f>
        <v>0</v>
      </c>
      <c r="T855" s="36">
        <f>COUNTIF(Tabla1[[#This Row],[VEHICULOS_ACCIDENTADOS]:[VEHICULOS_ACCIDENTADOS2]],"AUTOMOVIL")</f>
        <v>0</v>
      </c>
      <c r="U855" s="36">
        <f>COUNTIF(Tabla1[[#This Row],[VEHICULOS_ACCIDENTADOS]:[VEHICULOS_ACCIDENTADOS2]],"CAMPERO")</f>
        <v>0</v>
      </c>
      <c r="V855" s="36">
        <f>COUNTIF(Tabla1[[#This Row],[VEHICULOS_ACCIDENTADOS]:[VEHICULOS_ACCIDENTADOS2]],"CAMIONETA")</f>
        <v>0</v>
      </c>
      <c r="W855" s="36">
        <f>COUNTIF(Tabla1[[#This Row],[VEHICULOS_ACCIDENTADOS]:[VEHICULOS_ACCIDENTADOS2]],"MICROBUS")</f>
        <v>0</v>
      </c>
      <c r="X855" s="36">
        <f>COUNTIF(Tabla1[[#This Row],[VEHICULOS_ACCIDENTADOS]:[VEHICULOS_ACCIDENTADOS2]],"BUS")</f>
        <v>0</v>
      </c>
      <c r="Y855" s="36">
        <f>COUNTIF(Tabla1[[#This Row],[VEHICULOS_ACCIDENTADOS]:[VEHICULOS_ACCIDENTADOS2]],"BUSETA")</f>
        <v>0</v>
      </c>
      <c r="Z855" s="36">
        <f>COUNTIF(Tabla1[[#This Row],[VEHICULOS_ACCIDENTADOS]:[VEHICULOS_ACCIDENTADOS2]],"CAMION")</f>
        <v>0</v>
      </c>
      <c r="AA855" s="36">
        <f>COUNTIF(Tabla1[[#This Row],[VEHICULOS_ACCIDENTADOS]:[VEHICULOS_ACCIDENTADOS2]],"TRACTOCAMION")</f>
        <v>0</v>
      </c>
      <c r="AB855" s="36">
        <f>COUNTIF(Tabla1[[#This Row],[VEHICULOS_ACCIDENTADOS]:[VEHICULOS_ACCIDENTADOS2]],"VOLQUETA")</f>
        <v>0</v>
      </c>
      <c r="AC855" s="36">
        <f>COUNTIF(Tabla1[[#This Row],[VEHICULOS_ACCIDENTADOS]:[VEHICULOS_ACCIDENTADOS2]],"BICICLETA")</f>
        <v>0</v>
      </c>
      <c r="AD855" s="43" t="s">
        <v>471</v>
      </c>
      <c r="AE855" s="43"/>
      <c r="AF855" s="43">
        <f>COUNTIF(Tabla1[[#This Row],[GENERO_MASCULINO]:[GENERO_FEMENINO]],"MASCULINO")</f>
        <v>1</v>
      </c>
      <c r="AG855" s="36">
        <f>COUNTIF(Tabla1[[#This Row],[GENERO_MASCULINO]:[GENERO_FEMENINO]],"FEMENINO")</f>
        <v>0</v>
      </c>
      <c r="AH855" s="86">
        <v>23</v>
      </c>
      <c r="AI855" s="86">
        <v>19</v>
      </c>
      <c r="AJ855" s="86"/>
      <c r="AK855" s="86"/>
      <c r="AL855" s="86"/>
      <c r="AM855" s="15"/>
      <c r="AN855" s="86">
        <v>157</v>
      </c>
      <c r="AO855" s="36" t="str">
        <f>IFERROR(((VLOOKUP(Tabla1[[#This Row],[HIPOTESIS_1]],listas!$D$1:$E$105,2,FALSE))),"SIN INFORMACIÓN")</f>
        <v>Otra</v>
      </c>
      <c r="AP855" s="15"/>
      <c r="AQ855" s="36" t="str">
        <f>IFERROR(((VLOOKUP(Tabla1[[#This Row],[HIPOTESIS_2]],listas!$D$1:$E$105,2,FALSE))),"")</f>
        <v/>
      </c>
      <c r="AR855" s="1" t="str">
        <f>IF(HOUR(Tabla1[[#This Row],[HORA_ACCIDENTE]])&lt;6,"MAÑANA",
 IF(HOUR(Tabla1[[#This Row],[HORA_ACCIDENTE]])&lt;12,"MAÑANA",
 IF(HOUR(Tabla1[[#This Row],[HORA_ACCIDENTE]])&lt;18,"TARDE","NOCHE")))</f>
        <v>NOCHE</v>
      </c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40"/>
    </row>
    <row r="856" spans="1:56" x14ac:dyDescent="0.25">
      <c r="A856" s="12">
        <v>53</v>
      </c>
      <c r="B856" s="38">
        <v>0</v>
      </c>
      <c r="C856" s="29">
        <v>2</v>
      </c>
      <c r="D856" s="7">
        <v>0</v>
      </c>
      <c r="E856" s="18" t="str">
        <f t="shared" si="52"/>
        <v>LESIONADO</v>
      </c>
      <c r="F856" s="7" t="s">
        <v>420</v>
      </c>
      <c r="G856" s="17">
        <v>5.3342638888888887</v>
      </c>
      <c r="H856" s="17">
        <v>-72.381938888888882</v>
      </c>
      <c r="I856" s="93" t="s">
        <v>697</v>
      </c>
      <c r="J856" s="7" t="s">
        <v>717</v>
      </c>
      <c r="K856" s="24" t="str">
        <f t="shared" si="53"/>
        <v>2022</v>
      </c>
      <c r="L856" s="24" t="str">
        <f t="shared" si="54"/>
        <v>FEBRERO</v>
      </c>
      <c r="M856" s="232">
        <v>44606</v>
      </c>
      <c r="N856" s="24" t="str">
        <f t="shared" si="55"/>
        <v>LUNES</v>
      </c>
      <c r="O856" s="106">
        <v>0.58541666666666703</v>
      </c>
      <c r="P856" s="8" t="s">
        <v>469</v>
      </c>
      <c r="Q856" s="8"/>
      <c r="R856" s="36">
        <f>COUNTIF(Tabla1[[#This Row],[VEHICULOS_ACCIDENTADOS]:[VEHICULOS_ACCIDENTADOS2]],"MOTOCICLETA")</f>
        <v>1</v>
      </c>
      <c r="S856" s="36">
        <f>COUNTIF(Tabla1[[#This Row],[VEHICULOS_ACCIDENTADOS]:[VEHICULOS_ACCIDENTADOS2]],"MOTOCARRO")</f>
        <v>0</v>
      </c>
      <c r="T856" s="36">
        <f>COUNTIF(Tabla1[[#This Row],[VEHICULOS_ACCIDENTADOS]:[VEHICULOS_ACCIDENTADOS2]],"AUTOMOVIL")</f>
        <v>0</v>
      </c>
      <c r="U856" s="36">
        <f>COUNTIF(Tabla1[[#This Row],[VEHICULOS_ACCIDENTADOS]:[VEHICULOS_ACCIDENTADOS2]],"CAMPERO")</f>
        <v>0</v>
      </c>
      <c r="V856" s="36">
        <f>COUNTIF(Tabla1[[#This Row],[VEHICULOS_ACCIDENTADOS]:[VEHICULOS_ACCIDENTADOS2]],"CAMIONETA")</f>
        <v>0</v>
      </c>
      <c r="W856" s="36">
        <f>COUNTIF(Tabla1[[#This Row],[VEHICULOS_ACCIDENTADOS]:[VEHICULOS_ACCIDENTADOS2]],"MICROBUS")</f>
        <v>0</v>
      </c>
      <c r="X856" s="36">
        <f>COUNTIF(Tabla1[[#This Row],[VEHICULOS_ACCIDENTADOS]:[VEHICULOS_ACCIDENTADOS2]],"BUS")</f>
        <v>0</v>
      </c>
      <c r="Y856" s="36">
        <f>COUNTIF(Tabla1[[#This Row],[VEHICULOS_ACCIDENTADOS]:[VEHICULOS_ACCIDENTADOS2]],"BUSETA")</f>
        <v>0</v>
      </c>
      <c r="Z856" s="36">
        <f>COUNTIF(Tabla1[[#This Row],[VEHICULOS_ACCIDENTADOS]:[VEHICULOS_ACCIDENTADOS2]],"CAMION")</f>
        <v>0</v>
      </c>
      <c r="AA856" s="36">
        <f>COUNTIF(Tabla1[[#This Row],[VEHICULOS_ACCIDENTADOS]:[VEHICULOS_ACCIDENTADOS2]],"TRACTOCAMION")</f>
        <v>0</v>
      </c>
      <c r="AB856" s="36">
        <f>COUNTIF(Tabla1[[#This Row],[VEHICULOS_ACCIDENTADOS]:[VEHICULOS_ACCIDENTADOS2]],"VOLQUETA")</f>
        <v>0</v>
      </c>
      <c r="AC856" s="36">
        <f>COUNTIF(Tabla1[[#This Row],[VEHICULOS_ACCIDENTADOS]:[VEHICULOS_ACCIDENTADOS2]],"BICICLETA")</f>
        <v>0</v>
      </c>
      <c r="AD856" s="38" t="s">
        <v>471</v>
      </c>
      <c r="AE856" s="38" t="s">
        <v>472</v>
      </c>
      <c r="AF856" s="38">
        <f>COUNTIF(Tabla1[[#This Row],[GENERO_MASCULINO]:[GENERO_FEMENINO]],"MASCULINO")</f>
        <v>1</v>
      </c>
      <c r="AG856" s="36">
        <f>COUNTIF(Tabla1[[#This Row],[GENERO_MASCULINO]:[GENERO_FEMENINO]],"FEMENINO")</f>
        <v>1</v>
      </c>
      <c r="AH856" s="73">
        <v>29</v>
      </c>
      <c r="AI856" s="73"/>
      <c r="AJ856" s="87"/>
      <c r="AK856" s="73">
        <v>44</v>
      </c>
      <c r="AL856" s="73"/>
      <c r="AM856" s="7"/>
      <c r="AN856" s="73">
        <v>410</v>
      </c>
      <c r="AO856" s="36" t="str">
        <f>IFERROR(((VLOOKUP(Tabla1[[#This Row],[HIPOTESIS_1]],listas!$D$1:$E$105,2,FALSE))),"SIN INFORMACIÓN")</f>
        <v>Cruzar en estado de embriaguez.</v>
      </c>
      <c r="AP856" s="7"/>
      <c r="AQ856" s="36" t="str">
        <f>IFERROR(((VLOOKUP(Tabla1[[#This Row],[HIPOTESIS_2]],listas!$D$1:$E$105,2,FALSE))),"")</f>
        <v/>
      </c>
      <c r="AR856" s="1" t="str">
        <f>IF(HOUR(Tabla1[[#This Row],[HORA_ACCIDENTE]])&lt;6,"MAÑANA",
 IF(HOUR(Tabla1[[#This Row],[HORA_ACCIDENTE]])&lt;12,"MAÑANA",
 IF(HOUR(Tabla1[[#This Row],[HORA_ACCIDENTE]])&lt;18,"TARDE","NOCHE")))</f>
        <v>TARDE</v>
      </c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  <c r="BD856" s="40"/>
    </row>
    <row r="857" spans="1:56" x14ac:dyDescent="0.25">
      <c r="A857" s="12">
        <v>227</v>
      </c>
      <c r="B857" s="38">
        <v>0</v>
      </c>
      <c r="C857" s="29">
        <v>1</v>
      </c>
      <c r="D857" s="7">
        <v>0</v>
      </c>
      <c r="E857" s="18" t="str">
        <f t="shared" si="52"/>
        <v>LESIONADO</v>
      </c>
      <c r="F857" s="7" t="s">
        <v>352</v>
      </c>
      <c r="G857" s="17">
        <v>5.3371277777777779</v>
      </c>
      <c r="H857" s="17">
        <v>-72.383727777777779</v>
      </c>
      <c r="I857" s="93" t="s">
        <v>697</v>
      </c>
      <c r="J857" s="7" t="s">
        <v>717</v>
      </c>
      <c r="K857" s="24" t="str">
        <f t="shared" si="53"/>
        <v>2022</v>
      </c>
      <c r="L857" s="24" t="str">
        <f t="shared" si="54"/>
        <v>JUNIO</v>
      </c>
      <c r="M857" s="232">
        <v>44734</v>
      </c>
      <c r="N857" s="24" t="str">
        <f t="shared" si="55"/>
        <v>MIÉRCOLES</v>
      </c>
      <c r="O857" s="174">
        <v>0.72916666666666663</v>
      </c>
      <c r="P857" s="180" t="s">
        <v>444</v>
      </c>
      <c r="Q857" s="180" t="s">
        <v>441</v>
      </c>
      <c r="R857" s="36">
        <f>COUNTIF(Tabla1[[#This Row],[VEHICULOS_ACCIDENTADOS]:[VEHICULOS_ACCIDENTADOS2]],"MOTOCICLETA")</f>
        <v>0</v>
      </c>
      <c r="S857" s="36">
        <f>COUNTIF(Tabla1[[#This Row],[VEHICULOS_ACCIDENTADOS]:[VEHICULOS_ACCIDENTADOS2]],"MOTOCARRO")</f>
        <v>0</v>
      </c>
      <c r="T857" s="36">
        <f>COUNTIF(Tabla1[[#This Row],[VEHICULOS_ACCIDENTADOS]:[VEHICULOS_ACCIDENTADOS2]],"AUTOMOVIL")</f>
        <v>0</v>
      </c>
      <c r="U857" s="36">
        <f>COUNTIF(Tabla1[[#This Row],[VEHICULOS_ACCIDENTADOS]:[VEHICULOS_ACCIDENTADOS2]],"CAMPERO")</f>
        <v>0</v>
      </c>
      <c r="V857" s="36">
        <f>COUNTIF(Tabla1[[#This Row],[VEHICULOS_ACCIDENTADOS]:[VEHICULOS_ACCIDENTADOS2]],"CAMIONETA")</f>
        <v>0</v>
      </c>
      <c r="W857" s="36">
        <f>COUNTIF(Tabla1[[#This Row],[VEHICULOS_ACCIDENTADOS]:[VEHICULOS_ACCIDENTADOS2]],"MICROBUS")</f>
        <v>1</v>
      </c>
      <c r="X857" s="36">
        <f>COUNTIF(Tabla1[[#This Row],[VEHICULOS_ACCIDENTADOS]:[VEHICULOS_ACCIDENTADOS2]],"BUS")</f>
        <v>0</v>
      </c>
      <c r="Y857" s="36">
        <f>COUNTIF(Tabla1[[#This Row],[VEHICULOS_ACCIDENTADOS]:[VEHICULOS_ACCIDENTADOS2]],"BUSETA")</f>
        <v>0</v>
      </c>
      <c r="Z857" s="36">
        <f>COUNTIF(Tabla1[[#This Row],[VEHICULOS_ACCIDENTADOS]:[VEHICULOS_ACCIDENTADOS2]],"CAMION")</f>
        <v>1</v>
      </c>
      <c r="AA857" s="36">
        <f>COUNTIF(Tabla1[[#This Row],[VEHICULOS_ACCIDENTADOS]:[VEHICULOS_ACCIDENTADOS2]],"TRACTOCAMION")</f>
        <v>0</v>
      </c>
      <c r="AB857" s="36">
        <f>COUNTIF(Tabla1[[#This Row],[VEHICULOS_ACCIDENTADOS]:[VEHICULOS_ACCIDENTADOS2]],"VOLQUETA")</f>
        <v>0</v>
      </c>
      <c r="AC857" s="36">
        <f>COUNTIF(Tabla1[[#This Row],[VEHICULOS_ACCIDENTADOS]:[VEHICULOS_ACCIDENTADOS2]],"BICICLETA")</f>
        <v>0</v>
      </c>
      <c r="AD857" s="38" t="s">
        <v>471</v>
      </c>
      <c r="AE857" s="38"/>
      <c r="AF857" s="38">
        <f>COUNTIF(Tabla1[[#This Row],[GENERO_MASCULINO]:[GENERO_FEMENINO]],"MASCULINO")</f>
        <v>1</v>
      </c>
      <c r="AG857" s="36">
        <f>COUNTIF(Tabla1[[#This Row],[GENERO_MASCULINO]:[GENERO_FEMENINO]],"FEMENINO")</f>
        <v>0</v>
      </c>
      <c r="AH857" s="73">
        <v>82</v>
      </c>
      <c r="AI857" s="73"/>
      <c r="AJ857" s="73"/>
      <c r="AK857" s="73"/>
      <c r="AL857" s="73"/>
      <c r="AM857" s="7"/>
      <c r="AN857" s="73">
        <v>132</v>
      </c>
      <c r="AO857" s="36" t="str">
        <f>IFERROR(((VLOOKUP(Tabla1[[#This Row],[HIPOTESIS_1]],listas!$D$1:$E$105,2,FALSE))),"SIN INFORMACIÓN")</f>
        <v>No respetar prelación.</v>
      </c>
      <c r="AP857" s="7"/>
      <c r="AQ857" s="36" t="str">
        <f>IFERROR(((VLOOKUP(Tabla1[[#This Row],[HIPOTESIS_2]],listas!$D$1:$E$105,2,FALSE))),"")</f>
        <v/>
      </c>
      <c r="AR857" s="1" t="str">
        <f>IF(HOUR(Tabla1[[#This Row],[HORA_ACCIDENTE]])&lt;6,"MAÑANA",
 IF(HOUR(Tabla1[[#This Row],[HORA_ACCIDENTE]])&lt;12,"MAÑANA",
 IF(HOUR(Tabla1[[#This Row],[HORA_ACCIDENTE]])&lt;18,"TARDE","NOCHE")))</f>
        <v>TARDE</v>
      </c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40"/>
    </row>
    <row r="858" spans="1:56" x14ac:dyDescent="0.25">
      <c r="A858" s="12">
        <v>503</v>
      </c>
      <c r="B858" s="38">
        <v>0</v>
      </c>
      <c r="C858" s="29">
        <v>1</v>
      </c>
      <c r="D858" s="7">
        <v>0</v>
      </c>
      <c r="E858" s="18" t="str">
        <f t="shared" si="52"/>
        <v>LESIONADO</v>
      </c>
      <c r="F858" s="7" t="s">
        <v>231</v>
      </c>
      <c r="G858" s="21">
        <v>5.3453530555555551</v>
      </c>
      <c r="H858" s="21">
        <v>-72.389190555555558</v>
      </c>
      <c r="I858" s="93" t="s">
        <v>697</v>
      </c>
      <c r="J858" s="7" t="s">
        <v>717</v>
      </c>
      <c r="K858" s="24" t="str">
        <f t="shared" si="53"/>
        <v>2023</v>
      </c>
      <c r="L858" s="24" t="str">
        <f t="shared" si="54"/>
        <v>JUNIO</v>
      </c>
      <c r="M858" s="232">
        <v>45086</v>
      </c>
      <c r="N858" s="24" t="str">
        <f t="shared" si="55"/>
        <v>VIERNES</v>
      </c>
      <c r="O858" s="106">
        <v>0.29166666666666669</v>
      </c>
      <c r="P858" s="39" t="s">
        <v>444</v>
      </c>
      <c r="Q858" s="39"/>
      <c r="R858" s="36">
        <f>COUNTIF(Tabla1[[#This Row],[VEHICULOS_ACCIDENTADOS]:[VEHICULOS_ACCIDENTADOS2]],"MOTOCICLETA")</f>
        <v>0</v>
      </c>
      <c r="S858" s="36">
        <f>COUNTIF(Tabla1[[#This Row],[VEHICULOS_ACCIDENTADOS]:[VEHICULOS_ACCIDENTADOS2]],"MOTOCARRO")</f>
        <v>0</v>
      </c>
      <c r="T858" s="36">
        <f>COUNTIF(Tabla1[[#This Row],[VEHICULOS_ACCIDENTADOS]:[VEHICULOS_ACCIDENTADOS2]],"AUTOMOVIL")</f>
        <v>0</v>
      </c>
      <c r="U858" s="36">
        <f>COUNTIF(Tabla1[[#This Row],[VEHICULOS_ACCIDENTADOS]:[VEHICULOS_ACCIDENTADOS2]],"CAMPERO")</f>
        <v>0</v>
      </c>
      <c r="V858" s="36">
        <f>COUNTIF(Tabla1[[#This Row],[VEHICULOS_ACCIDENTADOS]:[VEHICULOS_ACCIDENTADOS2]],"CAMIONETA")</f>
        <v>0</v>
      </c>
      <c r="W858" s="36">
        <f>COUNTIF(Tabla1[[#This Row],[VEHICULOS_ACCIDENTADOS]:[VEHICULOS_ACCIDENTADOS2]],"MICROBUS")</f>
        <v>1</v>
      </c>
      <c r="X858" s="36">
        <f>COUNTIF(Tabla1[[#This Row],[VEHICULOS_ACCIDENTADOS]:[VEHICULOS_ACCIDENTADOS2]],"BUS")</f>
        <v>0</v>
      </c>
      <c r="Y858" s="36">
        <f>COUNTIF(Tabla1[[#This Row],[VEHICULOS_ACCIDENTADOS]:[VEHICULOS_ACCIDENTADOS2]],"BUSETA")</f>
        <v>0</v>
      </c>
      <c r="Z858" s="36">
        <f>COUNTIF(Tabla1[[#This Row],[VEHICULOS_ACCIDENTADOS]:[VEHICULOS_ACCIDENTADOS2]],"CAMION")</f>
        <v>0</v>
      </c>
      <c r="AA858" s="36">
        <f>COUNTIF(Tabla1[[#This Row],[VEHICULOS_ACCIDENTADOS]:[VEHICULOS_ACCIDENTADOS2]],"TRACTOCAMION")</f>
        <v>0</v>
      </c>
      <c r="AB858" s="36">
        <f>COUNTIF(Tabla1[[#This Row],[VEHICULOS_ACCIDENTADOS]:[VEHICULOS_ACCIDENTADOS2]],"VOLQUETA")</f>
        <v>0</v>
      </c>
      <c r="AC858" s="36">
        <f>COUNTIF(Tabla1[[#This Row],[VEHICULOS_ACCIDENTADOS]:[VEHICULOS_ACCIDENTADOS2]],"BICICLETA")</f>
        <v>0</v>
      </c>
      <c r="AD858" s="38"/>
      <c r="AE858" s="38" t="s">
        <v>472</v>
      </c>
      <c r="AF858" s="38">
        <f>COUNTIF(Tabla1[[#This Row],[GENERO_MASCULINO]:[GENERO_FEMENINO]],"MASCULINO")</f>
        <v>0</v>
      </c>
      <c r="AG858" s="36">
        <f>COUNTIF(Tabla1[[#This Row],[GENERO_MASCULINO]:[GENERO_FEMENINO]],"FEMENINO")</f>
        <v>1</v>
      </c>
      <c r="AH858" s="73"/>
      <c r="AI858" s="73"/>
      <c r="AJ858" s="73">
        <v>56</v>
      </c>
      <c r="AK858" s="73"/>
      <c r="AL858" s="73"/>
      <c r="AM858" s="7"/>
      <c r="AN858" s="73">
        <v>154</v>
      </c>
      <c r="AO858" s="36" t="str">
        <f>IFERROR(((VLOOKUP(Tabla1[[#This Row],[HIPOTESIS_1]],listas!$D$1:$E$105,2,FALSE))),"SIN INFORMACIÓN")</f>
        <v>Transitar con puertas abiertas.</v>
      </c>
      <c r="AP858" s="7"/>
      <c r="AQ858" s="36" t="str">
        <f>IFERROR(((VLOOKUP(Tabla1[[#This Row],[HIPOTESIS_2]],listas!$D$1:$E$105,2,FALSE))),"")</f>
        <v/>
      </c>
      <c r="AR858" s="1" t="str">
        <f>IF(HOUR(Tabla1[[#This Row],[HORA_ACCIDENTE]])&lt;6,"MAÑANA",
 IF(HOUR(Tabla1[[#This Row],[HORA_ACCIDENTE]])&lt;12,"MAÑANA",
 IF(HOUR(Tabla1[[#This Row],[HORA_ACCIDENTE]])&lt;18,"TARDE","NOCHE")))</f>
        <v>MAÑANA</v>
      </c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  <c r="BD858" s="40"/>
    </row>
    <row r="859" spans="1:56" x14ac:dyDescent="0.25">
      <c r="A859" s="12">
        <v>446</v>
      </c>
      <c r="B859" s="38">
        <v>0</v>
      </c>
      <c r="C859" s="29">
        <v>2</v>
      </c>
      <c r="D859" s="7">
        <v>0</v>
      </c>
      <c r="E859" s="18" t="str">
        <f t="shared" si="52"/>
        <v>LESIONADO</v>
      </c>
      <c r="F859" s="7" t="s">
        <v>262</v>
      </c>
      <c r="G859" s="21">
        <v>5.3318713888888887</v>
      </c>
      <c r="H859" s="21">
        <v>-72.380602222222223</v>
      </c>
      <c r="I859" s="93" t="s">
        <v>697</v>
      </c>
      <c r="J859" s="7" t="s">
        <v>717</v>
      </c>
      <c r="K859" s="24" t="str">
        <f t="shared" si="53"/>
        <v>2023</v>
      </c>
      <c r="L859" s="24" t="str">
        <f t="shared" si="54"/>
        <v>ABRIL</v>
      </c>
      <c r="M859" s="232">
        <v>45018</v>
      </c>
      <c r="N859" s="24" t="str">
        <f t="shared" si="55"/>
        <v>DOMINGO</v>
      </c>
      <c r="O859" s="106">
        <v>0.66319444444444442</v>
      </c>
      <c r="P859" s="39" t="s">
        <v>469</v>
      </c>
      <c r="Q859" s="39"/>
      <c r="R859" s="36">
        <f>COUNTIF(Tabla1[[#This Row],[VEHICULOS_ACCIDENTADOS]:[VEHICULOS_ACCIDENTADOS2]],"MOTOCICLETA")</f>
        <v>1</v>
      </c>
      <c r="S859" s="36">
        <f>COUNTIF(Tabla1[[#This Row],[VEHICULOS_ACCIDENTADOS]:[VEHICULOS_ACCIDENTADOS2]],"MOTOCARRO")</f>
        <v>0</v>
      </c>
      <c r="T859" s="36">
        <f>COUNTIF(Tabla1[[#This Row],[VEHICULOS_ACCIDENTADOS]:[VEHICULOS_ACCIDENTADOS2]],"AUTOMOVIL")</f>
        <v>0</v>
      </c>
      <c r="U859" s="36">
        <f>COUNTIF(Tabla1[[#This Row],[VEHICULOS_ACCIDENTADOS]:[VEHICULOS_ACCIDENTADOS2]],"CAMPERO")</f>
        <v>0</v>
      </c>
      <c r="V859" s="36">
        <f>COUNTIF(Tabla1[[#This Row],[VEHICULOS_ACCIDENTADOS]:[VEHICULOS_ACCIDENTADOS2]],"CAMIONETA")</f>
        <v>0</v>
      </c>
      <c r="W859" s="36">
        <f>COUNTIF(Tabla1[[#This Row],[VEHICULOS_ACCIDENTADOS]:[VEHICULOS_ACCIDENTADOS2]],"MICROBUS")</f>
        <v>0</v>
      </c>
      <c r="X859" s="36">
        <f>COUNTIF(Tabla1[[#This Row],[VEHICULOS_ACCIDENTADOS]:[VEHICULOS_ACCIDENTADOS2]],"BUS")</f>
        <v>0</v>
      </c>
      <c r="Y859" s="36">
        <f>COUNTIF(Tabla1[[#This Row],[VEHICULOS_ACCIDENTADOS]:[VEHICULOS_ACCIDENTADOS2]],"BUSETA")</f>
        <v>0</v>
      </c>
      <c r="Z859" s="36">
        <f>COUNTIF(Tabla1[[#This Row],[VEHICULOS_ACCIDENTADOS]:[VEHICULOS_ACCIDENTADOS2]],"CAMION")</f>
        <v>0</v>
      </c>
      <c r="AA859" s="36">
        <f>COUNTIF(Tabla1[[#This Row],[VEHICULOS_ACCIDENTADOS]:[VEHICULOS_ACCIDENTADOS2]],"TRACTOCAMION")</f>
        <v>0</v>
      </c>
      <c r="AB859" s="36">
        <f>COUNTIF(Tabla1[[#This Row],[VEHICULOS_ACCIDENTADOS]:[VEHICULOS_ACCIDENTADOS2]],"VOLQUETA")</f>
        <v>0</v>
      </c>
      <c r="AC859" s="36">
        <f>COUNTIF(Tabla1[[#This Row],[VEHICULOS_ACCIDENTADOS]:[VEHICULOS_ACCIDENTADOS2]],"BICICLETA")</f>
        <v>0</v>
      </c>
      <c r="AD859" s="38" t="s">
        <v>471</v>
      </c>
      <c r="AE859" s="38" t="s">
        <v>472</v>
      </c>
      <c r="AF859" s="38">
        <f>COUNTIF(Tabla1[[#This Row],[GENERO_MASCULINO]:[GENERO_FEMENINO]],"MASCULINO")</f>
        <v>1</v>
      </c>
      <c r="AG859" s="36">
        <f>COUNTIF(Tabla1[[#This Row],[GENERO_MASCULINO]:[GENERO_FEMENINO]],"FEMENINO")</f>
        <v>1</v>
      </c>
      <c r="AH859" s="73">
        <v>21</v>
      </c>
      <c r="AI859" s="73"/>
      <c r="AJ859" s="73"/>
      <c r="AK859" s="73">
        <v>49</v>
      </c>
      <c r="AL859" s="73"/>
      <c r="AM859" s="7"/>
      <c r="AN859" s="73">
        <v>409</v>
      </c>
      <c r="AO859" s="36" t="str">
        <f>IFERROR(((VLOOKUP(Tabla1[[#This Row],[HIPOTESIS_1]],listas!$D$1:$E$105,2,FALSE))),"SIN INFORMACIÓN")</f>
        <v>Cruzar sin observar.</v>
      </c>
      <c r="AP859" s="7"/>
      <c r="AQ859" s="36" t="str">
        <f>IFERROR(((VLOOKUP(Tabla1[[#This Row],[HIPOTESIS_2]],listas!$D$1:$E$105,2,FALSE))),"")</f>
        <v/>
      </c>
      <c r="AR859" s="1" t="str">
        <f>IF(HOUR(Tabla1[[#This Row],[HORA_ACCIDENTE]])&lt;6,"MAÑANA",
 IF(HOUR(Tabla1[[#This Row],[HORA_ACCIDENTE]])&lt;12,"MAÑANA",
 IF(HOUR(Tabla1[[#This Row],[HORA_ACCIDENTE]])&lt;18,"TARDE","NOCHE")))</f>
        <v>TARDE</v>
      </c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40"/>
    </row>
    <row r="860" spans="1:56" x14ac:dyDescent="0.25">
      <c r="A860" s="12">
        <v>993</v>
      </c>
      <c r="B860" s="47">
        <v>0</v>
      </c>
      <c r="C860" s="152">
        <v>1</v>
      </c>
      <c r="D860" s="24">
        <v>0</v>
      </c>
      <c r="E860" s="18" t="str">
        <f t="shared" si="52"/>
        <v>LESIONADO</v>
      </c>
      <c r="F860" s="24" t="s">
        <v>7</v>
      </c>
      <c r="G860" s="30">
        <v>5.3369770000000001</v>
      </c>
      <c r="H860" s="30">
        <v>-72.383770999999996</v>
      </c>
      <c r="I860" s="93" t="s">
        <v>697</v>
      </c>
      <c r="J860" s="7" t="s">
        <v>717</v>
      </c>
      <c r="K860" s="24" t="str">
        <f t="shared" si="53"/>
        <v>2025</v>
      </c>
      <c r="L860" s="24" t="str">
        <f t="shared" si="54"/>
        <v>JUNIO</v>
      </c>
      <c r="M860" s="236">
        <v>45825</v>
      </c>
      <c r="N860" s="24" t="str">
        <f t="shared" si="55"/>
        <v>MARTES</v>
      </c>
      <c r="O860" s="106">
        <v>0.70833333333333337</v>
      </c>
      <c r="P860" s="8" t="s">
        <v>469</v>
      </c>
      <c r="Q860" s="8" t="s">
        <v>446</v>
      </c>
      <c r="R860" s="36">
        <f>COUNTIF(Tabla1[[#This Row],[VEHICULOS_ACCIDENTADOS]:[VEHICULOS_ACCIDENTADOS2]],"MOTOCICLETA")</f>
        <v>1</v>
      </c>
      <c r="S860" s="36">
        <f>COUNTIF(Tabla1[[#This Row],[VEHICULOS_ACCIDENTADOS]:[VEHICULOS_ACCIDENTADOS2]],"MOTOCARRO")</f>
        <v>0</v>
      </c>
      <c r="T860" s="36">
        <f>COUNTIF(Tabla1[[#This Row],[VEHICULOS_ACCIDENTADOS]:[VEHICULOS_ACCIDENTADOS2]],"AUTOMOVIL")</f>
        <v>0</v>
      </c>
      <c r="U860" s="36">
        <f>COUNTIF(Tabla1[[#This Row],[VEHICULOS_ACCIDENTADOS]:[VEHICULOS_ACCIDENTADOS2]],"CAMPERO")</f>
        <v>1</v>
      </c>
      <c r="V860" s="36">
        <f>COUNTIF(Tabla1[[#This Row],[VEHICULOS_ACCIDENTADOS]:[VEHICULOS_ACCIDENTADOS2]],"CAMIONETA")</f>
        <v>0</v>
      </c>
      <c r="W860" s="36">
        <f>COUNTIF(Tabla1[[#This Row],[VEHICULOS_ACCIDENTADOS]:[VEHICULOS_ACCIDENTADOS2]],"MICROBUS")</f>
        <v>0</v>
      </c>
      <c r="X860" s="36">
        <f>COUNTIF(Tabla1[[#This Row],[VEHICULOS_ACCIDENTADOS]:[VEHICULOS_ACCIDENTADOS2]],"BUS")</f>
        <v>0</v>
      </c>
      <c r="Y860" s="36">
        <f>COUNTIF(Tabla1[[#This Row],[VEHICULOS_ACCIDENTADOS]:[VEHICULOS_ACCIDENTADOS2]],"BUSETA")</f>
        <v>0</v>
      </c>
      <c r="Z860" s="36">
        <f>COUNTIF(Tabla1[[#This Row],[VEHICULOS_ACCIDENTADOS]:[VEHICULOS_ACCIDENTADOS2]],"CAMION")</f>
        <v>0</v>
      </c>
      <c r="AA860" s="36">
        <f>COUNTIF(Tabla1[[#This Row],[VEHICULOS_ACCIDENTADOS]:[VEHICULOS_ACCIDENTADOS2]],"TRACTOCAMION")</f>
        <v>0</v>
      </c>
      <c r="AB860" s="36">
        <f>COUNTIF(Tabla1[[#This Row],[VEHICULOS_ACCIDENTADOS]:[VEHICULOS_ACCIDENTADOS2]],"VOLQUETA")</f>
        <v>0</v>
      </c>
      <c r="AC860" s="36">
        <f>COUNTIF(Tabla1[[#This Row],[VEHICULOS_ACCIDENTADOS]:[VEHICULOS_ACCIDENTADOS2]],"BICICLETA")</f>
        <v>0</v>
      </c>
      <c r="AD860" s="38" t="s">
        <v>471</v>
      </c>
      <c r="AE860" s="38" t="s">
        <v>471</v>
      </c>
      <c r="AF860" s="38">
        <f>COUNTIF(Tabla1[[#This Row],[GENERO_MASCULINO]:[GENERO_FEMENINO]],"MASCULINO")</f>
        <v>2</v>
      </c>
      <c r="AG860" s="36">
        <f>COUNTIF(Tabla1[[#This Row],[GENERO_MASCULINO]:[GENERO_FEMENINO]],"FEMENINO")</f>
        <v>0</v>
      </c>
      <c r="AH860" s="86">
        <v>20</v>
      </c>
      <c r="AI860" s="86">
        <v>49</v>
      </c>
      <c r="AJ860" s="86"/>
      <c r="AK860" s="87"/>
      <c r="AL860" s="87"/>
      <c r="AM860" s="6"/>
      <c r="AN860" s="73">
        <v>122</v>
      </c>
      <c r="AO860" s="36" t="str">
        <f>IFERROR(((VLOOKUP(Tabla1[[#This Row],[HIPOTESIS_1]],listas!$D$1:$E$105,2,FALSE))),"SIN INFORMACIÓN")</f>
        <v>Girar bruscamente.</v>
      </c>
      <c r="AP860" s="7"/>
      <c r="AQ860" s="36" t="str">
        <f>IFERROR(((VLOOKUP(Tabla1[[#This Row],[HIPOTESIS_2]],listas!$D$1:$E$105,2,FALSE))),"")</f>
        <v/>
      </c>
      <c r="AR860" s="1" t="str">
        <f>IF(HOUR(Tabla1[[#This Row],[HORA_ACCIDENTE]])&lt;6,"MAÑANA",
 IF(HOUR(Tabla1[[#This Row],[HORA_ACCIDENTE]])&lt;12,"MAÑANA",
 IF(HOUR(Tabla1[[#This Row],[HORA_ACCIDENTE]])&lt;18,"TARDE","NOCHE")))</f>
        <v>TARDE</v>
      </c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  <c r="BD860" s="40"/>
    </row>
    <row r="861" spans="1:56" x14ac:dyDescent="0.25">
      <c r="A861" s="12">
        <v>740</v>
      </c>
      <c r="B861" s="97">
        <v>0</v>
      </c>
      <c r="C861" s="29">
        <v>1</v>
      </c>
      <c r="D861" s="7">
        <v>0</v>
      </c>
      <c r="E861" s="18" t="str">
        <f t="shared" si="52"/>
        <v>LESIONADO</v>
      </c>
      <c r="F861" s="7" t="s">
        <v>132</v>
      </c>
      <c r="G861" s="21">
        <v>5.318773055555555</v>
      </c>
      <c r="H861" s="21">
        <v>-72.409900000000007</v>
      </c>
      <c r="I861" s="93" t="s">
        <v>697</v>
      </c>
      <c r="J861" s="15" t="s">
        <v>717</v>
      </c>
      <c r="K861" s="24" t="str">
        <f t="shared" si="53"/>
        <v>2024</v>
      </c>
      <c r="L861" s="24" t="str">
        <f t="shared" si="54"/>
        <v>JULIO</v>
      </c>
      <c r="M861" s="232">
        <v>45474</v>
      </c>
      <c r="N861" s="24" t="str">
        <f t="shared" si="55"/>
        <v>LUNES</v>
      </c>
      <c r="O861" s="106">
        <v>0.65277777777777779</v>
      </c>
      <c r="P861" s="39" t="s">
        <v>469</v>
      </c>
      <c r="Q861" s="39" t="s">
        <v>447</v>
      </c>
      <c r="R861" s="36">
        <f>COUNTIF(Tabla1[[#This Row],[VEHICULOS_ACCIDENTADOS]:[VEHICULOS_ACCIDENTADOS2]],"MOTOCICLETA")</f>
        <v>1</v>
      </c>
      <c r="S861" s="36">
        <f>COUNTIF(Tabla1[[#This Row],[VEHICULOS_ACCIDENTADOS]:[VEHICULOS_ACCIDENTADOS2]],"MOTOCARRO")</f>
        <v>0</v>
      </c>
      <c r="T861" s="36">
        <f>COUNTIF(Tabla1[[#This Row],[VEHICULOS_ACCIDENTADOS]:[VEHICULOS_ACCIDENTADOS2]],"AUTOMOVIL")</f>
        <v>1</v>
      </c>
      <c r="U861" s="36">
        <f>COUNTIF(Tabla1[[#This Row],[VEHICULOS_ACCIDENTADOS]:[VEHICULOS_ACCIDENTADOS2]],"CAMPERO")</f>
        <v>0</v>
      </c>
      <c r="V861" s="36">
        <f>COUNTIF(Tabla1[[#This Row],[VEHICULOS_ACCIDENTADOS]:[VEHICULOS_ACCIDENTADOS2]],"CAMIONETA")</f>
        <v>0</v>
      </c>
      <c r="W861" s="36">
        <f>COUNTIF(Tabla1[[#This Row],[VEHICULOS_ACCIDENTADOS]:[VEHICULOS_ACCIDENTADOS2]],"MICROBUS")</f>
        <v>0</v>
      </c>
      <c r="X861" s="36">
        <f>COUNTIF(Tabla1[[#This Row],[VEHICULOS_ACCIDENTADOS]:[VEHICULOS_ACCIDENTADOS2]],"BUS")</f>
        <v>0</v>
      </c>
      <c r="Y861" s="36">
        <f>COUNTIF(Tabla1[[#This Row],[VEHICULOS_ACCIDENTADOS]:[VEHICULOS_ACCIDENTADOS2]],"BUSETA")</f>
        <v>0</v>
      </c>
      <c r="Z861" s="36">
        <f>COUNTIF(Tabla1[[#This Row],[VEHICULOS_ACCIDENTADOS]:[VEHICULOS_ACCIDENTADOS2]],"CAMION")</f>
        <v>0</v>
      </c>
      <c r="AA861" s="36">
        <f>COUNTIF(Tabla1[[#This Row],[VEHICULOS_ACCIDENTADOS]:[VEHICULOS_ACCIDENTADOS2]],"TRACTOCAMION")</f>
        <v>0</v>
      </c>
      <c r="AB861" s="36">
        <f>COUNTIF(Tabla1[[#This Row],[VEHICULOS_ACCIDENTADOS]:[VEHICULOS_ACCIDENTADOS2]],"VOLQUETA")</f>
        <v>0</v>
      </c>
      <c r="AC861" s="36">
        <f>COUNTIF(Tabla1[[#This Row],[VEHICULOS_ACCIDENTADOS]:[VEHICULOS_ACCIDENTADOS2]],"BICICLETA")</f>
        <v>0</v>
      </c>
      <c r="AD861" s="38" t="s">
        <v>471</v>
      </c>
      <c r="AE861" s="38" t="s">
        <v>472</v>
      </c>
      <c r="AF861" s="38">
        <f>COUNTIF(Tabla1[[#This Row],[GENERO_MASCULINO]:[GENERO_FEMENINO]],"MASCULINO")</f>
        <v>1</v>
      </c>
      <c r="AG861" s="36">
        <f>COUNTIF(Tabla1[[#This Row],[GENERO_MASCULINO]:[GENERO_FEMENINO]],"FEMENINO")</f>
        <v>1</v>
      </c>
      <c r="AH861" s="73">
        <v>48</v>
      </c>
      <c r="AI861" s="73">
        <v>31</v>
      </c>
      <c r="AJ861" s="73"/>
      <c r="AK861" s="73"/>
      <c r="AL861" s="73"/>
      <c r="AM861" s="7"/>
      <c r="AN861" s="73">
        <v>102</v>
      </c>
      <c r="AO861" s="36" t="str">
        <f>IFERROR(((VLOOKUP(Tabla1[[#This Row],[HIPOTESIS_1]],listas!$D$1:$E$105,2,FALSE))),"SIN INFORMACIÓN")</f>
        <v>Adelantar por la derecha.</v>
      </c>
      <c r="AP861" s="7"/>
      <c r="AQ861" s="36" t="str">
        <f>IFERROR(((VLOOKUP(Tabla1[[#This Row],[HIPOTESIS_2]],listas!$D$1:$E$105,2,FALSE))),"")</f>
        <v/>
      </c>
      <c r="AR861" s="1" t="str">
        <f>IF(HOUR(Tabla1[[#This Row],[HORA_ACCIDENTE]])&lt;6,"MAÑANA",
 IF(HOUR(Tabla1[[#This Row],[HORA_ACCIDENTE]])&lt;12,"MAÑANA",
 IF(HOUR(Tabla1[[#This Row],[HORA_ACCIDENTE]])&lt;18,"TARDE","NOCHE")))</f>
        <v>TARDE</v>
      </c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40"/>
    </row>
    <row r="862" spans="1:56" x14ac:dyDescent="0.25">
      <c r="A862" s="12">
        <v>564</v>
      </c>
      <c r="B862" s="38">
        <v>1</v>
      </c>
      <c r="C862" s="29">
        <v>0</v>
      </c>
      <c r="D862" s="7">
        <v>0</v>
      </c>
      <c r="E862" s="18" t="str">
        <f t="shared" si="52"/>
        <v>SOLO DAÑO</v>
      </c>
      <c r="F862" s="7" t="s">
        <v>202</v>
      </c>
      <c r="G862" s="21">
        <v>5.3495994444444444</v>
      </c>
      <c r="H862" s="21">
        <v>-72.39096722222223</v>
      </c>
      <c r="I862" s="93" t="s">
        <v>697</v>
      </c>
      <c r="J862" s="7" t="s">
        <v>717</v>
      </c>
      <c r="K862" s="24" t="str">
        <f t="shared" si="53"/>
        <v>2023</v>
      </c>
      <c r="L862" s="24" t="str">
        <f t="shared" si="54"/>
        <v>SEPTIEMBRE</v>
      </c>
      <c r="M862" s="232">
        <v>45199</v>
      </c>
      <c r="N862" s="24" t="str">
        <f t="shared" si="55"/>
        <v>SÁBADO</v>
      </c>
      <c r="O862" s="106">
        <v>0.70138888888888884</v>
      </c>
      <c r="P862" s="39" t="s">
        <v>447</v>
      </c>
      <c r="Q862" s="39" t="s">
        <v>445</v>
      </c>
      <c r="R862" s="36">
        <f>COUNTIF(Tabla1[[#This Row],[VEHICULOS_ACCIDENTADOS]:[VEHICULOS_ACCIDENTADOS2]],"MOTOCICLETA")</f>
        <v>0</v>
      </c>
      <c r="S862" s="36">
        <f>COUNTIF(Tabla1[[#This Row],[VEHICULOS_ACCIDENTADOS]:[VEHICULOS_ACCIDENTADOS2]],"MOTOCARRO")</f>
        <v>0</v>
      </c>
      <c r="T862" s="36">
        <f>COUNTIF(Tabla1[[#This Row],[VEHICULOS_ACCIDENTADOS]:[VEHICULOS_ACCIDENTADOS2]],"AUTOMOVIL")</f>
        <v>1</v>
      </c>
      <c r="U862" s="36">
        <f>COUNTIF(Tabla1[[#This Row],[VEHICULOS_ACCIDENTADOS]:[VEHICULOS_ACCIDENTADOS2]],"CAMPERO")</f>
        <v>0</v>
      </c>
      <c r="V862" s="36">
        <f>COUNTIF(Tabla1[[#This Row],[VEHICULOS_ACCIDENTADOS]:[VEHICULOS_ACCIDENTADOS2]],"CAMIONETA")</f>
        <v>1</v>
      </c>
      <c r="W862" s="36">
        <f>COUNTIF(Tabla1[[#This Row],[VEHICULOS_ACCIDENTADOS]:[VEHICULOS_ACCIDENTADOS2]],"MICROBUS")</f>
        <v>0</v>
      </c>
      <c r="X862" s="36">
        <f>COUNTIF(Tabla1[[#This Row],[VEHICULOS_ACCIDENTADOS]:[VEHICULOS_ACCIDENTADOS2]],"BUS")</f>
        <v>0</v>
      </c>
      <c r="Y862" s="36">
        <f>COUNTIF(Tabla1[[#This Row],[VEHICULOS_ACCIDENTADOS]:[VEHICULOS_ACCIDENTADOS2]],"BUSETA")</f>
        <v>0</v>
      </c>
      <c r="Z862" s="36">
        <f>COUNTIF(Tabla1[[#This Row],[VEHICULOS_ACCIDENTADOS]:[VEHICULOS_ACCIDENTADOS2]],"CAMION")</f>
        <v>0</v>
      </c>
      <c r="AA862" s="36">
        <f>COUNTIF(Tabla1[[#This Row],[VEHICULOS_ACCIDENTADOS]:[VEHICULOS_ACCIDENTADOS2]],"TRACTOCAMION")</f>
        <v>0</v>
      </c>
      <c r="AB862" s="36">
        <f>COUNTIF(Tabla1[[#This Row],[VEHICULOS_ACCIDENTADOS]:[VEHICULOS_ACCIDENTADOS2]],"VOLQUETA")</f>
        <v>0</v>
      </c>
      <c r="AC862" s="36">
        <f>COUNTIF(Tabla1[[#This Row],[VEHICULOS_ACCIDENTADOS]:[VEHICULOS_ACCIDENTADOS2]],"BICICLETA")</f>
        <v>0</v>
      </c>
      <c r="AD862" s="38"/>
      <c r="AE862" s="38" t="s">
        <v>472</v>
      </c>
      <c r="AF862" s="38">
        <f>COUNTIF(Tabla1[[#This Row],[GENERO_MASCULINO]:[GENERO_FEMENINO]],"MASCULINO")</f>
        <v>0</v>
      </c>
      <c r="AG862" s="36">
        <f>COUNTIF(Tabla1[[#This Row],[GENERO_MASCULINO]:[GENERO_FEMENINO]],"FEMENINO")</f>
        <v>1</v>
      </c>
      <c r="AH862" s="73"/>
      <c r="AI862" s="73"/>
      <c r="AJ862" s="73"/>
      <c r="AK862" s="73"/>
      <c r="AL862" s="73"/>
      <c r="AM862" s="7"/>
      <c r="AN862" s="73">
        <v>115</v>
      </c>
      <c r="AO862" s="36" t="str">
        <f>IFERROR(((VLOOKUP(Tabla1[[#This Row],[HIPOTESIS_1]],listas!$D$1:$E$105,2,FALSE))),"SIN INFORMACIÓN")</f>
        <v>Embriaguez o Sustancias alucinogenas</v>
      </c>
      <c r="AP862" s="7"/>
      <c r="AQ862" s="36" t="str">
        <f>IFERROR(((VLOOKUP(Tabla1[[#This Row],[HIPOTESIS_2]],listas!$D$1:$E$105,2,FALSE))),"")</f>
        <v/>
      </c>
      <c r="AR862" s="1" t="str">
        <f>IF(HOUR(Tabla1[[#This Row],[HORA_ACCIDENTE]])&lt;6,"MAÑANA",
 IF(HOUR(Tabla1[[#This Row],[HORA_ACCIDENTE]])&lt;12,"MAÑANA",
 IF(HOUR(Tabla1[[#This Row],[HORA_ACCIDENTE]])&lt;18,"TARDE","NOCHE")))</f>
        <v>TARDE</v>
      </c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  <c r="BD862" s="40"/>
    </row>
    <row r="863" spans="1:56" x14ac:dyDescent="0.25">
      <c r="A863" s="12">
        <v>46</v>
      </c>
      <c r="B863" s="38">
        <v>1</v>
      </c>
      <c r="C863" s="29">
        <v>0</v>
      </c>
      <c r="D863" s="7">
        <v>0</v>
      </c>
      <c r="E863" s="18" t="str">
        <f t="shared" si="52"/>
        <v>SOLO DAÑO</v>
      </c>
      <c r="F863" s="7" t="s">
        <v>1085</v>
      </c>
      <c r="G863" s="17">
        <v>5.3486888888888888</v>
      </c>
      <c r="H863" s="17">
        <v>-72.390544444444444</v>
      </c>
      <c r="I863" s="93" t="s">
        <v>697</v>
      </c>
      <c r="J863" s="7" t="s">
        <v>717</v>
      </c>
      <c r="K863" s="24" t="str">
        <f t="shared" si="53"/>
        <v>2022</v>
      </c>
      <c r="L863" s="24" t="str">
        <f t="shared" si="54"/>
        <v>FEBRERO</v>
      </c>
      <c r="M863" s="232">
        <v>44602</v>
      </c>
      <c r="N863" s="24" t="str">
        <f t="shared" si="55"/>
        <v>JUEVES</v>
      </c>
      <c r="O863" s="106">
        <v>0.51388888888888895</v>
      </c>
      <c r="P863" s="8" t="s">
        <v>441</v>
      </c>
      <c r="Q863" s="8" t="s">
        <v>441</v>
      </c>
      <c r="R863" s="36">
        <f>COUNTIF(Tabla1[[#This Row],[VEHICULOS_ACCIDENTADOS]:[VEHICULOS_ACCIDENTADOS2]],"MOTOCICLETA")</f>
        <v>0</v>
      </c>
      <c r="S863" s="36">
        <f>COUNTIF(Tabla1[[#This Row],[VEHICULOS_ACCIDENTADOS]:[VEHICULOS_ACCIDENTADOS2]],"MOTOCARRO")</f>
        <v>0</v>
      </c>
      <c r="T863" s="36">
        <f>COUNTIF(Tabla1[[#This Row],[VEHICULOS_ACCIDENTADOS]:[VEHICULOS_ACCIDENTADOS2]],"AUTOMOVIL")</f>
        <v>0</v>
      </c>
      <c r="U863" s="36">
        <f>COUNTIF(Tabla1[[#This Row],[VEHICULOS_ACCIDENTADOS]:[VEHICULOS_ACCIDENTADOS2]],"CAMPERO")</f>
        <v>0</v>
      </c>
      <c r="V863" s="36">
        <f>COUNTIF(Tabla1[[#This Row],[VEHICULOS_ACCIDENTADOS]:[VEHICULOS_ACCIDENTADOS2]],"CAMIONETA")</f>
        <v>0</v>
      </c>
      <c r="W863" s="36">
        <f>COUNTIF(Tabla1[[#This Row],[VEHICULOS_ACCIDENTADOS]:[VEHICULOS_ACCIDENTADOS2]],"MICROBUS")</f>
        <v>0</v>
      </c>
      <c r="X863" s="36">
        <f>COUNTIF(Tabla1[[#This Row],[VEHICULOS_ACCIDENTADOS]:[VEHICULOS_ACCIDENTADOS2]],"BUS")</f>
        <v>0</v>
      </c>
      <c r="Y863" s="36">
        <f>COUNTIF(Tabla1[[#This Row],[VEHICULOS_ACCIDENTADOS]:[VEHICULOS_ACCIDENTADOS2]],"BUSETA")</f>
        <v>0</v>
      </c>
      <c r="Z863" s="36">
        <f>COUNTIF(Tabla1[[#This Row],[VEHICULOS_ACCIDENTADOS]:[VEHICULOS_ACCIDENTADOS2]],"CAMION")</f>
        <v>2</v>
      </c>
      <c r="AA863" s="36">
        <f>COUNTIF(Tabla1[[#This Row],[VEHICULOS_ACCIDENTADOS]:[VEHICULOS_ACCIDENTADOS2]],"TRACTOCAMION")</f>
        <v>0</v>
      </c>
      <c r="AB863" s="36">
        <f>COUNTIF(Tabla1[[#This Row],[VEHICULOS_ACCIDENTADOS]:[VEHICULOS_ACCIDENTADOS2]],"VOLQUETA")</f>
        <v>0</v>
      </c>
      <c r="AC863" s="36">
        <f>COUNTIF(Tabla1[[#This Row],[VEHICULOS_ACCIDENTADOS]:[VEHICULOS_ACCIDENTADOS2]],"BICICLETA")</f>
        <v>0</v>
      </c>
      <c r="AD863" s="38" t="s">
        <v>471</v>
      </c>
      <c r="AE863" s="38"/>
      <c r="AF863" s="38">
        <f>COUNTIF(Tabla1[[#This Row],[GENERO_MASCULINO]:[GENERO_FEMENINO]],"MASCULINO")</f>
        <v>1</v>
      </c>
      <c r="AG863" s="36">
        <f>COUNTIF(Tabla1[[#This Row],[GENERO_MASCULINO]:[GENERO_FEMENINO]],"FEMENINO")</f>
        <v>0</v>
      </c>
      <c r="AH863" s="73"/>
      <c r="AI863" s="73"/>
      <c r="AJ863" s="87"/>
      <c r="AK863" s="73"/>
      <c r="AL863" s="73"/>
      <c r="AM863" s="7"/>
      <c r="AN863" s="73">
        <v>121</v>
      </c>
      <c r="AO863" s="36" t="str">
        <f>IFERROR(((VLOOKUP(Tabla1[[#This Row],[HIPOTESIS_1]],listas!$D$1:$E$105,2,FALSE))),"SIN INFORMACIÓN")</f>
        <v>No mantener distancia de seguridad.</v>
      </c>
      <c r="AP863" s="7"/>
      <c r="AQ863" s="36" t="str">
        <f>IFERROR(((VLOOKUP(Tabla1[[#This Row],[HIPOTESIS_2]],listas!$D$1:$E$105,2,FALSE))),"")</f>
        <v/>
      </c>
      <c r="AR863" s="1" t="str">
        <f>IF(HOUR(Tabla1[[#This Row],[HORA_ACCIDENTE]])&lt;6,"MAÑANA",
 IF(HOUR(Tabla1[[#This Row],[HORA_ACCIDENTE]])&lt;12,"MAÑANA",
 IF(HOUR(Tabla1[[#This Row],[HORA_ACCIDENTE]])&lt;18,"TARDE","NOCHE")))</f>
        <v>TARDE</v>
      </c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40"/>
    </row>
    <row r="864" spans="1:56" x14ac:dyDescent="0.25">
      <c r="A864" s="12">
        <v>49</v>
      </c>
      <c r="B864" s="38">
        <v>0</v>
      </c>
      <c r="C864" s="29">
        <v>0</v>
      </c>
      <c r="D864" s="7">
        <v>1</v>
      </c>
      <c r="E864" s="18" t="str">
        <f t="shared" si="52"/>
        <v>FALLECIDO</v>
      </c>
      <c r="F864" s="7" t="s">
        <v>1085</v>
      </c>
      <c r="G864" s="17">
        <v>5.3486888888888888</v>
      </c>
      <c r="H864" s="17">
        <v>-72.390544444444444</v>
      </c>
      <c r="I864" s="93" t="s">
        <v>697</v>
      </c>
      <c r="J864" s="7" t="s">
        <v>717</v>
      </c>
      <c r="K864" s="24" t="str">
        <f t="shared" si="53"/>
        <v>2022</v>
      </c>
      <c r="L864" s="24" t="str">
        <f t="shared" si="54"/>
        <v>FEBRERO</v>
      </c>
      <c r="M864" s="232">
        <v>44604</v>
      </c>
      <c r="N864" s="24" t="str">
        <f t="shared" si="55"/>
        <v>SÁBADO</v>
      </c>
      <c r="O864" s="106">
        <v>0.72916666666666696</v>
      </c>
      <c r="P864" s="8" t="s">
        <v>469</v>
      </c>
      <c r="Q864" s="8"/>
      <c r="R864" s="36">
        <f>COUNTIF(Tabla1[[#This Row],[VEHICULOS_ACCIDENTADOS]:[VEHICULOS_ACCIDENTADOS2]],"MOTOCICLETA")</f>
        <v>1</v>
      </c>
      <c r="S864" s="36">
        <f>COUNTIF(Tabla1[[#This Row],[VEHICULOS_ACCIDENTADOS]:[VEHICULOS_ACCIDENTADOS2]],"MOTOCARRO")</f>
        <v>0</v>
      </c>
      <c r="T864" s="36">
        <f>COUNTIF(Tabla1[[#This Row],[VEHICULOS_ACCIDENTADOS]:[VEHICULOS_ACCIDENTADOS2]],"AUTOMOVIL")</f>
        <v>0</v>
      </c>
      <c r="U864" s="36">
        <f>COUNTIF(Tabla1[[#This Row],[VEHICULOS_ACCIDENTADOS]:[VEHICULOS_ACCIDENTADOS2]],"CAMPERO")</f>
        <v>0</v>
      </c>
      <c r="V864" s="36">
        <f>COUNTIF(Tabla1[[#This Row],[VEHICULOS_ACCIDENTADOS]:[VEHICULOS_ACCIDENTADOS2]],"CAMIONETA")</f>
        <v>0</v>
      </c>
      <c r="W864" s="36">
        <f>COUNTIF(Tabla1[[#This Row],[VEHICULOS_ACCIDENTADOS]:[VEHICULOS_ACCIDENTADOS2]],"MICROBUS")</f>
        <v>0</v>
      </c>
      <c r="X864" s="36">
        <f>COUNTIF(Tabla1[[#This Row],[VEHICULOS_ACCIDENTADOS]:[VEHICULOS_ACCIDENTADOS2]],"BUS")</f>
        <v>0</v>
      </c>
      <c r="Y864" s="36">
        <f>COUNTIF(Tabla1[[#This Row],[VEHICULOS_ACCIDENTADOS]:[VEHICULOS_ACCIDENTADOS2]],"BUSETA")</f>
        <v>0</v>
      </c>
      <c r="Z864" s="36">
        <f>COUNTIF(Tabla1[[#This Row],[VEHICULOS_ACCIDENTADOS]:[VEHICULOS_ACCIDENTADOS2]],"CAMION")</f>
        <v>0</v>
      </c>
      <c r="AA864" s="36">
        <f>COUNTIF(Tabla1[[#This Row],[VEHICULOS_ACCIDENTADOS]:[VEHICULOS_ACCIDENTADOS2]],"TRACTOCAMION")</f>
        <v>0</v>
      </c>
      <c r="AB864" s="36">
        <f>COUNTIF(Tabla1[[#This Row],[VEHICULOS_ACCIDENTADOS]:[VEHICULOS_ACCIDENTADOS2]],"VOLQUETA")</f>
        <v>0</v>
      </c>
      <c r="AC864" s="36">
        <f>COUNTIF(Tabla1[[#This Row],[VEHICULOS_ACCIDENTADOS]:[VEHICULOS_ACCIDENTADOS2]],"BICICLETA")</f>
        <v>0</v>
      </c>
      <c r="AD864" s="38"/>
      <c r="AE864" s="38" t="s">
        <v>472</v>
      </c>
      <c r="AF864" s="38">
        <f>COUNTIF(Tabla1[[#This Row],[GENERO_MASCULINO]:[GENERO_FEMENINO]],"MASCULINO")</f>
        <v>0</v>
      </c>
      <c r="AG864" s="36">
        <f>COUNTIF(Tabla1[[#This Row],[GENERO_MASCULINO]:[GENERO_FEMENINO]],"FEMENINO")</f>
        <v>1</v>
      </c>
      <c r="AH864" s="73"/>
      <c r="AI864" s="73"/>
      <c r="AJ864" s="87"/>
      <c r="AK864" s="73"/>
      <c r="AL864" s="73"/>
      <c r="AM864" s="7">
        <v>21</v>
      </c>
      <c r="AN864" s="73">
        <v>114</v>
      </c>
      <c r="AO864" s="36" t="str">
        <f>IFERROR(((VLOOKUP(Tabla1[[#This Row],[HIPOTESIS_1]],listas!$D$1:$E$105,2,FALSE))),"SIN INFORMACIÓN")</f>
        <v>Embriaguez aparente.</v>
      </c>
      <c r="AP864" s="7"/>
      <c r="AQ864" s="36" t="str">
        <f>IFERROR(((VLOOKUP(Tabla1[[#This Row],[HIPOTESIS_2]],listas!$D$1:$E$105,2,FALSE))),"")</f>
        <v/>
      </c>
      <c r="AR864" s="1" t="str">
        <f>IF(HOUR(Tabla1[[#This Row],[HORA_ACCIDENTE]])&lt;6,"MAÑANA",
 IF(HOUR(Tabla1[[#This Row],[HORA_ACCIDENTE]])&lt;12,"MAÑANA",
 IF(HOUR(Tabla1[[#This Row],[HORA_ACCIDENTE]])&lt;18,"TARDE","NOCHE")))</f>
        <v>TARDE</v>
      </c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  <c r="BD864" s="40"/>
    </row>
    <row r="865" spans="1:56" x14ac:dyDescent="0.25">
      <c r="A865" s="12">
        <v>2</v>
      </c>
      <c r="B865" s="38">
        <v>1</v>
      </c>
      <c r="C865" s="29">
        <v>0</v>
      </c>
      <c r="D865" s="7">
        <v>0</v>
      </c>
      <c r="E865" s="18" t="str">
        <f t="shared" si="52"/>
        <v>SOLO DAÑO</v>
      </c>
      <c r="F865" s="7" t="s">
        <v>1086</v>
      </c>
      <c r="G865" s="17">
        <v>5.3302940000000003</v>
      </c>
      <c r="H865" s="17">
        <v>-72.378360000000001</v>
      </c>
      <c r="I865" s="93" t="s">
        <v>697</v>
      </c>
      <c r="J865" s="7" t="s">
        <v>717</v>
      </c>
      <c r="K865" s="24" t="str">
        <f t="shared" si="53"/>
        <v>2022</v>
      </c>
      <c r="L865" s="24" t="str">
        <f t="shared" si="54"/>
        <v>ENERO</v>
      </c>
      <c r="M865" s="232">
        <v>44567</v>
      </c>
      <c r="N865" s="24" t="str">
        <f t="shared" si="55"/>
        <v>JUEVES</v>
      </c>
      <c r="O865" s="106">
        <v>0.30555555555555602</v>
      </c>
      <c r="P865" s="8" t="s">
        <v>447</v>
      </c>
      <c r="Q865" s="8" t="s">
        <v>445</v>
      </c>
      <c r="R865" s="36">
        <f>COUNTIF(Tabla1[[#This Row],[VEHICULOS_ACCIDENTADOS]:[VEHICULOS_ACCIDENTADOS2]],"MOTOCICLETA")</f>
        <v>0</v>
      </c>
      <c r="S865" s="36">
        <f>COUNTIF(Tabla1[[#This Row],[VEHICULOS_ACCIDENTADOS]:[VEHICULOS_ACCIDENTADOS2]],"MOTOCARRO")</f>
        <v>0</v>
      </c>
      <c r="T865" s="36">
        <f>COUNTIF(Tabla1[[#This Row],[VEHICULOS_ACCIDENTADOS]:[VEHICULOS_ACCIDENTADOS2]],"AUTOMOVIL")</f>
        <v>1</v>
      </c>
      <c r="U865" s="36">
        <f>COUNTIF(Tabla1[[#This Row],[VEHICULOS_ACCIDENTADOS]:[VEHICULOS_ACCIDENTADOS2]],"CAMPERO")</f>
        <v>0</v>
      </c>
      <c r="V865" s="36">
        <f>COUNTIF(Tabla1[[#This Row],[VEHICULOS_ACCIDENTADOS]:[VEHICULOS_ACCIDENTADOS2]],"CAMIONETA")</f>
        <v>1</v>
      </c>
      <c r="W865" s="36">
        <f>COUNTIF(Tabla1[[#This Row],[VEHICULOS_ACCIDENTADOS]:[VEHICULOS_ACCIDENTADOS2]],"MICROBUS")</f>
        <v>0</v>
      </c>
      <c r="X865" s="36">
        <f>COUNTIF(Tabla1[[#This Row],[VEHICULOS_ACCIDENTADOS]:[VEHICULOS_ACCIDENTADOS2]],"BUS")</f>
        <v>0</v>
      </c>
      <c r="Y865" s="36">
        <f>COUNTIF(Tabla1[[#This Row],[VEHICULOS_ACCIDENTADOS]:[VEHICULOS_ACCIDENTADOS2]],"BUSETA")</f>
        <v>0</v>
      </c>
      <c r="Z865" s="36">
        <f>COUNTIF(Tabla1[[#This Row],[VEHICULOS_ACCIDENTADOS]:[VEHICULOS_ACCIDENTADOS2]],"CAMION")</f>
        <v>0</v>
      </c>
      <c r="AA865" s="36">
        <f>COUNTIF(Tabla1[[#This Row],[VEHICULOS_ACCIDENTADOS]:[VEHICULOS_ACCIDENTADOS2]],"TRACTOCAMION")</f>
        <v>0</v>
      </c>
      <c r="AB865" s="36">
        <f>COUNTIF(Tabla1[[#This Row],[VEHICULOS_ACCIDENTADOS]:[VEHICULOS_ACCIDENTADOS2]],"VOLQUETA")</f>
        <v>0</v>
      </c>
      <c r="AC865" s="36">
        <f>COUNTIF(Tabla1[[#This Row],[VEHICULOS_ACCIDENTADOS]:[VEHICULOS_ACCIDENTADOS2]],"BICICLETA")</f>
        <v>0</v>
      </c>
      <c r="AD865" s="38" t="s">
        <v>471</v>
      </c>
      <c r="AE865" s="38"/>
      <c r="AF865" s="38">
        <f>COUNTIF(Tabla1[[#This Row],[GENERO_MASCULINO]:[GENERO_FEMENINO]],"MASCULINO")</f>
        <v>1</v>
      </c>
      <c r="AG865" s="36">
        <f>COUNTIF(Tabla1[[#This Row],[GENERO_MASCULINO]:[GENERO_FEMENINO]],"FEMENINO")</f>
        <v>0</v>
      </c>
      <c r="AH865" s="73"/>
      <c r="AI865" s="73"/>
      <c r="AJ865" s="73"/>
      <c r="AK865" s="73"/>
      <c r="AL865" s="73"/>
      <c r="AM865" s="7"/>
      <c r="AN865" s="73">
        <v>121</v>
      </c>
      <c r="AO865" s="36" t="str">
        <f>IFERROR(((VLOOKUP(Tabla1[[#This Row],[HIPOTESIS_1]],listas!$D$1:$E$105,2,FALSE))),"SIN INFORMACIÓN")</f>
        <v>No mantener distancia de seguridad.</v>
      </c>
      <c r="AP865" s="7"/>
      <c r="AQ865" s="36" t="str">
        <f>IFERROR(((VLOOKUP(Tabla1[[#This Row],[HIPOTESIS_2]],listas!$D$1:$E$105,2,FALSE))),"")</f>
        <v/>
      </c>
      <c r="AR865" s="1" t="str">
        <f>IF(HOUR(Tabla1[[#This Row],[HORA_ACCIDENTE]])&lt;6,"MAÑANA",
 IF(HOUR(Tabla1[[#This Row],[HORA_ACCIDENTE]])&lt;12,"MAÑANA",
 IF(HOUR(Tabla1[[#This Row],[HORA_ACCIDENTE]])&lt;18,"TARDE","NOCHE")))</f>
        <v>MAÑANA</v>
      </c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40"/>
    </row>
    <row r="866" spans="1:56" x14ac:dyDescent="0.25">
      <c r="A866" s="12">
        <v>95</v>
      </c>
      <c r="B866" s="38">
        <v>0</v>
      </c>
      <c r="C866" s="29">
        <v>2</v>
      </c>
      <c r="D866" s="7">
        <v>0</v>
      </c>
      <c r="E866" s="18" t="str">
        <f t="shared" si="52"/>
        <v>LESIONADO</v>
      </c>
      <c r="F866" s="7" t="s">
        <v>1087</v>
      </c>
      <c r="G866" s="17">
        <v>5.3275138888888884</v>
      </c>
      <c r="H866" s="17">
        <v>-72.375586111111105</v>
      </c>
      <c r="I866" s="93" t="s">
        <v>697</v>
      </c>
      <c r="J866" s="7" t="s">
        <v>717</v>
      </c>
      <c r="K866" s="24" t="str">
        <f t="shared" si="53"/>
        <v>2022</v>
      </c>
      <c r="L866" s="24" t="str">
        <f t="shared" si="54"/>
        <v>MARZO</v>
      </c>
      <c r="M866" s="232">
        <v>44638</v>
      </c>
      <c r="N866" s="24" t="str">
        <f t="shared" si="55"/>
        <v>VIERNES</v>
      </c>
      <c r="O866" s="106">
        <v>0.64583333333333304</v>
      </c>
      <c r="P866" s="8" t="s">
        <v>469</v>
      </c>
      <c r="Q866" s="8" t="s">
        <v>446</v>
      </c>
      <c r="R866" s="36">
        <f>COUNTIF(Tabla1[[#This Row],[VEHICULOS_ACCIDENTADOS]:[VEHICULOS_ACCIDENTADOS2]],"MOTOCICLETA")</f>
        <v>1</v>
      </c>
      <c r="S866" s="36">
        <f>COUNTIF(Tabla1[[#This Row],[VEHICULOS_ACCIDENTADOS]:[VEHICULOS_ACCIDENTADOS2]],"MOTOCARRO")</f>
        <v>0</v>
      </c>
      <c r="T866" s="36">
        <f>COUNTIF(Tabla1[[#This Row],[VEHICULOS_ACCIDENTADOS]:[VEHICULOS_ACCIDENTADOS2]],"AUTOMOVIL")</f>
        <v>0</v>
      </c>
      <c r="U866" s="36">
        <f>COUNTIF(Tabla1[[#This Row],[VEHICULOS_ACCIDENTADOS]:[VEHICULOS_ACCIDENTADOS2]],"CAMPERO")</f>
        <v>1</v>
      </c>
      <c r="V866" s="36">
        <f>COUNTIF(Tabla1[[#This Row],[VEHICULOS_ACCIDENTADOS]:[VEHICULOS_ACCIDENTADOS2]],"CAMIONETA")</f>
        <v>0</v>
      </c>
      <c r="W866" s="36">
        <f>COUNTIF(Tabla1[[#This Row],[VEHICULOS_ACCIDENTADOS]:[VEHICULOS_ACCIDENTADOS2]],"MICROBUS")</f>
        <v>0</v>
      </c>
      <c r="X866" s="36">
        <f>COUNTIF(Tabla1[[#This Row],[VEHICULOS_ACCIDENTADOS]:[VEHICULOS_ACCIDENTADOS2]],"BUS")</f>
        <v>0</v>
      </c>
      <c r="Y866" s="36">
        <f>COUNTIF(Tabla1[[#This Row],[VEHICULOS_ACCIDENTADOS]:[VEHICULOS_ACCIDENTADOS2]],"BUSETA")</f>
        <v>0</v>
      </c>
      <c r="Z866" s="36">
        <f>COUNTIF(Tabla1[[#This Row],[VEHICULOS_ACCIDENTADOS]:[VEHICULOS_ACCIDENTADOS2]],"CAMION")</f>
        <v>0</v>
      </c>
      <c r="AA866" s="36">
        <f>COUNTIF(Tabla1[[#This Row],[VEHICULOS_ACCIDENTADOS]:[VEHICULOS_ACCIDENTADOS2]],"TRACTOCAMION")</f>
        <v>0</v>
      </c>
      <c r="AB866" s="36">
        <f>COUNTIF(Tabla1[[#This Row],[VEHICULOS_ACCIDENTADOS]:[VEHICULOS_ACCIDENTADOS2]],"VOLQUETA")</f>
        <v>0</v>
      </c>
      <c r="AC866" s="36">
        <f>COUNTIF(Tabla1[[#This Row],[VEHICULOS_ACCIDENTADOS]:[VEHICULOS_ACCIDENTADOS2]],"BICICLETA")</f>
        <v>0</v>
      </c>
      <c r="AD866" s="38" t="s">
        <v>471</v>
      </c>
      <c r="AE866" s="38" t="s">
        <v>472</v>
      </c>
      <c r="AF866" s="38">
        <f>COUNTIF(Tabla1[[#This Row],[GENERO_MASCULINO]:[GENERO_FEMENINO]],"MASCULINO")</f>
        <v>1</v>
      </c>
      <c r="AG866" s="36">
        <f>COUNTIF(Tabla1[[#This Row],[GENERO_MASCULINO]:[GENERO_FEMENINO]],"FEMENINO")</f>
        <v>1</v>
      </c>
      <c r="AH866" s="73">
        <v>42</v>
      </c>
      <c r="AI866" s="73"/>
      <c r="AJ866" s="73"/>
      <c r="AK866" s="73"/>
      <c r="AL866" s="73">
        <v>5</v>
      </c>
      <c r="AM866" s="7"/>
      <c r="AN866" s="73">
        <v>120</v>
      </c>
      <c r="AO866" s="36" t="str">
        <f>IFERROR(((VLOOKUP(Tabla1[[#This Row],[HIPOTESIS_1]],listas!$D$1:$E$105,2,FALSE))),"SIN INFORMACIÓN")</f>
        <v>Pasajeros obstruyendo al conductor o sobrecupo.</v>
      </c>
      <c r="AP866" s="7"/>
      <c r="AQ866" s="36" t="str">
        <f>IFERROR(((VLOOKUP(Tabla1[[#This Row],[HIPOTESIS_2]],listas!$D$1:$E$105,2,FALSE))),"")</f>
        <v/>
      </c>
      <c r="AR866" s="1" t="str">
        <f>IF(HOUR(Tabla1[[#This Row],[HORA_ACCIDENTE]])&lt;6,"MAÑANA",
 IF(HOUR(Tabla1[[#This Row],[HORA_ACCIDENTE]])&lt;12,"MAÑANA",
 IF(HOUR(Tabla1[[#This Row],[HORA_ACCIDENTE]])&lt;18,"TARDE","NOCHE")))</f>
        <v>TARDE</v>
      </c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  <c r="BD866" s="40"/>
    </row>
    <row r="867" spans="1:56" x14ac:dyDescent="0.25">
      <c r="A867" s="12">
        <v>148</v>
      </c>
      <c r="B867" s="38">
        <v>0</v>
      </c>
      <c r="C867" s="29">
        <v>1</v>
      </c>
      <c r="D867" s="7">
        <v>0</v>
      </c>
      <c r="E867" s="18" t="str">
        <f t="shared" si="52"/>
        <v>LESIONADO</v>
      </c>
      <c r="F867" s="7" t="s">
        <v>381</v>
      </c>
      <c r="G867" s="17">
        <v>5.3331416666666662</v>
      </c>
      <c r="H867" s="17">
        <v>-72.380563888888886</v>
      </c>
      <c r="I867" s="93" t="s">
        <v>697</v>
      </c>
      <c r="J867" s="7" t="s">
        <v>717</v>
      </c>
      <c r="K867" s="24" t="str">
        <f t="shared" si="53"/>
        <v>2022</v>
      </c>
      <c r="L867" s="24" t="str">
        <f t="shared" si="54"/>
        <v>ABRIL</v>
      </c>
      <c r="M867" s="232">
        <v>44656</v>
      </c>
      <c r="N867" s="24" t="str">
        <f t="shared" si="55"/>
        <v>MARTES</v>
      </c>
      <c r="O867" s="106">
        <v>0.59027777777777779</v>
      </c>
      <c r="P867" s="8" t="s">
        <v>469</v>
      </c>
      <c r="Q867" s="8" t="s">
        <v>468</v>
      </c>
      <c r="R867" s="36">
        <f>COUNTIF(Tabla1[[#This Row],[VEHICULOS_ACCIDENTADOS]:[VEHICULOS_ACCIDENTADOS2]],"MOTOCICLETA")</f>
        <v>1</v>
      </c>
      <c r="S867" s="36">
        <f>COUNTIF(Tabla1[[#This Row],[VEHICULOS_ACCIDENTADOS]:[VEHICULOS_ACCIDENTADOS2]],"MOTOCARRO")</f>
        <v>1</v>
      </c>
      <c r="T867" s="36">
        <f>COUNTIF(Tabla1[[#This Row],[VEHICULOS_ACCIDENTADOS]:[VEHICULOS_ACCIDENTADOS2]],"AUTOMOVIL")</f>
        <v>0</v>
      </c>
      <c r="U867" s="36">
        <f>COUNTIF(Tabla1[[#This Row],[VEHICULOS_ACCIDENTADOS]:[VEHICULOS_ACCIDENTADOS2]],"CAMPERO")</f>
        <v>0</v>
      </c>
      <c r="V867" s="36">
        <f>COUNTIF(Tabla1[[#This Row],[VEHICULOS_ACCIDENTADOS]:[VEHICULOS_ACCIDENTADOS2]],"CAMIONETA")</f>
        <v>0</v>
      </c>
      <c r="W867" s="36">
        <f>COUNTIF(Tabla1[[#This Row],[VEHICULOS_ACCIDENTADOS]:[VEHICULOS_ACCIDENTADOS2]],"MICROBUS")</f>
        <v>0</v>
      </c>
      <c r="X867" s="36">
        <f>COUNTIF(Tabla1[[#This Row],[VEHICULOS_ACCIDENTADOS]:[VEHICULOS_ACCIDENTADOS2]],"BUS")</f>
        <v>0</v>
      </c>
      <c r="Y867" s="36">
        <f>COUNTIF(Tabla1[[#This Row],[VEHICULOS_ACCIDENTADOS]:[VEHICULOS_ACCIDENTADOS2]],"BUSETA")</f>
        <v>0</v>
      </c>
      <c r="Z867" s="36">
        <f>COUNTIF(Tabla1[[#This Row],[VEHICULOS_ACCIDENTADOS]:[VEHICULOS_ACCIDENTADOS2]],"CAMION")</f>
        <v>0</v>
      </c>
      <c r="AA867" s="36">
        <f>COUNTIF(Tabla1[[#This Row],[VEHICULOS_ACCIDENTADOS]:[VEHICULOS_ACCIDENTADOS2]],"TRACTOCAMION")</f>
        <v>0</v>
      </c>
      <c r="AB867" s="36">
        <f>COUNTIF(Tabla1[[#This Row],[VEHICULOS_ACCIDENTADOS]:[VEHICULOS_ACCIDENTADOS2]],"VOLQUETA")</f>
        <v>0</v>
      </c>
      <c r="AC867" s="36">
        <f>COUNTIF(Tabla1[[#This Row],[VEHICULOS_ACCIDENTADOS]:[VEHICULOS_ACCIDENTADOS2]],"BICICLETA")</f>
        <v>0</v>
      </c>
      <c r="AD867" s="38"/>
      <c r="AE867" s="38" t="s">
        <v>472</v>
      </c>
      <c r="AF867" s="38">
        <f>COUNTIF(Tabla1[[#This Row],[GENERO_MASCULINO]:[GENERO_FEMENINO]],"MASCULINO")</f>
        <v>0</v>
      </c>
      <c r="AG867" s="36">
        <f>COUNTIF(Tabla1[[#This Row],[GENERO_MASCULINO]:[GENERO_FEMENINO]],"FEMENINO")</f>
        <v>1</v>
      </c>
      <c r="AH867" s="73"/>
      <c r="AI867" s="73"/>
      <c r="AJ867" s="73"/>
      <c r="AK867" s="73"/>
      <c r="AL867" s="73">
        <v>45</v>
      </c>
      <c r="AM867" s="7"/>
      <c r="AN867" s="73">
        <v>123</v>
      </c>
      <c r="AO867" s="36" t="str">
        <f>IFERROR(((VLOOKUP(Tabla1[[#This Row],[HIPOTESIS_1]],listas!$D$1:$E$105,2,FALSE))),"SIN INFORMACIÓN")</f>
        <v>No respetar prelación de intersecciones o giros.</v>
      </c>
      <c r="AP867" s="7"/>
      <c r="AQ867" s="36" t="str">
        <f>IFERROR(((VLOOKUP(Tabla1[[#This Row],[HIPOTESIS_2]],listas!$D$1:$E$105,2,FALSE))),"")</f>
        <v/>
      </c>
      <c r="AR867" s="1" t="str">
        <f>IF(HOUR(Tabla1[[#This Row],[HORA_ACCIDENTE]])&lt;6,"MAÑANA",
 IF(HOUR(Tabla1[[#This Row],[HORA_ACCIDENTE]])&lt;12,"MAÑANA",
 IF(HOUR(Tabla1[[#This Row],[HORA_ACCIDENTE]])&lt;18,"TARDE","NOCHE")))</f>
        <v>TARDE</v>
      </c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40"/>
    </row>
    <row r="868" spans="1:56" x14ac:dyDescent="0.25">
      <c r="A868" s="12">
        <v>578</v>
      </c>
      <c r="B868" s="38">
        <v>0</v>
      </c>
      <c r="C868" s="29">
        <v>1</v>
      </c>
      <c r="D868" s="7">
        <v>0</v>
      </c>
      <c r="E868" s="18" t="str">
        <f t="shared" si="52"/>
        <v>LESIONADO</v>
      </c>
      <c r="F868" s="7" t="s">
        <v>194</v>
      </c>
      <c r="G868" s="21">
        <v>5.3274583333333334</v>
      </c>
      <c r="H868" s="21">
        <v>-72.375505555555549</v>
      </c>
      <c r="I868" s="93" t="s">
        <v>697</v>
      </c>
      <c r="J868" s="50" t="s">
        <v>717</v>
      </c>
      <c r="K868" s="24" t="str">
        <f t="shared" si="53"/>
        <v>2023</v>
      </c>
      <c r="L868" s="24" t="str">
        <f t="shared" si="54"/>
        <v>OCTUBRE</v>
      </c>
      <c r="M868" s="232">
        <v>45220</v>
      </c>
      <c r="N868" s="24" t="str">
        <f t="shared" si="55"/>
        <v>SÁBADO</v>
      </c>
      <c r="O868" s="106">
        <v>0.875</v>
      </c>
      <c r="P868" s="39" t="s">
        <v>469</v>
      </c>
      <c r="Q868" s="39" t="s">
        <v>444</v>
      </c>
      <c r="R868" s="36">
        <f>COUNTIF(Tabla1[[#This Row],[VEHICULOS_ACCIDENTADOS]:[VEHICULOS_ACCIDENTADOS2]],"MOTOCICLETA")</f>
        <v>1</v>
      </c>
      <c r="S868" s="36">
        <f>COUNTIF(Tabla1[[#This Row],[VEHICULOS_ACCIDENTADOS]:[VEHICULOS_ACCIDENTADOS2]],"MOTOCARRO")</f>
        <v>0</v>
      </c>
      <c r="T868" s="36">
        <f>COUNTIF(Tabla1[[#This Row],[VEHICULOS_ACCIDENTADOS]:[VEHICULOS_ACCIDENTADOS2]],"AUTOMOVIL")</f>
        <v>0</v>
      </c>
      <c r="U868" s="36">
        <f>COUNTIF(Tabla1[[#This Row],[VEHICULOS_ACCIDENTADOS]:[VEHICULOS_ACCIDENTADOS2]],"CAMPERO")</f>
        <v>0</v>
      </c>
      <c r="V868" s="36">
        <f>COUNTIF(Tabla1[[#This Row],[VEHICULOS_ACCIDENTADOS]:[VEHICULOS_ACCIDENTADOS2]],"CAMIONETA")</f>
        <v>0</v>
      </c>
      <c r="W868" s="36">
        <f>COUNTIF(Tabla1[[#This Row],[VEHICULOS_ACCIDENTADOS]:[VEHICULOS_ACCIDENTADOS2]],"MICROBUS")</f>
        <v>1</v>
      </c>
      <c r="X868" s="36">
        <f>COUNTIF(Tabla1[[#This Row],[VEHICULOS_ACCIDENTADOS]:[VEHICULOS_ACCIDENTADOS2]],"BUS")</f>
        <v>0</v>
      </c>
      <c r="Y868" s="36">
        <f>COUNTIF(Tabla1[[#This Row],[VEHICULOS_ACCIDENTADOS]:[VEHICULOS_ACCIDENTADOS2]],"BUSETA")</f>
        <v>0</v>
      </c>
      <c r="Z868" s="36">
        <f>COUNTIF(Tabla1[[#This Row],[VEHICULOS_ACCIDENTADOS]:[VEHICULOS_ACCIDENTADOS2]],"CAMION")</f>
        <v>0</v>
      </c>
      <c r="AA868" s="36">
        <f>COUNTIF(Tabla1[[#This Row],[VEHICULOS_ACCIDENTADOS]:[VEHICULOS_ACCIDENTADOS2]],"TRACTOCAMION")</f>
        <v>0</v>
      </c>
      <c r="AB868" s="36">
        <f>COUNTIF(Tabla1[[#This Row],[VEHICULOS_ACCIDENTADOS]:[VEHICULOS_ACCIDENTADOS2]],"VOLQUETA")</f>
        <v>0</v>
      </c>
      <c r="AC868" s="36">
        <f>COUNTIF(Tabla1[[#This Row],[VEHICULOS_ACCIDENTADOS]:[VEHICULOS_ACCIDENTADOS2]],"BICICLETA")</f>
        <v>0</v>
      </c>
      <c r="AD868" s="38"/>
      <c r="AE868" s="38" t="s">
        <v>472</v>
      </c>
      <c r="AF868" s="38">
        <f>COUNTIF(Tabla1[[#This Row],[GENERO_MASCULINO]:[GENERO_FEMENINO]],"MASCULINO")</f>
        <v>0</v>
      </c>
      <c r="AG868" s="36">
        <f>COUNTIF(Tabla1[[#This Row],[GENERO_MASCULINO]:[GENERO_FEMENINO]],"FEMENINO")</f>
        <v>1</v>
      </c>
      <c r="AH868" s="73"/>
      <c r="AI868" s="73"/>
      <c r="AJ868" s="73"/>
      <c r="AK868" s="73"/>
      <c r="AL868" s="73">
        <v>33</v>
      </c>
      <c r="AM868" s="7"/>
      <c r="AN868" s="73">
        <v>157</v>
      </c>
      <c r="AO868" s="36" t="str">
        <f>IFERROR(((VLOOKUP(Tabla1[[#This Row],[HIPOTESIS_1]],listas!$D$1:$E$105,2,FALSE))),"SIN INFORMACIÓN")</f>
        <v>Otra</v>
      </c>
      <c r="AP868" s="7"/>
      <c r="AQ868" s="36" t="str">
        <f>IFERROR(((VLOOKUP(Tabla1[[#This Row],[HIPOTESIS_2]],listas!$D$1:$E$105,2,FALSE))),"")</f>
        <v/>
      </c>
      <c r="AR868" s="1" t="str">
        <f>IF(HOUR(Tabla1[[#This Row],[HORA_ACCIDENTE]])&lt;6,"MAÑANA",
 IF(HOUR(Tabla1[[#This Row],[HORA_ACCIDENTE]])&lt;12,"MAÑANA",
 IF(HOUR(Tabla1[[#This Row],[HORA_ACCIDENTE]])&lt;18,"TARDE","NOCHE")))</f>
        <v>NOCHE</v>
      </c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  <c r="BD868" s="40"/>
    </row>
    <row r="869" spans="1:56" x14ac:dyDescent="0.25">
      <c r="A869" s="12">
        <v>221</v>
      </c>
      <c r="B869" s="38">
        <v>0</v>
      </c>
      <c r="C869" s="29">
        <v>1</v>
      </c>
      <c r="D869" s="7">
        <v>0</v>
      </c>
      <c r="E869" s="18" t="str">
        <f t="shared" si="52"/>
        <v>LESIONADO</v>
      </c>
      <c r="F869" s="7" t="s">
        <v>986</v>
      </c>
      <c r="G869" s="17">
        <v>5.3352063888888885</v>
      </c>
      <c r="H869" s="17">
        <v>-72.380214444444434</v>
      </c>
      <c r="I869" s="93" t="s">
        <v>697</v>
      </c>
      <c r="J869" s="7" t="s">
        <v>717</v>
      </c>
      <c r="K869" s="24" t="str">
        <f t="shared" si="53"/>
        <v>2022</v>
      </c>
      <c r="L869" s="24" t="str">
        <f t="shared" si="54"/>
        <v>JUNIO</v>
      </c>
      <c r="M869" s="232">
        <v>44732</v>
      </c>
      <c r="N869" s="24" t="str">
        <f t="shared" si="55"/>
        <v>LUNES</v>
      </c>
      <c r="O869" s="174">
        <v>0.38194444444444398</v>
      </c>
      <c r="P869" s="180" t="s">
        <v>469</v>
      </c>
      <c r="Q869" s="180" t="s">
        <v>469</v>
      </c>
      <c r="R869" s="36">
        <f>COUNTIF(Tabla1[[#This Row],[VEHICULOS_ACCIDENTADOS]:[VEHICULOS_ACCIDENTADOS2]],"MOTOCICLETA")</f>
        <v>2</v>
      </c>
      <c r="S869" s="36">
        <f>COUNTIF(Tabla1[[#This Row],[VEHICULOS_ACCIDENTADOS]:[VEHICULOS_ACCIDENTADOS2]],"MOTOCARRO")</f>
        <v>0</v>
      </c>
      <c r="T869" s="36">
        <f>COUNTIF(Tabla1[[#This Row],[VEHICULOS_ACCIDENTADOS]:[VEHICULOS_ACCIDENTADOS2]],"AUTOMOVIL")</f>
        <v>0</v>
      </c>
      <c r="U869" s="36">
        <f>COUNTIF(Tabla1[[#This Row],[VEHICULOS_ACCIDENTADOS]:[VEHICULOS_ACCIDENTADOS2]],"CAMPERO")</f>
        <v>0</v>
      </c>
      <c r="V869" s="36">
        <f>COUNTIF(Tabla1[[#This Row],[VEHICULOS_ACCIDENTADOS]:[VEHICULOS_ACCIDENTADOS2]],"CAMIONETA")</f>
        <v>0</v>
      </c>
      <c r="W869" s="36">
        <f>COUNTIF(Tabla1[[#This Row],[VEHICULOS_ACCIDENTADOS]:[VEHICULOS_ACCIDENTADOS2]],"MICROBUS")</f>
        <v>0</v>
      </c>
      <c r="X869" s="36">
        <f>COUNTIF(Tabla1[[#This Row],[VEHICULOS_ACCIDENTADOS]:[VEHICULOS_ACCIDENTADOS2]],"BUS")</f>
        <v>0</v>
      </c>
      <c r="Y869" s="36">
        <f>COUNTIF(Tabla1[[#This Row],[VEHICULOS_ACCIDENTADOS]:[VEHICULOS_ACCIDENTADOS2]],"BUSETA")</f>
        <v>0</v>
      </c>
      <c r="Z869" s="36">
        <f>COUNTIF(Tabla1[[#This Row],[VEHICULOS_ACCIDENTADOS]:[VEHICULOS_ACCIDENTADOS2]],"CAMION")</f>
        <v>0</v>
      </c>
      <c r="AA869" s="36">
        <f>COUNTIF(Tabla1[[#This Row],[VEHICULOS_ACCIDENTADOS]:[VEHICULOS_ACCIDENTADOS2]],"TRACTOCAMION")</f>
        <v>0</v>
      </c>
      <c r="AB869" s="36">
        <f>COUNTIF(Tabla1[[#This Row],[VEHICULOS_ACCIDENTADOS]:[VEHICULOS_ACCIDENTADOS2]],"VOLQUETA")</f>
        <v>0</v>
      </c>
      <c r="AC869" s="36">
        <f>COUNTIF(Tabla1[[#This Row],[VEHICULOS_ACCIDENTADOS]:[VEHICULOS_ACCIDENTADOS2]],"BICICLETA")</f>
        <v>0</v>
      </c>
      <c r="AD869" s="38" t="s">
        <v>471</v>
      </c>
      <c r="AE869" s="38"/>
      <c r="AF869" s="38">
        <f>COUNTIF(Tabla1[[#This Row],[GENERO_MASCULINO]:[GENERO_FEMENINO]],"MASCULINO")</f>
        <v>1</v>
      </c>
      <c r="AG869" s="36">
        <f>COUNTIF(Tabla1[[#This Row],[GENERO_MASCULINO]:[GENERO_FEMENINO]],"FEMENINO")</f>
        <v>0</v>
      </c>
      <c r="AH869" s="73">
        <v>41</v>
      </c>
      <c r="AI869" s="73"/>
      <c r="AJ869" s="73"/>
      <c r="AK869" s="73"/>
      <c r="AL869" s="73"/>
      <c r="AM869" s="7"/>
      <c r="AN869" s="73">
        <v>123</v>
      </c>
      <c r="AO869" s="36" t="str">
        <f>IFERROR(((VLOOKUP(Tabla1[[#This Row],[HIPOTESIS_1]],listas!$D$1:$E$105,2,FALSE))),"SIN INFORMACIÓN")</f>
        <v>No respetar prelación de intersecciones o giros.</v>
      </c>
      <c r="AP869" s="7"/>
      <c r="AQ869" s="36" t="str">
        <f>IFERROR(((VLOOKUP(Tabla1[[#This Row],[HIPOTESIS_2]],listas!$D$1:$E$105,2,FALSE))),"")</f>
        <v/>
      </c>
      <c r="AR869" s="1" t="str">
        <f>IF(HOUR(Tabla1[[#This Row],[HORA_ACCIDENTE]])&lt;6,"MAÑANA",
 IF(HOUR(Tabla1[[#This Row],[HORA_ACCIDENTE]])&lt;12,"MAÑANA",
 IF(HOUR(Tabla1[[#This Row],[HORA_ACCIDENTE]])&lt;18,"TARDE","NOCHE")))</f>
        <v>MAÑANA</v>
      </c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40"/>
    </row>
    <row r="870" spans="1:56" x14ac:dyDescent="0.25">
      <c r="A870" s="12">
        <v>105</v>
      </c>
      <c r="B870" s="38">
        <v>1</v>
      </c>
      <c r="C870" s="29">
        <v>0</v>
      </c>
      <c r="D870" s="7">
        <v>0</v>
      </c>
      <c r="E870" s="18" t="str">
        <f t="shared" si="52"/>
        <v>SOLO DAÑO</v>
      </c>
      <c r="F870" s="7" t="s">
        <v>1088</v>
      </c>
      <c r="G870" s="17">
        <v>5.3427777777777772</v>
      </c>
      <c r="H870" s="17">
        <v>-72.384983333333338</v>
      </c>
      <c r="I870" s="93" t="s">
        <v>697</v>
      </c>
      <c r="J870" s="7" t="s">
        <v>717</v>
      </c>
      <c r="K870" s="24" t="str">
        <f t="shared" si="53"/>
        <v>2022</v>
      </c>
      <c r="L870" s="24" t="str">
        <f t="shared" si="54"/>
        <v>MARZO</v>
      </c>
      <c r="M870" s="232">
        <v>44639</v>
      </c>
      <c r="N870" s="24" t="str">
        <f t="shared" si="55"/>
        <v>SÁBADO</v>
      </c>
      <c r="O870" s="106">
        <v>0.73611111111111105</v>
      </c>
      <c r="P870" s="8" t="s">
        <v>469</v>
      </c>
      <c r="Q870" s="8" t="s">
        <v>447</v>
      </c>
      <c r="R870" s="36">
        <f>COUNTIF(Tabla1[[#This Row],[VEHICULOS_ACCIDENTADOS]:[VEHICULOS_ACCIDENTADOS2]],"MOTOCICLETA")</f>
        <v>1</v>
      </c>
      <c r="S870" s="36">
        <f>COUNTIF(Tabla1[[#This Row],[VEHICULOS_ACCIDENTADOS]:[VEHICULOS_ACCIDENTADOS2]],"MOTOCARRO")</f>
        <v>0</v>
      </c>
      <c r="T870" s="36">
        <f>COUNTIF(Tabla1[[#This Row],[VEHICULOS_ACCIDENTADOS]:[VEHICULOS_ACCIDENTADOS2]],"AUTOMOVIL")</f>
        <v>1</v>
      </c>
      <c r="U870" s="36">
        <f>COUNTIF(Tabla1[[#This Row],[VEHICULOS_ACCIDENTADOS]:[VEHICULOS_ACCIDENTADOS2]],"CAMPERO")</f>
        <v>0</v>
      </c>
      <c r="V870" s="36">
        <f>COUNTIF(Tabla1[[#This Row],[VEHICULOS_ACCIDENTADOS]:[VEHICULOS_ACCIDENTADOS2]],"CAMIONETA")</f>
        <v>0</v>
      </c>
      <c r="W870" s="36">
        <f>COUNTIF(Tabla1[[#This Row],[VEHICULOS_ACCIDENTADOS]:[VEHICULOS_ACCIDENTADOS2]],"MICROBUS")</f>
        <v>0</v>
      </c>
      <c r="X870" s="36">
        <f>COUNTIF(Tabla1[[#This Row],[VEHICULOS_ACCIDENTADOS]:[VEHICULOS_ACCIDENTADOS2]],"BUS")</f>
        <v>0</v>
      </c>
      <c r="Y870" s="36">
        <f>COUNTIF(Tabla1[[#This Row],[VEHICULOS_ACCIDENTADOS]:[VEHICULOS_ACCIDENTADOS2]],"BUSETA")</f>
        <v>0</v>
      </c>
      <c r="Z870" s="36">
        <f>COUNTIF(Tabla1[[#This Row],[VEHICULOS_ACCIDENTADOS]:[VEHICULOS_ACCIDENTADOS2]],"CAMION")</f>
        <v>0</v>
      </c>
      <c r="AA870" s="36">
        <f>COUNTIF(Tabla1[[#This Row],[VEHICULOS_ACCIDENTADOS]:[VEHICULOS_ACCIDENTADOS2]],"TRACTOCAMION")</f>
        <v>0</v>
      </c>
      <c r="AB870" s="36">
        <f>COUNTIF(Tabla1[[#This Row],[VEHICULOS_ACCIDENTADOS]:[VEHICULOS_ACCIDENTADOS2]],"VOLQUETA")</f>
        <v>0</v>
      </c>
      <c r="AC870" s="36">
        <f>COUNTIF(Tabla1[[#This Row],[VEHICULOS_ACCIDENTADOS]:[VEHICULOS_ACCIDENTADOS2]],"BICICLETA")</f>
        <v>0</v>
      </c>
      <c r="AD870" s="38"/>
      <c r="AE870" s="38" t="s">
        <v>472</v>
      </c>
      <c r="AF870" s="38">
        <f>COUNTIF(Tabla1[[#This Row],[GENERO_MASCULINO]:[GENERO_FEMENINO]],"MASCULINO")</f>
        <v>0</v>
      </c>
      <c r="AG870" s="36">
        <f>COUNTIF(Tabla1[[#This Row],[GENERO_MASCULINO]:[GENERO_FEMENINO]],"FEMENINO")</f>
        <v>1</v>
      </c>
      <c r="AH870" s="73"/>
      <c r="AI870" s="73"/>
      <c r="AJ870" s="87"/>
      <c r="AK870" s="73"/>
      <c r="AL870" s="73"/>
      <c r="AM870" s="2"/>
      <c r="AN870" s="73">
        <v>127</v>
      </c>
      <c r="AO870" s="36" t="str">
        <f>IFERROR(((VLOOKUP(Tabla1[[#This Row],[HIPOTESIS_1]],listas!$D$1:$E$105,2,FALSE))),"SIN INFORMACIÓN")</f>
        <v>Transitar en contravía.</v>
      </c>
      <c r="AP870" s="7"/>
      <c r="AQ870" s="36" t="str">
        <f>IFERROR(((VLOOKUP(Tabla1[[#This Row],[HIPOTESIS_2]],listas!$D$1:$E$105,2,FALSE))),"")</f>
        <v/>
      </c>
      <c r="AR870" s="1" t="str">
        <f>IF(HOUR(Tabla1[[#This Row],[HORA_ACCIDENTE]])&lt;6,"MAÑANA",
 IF(HOUR(Tabla1[[#This Row],[HORA_ACCIDENTE]])&lt;12,"MAÑANA",
 IF(HOUR(Tabla1[[#This Row],[HORA_ACCIDENTE]])&lt;18,"TARDE","NOCHE")))</f>
        <v>TARDE</v>
      </c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  <c r="BD870" s="40"/>
    </row>
    <row r="871" spans="1:56" x14ac:dyDescent="0.25">
      <c r="A871" s="12">
        <v>250</v>
      </c>
      <c r="B871" s="38">
        <v>0</v>
      </c>
      <c r="C871" s="29">
        <v>1</v>
      </c>
      <c r="D871" s="7">
        <v>0</v>
      </c>
      <c r="E871" s="18" t="str">
        <f t="shared" si="52"/>
        <v>LESIONADO</v>
      </c>
      <c r="F871" s="7" t="s">
        <v>1088</v>
      </c>
      <c r="G871" s="17">
        <v>5.3427777777777772</v>
      </c>
      <c r="H871" s="17">
        <v>-72.384983333333338</v>
      </c>
      <c r="I871" s="93" t="s">
        <v>697</v>
      </c>
      <c r="J871" s="7" t="s">
        <v>717</v>
      </c>
      <c r="K871" s="24" t="str">
        <f t="shared" si="53"/>
        <v>2022</v>
      </c>
      <c r="L871" s="24" t="str">
        <f t="shared" si="54"/>
        <v>JULIO</v>
      </c>
      <c r="M871" s="232">
        <v>44754</v>
      </c>
      <c r="N871" s="24" t="str">
        <f t="shared" si="55"/>
        <v>MARTES</v>
      </c>
      <c r="O871" s="174">
        <v>0.49166666666666697</v>
      </c>
      <c r="P871" s="180" t="s">
        <v>469</v>
      </c>
      <c r="Q871" s="180" t="s">
        <v>447</v>
      </c>
      <c r="R871" s="36">
        <f>COUNTIF(Tabla1[[#This Row],[VEHICULOS_ACCIDENTADOS]:[VEHICULOS_ACCIDENTADOS2]],"MOTOCICLETA")</f>
        <v>1</v>
      </c>
      <c r="S871" s="36">
        <f>COUNTIF(Tabla1[[#This Row],[VEHICULOS_ACCIDENTADOS]:[VEHICULOS_ACCIDENTADOS2]],"MOTOCARRO")</f>
        <v>0</v>
      </c>
      <c r="T871" s="36">
        <f>COUNTIF(Tabla1[[#This Row],[VEHICULOS_ACCIDENTADOS]:[VEHICULOS_ACCIDENTADOS2]],"AUTOMOVIL")</f>
        <v>1</v>
      </c>
      <c r="U871" s="36">
        <f>COUNTIF(Tabla1[[#This Row],[VEHICULOS_ACCIDENTADOS]:[VEHICULOS_ACCIDENTADOS2]],"CAMPERO")</f>
        <v>0</v>
      </c>
      <c r="V871" s="36">
        <f>COUNTIF(Tabla1[[#This Row],[VEHICULOS_ACCIDENTADOS]:[VEHICULOS_ACCIDENTADOS2]],"CAMIONETA")</f>
        <v>0</v>
      </c>
      <c r="W871" s="36">
        <f>COUNTIF(Tabla1[[#This Row],[VEHICULOS_ACCIDENTADOS]:[VEHICULOS_ACCIDENTADOS2]],"MICROBUS")</f>
        <v>0</v>
      </c>
      <c r="X871" s="36">
        <f>COUNTIF(Tabla1[[#This Row],[VEHICULOS_ACCIDENTADOS]:[VEHICULOS_ACCIDENTADOS2]],"BUS")</f>
        <v>0</v>
      </c>
      <c r="Y871" s="36">
        <f>COUNTIF(Tabla1[[#This Row],[VEHICULOS_ACCIDENTADOS]:[VEHICULOS_ACCIDENTADOS2]],"BUSETA")</f>
        <v>0</v>
      </c>
      <c r="Z871" s="36">
        <f>COUNTIF(Tabla1[[#This Row],[VEHICULOS_ACCIDENTADOS]:[VEHICULOS_ACCIDENTADOS2]],"CAMION")</f>
        <v>0</v>
      </c>
      <c r="AA871" s="36">
        <f>COUNTIF(Tabla1[[#This Row],[VEHICULOS_ACCIDENTADOS]:[VEHICULOS_ACCIDENTADOS2]],"TRACTOCAMION")</f>
        <v>0</v>
      </c>
      <c r="AB871" s="36">
        <f>COUNTIF(Tabla1[[#This Row],[VEHICULOS_ACCIDENTADOS]:[VEHICULOS_ACCIDENTADOS2]],"VOLQUETA")</f>
        <v>0</v>
      </c>
      <c r="AC871" s="36">
        <f>COUNTIF(Tabla1[[#This Row],[VEHICULOS_ACCIDENTADOS]:[VEHICULOS_ACCIDENTADOS2]],"BICICLETA")</f>
        <v>0</v>
      </c>
      <c r="AD871" s="38" t="s">
        <v>471</v>
      </c>
      <c r="AE871" s="38"/>
      <c r="AF871" s="38">
        <f>COUNTIF(Tabla1[[#This Row],[GENERO_MASCULINO]:[GENERO_FEMENINO]],"MASCULINO")</f>
        <v>1</v>
      </c>
      <c r="AG871" s="36">
        <f>COUNTIF(Tabla1[[#This Row],[GENERO_MASCULINO]:[GENERO_FEMENINO]],"FEMENINO")</f>
        <v>0</v>
      </c>
      <c r="AH871" s="73"/>
      <c r="AI871" s="73"/>
      <c r="AJ871" s="87"/>
      <c r="AK871" s="73"/>
      <c r="AL871" s="73">
        <v>9</v>
      </c>
      <c r="AM871" s="7"/>
      <c r="AN871" s="73">
        <v>112</v>
      </c>
      <c r="AO871" s="36" t="str">
        <f>IFERROR(((VLOOKUP(Tabla1[[#This Row],[HIPOTESIS_1]],listas!$D$1:$E$105,2,FALSE))),"SIN INFORMACIÓN")</f>
        <v>Desobedecer señales o normas de tránsito.</v>
      </c>
      <c r="AP871" s="7"/>
      <c r="AQ871" s="36" t="str">
        <f>IFERROR(((VLOOKUP(Tabla1[[#This Row],[HIPOTESIS_2]],listas!$D$1:$E$105,2,FALSE))),"")</f>
        <v/>
      </c>
      <c r="AR871" s="1" t="str">
        <f>IF(HOUR(Tabla1[[#This Row],[HORA_ACCIDENTE]])&lt;6,"MAÑANA",
 IF(HOUR(Tabla1[[#This Row],[HORA_ACCIDENTE]])&lt;12,"MAÑANA",
 IF(HOUR(Tabla1[[#This Row],[HORA_ACCIDENTE]])&lt;18,"TARDE","NOCHE")))</f>
        <v>MAÑANA</v>
      </c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40"/>
    </row>
    <row r="872" spans="1:56" x14ac:dyDescent="0.25">
      <c r="A872" s="12">
        <v>875</v>
      </c>
      <c r="B872" s="97">
        <v>0</v>
      </c>
      <c r="C872" s="26">
        <v>1</v>
      </c>
      <c r="D872" s="15">
        <v>0</v>
      </c>
      <c r="E872" s="18" t="str">
        <f t="shared" si="52"/>
        <v>LESIONADO</v>
      </c>
      <c r="F872" s="15" t="s">
        <v>72</v>
      </c>
      <c r="G872" s="21">
        <v>5.3485120000000004</v>
      </c>
      <c r="H872" s="21">
        <v>-72.387921000000006</v>
      </c>
      <c r="I872" s="93" t="s">
        <v>697</v>
      </c>
      <c r="J872" s="21" t="s">
        <v>717</v>
      </c>
      <c r="K872" s="24" t="str">
        <f t="shared" si="53"/>
        <v>2025</v>
      </c>
      <c r="L872" s="24" t="str">
        <f t="shared" si="54"/>
        <v>FEBRERO</v>
      </c>
      <c r="M872" s="234">
        <v>45705</v>
      </c>
      <c r="N872" s="24" t="str">
        <f t="shared" si="55"/>
        <v>LUNES</v>
      </c>
      <c r="O872" s="108">
        <v>0.54861111111111105</v>
      </c>
      <c r="P872" s="44" t="s">
        <v>447</v>
      </c>
      <c r="Q872" s="44" t="s">
        <v>469</v>
      </c>
      <c r="R872" s="36">
        <f>COUNTIF(Tabla1[[#This Row],[VEHICULOS_ACCIDENTADOS]:[VEHICULOS_ACCIDENTADOS2]],"MOTOCICLETA")</f>
        <v>1</v>
      </c>
      <c r="S872" s="36">
        <f>COUNTIF(Tabla1[[#This Row],[VEHICULOS_ACCIDENTADOS]:[VEHICULOS_ACCIDENTADOS2]],"MOTOCARRO")</f>
        <v>0</v>
      </c>
      <c r="T872" s="36">
        <f>COUNTIF(Tabla1[[#This Row],[VEHICULOS_ACCIDENTADOS]:[VEHICULOS_ACCIDENTADOS2]],"AUTOMOVIL")</f>
        <v>1</v>
      </c>
      <c r="U872" s="36">
        <f>COUNTIF(Tabla1[[#This Row],[VEHICULOS_ACCIDENTADOS]:[VEHICULOS_ACCIDENTADOS2]],"CAMPERO")</f>
        <v>0</v>
      </c>
      <c r="V872" s="36">
        <f>COUNTIF(Tabla1[[#This Row],[VEHICULOS_ACCIDENTADOS]:[VEHICULOS_ACCIDENTADOS2]],"CAMIONETA")</f>
        <v>0</v>
      </c>
      <c r="W872" s="36">
        <f>COUNTIF(Tabla1[[#This Row],[VEHICULOS_ACCIDENTADOS]:[VEHICULOS_ACCIDENTADOS2]],"MICROBUS")</f>
        <v>0</v>
      </c>
      <c r="X872" s="36">
        <f>COUNTIF(Tabla1[[#This Row],[VEHICULOS_ACCIDENTADOS]:[VEHICULOS_ACCIDENTADOS2]],"BUS")</f>
        <v>0</v>
      </c>
      <c r="Y872" s="36">
        <f>COUNTIF(Tabla1[[#This Row],[VEHICULOS_ACCIDENTADOS]:[VEHICULOS_ACCIDENTADOS2]],"BUSETA")</f>
        <v>0</v>
      </c>
      <c r="Z872" s="36">
        <f>COUNTIF(Tabla1[[#This Row],[VEHICULOS_ACCIDENTADOS]:[VEHICULOS_ACCIDENTADOS2]],"CAMION")</f>
        <v>0</v>
      </c>
      <c r="AA872" s="36">
        <f>COUNTIF(Tabla1[[#This Row],[VEHICULOS_ACCIDENTADOS]:[VEHICULOS_ACCIDENTADOS2]],"TRACTOCAMION")</f>
        <v>0</v>
      </c>
      <c r="AB872" s="36">
        <f>COUNTIF(Tabla1[[#This Row],[VEHICULOS_ACCIDENTADOS]:[VEHICULOS_ACCIDENTADOS2]],"VOLQUETA")</f>
        <v>0</v>
      </c>
      <c r="AC872" s="36">
        <f>COUNTIF(Tabla1[[#This Row],[VEHICULOS_ACCIDENTADOS]:[VEHICULOS_ACCIDENTADOS2]],"BICICLETA")</f>
        <v>0</v>
      </c>
      <c r="AD872" s="43" t="s">
        <v>471</v>
      </c>
      <c r="AE872" s="43" t="s">
        <v>471</v>
      </c>
      <c r="AF872" s="43">
        <f>COUNTIF(Tabla1[[#This Row],[GENERO_MASCULINO]:[GENERO_FEMENINO]],"MASCULINO")</f>
        <v>2</v>
      </c>
      <c r="AG872" s="36">
        <f>COUNTIF(Tabla1[[#This Row],[GENERO_MASCULINO]:[GENERO_FEMENINO]],"FEMENINO")</f>
        <v>0</v>
      </c>
      <c r="AH872" s="86">
        <v>44</v>
      </c>
      <c r="AI872" s="86">
        <v>25</v>
      </c>
      <c r="AJ872" s="86"/>
      <c r="AK872" s="86"/>
      <c r="AL872" s="86"/>
      <c r="AM872" s="15"/>
      <c r="AN872" s="86">
        <v>132</v>
      </c>
      <c r="AO872" s="36" t="str">
        <f>IFERROR(((VLOOKUP(Tabla1[[#This Row],[HIPOTESIS_1]],listas!$D$1:$E$105,2,FALSE))),"SIN INFORMACIÓN")</f>
        <v>No respetar prelación.</v>
      </c>
      <c r="AP872" s="15"/>
      <c r="AQ872" s="36" t="str">
        <f>IFERROR(((VLOOKUP(Tabla1[[#This Row],[HIPOTESIS_2]],listas!$D$1:$E$105,2,FALSE))),"")</f>
        <v/>
      </c>
      <c r="AR872" s="1" t="str">
        <f>IF(HOUR(Tabla1[[#This Row],[HORA_ACCIDENTE]])&lt;6,"MAÑANA",
 IF(HOUR(Tabla1[[#This Row],[HORA_ACCIDENTE]])&lt;12,"MAÑANA",
 IF(HOUR(Tabla1[[#This Row],[HORA_ACCIDENTE]])&lt;18,"TARDE","NOCHE")))</f>
        <v>TARDE</v>
      </c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  <c r="BD872" s="40"/>
    </row>
    <row r="873" spans="1:56" x14ac:dyDescent="0.25">
      <c r="A873" s="12">
        <v>710</v>
      </c>
      <c r="B873" s="97">
        <v>0</v>
      </c>
      <c r="C873" s="29">
        <v>1</v>
      </c>
      <c r="D873" s="7">
        <v>0</v>
      </c>
      <c r="E873" s="18" t="str">
        <f t="shared" si="52"/>
        <v>LESIONADO</v>
      </c>
      <c r="F873" s="7" t="s">
        <v>143</v>
      </c>
      <c r="G873" s="21">
        <v>5.3352805555555554</v>
      </c>
      <c r="H873" s="21">
        <v>-72.379836111111103</v>
      </c>
      <c r="I873" s="93" t="s">
        <v>697</v>
      </c>
      <c r="J873" s="15" t="s">
        <v>717</v>
      </c>
      <c r="K873" s="24" t="str">
        <f t="shared" si="53"/>
        <v>2024</v>
      </c>
      <c r="L873" s="24" t="str">
        <f t="shared" si="54"/>
        <v>MAYO</v>
      </c>
      <c r="M873" s="232">
        <v>45424</v>
      </c>
      <c r="N873" s="24" t="str">
        <f t="shared" si="55"/>
        <v>DOMINGO</v>
      </c>
      <c r="O873" s="106">
        <v>0.67361111111111116</v>
      </c>
      <c r="P873" s="39" t="s">
        <v>447</v>
      </c>
      <c r="Q873" s="39"/>
      <c r="R873" s="36">
        <f>COUNTIF(Tabla1[[#This Row],[VEHICULOS_ACCIDENTADOS]:[VEHICULOS_ACCIDENTADOS2]],"MOTOCICLETA")</f>
        <v>0</v>
      </c>
      <c r="S873" s="36">
        <f>COUNTIF(Tabla1[[#This Row],[VEHICULOS_ACCIDENTADOS]:[VEHICULOS_ACCIDENTADOS2]],"MOTOCARRO")</f>
        <v>0</v>
      </c>
      <c r="T873" s="36">
        <f>COUNTIF(Tabla1[[#This Row],[VEHICULOS_ACCIDENTADOS]:[VEHICULOS_ACCIDENTADOS2]],"AUTOMOVIL")</f>
        <v>1</v>
      </c>
      <c r="U873" s="36">
        <f>COUNTIF(Tabla1[[#This Row],[VEHICULOS_ACCIDENTADOS]:[VEHICULOS_ACCIDENTADOS2]],"CAMPERO")</f>
        <v>0</v>
      </c>
      <c r="V873" s="36">
        <f>COUNTIF(Tabla1[[#This Row],[VEHICULOS_ACCIDENTADOS]:[VEHICULOS_ACCIDENTADOS2]],"CAMIONETA")</f>
        <v>0</v>
      </c>
      <c r="W873" s="36">
        <f>COUNTIF(Tabla1[[#This Row],[VEHICULOS_ACCIDENTADOS]:[VEHICULOS_ACCIDENTADOS2]],"MICROBUS")</f>
        <v>0</v>
      </c>
      <c r="X873" s="36">
        <f>COUNTIF(Tabla1[[#This Row],[VEHICULOS_ACCIDENTADOS]:[VEHICULOS_ACCIDENTADOS2]],"BUS")</f>
        <v>0</v>
      </c>
      <c r="Y873" s="36">
        <f>COUNTIF(Tabla1[[#This Row],[VEHICULOS_ACCIDENTADOS]:[VEHICULOS_ACCIDENTADOS2]],"BUSETA")</f>
        <v>0</v>
      </c>
      <c r="Z873" s="36">
        <f>COUNTIF(Tabla1[[#This Row],[VEHICULOS_ACCIDENTADOS]:[VEHICULOS_ACCIDENTADOS2]],"CAMION")</f>
        <v>0</v>
      </c>
      <c r="AA873" s="36">
        <f>COUNTIF(Tabla1[[#This Row],[VEHICULOS_ACCIDENTADOS]:[VEHICULOS_ACCIDENTADOS2]],"TRACTOCAMION")</f>
        <v>0</v>
      </c>
      <c r="AB873" s="36">
        <f>COUNTIF(Tabla1[[#This Row],[VEHICULOS_ACCIDENTADOS]:[VEHICULOS_ACCIDENTADOS2]],"VOLQUETA")</f>
        <v>0</v>
      </c>
      <c r="AC873" s="36">
        <f>COUNTIF(Tabla1[[#This Row],[VEHICULOS_ACCIDENTADOS]:[VEHICULOS_ACCIDENTADOS2]],"BICICLETA")</f>
        <v>0</v>
      </c>
      <c r="AD873" s="38" t="s">
        <v>471</v>
      </c>
      <c r="AE873" s="38" t="s">
        <v>472</v>
      </c>
      <c r="AF873" s="38">
        <f>COUNTIF(Tabla1[[#This Row],[GENERO_MASCULINO]:[GENERO_FEMENINO]],"MASCULINO")</f>
        <v>1</v>
      </c>
      <c r="AG873" s="36">
        <f>COUNTIF(Tabla1[[#This Row],[GENERO_MASCULINO]:[GENERO_FEMENINO]],"FEMENINO")</f>
        <v>1</v>
      </c>
      <c r="AH873" s="73">
        <v>66</v>
      </c>
      <c r="AI873" s="73">
        <v>10</v>
      </c>
      <c r="AJ873" s="73"/>
      <c r="AK873" s="73"/>
      <c r="AL873" s="73"/>
      <c r="AM873" s="7"/>
      <c r="AN873" s="73">
        <v>115</v>
      </c>
      <c r="AO873" s="36" t="str">
        <f>IFERROR(((VLOOKUP(Tabla1[[#This Row],[HIPOTESIS_1]],listas!$D$1:$E$105,2,FALSE))),"SIN INFORMACIÓN")</f>
        <v>Embriaguez o Sustancias alucinogenas</v>
      </c>
      <c r="AP873" s="7"/>
      <c r="AQ873" s="36" t="str">
        <f>IFERROR(((VLOOKUP(Tabla1[[#This Row],[HIPOTESIS_2]],listas!$D$1:$E$105,2,FALSE))),"")</f>
        <v/>
      </c>
      <c r="AR873" s="1" t="str">
        <f>IF(HOUR(Tabla1[[#This Row],[HORA_ACCIDENTE]])&lt;6,"MAÑANA",
 IF(HOUR(Tabla1[[#This Row],[HORA_ACCIDENTE]])&lt;12,"MAÑANA",
 IF(HOUR(Tabla1[[#This Row],[HORA_ACCIDENTE]])&lt;18,"TARDE","NOCHE")))</f>
        <v>TARDE</v>
      </c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40"/>
    </row>
    <row r="874" spans="1:56" x14ac:dyDescent="0.25">
      <c r="A874" s="12">
        <v>176</v>
      </c>
      <c r="B874" s="38">
        <v>1</v>
      </c>
      <c r="C874" s="29">
        <v>0</v>
      </c>
      <c r="D874" s="7">
        <v>0</v>
      </c>
      <c r="E874" s="18" t="str">
        <f t="shared" si="52"/>
        <v>SOLO DAÑO</v>
      </c>
      <c r="F874" s="7" t="s">
        <v>370</v>
      </c>
      <c r="G874" s="17">
        <v>5.3449111111111112</v>
      </c>
      <c r="H874" s="17">
        <v>-72.385527777777781</v>
      </c>
      <c r="I874" s="93" t="s">
        <v>697</v>
      </c>
      <c r="J874" s="7" t="s">
        <v>717</v>
      </c>
      <c r="K874" s="24" t="str">
        <f t="shared" si="53"/>
        <v>2022</v>
      </c>
      <c r="L874" s="24" t="str">
        <f t="shared" si="54"/>
        <v>MAYO</v>
      </c>
      <c r="M874" s="232">
        <v>44689</v>
      </c>
      <c r="N874" s="24" t="str">
        <f t="shared" si="55"/>
        <v>DOMINGO</v>
      </c>
      <c r="O874" s="174">
        <v>0.63194444444444398</v>
      </c>
      <c r="P874" s="180" t="s">
        <v>469</v>
      </c>
      <c r="Q874" s="180" t="s">
        <v>445</v>
      </c>
      <c r="R874" s="36">
        <f>COUNTIF(Tabla1[[#This Row],[VEHICULOS_ACCIDENTADOS]:[VEHICULOS_ACCIDENTADOS2]],"MOTOCICLETA")</f>
        <v>1</v>
      </c>
      <c r="S874" s="36">
        <f>COUNTIF(Tabla1[[#This Row],[VEHICULOS_ACCIDENTADOS]:[VEHICULOS_ACCIDENTADOS2]],"MOTOCARRO")</f>
        <v>0</v>
      </c>
      <c r="T874" s="36">
        <f>COUNTIF(Tabla1[[#This Row],[VEHICULOS_ACCIDENTADOS]:[VEHICULOS_ACCIDENTADOS2]],"AUTOMOVIL")</f>
        <v>0</v>
      </c>
      <c r="U874" s="36">
        <f>COUNTIF(Tabla1[[#This Row],[VEHICULOS_ACCIDENTADOS]:[VEHICULOS_ACCIDENTADOS2]],"CAMPERO")</f>
        <v>0</v>
      </c>
      <c r="V874" s="36">
        <f>COUNTIF(Tabla1[[#This Row],[VEHICULOS_ACCIDENTADOS]:[VEHICULOS_ACCIDENTADOS2]],"CAMIONETA")</f>
        <v>1</v>
      </c>
      <c r="W874" s="36">
        <f>COUNTIF(Tabla1[[#This Row],[VEHICULOS_ACCIDENTADOS]:[VEHICULOS_ACCIDENTADOS2]],"MICROBUS")</f>
        <v>0</v>
      </c>
      <c r="X874" s="36">
        <f>COUNTIF(Tabla1[[#This Row],[VEHICULOS_ACCIDENTADOS]:[VEHICULOS_ACCIDENTADOS2]],"BUS")</f>
        <v>0</v>
      </c>
      <c r="Y874" s="36">
        <f>COUNTIF(Tabla1[[#This Row],[VEHICULOS_ACCIDENTADOS]:[VEHICULOS_ACCIDENTADOS2]],"BUSETA")</f>
        <v>0</v>
      </c>
      <c r="Z874" s="36">
        <f>COUNTIF(Tabla1[[#This Row],[VEHICULOS_ACCIDENTADOS]:[VEHICULOS_ACCIDENTADOS2]],"CAMION")</f>
        <v>0</v>
      </c>
      <c r="AA874" s="36">
        <f>COUNTIF(Tabla1[[#This Row],[VEHICULOS_ACCIDENTADOS]:[VEHICULOS_ACCIDENTADOS2]],"TRACTOCAMION")</f>
        <v>0</v>
      </c>
      <c r="AB874" s="36">
        <f>COUNTIF(Tabla1[[#This Row],[VEHICULOS_ACCIDENTADOS]:[VEHICULOS_ACCIDENTADOS2]],"VOLQUETA")</f>
        <v>0</v>
      </c>
      <c r="AC874" s="36">
        <f>COUNTIF(Tabla1[[#This Row],[VEHICULOS_ACCIDENTADOS]:[VEHICULOS_ACCIDENTADOS2]],"BICICLETA")</f>
        <v>0</v>
      </c>
      <c r="AD874" s="38"/>
      <c r="AE874" s="38" t="s">
        <v>472</v>
      </c>
      <c r="AF874" s="38">
        <f>COUNTIF(Tabla1[[#This Row],[GENERO_MASCULINO]:[GENERO_FEMENINO]],"MASCULINO")</f>
        <v>0</v>
      </c>
      <c r="AG874" s="36">
        <f>COUNTIF(Tabla1[[#This Row],[GENERO_MASCULINO]:[GENERO_FEMENINO]],"FEMENINO")</f>
        <v>1</v>
      </c>
      <c r="AH874" s="73"/>
      <c r="AI874" s="73"/>
      <c r="AJ874" s="73"/>
      <c r="AK874" s="73"/>
      <c r="AL874" s="73"/>
      <c r="AM874" s="7"/>
      <c r="AN874" s="73">
        <v>139</v>
      </c>
      <c r="AO874" s="36" t="str">
        <f>IFERROR(((VLOOKUP(Tabla1[[#This Row],[HIPOTESIS_1]],listas!$D$1:$E$105,2,FALSE))),"SIN INFORMACIÓN")</f>
        <v>Impericia en el manejo.</v>
      </c>
      <c r="AP874" s="7"/>
      <c r="AQ874" s="36" t="str">
        <f>IFERROR(((VLOOKUP(Tabla1[[#This Row],[HIPOTESIS_2]],listas!$D$1:$E$105,2,FALSE))),"")</f>
        <v/>
      </c>
      <c r="AR874" s="1" t="str">
        <f>IF(HOUR(Tabla1[[#This Row],[HORA_ACCIDENTE]])&lt;6,"MAÑANA",
 IF(HOUR(Tabla1[[#This Row],[HORA_ACCIDENTE]])&lt;12,"MAÑANA",
 IF(HOUR(Tabla1[[#This Row],[HORA_ACCIDENTE]])&lt;18,"TARDE","NOCHE")))</f>
        <v>TARDE</v>
      </c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  <c r="BD874" s="40"/>
    </row>
    <row r="875" spans="1:56" x14ac:dyDescent="0.25">
      <c r="A875" s="12">
        <v>340</v>
      </c>
      <c r="B875" s="38">
        <v>0</v>
      </c>
      <c r="C875" s="29">
        <v>2</v>
      </c>
      <c r="D875" s="7">
        <v>0</v>
      </c>
      <c r="E875" s="18" t="str">
        <f t="shared" si="52"/>
        <v>LESIONADO</v>
      </c>
      <c r="F875" s="7" t="s">
        <v>307</v>
      </c>
      <c r="G875" s="17">
        <v>5.3359722222222219</v>
      </c>
      <c r="H875" s="17">
        <v>-72.379891666666666</v>
      </c>
      <c r="I875" s="93" t="s">
        <v>697</v>
      </c>
      <c r="J875" s="7" t="s">
        <v>717</v>
      </c>
      <c r="K875" s="24" t="str">
        <f t="shared" si="53"/>
        <v>2022</v>
      </c>
      <c r="L875" s="24" t="str">
        <f t="shared" si="54"/>
        <v>OCTUBRE</v>
      </c>
      <c r="M875" s="232">
        <v>44859</v>
      </c>
      <c r="N875" s="24" t="str">
        <f t="shared" si="55"/>
        <v>MARTES</v>
      </c>
      <c r="O875" s="174">
        <v>0.85416666666666696</v>
      </c>
      <c r="P875" s="180" t="s">
        <v>469</v>
      </c>
      <c r="Q875" s="180" t="s">
        <v>469</v>
      </c>
      <c r="R875" s="36">
        <f>COUNTIF(Tabla1[[#This Row],[VEHICULOS_ACCIDENTADOS]:[VEHICULOS_ACCIDENTADOS2]],"MOTOCICLETA")</f>
        <v>2</v>
      </c>
      <c r="S875" s="36">
        <f>COUNTIF(Tabla1[[#This Row],[VEHICULOS_ACCIDENTADOS]:[VEHICULOS_ACCIDENTADOS2]],"MOTOCARRO")</f>
        <v>0</v>
      </c>
      <c r="T875" s="36">
        <f>COUNTIF(Tabla1[[#This Row],[VEHICULOS_ACCIDENTADOS]:[VEHICULOS_ACCIDENTADOS2]],"AUTOMOVIL")</f>
        <v>0</v>
      </c>
      <c r="U875" s="36">
        <f>COUNTIF(Tabla1[[#This Row],[VEHICULOS_ACCIDENTADOS]:[VEHICULOS_ACCIDENTADOS2]],"CAMPERO")</f>
        <v>0</v>
      </c>
      <c r="V875" s="36">
        <f>COUNTIF(Tabla1[[#This Row],[VEHICULOS_ACCIDENTADOS]:[VEHICULOS_ACCIDENTADOS2]],"CAMIONETA")</f>
        <v>0</v>
      </c>
      <c r="W875" s="36">
        <f>COUNTIF(Tabla1[[#This Row],[VEHICULOS_ACCIDENTADOS]:[VEHICULOS_ACCIDENTADOS2]],"MICROBUS")</f>
        <v>0</v>
      </c>
      <c r="X875" s="36">
        <f>COUNTIF(Tabla1[[#This Row],[VEHICULOS_ACCIDENTADOS]:[VEHICULOS_ACCIDENTADOS2]],"BUS")</f>
        <v>0</v>
      </c>
      <c r="Y875" s="36">
        <f>COUNTIF(Tabla1[[#This Row],[VEHICULOS_ACCIDENTADOS]:[VEHICULOS_ACCIDENTADOS2]],"BUSETA")</f>
        <v>0</v>
      </c>
      <c r="Z875" s="36">
        <f>COUNTIF(Tabla1[[#This Row],[VEHICULOS_ACCIDENTADOS]:[VEHICULOS_ACCIDENTADOS2]],"CAMION")</f>
        <v>0</v>
      </c>
      <c r="AA875" s="36">
        <f>COUNTIF(Tabla1[[#This Row],[VEHICULOS_ACCIDENTADOS]:[VEHICULOS_ACCIDENTADOS2]],"TRACTOCAMION")</f>
        <v>0</v>
      </c>
      <c r="AB875" s="36">
        <f>COUNTIF(Tabla1[[#This Row],[VEHICULOS_ACCIDENTADOS]:[VEHICULOS_ACCIDENTADOS2]],"VOLQUETA")</f>
        <v>0</v>
      </c>
      <c r="AC875" s="36">
        <f>COUNTIF(Tabla1[[#This Row],[VEHICULOS_ACCIDENTADOS]:[VEHICULOS_ACCIDENTADOS2]],"BICICLETA")</f>
        <v>0</v>
      </c>
      <c r="AD875" s="38" t="s">
        <v>471</v>
      </c>
      <c r="AE875" s="38" t="s">
        <v>472</v>
      </c>
      <c r="AF875" s="38">
        <f>COUNTIF(Tabla1[[#This Row],[GENERO_MASCULINO]:[GENERO_FEMENINO]],"MASCULINO")</f>
        <v>1</v>
      </c>
      <c r="AG875" s="36">
        <f>COUNTIF(Tabla1[[#This Row],[GENERO_MASCULINO]:[GENERO_FEMENINO]],"FEMENINO")</f>
        <v>1</v>
      </c>
      <c r="AH875" s="73">
        <v>24</v>
      </c>
      <c r="AI875" s="73"/>
      <c r="AJ875" s="73"/>
      <c r="AK875" s="73"/>
      <c r="AL875" s="73">
        <v>21</v>
      </c>
      <c r="AM875" s="7"/>
      <c r="AN875" s="73">
        <v>123</v>
      </c>
      <c r="AO875" s="36" t="str">
        <f>IFERROR(((VLOOKUP(Tabla1[[#This Row],[HIPOTESIS_1]],listas!$D$1:$E$105,2,FALSE))),"SIN INFORMACIÓN")</f>
        <v>No respetar prelación de intersecciones o giros.</v>
      </c>
      <c r="AP875" s="7"/>
      <c r="AQ875" s="36" t="str">
        <f>IFERROR(((VLOOKUP(Tabla1[[#This Row],[HIPOTESIS_2]],listas!$D$1:$E$105,2,FALSE))),"")</f>
        <v/>
      </c>
      <c r="AR875" s="1" t="str">
        <f>IF(HOUR(Tabla1[[#This Row],[HORA_ACCIDENTE]])&lt;6,"MAÑANA",
 IF(HOUR(Tabla1[[#This Row],[HORA_ACCIDENTE]])&lt;12,"MAÑANA",
 IF(HOUR(Tabla1[[#This Row],[HORA_ACCIDENTE]])&lt;18,"TARDE","NOCHE")))</f>
        <v>NOCHE</v>
      </c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40"/>
    </row>
    <row r="876" spans="1:56" x14ac:dyDescent="0.25">
      <c r="A876" s="12">
        <v>419</v>
      </c>
      <c r="B876" s="38">
        <v>0</v>
      </c>
      <c r="C876" s="29">
        <v>1</v>
      </c>
      <c r="D876" s="7">
        <v>0</v>
      </c>
      <c r="E876" s="18" t="str">
        <f t="shared" si="52"/>
        <v>LESIONADO</v>
      </c>
      <c r="F876" s="7" t="s">
        <v>277</v>
      </c>
      <c r="G876" s="21">
        <v>5.3217355555555557</v>
      </c>
      <c r="H876" s="21">
        <v>-72.368300277777777</v>
      </c>
      <c r="I876" s="93" t="s">
        <v>697</v>
      </c>
      <c r="J876" s="7" t="s">
        <v>717</v>
      </c>
      <c r="K876" s="24" t="str">
        <f t="shared" si="53"/>
        <v>2023</v>
      </c>
      <c r="L876" s="24" t="str">
        <f t="shared" si="54"/>
        <v>FEBRERO</v>
      </c>
      <c r="M876" s="232">
        <v>44975</v>
      </c>
      <c r="N876" s="24" t="str">
        <f t="shared" si="55"/>
        <v>SÁBADO</v>
      </c>
      <c r="O876" s="106">
        <v>0.72916666666666663</v>
      </c>
      <c r="P876" s="39" t="s">
        <v>469</v>
      </c>
      <c r="Q876" s="39"/>
      <c r="R876" s="36">
        <f>COUNTIF(Tabla1[[#This Row],[VEHICULOS_ACCIDENTADOS]:[VEHICULOS_ACCIDENTADOS2]],"MOTOCICLETA")</f>
        <v>1</v>
      </c>
      <c r="S876" s="36">
        <f>COUNTIF(Tabla1[[#This Row],[VEHICULOS_ACCIDENTADOS]:[VEHICULOS_ACCIDENTADOS2]],"MOTOCARRO")</f>
        <v>0</v>
      </c>
      <c r="T876" s="36">
        <f>COUNTIF(Tabla1[[#This Row],[VEHICULOS_ACCIDENTADOS]:[VEHICULOS_ACCIDENTADOS2]],"AUTOMOVIL")</f>
        <v>0</v>
      </c>
      <c r="U876" s="36">
        <f>COUNTIF(Tabla1[[#This Row],[VEHICULOS_ACCIDENTADOS]:[VEHICULOS_ACCIDENTADOS2]],"CAMPERO")</f>
        <v>0</v>
      </c>
      <c r="V876" s="36">
        <f>COUNTIF(Tabla1[[#This Row],[VEHICULOS_ACCIDENTADOS]:[VEHICULOS_ACCIDENTADOS2]],"CAMIONETA")</f>
        <v>0</v>
      </c>
      <c r="W876" s="36">
        <f>COUNTIF(Tabla1[[#This Row],[VEHICULOS_ACCIDENTADOS]:[VEHICULOS_ACCIDENTADOS2]],"MICROBUS")</f>
        <v>0</v>
      </c>
      <c r="X876" s="36">
        <f>COUNTIF(Tabla1[[#This Row],[VEHICULOS_ACCIDENTADOS]:[VEHICULOS_ACCIDENTADOS2]],"BUS")</f>
        <v>0</v>
      </c>
      <c r="Y876" s="36">
        <f>COUNTIF(Tabla1[[#This Row],[VEHICULOS_ACCIDENTADOS]:[VEHICULOS_ACCIDENTADOS2]],"BUSETA")</f>
        <v>0</v>
      </c>
      <c r="Z876" s="36">
        <f>COUNTIF(Tabla1[[#This Row],[VEHICULOS_ACCIDENTADOS]:[VEHICULOS_ACCIDENTADOS2]],"CAMION")</f>
        <v>0</v>
      </c>
      <c r="AA876" s="36">
        <f>COUNTIF(Tabla1[[#This Row],[VEHICULOS_ACCIDENTADOS]:[VEHICULOS_ACCIDENTADOS2]],"TRACTOCAMION")</f>
        <v>0</v>
      </c>
      <c r="AB876" s="36">
        <f>COUNTIF(Tabla1[[#This Row],[VEHICULOS_ACCIDENTADOS]:[VEHICULOS_ACCIDENTADOS2]],"VOLQUETA")</f>
        <v>0</v>
      </c>
      <c r="AC876" s="36">
        <f>COUNTIF(Tabla1[[#This Row],[VEHICULOS_ACCIDENTADOS]:[VEHICULOS_ACCIDENTADOS2]],"BICICLETA")</f>
        <v>0</v>
      </c>
      <c r="AD876" s="38" t="s">
        <v>471</v>
      </c>
      <c r="AE876" s="38"/>
      <c r="AF876" s="38">
        <f>COUNTIF(Tabla1[[#This Row],[GENERO_MASCULINO]:[GENERO_FEMENINO]],"MASCULINO")</f>
        <v>1</v>
      </c>
      <c r="AG876" s="36">
        <f>COUNTIF(Tabla1[[#This Row],[GENERO_MASCULINO]:[GENERO_FEMENINO]],"FEMENINO")</f>
        <v>0</v>
      </c>
      <c r="AH876" s="73"/>
      <c r="AI876" s="73"/>
      <c r="AJ876" s="87"/>
      <c r="AK876" s="73">
        <v>7</v>
      </c>
      <c r="AL876" s="73"/>
      <c r="AM876" s="7"/>
      <c r="AN876" s="73">
        <v>139</v>
      </c>
      <c r="AO876" s="36" t="str">
        <f>IFERROR(((VLOOKUP(Tabla1[[#This Row],[HIPOTESIS_1]],listas!$D$1:$E$105,2,FALSE))),"SIN INFORMACIÓN")</f>
        <v>Impericia en el manejo.</v>
      </c>
      <c r="AP876" s="7"/>
      <c r="AQ876" s="36" t="str">
        <f>IFERROR(((VLOOKUP(Tabla1[[#This Row],[HIPOTESIS_2]],listas!$D$1:$E$105,2,FALSE))),"")</f>
        <v/>
      </c>
      <c r="AR876" s="1" t="str">
        <f>IF(HOUR(Tabla1[[#This Row],[HORA_ACCIDENTE]])&lt;6,"MAÑANA",
 IF(HOUR(Tabla1[[#This Row],[HORA_ACCIDENTE]])&lt;12,"MAÑANA",
 IF(HOUR(Tabla1[[#This Row],[HORA_ACCIDENTE]])&lt;18,"TARDE","NOCHE")))</f>
        <v>TARDE</v>
      </c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  <c r="BD876" s="40"/>
    </row>
    <row r="877" spans="1:56" x14ac:dyDescent="0.25">
      <c r="A877" s="12">
        <v>234</v>
      </c>
      <c r="B877" s="38">
        <v>0</v>
      </c>
      <c r="C877" s="29">
        <v>2</v>
      </c>
      <c r="D877" s="7">
        <v>0</v>
      </c>
      <c r="E877" s="18" t="str">
        <f t="shared" si="52"/>
        <v>LESIONADO</v>
      </c>
      <c r="F877" s="7" t="s">
        <v>987</v>
      </c>
      <c r="G877" s="17">
        <v>5.3421563888888883</v>
      </c>
      <c r="H877" s="17">
        <v>-72.382546111111111</v>
      </c>
      <c r="I877" s="93" t="s">
        <v>697</v>
      </c>
      <c r="J877" s="7" t="s">
        <v>717</v>
      </c>
      <c r="K877" s="24" t="str">
        <f t="shared" si="53"/>
        <v>2022</v>
      </c>
      <c r="L877" s="24" t="str">
        <f t="shared" si="54"/>
        <v>JUNIO</v>
      </c>
      <c r="M877" s="232">
        <v>44730</v>
      </c>
      <c r="N877" s="24" t="str">
        <f t="shared" si="55"/>
        <v>SÁBADO</v>
      </c>
      <c r="O877" s="174">
        <v>0.80555555555555503</v>
      </c>
      <c r="P877" s="180" t="s">
        <v>469</v>
      </c>
      <c r="Q877" s="180"/>
      <c r="R877" s="36">
        <f>COUNTIF(Tabla1[[#This Row],[VEHICULOS_ACCIDENTADOS]:[VEHICULOS_ACCIDENTADOS2]],"MOTOCICLETA")</f>
        <v>1</v>
      </c>
      <c r="S877" s="36">
        <f>COUNTIF(Tabla1[[#This Row],[VEHICULOS_ACCIDENTADOS]:[VEHICULOS_ACCIDENTADOS2]],"MOTOCARRO")</f>
        <v>0</v>
      </c>
      <c r="T877" s="36">
        <f>COUNTIF(Tabla1[[#This Row],[VEHICULOS_ACCIDENTADOS]:[VEHICULOS_ACCIDENTADOS2]],"AUTOMOVIL")</f>
        <v>0</v>
      </c>
      <c r="U877" s="36">
        <f>COUNTIF(Tabla1[[#This Row],[VEHICULOS_ACCIDENTADOS]:[VEHICULOS_ACCIDENTADOS2]],"CAMPERO")</f>
        <v>0</v>
      </c>
      <c r="V877" s="36">
        <f>COUNTIF(Tabla1[[#This Row],[VEHICULOS_ACCIDENTADOS]:[VEHICULOS_ACCIDENTADOS2]],"CAMIONETA")</f>
        <v>0</v>
      </c>
      <c r="W877" s="36">
        <f>COUNTIF(Tabla1[[#This Row],[VEHICULOS_ACCIDENTADOS]:[VEHICULOS_ACCIDENTADOS2]],"MICROBUS")</f>
        <v>0</v>
      </c>
      <c r="X877" s="36">
        <f>COUNTIF(Tabla1[[#This Row],[VEHICULOS_ACCIDENTADOS]:[VEHICULOS_ACCIDENTADOS2]],"BUS")</f>
        <v>0</v>
      </c>
      <c r="Y877" s="36">
        <f>COUNTIF(Tabla1[[#This Row],[VEHICULOS_ACCIDENTADOS]:[VEHICULOS_ACCIDENTADOS2]],"BUSETA")</f>
        <v>0</v>
      </c>
      <c r="Z877" s="36">
        <f>COUNTIF(Tabla1[[#This Row],[VEHICULOS_ACCIDENTADOS]:[VEHICULOS_ACCIDENTADOS2]],"CAMION")</f>
        <v>0</v>
      </c>
      <c r="AA877" s="36">
        <f>COUNTIF(Tabla1[[#This Row],[VEHICULOS_ACCIDENTADOS]:[VEHICULOS_ACCIDENTADOS2]],"TRACTOCAMION")</f>
        <v>0</v>
      </c>
      <c r="AB877" s="36">
        <f>COUNTIF(Tabla1[[#This Row],[VEHICULOS_ACCIDENTADOS]:[VEHICULOS_ACCIDENTADOS2]],"VOLQUETA")</f>
        <v>0</v>
      </c>
      <c r="AC877" s="36">
        <f>COUNTIF(Tabla1[[#This Row],[VEHICULOS_ACCIDENTADOS]:[VEHICULOS_ACCIDENTADOS2]],"BICICLETA")</f>
        <v>0</v>
      </c>
      <c r="AD877" s="38"/>
      <c r="AE877" s="38" t="s">
        <v>472</v>
      </c>
      <c r="AF877" s="38">
        <f>COUNTIF(Tabla1[[#This Row],[GENERO_MASCULINO]:[GENERO_FEMENINO]],"MASCULINO")</f>
        <v>0</v>
      </c>
      <c r="AG877" s="36">
        <f>COUNTIF(Tabla1[[#This Row],[GENERO_MASCULINO]:[GENERO_FEMENINO]],"FEMENINO")</f>
        <v>1</v>
      </c>
      <c r="AH877" s="73">
        <v>33</v>
      </c>
      <c r="AI877" s="73"/>
      <c r="AJ877" s="73"/>
      <c r="AK877" s="73"/>
      <c r="AL877" s="73">
        <v>40</v>
      </c>
      <c r="AM877" s="7"/>
      <c r="AN877" s="73">
        <v>306</v>
      </c>
      <c r="AO877" s="36" t="str">
        <f>IFERROR(((VLOOKUP(Tabla1[[#This Row],[HIPOTESIS_1]],listas!$D$1:$E$105,2,FALSE))),"SIN INFORMACIÓN")</f>
        <v>Huecos.</v>
      </c>
      <c r="AP877" s="7"/>
      <c r="AQ877" s="36" t="str">
        <f>IFERROR(((VLOOKUP(Tabla1[[#This Row],[HIPOTESIS_2]],listas!$D$1:$E$105,2,FALSE))),"")</f>
        <v/>
      </c>
      <c r="AR877" s="1" t="str">
        <f>IF(HOUR(Tabla1[[#This Row],[HORA_ACCIDENTE]])&lt;6,"MAÑANA",
 IF(HOUR(Tabla1[[#This Row],[HORA_ACCIDENTE]])&lt;12,"MAÑANA",
 IF(HOUR(Tabla1[[#This Row],[HORA_ACCIDENTE]])&lt;18,"TARDE","NOCHE")))</f>
        <v>NOCHE</v>
      </c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40"/>
    </row>
    <row r="878" spans="1:56" x14ac:dyDescent="0.25">
      <c r="A878" s="12">
        <v>345</v>
      </c>
      <c r="B878" s="38">
        <v>0</v>
      </c>
      <c r="C878" s="29">
        <v>1</v>
      </c>
      <c r="D878" s="7">
        <v>0</v>
      </c>
      <c r="E878" s="18" t="str">
        <f t="shared" si="52"/>
        <v>LESIONADO</v>
      </c>
      <c r="F878" s="7" t="s">
        <v>305</v>
      </c>
      <c r="G878" s="17">
        <v>5.3428305555555555</v>
      </c>
      <c r="H878" s="17">
        <v>-72.381627777777766</v>
      </c>
      <c r="I878" s="93" t="s">
        <v>697</v>
      </c>
      <c r="J878" s="7" t="s">
        <v>717</v>
      </c>
      <c r="K878" s="24" t="str">
        <f t="shared" si="53"/>
        <v>2022</v>
      </c>
      <c r="L878" s="24" t="str">
        <f t="shared" si="54"/>
        <v>OCTUBRE</v>
      </c>
      <c r="M878" s="232">
        <v>44863</v>
      </c>
      <c r="N878" s="24" t="str">
        <f t="shared" si="55"/>
        <v>SÁBADO</v>
      </c>
      <c r="O878" s="174">
        <v>0.39444444444444399</v>
      </c>
      <c r="P878" s="180" t="s">
        <v>447</v>
      </c>
      <c r="Q878" s="180" t="s">
        <v>445</v>
      </c>
      <c r="R878" s="36">
        <f>COUNTIF(Tabla1[[#This Row],[VEHICULOS_ACCIDENTADOS]:[VEHICULOS_ACCIDENTADOS2]],"MOTOCICLETA")</f>
        <v>0</v>
      </c>
      <c r="S878" s="36">
        <f>COUNTIF(Tabla1[[#This Row],[VEHICULOS_ACCIDENTADOS]:[VEHICULOS_ACCIDENTADOS2]],"MOTOCARRO")</f>
        <v>0</v>
      </c>
      <c r="T878" s="36">
        <f>COUNTIF(Tabla1[[#This Row],[VEHICULOS_ACCIDENTADOS]:[VEHICULOS_ACCIDENTADOS2]],"AUTOMOVIL")</f>
        <v>1</v>
      </c>
      <c r="U878" s="36">
        <f>COUNTIF(Tabla1[[#This Row],[VEHICULOS_ACCIDENTADOS]:[VEHICULOS_ACCIDENTADOS2]],"CAMPERO")</f>
        <v>0</v>
      </c>
      <c r="V878" s="36">
        <f>COUNTIF(Tabla1[[#This Row],[VEHICULOS_ACCIDENTADOS]:[VEHICULOS_ACCIDENTADOS2]],"CAMIONETA")</f>
        <v>1</v>
      </c>
      <c r="W878" s="36">
        <f>COUNTIF(Tabla1[[#This Row],[VEHICULOS_ACCIDENTADOS]:[VEHICULOS_ACCIDENTADOS2]],"MICROBUS")</f>
        <v>0</v>
      </c>
      <c r="X878" s="36">
        <f>COUNTIF(Tabla1[[#This Row],[VEHICULOS_ACCIDENTADOS]:[VEHICULOS_ACCIDENTADOS2]],"BUS")</f>
        <v>0</v>
      </c>
      <c r="Y878" s="36">
        <f>COUNTIF(Tabla1[[#This Row],[VEHICULOS_ACCIDENTADOS]:[VEHICULOS_ACCIDENTADOS2]],"BUSETA")</f>
        <v>0</v>
      </c>
      <c r="Z878" s="36">
        <f>COUNTIF(Tabla1[[#This Row],[VEHICULOS_ACCIDENTADOS]:[VEHICULOS_ACCIDENTADOS2]],"CAMION")</f>
        <v>0</v>
      </c>
      <c r="AA878" s="36">
        <f>COUNTIF(Tabla1[[#This Row],[VEHICULOS_ACCIDENTADOS]:[VEHICULOS_ACCIDENTADOS2]],"TRACTOCAMION")</f>
        <v>0</v>
      </c>
      <c r="AB878" s="36">
        <f>COUNTIF(Tabla1[[#This Row],[VEHICULOS_ACCIDENTADOS]:[VEHICULOS_ACCIDENTADOS2]],"VOLQUETA")</f>
        <v>0</v>
      </c>
      <c r="AC878" s="36">
        <f>COUNTIF(Tabla1[[#This Row],[VEHICULOS_ACCIDENTADOS]:[VEHICULOS_ACCIDENTADOS2]],"BICICLETA")</f>
        <v>0</v>
      </c>
      <c r="AD878" s="38" t="s">
        <v>471</v>
      </c>
      <c r="AE878" s="38"/>
      <c r="AF878" s="38">
        <f>COUNTIF(Tabla1[[#This Row],[GENERO_MASCULINO]:[GENERO_FEMENINO]],"MASCULINO")</f>
        <v>1</v>
      </c>
      <c r="AG878" s="36">
        <f>COUNTIF(Tabla1[[#This Row],[GENERO_MASCULINO]:[GENERO_FEMENINO]],"FEMENINO")</f>
        <v>0</v>
      </c>
      <c r="AH878" s="73">
        <v>65</v>
      </c>
      <c r="AI878" s="73"/>
      <c r="AJ878" s="73"/>
      <c r="AK878" s="73"/>
      <c r="AL878" s="73"/>
      <c r="AM878" s="7"/>
      <c r="AN878" s="73">
        <v>123</v>
      </c>
      <c r="AO878" s="36" t="str">
        <f>IFERROR(((VLOOKUP(Tabla1[[#This Row],[HIPOTESIS_1]],listas!$D$1:$E$105,2,FALSE))),"SIN INFORMACIÓN")</f>
        <v>No respetar prelación de intersecciones o giros.</v>
      </c>
      <c r="AP878" s="7"/>
      <c r="AQ878" s="36" t="str">
        <f>IFERROR(((VLOOKUP(Tabla1[[#This Row],[HIPOTESIS_2]],listas!$D$1:$E$105,2,FALSE))),"")</f>
        <v/>
      </c>
      <c r="AR878" s="1" t="str">
        <f>IF(HOUR(Tabla1[[#This Row],[HORA_ACCIDENTE]])&lt;6,"MAÑANA",
 IF(HOUR(Tabla1[[#This Row],[HORA_ACCIDENTE]])&lt;12,"MAÑANA",
 IF(HOUR(Tabla1[[#This Row],[HORA_ACCIDENTE]])&lt;18,"TARDE","NOCHE")))</f>
        <v>MAÑANA</v>
      </c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  <c r="BD878" s="40"/>
    </row>
    <row r="879" spans="1:56" x14ac:dyDescent="0.25">
      <c r="A879" s="12">
        <v>435</v>
      </c>
      <c r="B879" s="38">
        <v>0</v>
      </c>
      <c r="C879" s="29">
        <v>2</v>
      </c>
      <c r="D879" s="7">
        <v>0</v>
      </c>
      <c r="E879" s="18" t="str">
        <f t="shared" si="52"/>
        <v>LESIONADO</v>
      </c>
      <c r="F879" s="7" t="s">
        <v>267</v>
      </c>
      <c r="G879" s="21">
        <v>5.3387947222222216</v>
      </c>
      <c r="H879" s="21">
        <v>-72.37844166666666</v>
      </c>
      <c r="I879" s="93" t="s">
        <v>697</v>
      </c>
      <c r="J879" s="7" t="s">
        <v>717</v>
      </c>
      <c r="K879" s="24" t="str">
        <f t="shared" si="53"/>
        <v>2023</v>
      </c>
      <c r="L879" s="24" t="str">
        <f t="shared" si="54"/>
        <v>MARZO</v>
      </c>
      <c r="M879" s="232">
        <v>45004</v>
      </c>
      <c r="N879" s="24" t="str">
        <f t="shared" si="55"/>
        <v>DOMINGO</v>
      </c>
      <c r="O879" s="106">
        <v>0.1875</v>
      </c>
      <c r="P879" s="39" t="s">
        <v>469</v>
      </c>
      <c r="Q879" s="39"/>
      <c r="R879" s="36">
        <f>COUNTIF(Tabla1[[#This Row],[VEHICULOS_ACCIDENTADOS]:[VEHICULOS_ACCIDENTADOS2]],"MOTOCICLETA")</f>
        <v>1</v>
      </c>
      <c r="S879" s="36">
        <f>COUNTIF(Tabla1[[#This Row],[VEHICULOS_ACCIDENTADOS]:[VEHICULOS_ACCIDENTADOS2]],"MOTOCARRO")</f>
        <v>0</v>
      </c>
      <c r="T879" s="36">
        <f>COUNTIF(Tabla1[[#This Row],[VEHICULOS_ACCIDENTADOS]:[VEHICULOS_ACCIDENTADOS2]],"AUTOMOVIL")</f>
        <v>0</v>
      </c>
      <c r="U879" s="36">
        <f>COUNTIF(Tabla1[[#This Row],[VEHICULOS_ACCIDENTADOS]:[VEHICULOS_ACCIDENTADOS2]],"CAMPERO")</f>
        <v>0</v>
      </c>
      <c r="V879" s="36">
        <f>COUNTIF(Tabla1[[#This Row],[VEHICULOS_ACCIDENTADOS]:[VEHICULOS_ACCIDENTADOS2]],"CAMIONETA")</f>
        <v>0</v>
      </c>
      <c r="W879" s="36">
        <f>COUNTIF(Tabla1[[#This Row],[VEHICULOS_ACCIDENTADOS]:[VEHICULOS_ACCIDENTADOS2]],"MICROBUS")</f>
        <v>0</v>
      </c>
      <c r="X879" s="36">
        <f>COUNTIF(Tabla1[[#This Row],[VEHICULOS_ACCIDENTADOS]:[VEHICULOS_ACCIDENTADOS2]],"BUS")</f>
        <v>0</v>
      </c>
      <c r="Y879" s="36">
        <f>COUNTIF(Tabla1[[#This Row],[VEHICULOS_ACCIDENTADOS]:[VEHICULOS_ACCIDENTADOS2]],"BUSETA")</f>
        <v>0</v>
      </c>
      <c r="Z879" s="36">
        <f>COUNTIF(Tabla1[[#This Row],[VEHICULOS_ACCIDENTADOS]:[VEHICULOS_ACCIDENTADOS2]],"CAMION")</f>
        <v>0</v>
      </c>
      <c r="AA879" s="36">
        <f>COUNTIF(Tabla1[[#This Row],[VEHICULOS_ACCIDENTADOS]:[VEHICULOS_ACCIDENTADOS2]],"TRACTOCAMION")</f>
        <v>0</v>
      </c>
      <c r="AB879" s="36">
        <f>COUNTIF(Tabla1[[#This Row],[VEHICULOS_ACCIDENTADOS]:[VEHICULOS_ACCIDENTADOS2]],"VOLQUETA")</f>
        <v>0</v>
      </c>
      <c r="AC879" s="36">
        <f>COUNTIF(Tabla1[[#This Row],[VEHICULOS_ACCIDENTADOS]:[VEHICULOS_ACCIDENTADOS2]],"BICICLETA")</f>
        <v>0</v>
      </c>
      <c r="AD879" s="38" t="s">
        <v>471</v>
      </c>
      <c r="AE879" s="38"/>
      <c r="AF879" s="38">
        <f>COUNTIF(Tabla1[[#This Row],[GENERO_MASCULINO]:[GENERO_FEMENINO]],"MASCULINO")</f>
        <v>1</v>
      </c>
      <c r="AG879" s="36">
        <f>COUNTIF(Tabla1[[#This Row],[GENERO_MASCULINO]:[GENERO_FEMENINO]],"FEMENINO")</f>
        <v>0</v>
      </c>
      <c r="AH879" s="73">
        <v>27</v>
      </c>
      <c r="AI879" s="73">
        <v>38</v>
      </c>
      <c r="AJ879" s="73"/>
      <c r="AK879" s="73"/>
      <c r="AL879" s="73"/>
      <c r="AM879" s="7"/>
      <c r="AN879" s="73">
        <v>157</v>
      </c>
      <c r="AO879" s="36" t="str">
        <f>IFERROR(((VLOOKUP(Tabla1[[#This Row],[HIPOTESIS_1]],listas!$D$1:$E$105,2,FALSE))),"SIN INFORMACIÓN")</f>
        <v>Otra</v>
      </c>
      <c r="AP879" s="7"/>
      <c r="AQ879" s="36" t="str">
        <f>IFERROR(((VLOOKUP(Tabla1[[#This Row],[HIPOTESIS_2]],listas!$D$1:$E$105,2,FALSE))),"")</f>
        <v/>
      </c>
      <c r="AR879" s="1" t="str">
        <f>IF(HOUR(Tabla1[[#This Row],[HORA_ACCIDENTE]])&lt;6,"MAÑANA",
 IF(HOUR(Tabla1[[#This Row],[HORA_ACCIDENTE]])&lt;12,"MAÑANA",
 IF(HOUR(Tabla1[[#This Row],[HORA_ACCIDENTE]])&lt;18,"TARDE","NOCHE")))</f>
        <v>MAÑANA</v>
      </c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40"/>
    </row>
    <row r="880" spans="1:56" x14ac:dyDescent="0.25">
      <c r="A880" s="12">
        <v>595</v>
      </c>
      <c r="B880" s="29">
        <v>0</v>
      </c>
      <c r="C880" s="38">
        <v>0</v>
      </c>
      <c r="D880" s="7">
        <v>1</v>
      </c>
      <c r="E880" s="18" t="str">
        <f t="shared" si="52"/>
        <v>FALLECIDO</v>
      </c>
      <c r="F880" s="50" t="s">
        <v>186</v>
      </c>
      <c r="G880" s="21">
        <v>5.3381769999999999</v>
      </c>
      <c r="H880" s="21">
        <v>-72.378386000000006</v>
      </c>
      <c r="I880" s="17" t="s">
        <v>697</v>
      </c>
      <c r="J880" s="7" t="s">
        <v>717</v>
      </c>
      <c r="K880" s="24" t="str">
        <f t="shared" si="53"/>
        <v>2023</v>
      </c>
      <c r="L880" s="24" t="str">
        <f t="shared" si="54"/>
        <v>OCTUBRE</v>
      </c>
      <c r="M880" s="232">
        <v>45228</v>
      </c>
      <c r="N880" s="24" t="str">
        <f t="shared" si="55"/>
        <v>DOMINGO</v>
      </c>
      <c r="O880" s="106">
        <v>0</v>
      </c>
      <c r="P880" s="39" t="s">
        <v>665</v>
      </c>
      <c r="Q880" s="39"/>
      <c r="R880" s="36">
        <f>COUNTIF(Tabla1[[#This Row],[VEHICULOS_ACCIDENTADOS]:[VEHICULOS_ACCIDENTADOS2]],"MOTOCICLETA")</f>
        <v>0</v>
      </c>
      <c r="S880" s="36">
        <f>COUNTIF(Tabla1[[#This Row],[VEHICULOS_ACCIDENTADOS]:[VEHICULOS_ACCIDENTADOS2]],"MOTOCARRO")</f>
        <v>0</v>
      </c>
      <c r="T880" s="36">
        <f>COUNTIF(Tabla1[[#This Row],[VEHICULOS_ACCIDENTADOS]:[VEHICULOS_ACCIDENTADOS2]],"AUTOMOVIL")</f>
        <v>0</v>
      </c>
      <c r="U880" s="36">
        <f>COUNTIF(Tabla1[[#This Row],[VEHICULOS_ACCIDENTADOS]:[VEHICULOS_ACCIDENTADOS2]],"CAMPERO")</f>
        <v>0</v>
      </c>
      <c r="V880" s="36">
        <f>COUNTIF(Tabla1[[#This Row],[VEHICULOS_ACCIDENTADOS]:[VEHICULOS_ACCIDENTADOS2]],"CAMIONETA")</f>
        <v>0</v>
      </c>
      <c r="W880" s="36">
        <f>COUNTIF(Tabla1[[#This Row],[VEHICULOS_ACCIDENTADOS]:[VEHICULOS_ACCIDENTADOS2]],"MICROBUS")</f>
        <v>0</v>
      </c>
      <c r="X880" s="36">
        <f>COUNTIF(Tabla1[[#This Row],[VEHICULOS_ACCIDENTADOS]:[VEHICULOS_ACCIDENTADOS2]],"BUS")</f>
        <v>0</v>
      </c>
      <c r="Y880" s="36">
        <f>COUNTIF(Tabla1[[#This Row],[VEHICULOS_ACCIDENTADOS]:[VEHICULOS_ACCIDENTADOS2]],"BUSETA")</f>
        <v>0</v>
      </c>
      <c r="Z880" s="36">
        <f>COUNTIF(Tabla1[[#This Row],[VEHICULOS_ACCIDENTADOS]:[VEHICULOS_ACCIDENTADOS2]],"CAMION")</f>
        <v>0</v>
      </c>
      <c r="AA880" s="36">
        <f>COUNTIF(Tabla1[[#This Row],[VEHICULOS_ACCIDENTADOS]:[VEHICULOS_ACCIDENTADOS2]],"TRACTOCAMION")</f>
        <v>0</v>
      </c>
      <c r="AB880" s="36">
        <f>COUNTIF(Tabla1[[#This Row],[VEHICULOS_ACCIDENTADOS]:[VEHICULOS_ACCIDENTADOS2]],"VOLQUETA")</f>
        <v>0</v>
      </c>
      <c r="AC880" s="36">
        <f>COUNTIF(Tabla1[[#This Row],[VEHICULOS_ACCIDENTADOS]:[VEHICULOS_ACCIDENTADOS2]],"BICICLETA")</f>
        <v>0</v>
      </c>
      <c r="AD880" s="38"/>
      <c r="AE880" s="38"/>
      <c r="AF880" s="38">
        <f>COUNTIF(Tabla1[[#This Row],[GENERO_MASCULINO]:[GENERO_FEMENINO]],"MASCULINO")</f>
        <v>0</v>
      </c>
      <c r="AG880" s="36">
        <f>COUNTIF(Tabla1[[#This Row],[GENERO_MASCULINO]:[GENERO_FEMENINO]],"FEMENINO")</f>
        <v>0</v>
      </c>
      <c r="AH880" s="73"/>
      <c r="AI880" s="73"/>
      <c r="AJ880" s="87"/>
      <c r="AK880" s="73"/>
      <c r="AL880" s="73"/>
      <c r="AM880" s="7"/>
      <c r="AN880" s="73">
        <v>1</v>
      </c>
      <c r="AO880" s="36" t="str">
        <f>IFERROR(((VLOOKUP(Tabla1[[#This Row],[HIPOTESIS_1]],listas!$D$1:$E$105,2,FALSE))),"SIN INFORMACIÓN")</f>
        <v>SIN INFORMACIÓN</v>
      </c>
      <c r="AP880" s="7"/>
      <c r="AQ880" s="36" t="str">
        <f>IFERROR(((VLOOKUP(Tabla1[[#This Row],[HIPOTESIS_2]],listas!$D$1:$E$105,2,FALSE))),"")</f>
        <v/>
      </c>
      <c r="AR880" s="1" t="str">
        <f>IF(HOUR(Tabla1[[#This Row],[HORA_ACCIDENTE]])&lt;6,"MAÑANA",
 IF(HOUR(Tabla1[[#This Row],[HORA_ACCIDENTE]])&lt;12,"MAÑANA",
 IF(HOUR(Tabla1[[#This Row],[HORA_ACCIDENTE]])&lt;18,"TARDE","NOCHE")))</f>
        <v>MAÑANA</v>
      </c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  <c r="BD880" s="40"/>
    </row>
    <row r="881" spans="1:56" x14ac:dyDescent="0.25">
      <c r="A881" s="12">
        <v>586</v>
      </c>
      <c r="B881" s="7">
        <v>0</v>
      </c>
      <c r="C881" s="7">
        <v>2</v>
      </c>
      <c r="D881" s="7">
        <v>0</v>
      </c>
      <c r="E881" s="18" t="str">
        <f t="shared" si="52"/>
        <v>LESIONADO</v>
      </c>
      <c r="F881" s="7" t="s">
        <v>1090</v>
      </c>
      <c r="G881" s="21">
        <v>5.3336888888888883</v>
      </c>
      <c r="H881" s="21">
        <v>-72.374499999999998</v>
      </c>
      <c r="I881" s="17" t="s">
        <v>697</v>
      </c>
      <c r="J881" s="7" t="s">
        <v>717</v>
      </c>
      <c r="K881" s="24" t="str">
        <f t="shared" si="53"/>
        <v>2023</v>
      </c>
      <c r="L881" s="24" t="str">
        <f t="shared" si="54"/>
        <v>OCTUBRE</v>
      </c>
      <c r="M881" s="232">
        <v>45227</v>
      </c>
      <c r="N881" s="24" t="str">
        <f t="shared" si="55"/>
        <v>SÁBADO</v>
      </c>
      <c r="O881" s="106">
        <v>0.74305555555555547</v>
      </c>
      <c r="P881" s="39" t="s">
        <v>469</v>
      </c>
      <c r="Q881" s="39" t="s">
        <v>447</v>
      </c>
      <c r="R881" s="36">
        <f>COUNTIF(Tabla1[[#This Row],[VEHICULOS_ACCIDENTADOS]:[VEHICULOS_ACCIDENTADOS2]],"MOTOCICLETA")</f>
        <v>1</v>
      </c>
      <c r="S881" s="36">
        <f>COUNTIF(Tabla1[[#This Row],[VEHICULOS_ACCIDENTADOS]:[VEHICULOS_ACCIDENTADOS2]],"MOTOCARRO")</f>
        <v>0</v>
      </c>
      <c r="T881" s="36">
        <f>COUNTIF(Tabla1[[#This Row],[VEHICULOS_ACCIDENTADOS]:[VEHICULOS_ACCIDENTADOS2]],"AUTOMOVIL")</f>
        <v>1</v>
      </c>
      <c r="U881" s="36">
        <f>COUNTIF(Tabla1[[#This Row],[VEHICULOS_ACCIDENTADOS]:[VEHICULOS_ACCIDENTADOS2]],"CAMPERO")</f>
        <v>0</v>
      </c>
      <c r="V881" s="36">
        <f>COUNTIF(Tabla1[[#This Row],[VEHICULOS_ACCIDENTADOS]:[VEHICULOS_ACCIDENTADOS2]],"CAMIONETA")</f>
        <v>0</v>
      </c>
      <c r="W881" s="36">
        <f>COUNTIF(Tabla1[[#This Row],[VEHICULOS_ACCIDENTADOS]:[VEHICULOS_ACCIDENTADOS2]],"MICROBUS")</f>
        <v>0</v>
      </c>
      <c r="X881" s="36">
        <f>COUNTIF(Tabla1[[#This Row],[VEHICULOS_ACCIDENTADOS]:[VEHICULOS_ACCIDENTADOS2]],"BUS")</f>
        <v>0</v>
      </c>
      <c r="Y881" s="36">
        <f>COUNTIF(Tabla1[[#This Row],[VEHICULOS_ACCIDENTADOS]:[VEHICULOS_ACCIDENTADOS2]],"BUSETA")</f>
        <v>0</v>
      </c>
      <c r="Z881" s="36">
        <f>COUNTIF(Tabla1[[#This Row],[VEHICULOS_ACCIDENTADOS]:[VEHICULOS_ACCIDENTADOS2]],"CAMION")</f>
        <v>0</v>
      </c>
      <c r="AA881" s="36">
        <f>COUNTIF(Tabla1[[#This Row],[VEHICULOS_ACCIDENTADOS]:[VEHICULOS_ACCIDENTADOS2]],"TRACTOCAMION")</f>
        <v>0</v>
      </c>
      <c r="AB881" s="36">
        <f>COUNTIF(Tabla1[[#This Row],[VEHICULOS_ACCIDENTADOS]:[VEHICULOS_ACCIDENTADOS2]],"VOLQUETA")</f>
        <v>0</v>
      </c>
      <c r="AC881" s="36">
        <f>COUNTIF(Tabla1[[#This Row],[VEHICULOS_ACCIDENTADOS]:[VEHICULOS_ACCIDENTADOS2]],"BICICLETA")</f>
        <v>0</v>
      </c>
      <c r="AD881" s="38" t="s">
        <v>471</v>
      </c>
      <c r="AE881" s="38" t="s">
        <v>472</v>
      </c>
      <c r="AF881" s="38">
        <f>COUNTIF(Tabla1[[#This Row],[GENERO_MASCULINO]:[GENERO_FEMENINO]],"MASCULINO")</f>
        <v>1</v>
      </c>
      <c r="AG881" s="36">
        <f>COUNTIF(Tabla1[[#This Row],[GENERO_MASCULINO]:[GENERO_FEMENINO]],"FEMENINO")</f>
        <v>1</v>
      </c>
      <c r="AH881" s="73">
        <v>45</v>
      </c>
      <c r="AI881" s="73"/>
      <c r="AJ881" s="73"/>
      <c r="AK881" s="73"/>
      <c r="AL881" s="73">
        <v>16</v>
      </c>
      <c r="AM881" s="7"/>
      <c r="AN881" s="73">
        <v>157</v>
      </c>
      <c r="AO881" s="36" t="str">
        <f>IFERROR(((VLOOKUP(Tabla1[[#This Row],[HIPOTESIS_1]],listas!$D$1:$E$105,2,FALSE))),"SIN INFORMACIÓN")</f>
        <v>Otra</v>
      </c>
      <c r="AP881" s="7"/>
      <c r="AQ881" s="36" t="str">
        <f>IFERROR(((VLOOKUP(Tabla1[[#This Row],[HIPOTESIS_2]],listas!$D$1:$E$105,2,FALSE))),"")</f>
        <v/>
      </c>
      <c r="AR881" s="1" t="str">
        <f>IF(HOUR(Tabla1[[#This Row],[HORA_ACCIDENTE]])&lt;6,"MAÑANA",
 IF(HOUR(Tabla1[[#This Row],[HORA_ACCIDENTE]])&lt;12,"MAÑANA",
 IF(HOUR(Tabla1[[#This Row],[HORA_ACCIDENTE]])&lt;18,"TARDE","NOCHE")))</f>
        <v>TARDE</v>
      </c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40"/>
    </row>
    <row r="882" spans="1:56" x14ac:dyDescent="0.25">
      <c r="A882" s="12">
        <v>404</v>
      </c>
      <c r="B882" s="38">
        <v>0</v>
      </c>
      <c r="C882" s="29">
        <v>2</v>
      </c>
      <c r="D882" s="7">
        <v>0</v>
      </c>
      <c r="E882" s="18" t="str">
        <f t="shared" si="52"/>
        <v>LESIONADO</v>
      </c>
      <c r="F882" s="7" t="s">
        <v>286</v>
      </c>
      <c r="G882" s="21">
        <v>5.3387997222222223</v>
      </c>
      <c r="H882" s="21">
        <v>-72.377483333333331</v>
      </c>
      <c r="I882" s="93" t="s">
        <v>697</v>
      </c>
      <c r="J882" s="7" t="s">
        <v>717</v>
      </c>
      <c r="K882" s="24" t="str">
        <f t="shared" si="53"/>
        <v>2023</v>
      </c>
      <c r="L882" s="24" t="str">
        <f t="shared" si="54"/>
        <v>FEBRERO</v>
      </c>
      <c r="M882" s="232">
        <v>44960</v>
      </c>
      <c r="N882" s="24" t="str">
        <f t="shared" si="55"/>
        <v>VIERNES</v>
      </c>
      <c r="O882" s="106">
        <v>0.97916666666666696</v>
      </c>
      <c r="P882" s="39" t="s">
        <v>469</v>
      </c>
      <c r="Q882" s="39" t="s">
        <v>446</v>
      </c>
      <c r="R882" s="36">
        <f>COUNTIF(Tabla1[[#This Row],[VEHICULOS_ACCIDENTADOS]:[VEHICULOS_ACCIDENTADOS2]],"MOTOCICLETA")</f>
        <v>1</v>
      </c>
      <c r="S882" s="36">
        <f>COUNTIF(Tabla1[[#This Row],[VEHICULOS_ACCIDENTADOS]:[VEHICULOS_ACCIDENTADOS2]],"MOTOCARRO")</f>
        <v>0</v>
      </c>
      <c r="T882" s="36">
        <f>COUNTIF(Tabla1[[#This Row],[VEHICULOS_ACCIDENTADOS]:[VEHICULOS_ACCIDENTADOS2]],"AUTOMOVIL")</f>
        <v>0</v>
      </c>
      <c r="U882" s="36">
        <f>COUNTIF(Tabla1[[#This Row],[VEHICULOS_ACCIDENTADOS]:[VEHICULOS_ACCIDENTADOS2]],"CAMPERO")</f>
        <v>1</v>
      </c>
      <c r="V882" s="36">
        <f>COUNTIF(Tabla1[[#This Row],[VEHICULOS_ACCIDENTADOS]:[VEHICULOS_ACCIDENTADOS2]],"CAMIONETA")</f>
        <v>0</v>
      </c>
      <c r="W882" s="36">
        <f>COUNTIF(Tabla1[[#This Row],[VEHICULOS_ACCIDENTADOS]:[VEHICULOS_ACCIDENTADOS2]],"MICROBUS")</f>
        <v>0</v>
      </c>
      <c r="X882" s="36">
        <f>COUNTIF(Tabla1[[#This Row],[VEHICULOS_ACCIDENTADOS]:[VEHICULOS_ACCIDENTADOS2]],"BUS")</f>
        <v>0</v>
      </c>
      <c r="Y882" s="36">
        <f>COUNTIF(Tabla1[[#This Row],[VEHICULOS_ACCIDENTADOS]:[VEHICULOS_ACCIDENTADOS2]],"BUSETA")</f>
        <v>0</v>
      </c>
      <c r="Z882" s="36">
        <f>COUNTIF(Tabla1[[#This Row],[VEHICULOS_ACCIDENTADOS]:[VEHICULOS_ACCIDENTADOS2]],"CAMION")</f>
        <v>0</v>
      </c>
      <c r="AA882" s="36">
        <f>COUNTIF(Tabla1[[#This Row],[VEHICULOS_ACCIDENTADOS]:[VEHICULOS_ACCIDENTADOS2]],"TRACTOCAMION")</f>
        <v>0</v>
      </c>
      <c r="AB882" s="36">
        <f>COUNTIF(Tabla1[[#This Row],[VEHICULOS_ACCIDENTADOS]:[VEHICULOS_ACCIDENTADOS2]],"VOLQUETA")</f>
        <v>0</v>
      </c>
      <c r="AC882" s="36">
        <f>COUNTIF(Tabla1[[#This Row],[VEHICULOS_ACCIDENTADOS]:[VEHICULOS_ACCIDENTADOS2]],"BICICLETA")</f>
        <v>0</v>
      </c>
      <c r="AD882" s="38" t="s">
        <v>471</v>
      </c>
      <c r="AE882" s="38"/>
      <c r="AF882" s="38">
        <f>COUNTIF(Tabla1[[#This Row],[GENERO_MASCULINO]:[GENERO_FEMENINO]],"MASCULINO")</f>
        <v>1</v>
      </c>
      <c r="AG882" s="36">
        <f>COUNTIF(Tabla1[[#This Row],[GENERO_MASCULINO]:[GENERO_FEMENINO]],"FEMENINO")</f>
        <v>0</v>
      </c>
      <c r="AH882" s="73">
        <v>21</v>
      </c>
      <c r="AI882" s="73">
        <v>80</v>
      </c>
      <c r="AJ882" s="73"/>
      <c r="AK882" s="73"/>
      <c r="AL882" s="73"/>
      <c r="AM882" s="7"/>
      <c r="AN882" s="73">
        <v>1</v>
      </c>
      <c r="AO882" s="36" t="str">
        <f>IFERROR(((VLOOKUP(Tabla1[[#This Row],[HIPOTESIS_1]],listas!$D$1:$E$105,2,FALSE))),"SIN INFORMACIÓN")</f>
        <v>SIN INFORMACIÓN</v>
      </c>
      <c r="AP882" s="7"/>
      <c r="AQ882" s="36" t="str">
        <f>IFERROR(((VLOOKUP(Tabla1[[#This Row],[HIPOTESIS_2]],listas!$D$1:$E$105,2,FALSE))),"")</f>
        <v/>
      </c>
      <c r="AR882" s="1" t="str">
        <f>IF(HOUR(Tabla1[[#This Row],[HORA_ACCIDENTE]])&lt;6,"MAÑANA",
 IF(HOUR(Tabla1[[#This Row],[HORA_ACCIDENTE]])&lt;12,"MAÑANA",
 IF(HOUR(Tabla1[[#This Row],[HORA_ACCIDENTE]])&lt;18,"TARDE","NOCHE")))</f>
        <v>NOCHE</v>
      </c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  <c r="BD882" s="40"/>
    </row>
    <row r="883" spans="1:56" x14ac:dyDescent="0.25">
      <c r="A883" s="12">
        <v>244</v>
      </c>
      <c r="B883" s="38">
        <v>0</v>
      </c>
      <c r="C883" s="29">
        <v>1</v>
      </c>
      <c r="D883" s="7">
        <v>1</v>
      </c>
      <c r="E883" s="18" t="str">
        <f t="shared" si="52"/>
        <v>FALLECIDO</v>
      </c>
      <c r="F883" s="7" t="s">
        <v>1091</v>
      </c>
      <c r="G883" s="17">
        <v>5.3015472222222222</v>
      </c>
      <c r="H883" s="17">
        <v>-72.40721111111111</v>
      </c>
      <c r="I883" s="93" t="s">
        <v>697</v>
      </c>
      <c r="J883" s="7" t="s">
        <v>717</v>
      </c>
      <c r="K883" s="24" t="str">
        <f t="shared" si="53"/>
        <v>2022</v>
      </c>
      <c r="L883" s="24" t="str">
        <f t="shared" si="54"/>
        <v>JULIO</v>
      </c>
      <c r="M883" s="232">
        <v>44749</v>
      </c>
      <c r="N883" s="24" t="str">
        <f t="shared" si="55"/>
        <v>JUEVES</v>
      </c>
      <c r="O883" s="174">
        <v>0.60069444444444398</v>
      </c>
      <c r="P883" s="180" t="s">
        <v>469</v>
      </c>
      <c r="Q883" s="180"/>
      <c r="R883" s="36">
        <f>COUNTIF(Tabla1[[#This Row],[VEHICULOS_ACCIDENTADOS]:[VEHICULOS_ACCIDENTADOS2]],"MOTOCICLETA")</f>
        <v>1</v>
      </c>
      <c r="S883" s="36">
        <f>COUNTIF(Tabla1[[#This Row],[VEHICULOS_ACCIDENTADOS]:[VEHICULOS_ACCIDENTADOS2]],"MOTOCARRO")</f>
        <v>0</v>
      </c>
      <c r="T883" s="36">
        <f>COUNTIF(Tabla1[[#This Row],[VEHICULOS_ACCIDENTADOS]:[VEHICULOS_ACCIDENTADOS2]],"AUTOMOVIL")</f>
        <v>0</v>
      </c>
      <c r="U883" s="36">
        <f>COUNTIF(Tabla1[[#This Row],[VEHICULOS_ACCIDENTADOS]:[VEHICULOS_ACCIDENTADOS2]],"CAMPERO")</f>
        <v>0</v>
      </c>
      <c r="V883" s="36">
        <f>COUNTIF(Tabla1[[#This Row],[VEHICULOS_ACCIDENTADOS]:[VEHICULOS_ACCIDENTADOS2]],"CAMIONETA")</f>
        <v>0</v>
      </c>
      <c r="W883" s="36">
        <f>COUNTIF(Tabla1[[#This Row],[VEHICULOS_ACCIDENTADOS]:[VEHICULOS_ACCIDENTADOS2]],"MICROBUS")</f>
        <v>0</v>
      </c>
      <c r="X883" s="36">
        <f>COUNTIF(Tabla1[[#This Row],[VEHICULOS_ACCIDENTADOS]:[VEHICULOS_ACCIDENTADOS2]],"BUS")</f>
        <v>0</v>
      </c>
      <c r="Y883" s="36">
        <f>COUNTIF(Tabla1[[#This Row],[VEHICULOS_ACCIDENTADOS]:[VEHICULOS_ACCIDENTADOS2]],"BUSETA")</f>
        <v>0</v>
      </c>
      <c r="Z883" s="36">
        <f>COUNTIF(Tabla1[[#This Row],[VEHICULOS_ACCIDENTADOS]:[VEHICULOS_ACCIDENTADOS2]],"CAMION")</f>
        <v>0</v>
      </c>
      <c r="AA883" s="36">
        <f>COUNTIF(Tabla1[[#This Row],[VEHICULOS_ACCIDENTADOS]:[VEHICULOS_ACCIDENTADOS2]],"TRACTOCAMION")</f>
        <v>0</v>
      </c>
      <c r="AB883" s="36">
        <f>COUNTIF(Tabla1[[#This Row],[VEHICULOS_ACCIDENTADOS]:[VEHICULOS_ACCIDENTADOS2]],"VOLQUETA")</f>
        <v>0</v>
      </c>
      <c r="AC883" s="36">
        <f>COUNTIF(Tabla1[[#This Row],[VEHICULOS_ACCIDENTADOS]:[VEHICULOS_ACCIDENTADOS2]],"BICICLETA")</f>
        <v>0</v>
      </c>
      <c r="AD883" s="38" t="s">
        <v>471</v>
      </c>
      <c r="AE883" s="38"/>
      <c r="AF883" s="38">
        <f>COUNTIF(Tabla1[[#This Row],[GENERO_MASCULINO]:[GENERO_FEMENINO]],"MASCULINO")</f>
        <v>1</v>
      </c>
      <c r="AG883" s="36">
        <f>COUNTIF(Tabla1[[#This Row],[GENERO_MASCULINO]:[GENERO_FEMENINO]],"FEMENINO")</f>
        <v>0</v>
      </c>
      <c r="AH883" s="73">
        <v>17</v>
      </c>
      <c r="AI883" s="73"/>
      <c r="AJ883" s="87"/>
      <c r="AK883" s="73"/>
      <c r="AL883" s="73"/>
      <c r="AM883" s="7">
        <v>63</v>
      </c>
      <c r="AN883" s="73">
        <v>139</v>
      </c>
      <c r="AO883" s="36" t="str">
        <f>IFERROR(((VLOOKUP(Tabla1[[#This Row],[HIPOTESIS_1]],listas!$D$1:$E$105,2,FALSE))),"SIN INFORMACIÓN")</f>
        <v>Impericia en el manejo.</v>
      </c>
      <c r="AP883" s="7"/>
      <c r="AQ883" s="36" t="str">
        <f>IFERROR(((VLOOKUP(Tabla1[[#This Row],[HIPOTESIS_2]],listas!$D$1:$E$105,2,FALSE))),"")</f>
        <v/>
      </c>
      <c r="AR883" s="1" t="str">
        <f>IF(HOUR(Tabla1[[#This Row],[HORA_ACCIDENTE]])&lt;6,"MAÑANA",
 IF(HOUR(Tabla1[[#This Row],[HORA_ACCIDENTE]])&lt;12,"MAÑANA",
 IF(HOUR(Tabla1[[#This Row],[HORA_ACCIDENTE]])&lt;18,"TARDE","NOCHE")))</f>
        <v>TARDE</v>
      </c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40"/>
    </row>
    <row r="884" spans="1:56" x14ac:dyDescent="0.25">
      <c r="A884" s="12">
        <v>103</v>
      </c>
      <c r="B884" s="38">
        <v>0</v>
      </c>
      <c r="C884" s="29">
        <v>3</v>
      </c>
      <c r="D884" s="7">
        <v>0</v>
      </c>
      <c r="E884" s="18" t="str">
        <f t="shared" si="52"/>
        <v>LESIONADO</v>
      </c>
      <c r="F884" s="7" t="s">
        <v>1091</v>
      </c>
      <c r="G884" s="17">
        <v>5.3015472222222222</v>
      </c>
      <c r="H884" s="17">
        <v>-72.40721111111111</v>
      </c>
      <c r="I884" s="93" t="s">
        <v>697</v>
      </c>
      <c r="J884" s="7" t="s">
        <v>717</v>
      </c>
      <c r="K884" s="24" t="str">
        <f t="shared" si="53"/>
        <v>2022</v>
      </c>
      <c r="L884" s="24" t="str">
        <f t="shared" si="54"/>
        <v>MARZO</v>
      </c>
      <c r="M884" s="232">
        <v>44647</v>
      </c>
      <c r="N884" s="24" t="str">
        <f t="shared" si="55"/>
        <v>DOMINGO</v>
      </c>
      <c r="O884" s="106">
        <v>0.79166666666666696</v>
      </c>
      <c r="P884" s="8" t="s">
        <v>469</v>
      </c>
      <c r="Q884" s="8" t="s">
        <v>438</v>
      </c>
      <c r="R884" s="36">
        <f>COUNTIF(Tabla1[[#This Row],[VEHICULOS_ACCIDENTADOS]:[VEHICULOS_ACCIDENTADOS2]],"MOTOCICLETA")</f>
        <v>1</v>
      </c>
      <c r="S884" s="36">
        <f>COUNTIF(Tabla1[[#This Row],[VEHICULOS_ACCIDENTADOS]:[VEHICULOS_ACCIDENTADOS2]],"MOTOCARRO")</f>
        <v>0</v>
      </c>
      <c r="T884" s="36">
        <f>COUNTIF(Tabla1[[#This Row],[VEHICULOS_ACCIDENTADOS]:[VEHICULOS_ACCIDENTADOS2]],"AUTOMOVIL")</f>
        <v>0</v>
      </c>
      <c r="U884" s="36">
        <f>COUNTIF(Tabla1[[#This Row],[VEHICULOS_ACCIDENTADOS]:[VEHICULOS_ACCIDENTADOS2]],"CAMPERO")</f>
        <v>0</v>
      </c>
      <c r="V884" s="36">
        <f>COUNTIF(Tabla1[[#This Row],[VEHICULOS_ACCIDENTADOS]:[VEHICULOS_ACCIDENTADOS2]],"CAMIONETA")</f>
        <v>0</v>
      </c>
      <c r="W884" s="36">
        <f>COUNTIF(Tabla1[[#This Row],[VEHICULOS_ACCIDENTADOS]:[VEHICULOS_ACCIDENTADOS2]],"MICROBUS")</f>
        <v>0</v>
      </c>
      <c r="X884" s="36">
        <f>COUNTIF(Tabla1[[#This Row],[VEHICULOS_ACCIDENTADOS]:[VEHICULOS_ACCIDENTADOS2]],"BUS")</f>
        <v>0</v>
      </c>
      <c r="Y884" s="36">
        <f>COUNTIF(Tabla1[[#This Row],[VEHICULOS_ACCIDENTADOS]:[VEHICULOS_ACCIDENTADOS2]],"BUSETA")</f>
        <v>0</v>
      </c>
      <c r="Z884" s="36">
        <f>COUNTIF(Tabla1[[#This Row],[VEHICULOS_ACCIDENTADOS]:[VEHICULOS_ACCIDENTADOS2]],"CAMION")</f>
        <v>0</v>
      </c>
      <c r="AA884" s="36">
        <f>COUNTIF(Tabla1[[#This Row],[VEHICULOS_ACCIDENTADOS]:[VEHICULOS_ACCIDENTADOS2]],"TRACTOCAMION")</f>
        <v>0</v>
      </c>
      <c r="AB884" s="36">
        <f>COUNTIF(Tabla1[[#This Row],[VEHICULOS_ACCIDENTADOS]:[VEHICULOS_ACCIDENTADOS2]],"VOLQUETA")</f>
        <v>0</v>
      </c>
      <c r="AC884" s="36">
        <f>COUNTIF(Tabla1[[#This Row],[VEHICULOS_ACCIDENTADOS]:[VEHICULOS_ACCIDENTADOS2]],"BICICLETA")</f>
        <v>1</v>
      </c>
      <c r="AD884" s="38"/>
      <c r="AE884" s="38" t="s">
        <v>472</v>
      </c>
      <c r="AF884" s="38">
        <f>COUNTIF(Tabla1[[#This Row],[GENERO_MASCULINO]:[GENERO_FEMENINO]],"MASCULINO")</f>
        <v>0</v>
      </c>
      <c r="AG884" s="36">
        <f>COUNTIF(Tabla1[[#This Row],[GENERO_MASCULINO]:[GENERO_FEMENINO]],"FEMENINO")</f>
        <v>1</v>
      </c>
      <c r="AH884" s="73">
        <v>45</v>
      </c>
      <c r="AI884" s="73">
        <v>22</v>
      </c>
      <c r="AJ884" s="87"/>
      <c r="AK884" s="73"/>
      <c r="AL884" s="73">
        <v>56</v>
      </c>
      <c r="AM884" s="7"/>
      <c r="AN884" s="73">
        <v>115</v>
      </c>
      <c r="AO884" s="36" t="str">
        <f>IFERROR(((VLOOKUP(Tabla1[[#This Row],[HIPOTESIS_1]],listas!$D$1:$E$105,2,FALSE))),"SIN INFORMACIÓN")</f>
        <v>Embriaguez o Sustancias alucinogenas</v>
      </c>
      <c r="AP884" s="7"/>
      <c r="AQ884" s="36" t="str">
        <f>IFERROR(((VLOOKUP(Tabla1[[#This Row],[HIPOTESIS_2]],listas!$D$1:$E$105,2,FALSE))),"")</f>
        <v/>
      </c>
      <c r="AR884" s="1" t="str">
        <f>IF(HOUR(Tabla1[[#This Row],[HORA_ACCIDENTE]])&lt;6,"MAÑANA",
 IF(HOUR(Tabla1[[#This Row],[HORA_ACCIDENTE]])&lt;12,"MAÑANA",
 IF(HOUR(Tabla1[[#This Row],[HORA_ACCIDENTE]])&lt;18,"TARDE","NOCHE")))</f>
        <v>NOCHE</v>
      </c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  <c r="BD884" s="40"/>
    </row>
    <row r="885" spans="1:56" x14ac:dyDescent="0.25">
      <c r="A885" s="12">
        <v>577</v>
      </c>
      <c r="B885" s="38">
        <v>0</v>
      </c>
      <c r="C885" s="29">
        <v>0</v>
      </c>
      <c r="D885" s="7">
        <v>1</v>
      </c>
      <c r="E885" s="18" t="str">
        <f t="shared" si="52"/>
        <v>FALLECIDO</v>
      </c>
      <c r="F885" s="7" t="s">
        <v>1092</v>
      </c>
      <c r="G885" s="21">
        <v>5.3399916666666662</v>
      </c>
      <c r="H885" s="21">
        <v>-72.375622222222219</v>
      </c>
      <c r="I885" s="93" t="s">
        <v>697</v>
      </c>
      <c r="J885" s="7" t="s">
        <v>717</v>
      </c>
      <c r="K885" s="24" t="str">
        <f t="shared" si="53"/>
        <v>2023</v>
      </c>
      <c r="L885" s="24" t="str">
        <f t="shared" si="54"/>
        <v>OCTUBRE</v>
      </c>
      <c r="M885" s="232">
        <v>45216</v>
      </c>
      <c r="N885" s="24" t="str">
        <f t="shared" si="55"/>
        <v>MARTES</v>
      </c>
      <c r="O885" s="174">
        <v>5.1388888888888887E-2</v>
      </c>
      <c r="P885" s="39" t="s">
        <v>469</v>
      </c>
      <c r="Q885" s="39"/>
      <c r="R885" s="36">
        <f>COUNTIF(Tabla1[[#This Row],[VEHICULOS_ACCIDENTADOS]:[VEHICULOS_ACCIDENTADOS2]],"MOTOCICLETA")</f>
        <v>1</v>
      </c>
      <c r="S885" s="36">
        <f>COUNTIF(Tabla1[[#This Row],[VEHICULOS_ACCIDENTADOS]:[VEHICULOS_ACCIDENTADOS2]],"MOTOCARRO")</f>
        <v>0</v>
      </c>
      <c r="T885" s="36">
        <f>COUNTIF(Tabla1[[#This Row],[VEHICULOS_ACCIDENTADOS]:[VEHICULOS_ACCIDENTADOS2]],"AUTOMOVIL")</f>
        <v>0</v>
      </c>
      <c r="U885" s="36">
        <f>COUNTIF(Tabla1[[#This Row],[VEHICULOS_ACCIDENTADOS]:[VEHICULOS_ACCIDENTADOS2]],"CAMPERO")</f>
        <v>0</v>
      </c>
      <c r="V885" s="36">
        <f>COUNTIF(Tabla1[[#This Row],[VEHICULOS_ACCIDENTADOS]:[VEHICULOS_ACCIDENTADOS2]],"CAMIONETA")</f>
        <v>0</v>
      </c>
      <c r="W885" s="36">
        <f>COUNTIF(Tabla1[[#This Row],[VEHICULOS_ACCIDENTADOS]:[VEHICULOS_ACCIDENTADOS2]],"MICROBUS")</f>
        <v>0</v>
      </c>
      <c r="X885" s="36">
        <f>COUNTIF(Tabla1[[#This Row],[VEHICULOS_ACCIDENTADOS]:[VEHICULOS_ACCIDENTADOS2]],"BUS")</f>
        <v>0</v>
      </c>
      <c r="Y885" s="36">
        <f>COUNTIF(Tabla1[[#This Row],[VEHICULOS_ACCIDENTADOS]:[VEHICULOS_ACCIDENTADOS2]],"BUSETA")</f>
        <v>0</v>
      </c>
      <c r="Z885" s="36">
        <f>COUNTIF(Tabla1[[#This Row],[VEHICULOS_ACCIDENTADOS]:[VEHICULOS_ACCIDENTADOS2]],"CAMION")</f>
        <v>0</v>
      </c>
      <c r="AA885" s="36">
        <f>COUNTIF(Tabla1[[#This Row],[VEHICULOS_ACCIDENTADOS]:[VEHICULOS_ACCIDENTADOS2]],"TRACTOCAMION")</f>
        <v>0</v>
      </c>
      <c r="AB885" s="36">
        <f>COUNTIF(Tabla1[[#This Row],[VEHICULOS_ACCIDENTADOS]:[VEHICULOS_ACCIDENTADOS2]],"VOLQUETA")</f>
        <v>0</v>
      </c>
      <c r="AC885" s="36">
        <f>COUNTIF(Tabla1[[#This Row],[VEHICULOS_ACCIDENTADOS]:[VEHICULOS_ACCIDENTADOS2]],"BICICLETA")</f>
        <v>0</v>
      </c>
      <c r="AD885" s="38"/>
      <c r="AE885" s="38" t="s">
        <v>472</v>
      </c>
      <c r="AF885" s="38">
        <f>COUNTIF(Tabla1[[#This Row],[GENERO_MASCULINO]:[GENERO_FEMENINO]],"MASCULINO")</f>
        <v>0</v>
      </c>
      <c r="AG885" s="36">
        <f>COUNTIF(Tabla1[[#This Row],[GENERO_MASCULINO]:[GENERO_FEMENINO]],"FEMENINO")</f>
        <v>1</v>
      </c>
      <c r="AH885" s="73"/>
      <c r="AI885" s="73"/>
      <c r="AJ885" s="73"/>
      <c r="AK885" s="73"/>
      <c r="AL885" s="73"/>
      <c r="AM885" s="7"/>
      <c r="AN885" s="73">
        <v>1</v>
      </c>
      <c r="AO885" s="36" t="str">
        <f>IFERROR(((VLOOKUP(Tabla1[[#This Row],[HIPOTESIS_1]],listas!$D$1:$E$105,2,FALSE))),"SIN INFORMACIÓN")</f>
        <v>SIN INFORMACIÓN</v>
      </c>
      <c r="AP885" s="7"/>
      <c r="AQ885" s="36" t="str">
        <f>IFERROR(((VLOOKUP(Tabla1[[#This Row],[HIPOTESIS_2]],listas!$D$1:$E$105,2,FALSE))),"")</f>
        <v/>
      </c>
      <c r="AR885" s="1" t="str">
        <f>IF(HOUR(Tabla1[[#This Row],[HORA_ACCIDENTE]])&lt;6,"MAÑANA",
 IF(HOUR(Tabla1[[#This Row],[HORA_ACCIDENTE]])&lt;12,"MAÑANA",
 IF(HOUR(Tabla1[[#This Row],[HORA_ACCIDENTE]])&lt;18,"TARDE","NOCHE")))</f>
        <v>MAÑANA</v>
      </c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40"/>
    </row>
    <row r="886" spans="1:56" x14ac:dyDescent="0.25">
      <c r="A886" s="12">
        <v>486</v>
      </c>
      <c r="B886" s="38">
        <v>0</v>
      </c>
      <c r="C886" s="7">
        <v>1</v>
      </c>
      <c r="D886" s="7">
        <v>1</v>
      </c>
      <c r="E886" s="18" t="str">
        <f t="shared" si="52"/>
        <v>FALLECIDO</v>
      </c>
      <c r="F886" s="7" t="s">
        <v>1092</v>
      </c>
      <c r="G886" s="21">
        <v>5.3399916666666662</v>
      </c>
      <c r="H886" s="21">
        <v>-72.375622222222219</v>
      </c>
      <c r="I886" s="93" t="s">
        <v>697</v>
      </c>
      <c r="J886" s="7" t="s">
        <v>717</v>
      </c>
      <c r="K886" s="24" t="str">
        <f t="shared" si="53"/>
        <v>2023</v>
      </c>
      <c r="L886" s="24" t="str">
        <f t="shared" si="54"/>
        <v>MAYO</v>
      </c>
      <c r="M886" s="232">
        <v>45075</v>
      </c>
      <c r="N886" s="24" t="str">
        <f t="shared" si="55"/>
        <v>LUNES</v>
      </c>
      <c r="O886" s="106">
        <v>0.3611111111111111</v>
      </c>
      <c r="P886" s="39" t="s">
        <v>469</v>
      </c>
      <c r="Q886" s="39" t="s">
        <v>447</v>
      </c>
      <c r="R886" s="36">
        <f>COUNTIF(Tabla1[[#This Row],[VEHICULOS_ACCIDENTADOS]:[VEHICULOS_ACCIDENTADOS2]],"MOTOCICLETA")</f>
        <v>1</v>
      </c>
      <c r="S886" s="36">
        <f>COUNTIF(Tabla1[[#This Row],[VEHICULOS_ACCIDENTADOS]:[VEHICULOS_ACCIDENTADOS2]],"MOTOCARRO")</f>
        <v>0</v>
      </c>
      <c r="T886" s="36">
        <f>COUNTIF(Tabla1[[#This Row],[VEHICULOS_ACCIDENTADOS]:[VEHICULOS_ACCIDENTADOS2]],"AUTOMOVIL")</f>
        <v>1</v>
      </c>
      <c r="U886" s="36">
        <f>COUNTIF(Tabla1[[#This Row],[VEHICULOS_ACCIDENTADOS]:[VEHICULOS_ACCIDENTADOS2]],"CAMPERO")</f>
        <v>0</v>
      </c>
      <c r="V886" s="36">
        <f>COUNTIF(Tabla1[[#This Row],[VEHICULOS_ACCIDENTADOS]:[VEHICULOS_ACCIDENTADOS2]],"CAMIONETA")</f>
        <v>0</v>
      </c>
      <c r="W886" s="36">
        <f>COUNTIF(Tabla1[[#This Row],[VEHICULOS_ACCIDENTADOS]:[VEHICULOS_ACCIDENTADOS2]],"MICROBUS")</f>
        <v>0</v>
      </c>
      <c r="X886" s="36">
        <f>COUNTIF(Tabla1[[#This Row],[VEHICULOS_ACCIDENTADOS]:[VEHICULOS_ACCIDENTADOS2]],"BUS")</f>
        <v>0</v>
      </c>
      <c r="Y886" s="36">
        <f>COUNTIF(Tabla1[[#This Row],[VEHICULOS_ACCIDENTADOS]:[VEHICULOS_ACCIDENTADOS2]],"BUSETA")</f>
        <v>0</v>
      </c>
      <c r="Z886" s="36">
        <f>COUNTIF(Tabla1[[#This Row],[VEHICULOS_ACCIDENTADOS]:[VEHICULOS_ACCIDENTADOS2]],"CAMION")</f>
        <v>0</v>
      </c>
      <c r="AA886" s="36">
        <f>COUNTIF(Tabla1[[#This Row],[VEHICULOS_ACCIDENTADOS]:[VEHICULOS_ACCIDENTADOS2]],"TRACTOCAMION")</f>
        <v>0</v>
      </c>
      <c r="AB886" s="36">
        <f>COUNTIF(Tabla1[[#This Row],[VEHICULOS_ACCIDENTADOS]:[VEHICULOS_ACCIDENTADOS2]],"VOLQUETA")</f>
        <v>0</v>
      </c>
      <c r="AC886" s="36">
        <f>COUNTIF(Tabla1[[#This Row],[VEHICULOS_ACCIDENTADOS]:[VEHICULOS_ACCIDENTADOS2]],"BICICLETA")</f>
        <v>0</v>
      </c>
      <c r="AD886" s="38" t="s">
        <v>471</v>
      </c>
      <c r="AE886" s="38"/>
      <c r="AF886" s="38">
        <f>COUNTIF(Tabla1[[#This Row],[GENERO_MASCULINO]:[GENERO_FEMENINO]],"MASCULINO")</f>
        <v>1</v>
      </c>
      <c r="AG886" s="36">
        <f>COUNTIF(Tabla1[[#This Row],[GENERO_MASCULINO]:[GENERO_FEMENINO]],"FEMENINO")</f>
        <v>0</v>
      </c>
      <c r="AH886" s="73"/>
      <c r="AI886" s="73"/>
      <c r="AJ886" s="87"/>
      <c r="AK886" s="73"/>
      <c r="AL886" s="73">
        <v>28</v>
      </c>
      <c r="AM886" s="7">
        <v>64</v>
      </c>
      <c r="AN886" s="73">
        <v>1</v>
      </c>
      <c r="AO886" s="36" t="str">
        <f>IFERROR(((VLOOKUP(Tabla1[[#This Row],[HIPOTESIS_1]],listas!$D$1:$E$105,2,FALSE))),"SIN INFORMACIÓN")</f>
        <v>SIN INFORMACIÓN</v>
      </c>
      <c r="AP886" s="7"/>
      <c r="AQ886" s="36" t="str">
        <f>IFERROR(((VLOOKUP(Tabla1[[#This Row],[HIPOTESIS_2]],listas!$D$1:$E$105,2,FALSE))),"")</f>
        <v/>
      </c>
      <c r="AR886" s="1" t="str">
        <f>IF(HOUR(Tabla1[[#This Row],[HORA_ACCIDENTE]])&lt;6,"MAÑANA",
 IF(HOUR(Tabla1[[#This Row],[HORA_ACCIDENTE]])&lt;12,"MAÑANA",
 IF(HOUR(Tabla1[[#This Row],[HORA_ACCIDENTE]])&lt;18,"TARDE","NOCHE")))</f>
        <v>MAÑANA</v>
      </c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  <c r="BD886" s="40"/>
    </row>
    <row r="887" spans="1:56" x14ac:dyDescent="0.25">
      <c r="A887" s="12">
        <v>813</v>
      </c>
      <c r="B887" s="97">
        <v>0</v>
      </c>
      <c r="C887" s="26">
        <v>1</v>
      </c>
      <c r="D887" s="19">
        <v>0</v>
      </c>
      <c r="E887" s="18" t="str">
        <f t="shared" si="52"/>
        <v>LESIONADO</v>
      </c>
      <c r="F887" s="15" t="s">
        <v>103</v>
      </c>
      <c r="G887" s="17">
        <v>5.3348411111111105</v>
      </c>
      <c r="H887" s="17">
        <v>-72.372863055555555</v>
      </c>
      <c r="I887" s="93" t="s">
        <v>697</v>
      </c>
      <c r="J887" s="7" t="s">
        <v>717</v>
      </c>
      <c r="K887" s="24" t="str">
        <f t="shared" si="53"/>
        <v>2024</v>
      </c>
      <c r="L887" s="24" t="str">
        <f t="shared" si="54"/>
        <v>NOVIEMBRE</v>
      </c>
      <c r="M887" s="234">
        <v>45608</v>
      </c>
      <c r="N887" s="24" t="str">
        <f t="shared" si="55"/>
        <v>MARTES</v>
      </c>
      <c r="O887" s="108">
        <v>0.34375</v>
      </c>
      <c r="P887" s="44" t="s">
        <v>469</v>
      </c>
      <c r="Q887" s="44" t="s">
        <v>445</v>
      </c>
      <c r="R887" s="36">
        <f>COUNTIF(Tabla1[[#This Row],[VEHICULOS_ACCIDENTADOS]:[VEHICULOS_ACCIDENTADOS2]],"MOTOCICLETA")</f>
        <v>1</v>
      </c>
      <c r="S887" s="36">
        <f>COUNTIF(Tabla1[[#This Row],[VEHICULOS_ACCIDENTADOS]:[VEHICULOS_ACCIDENTADOS2]],"MOTOCARRO")</f>
        <v>0</v>
      </c>
      <c r="T887" s="36">
        <f>COUNTIF(Tabla1[[#This Row],[VEHICULOS_ACCIDENTADOS]:[VEHICULOS_ACCIDENTADOS2]],"AUTOMOVIL")</f>
        <v>0</v>
      </c>
      <c r="U887" s="36">
        <f>COUNTIF(Tabla1[[#This Row],[VEHICULOS_ACCIDENTADOS]:[VEHICULOS_ACCIDENTADOS2]],"CAMPERO")</f>
        <v>0</v>
      </c>
      <c r="V887" s="36">
        <f>COUNTIF(Tabla1[[#This Row],[VEHICULOS_ACCIDENTADOS]:[VEHICULOS_ACCIDENTADOS2]],"CAMIONETA")</f>
        <v>1</v>
      </c>
      <c r="W887" s="36">
        <f>COUNTIF(Tabla1[[#This Row],[VEHICULOS_ACCIDENTADOS]:[VEHICULOS_ACCIDENTADOS2]],"MICROBUS")</f>
        <v>0</v>
      </c>
      <c r="X887" s="36">
        <f>COUNTIF(Tabla1[[#This Row],[VEHICULOS_ACCIDENTADOS]:[VEHICULOS_ACCIDENTADOS2]],"BUS")</f>
        <v>0</v>
      </c>
      <c r="Y887" s="36">
        <f>COUNTIF(Tabla1[[#This Row],[VEHICULOS_ACCIDENTADOS]:[VEHICULOS_ACCIDENTADOS2]],"BUSETA")</f>
        <v>0</v>
      </c>
      <c r="Z887" s="36">
        <f>COUNTIF(Tabla1[[#This Row],[VEHICULOS_ACCIDENTADOS]:[VEHICULOS_ACCIDENTADOS2]],"CAMION")</f>
        <v>0</v>
      </c>
      <c r="AA887" s="36">
        <f>COUNTIF(Tabla1[[#This Row],[VEHICULOS_ACCIDENTADOS]:[VEHICULOS_ACCIDENTADOS2]],"TRACTOCAMION")</f>
        <v>0</v>
      </c>
      <c r="AB887" s="36">
        <f>COUNTIF(Tabla1[[#This Row],[VEHICULOS_ACCIDENTADOS]:[VEHICULOS_ACCIDENTADOS2]],"VOLQUETA")</f>
        <v>0</v>
      </c>
      <c r="AC887" s="36">
        <f>COUNTIF(Tabla1[[#This Row],[VEHICULOS_ACCIDENTADOS]:[VEHICULOS_ACCIDENTADOS2]],"BICICLETA")</f>
        <v>0</v>
      </c>
      <c r="AD887" s="43" t="s">
        <v>471</v>
      </c>
      <c r="AE887" s="43" t="s">
        <v>472</v>
      </c>
      <c r="AF887" s="43">
        <f>COUNTIF(Tabla1[[#This Row],[GENERO_MASCULINO]:[GENERO_FEMENINO]],"MASCULINO")</f>
        <v>1</v>
      </c>
      <c r="AG887" s="36">
        <f>COUNTIF(Tabla1[[#This Row],[GENERO_MASCULINO]:[GENERO_FEMENINO]],"FEMENINO")</f>
        <v>1</v>
      </c>
      <c r="AH887" s="86">
        <v>23</v>
      </c>
      <c r="AI887" s="86">
        <v>44</v>
      </c>
      <c r="AJ887" s="86"/>
      <c r="AK887" s="86"/>
      <c r="AL887" s="86"/>
      <c r="AM887" s="15"/>
      <c r="AN887" s="86">
        <v>121</v>
      </c>
      <c r="AO887" s="36" t="str">
        <f>IFERROR(((VLOOKUP(Tabla1[[#This Row],[HIPOTESIS_1]],listas!$D$1:$E$105,2,FALSE))),"SIN INFORMACIÓN")</f>
        <v>No mantener distancia de seguridad.</v>
      </c>
      <c r="AP887" s="15"/>
      <c r="AQ887" s="36" t="str">
        <f>IFERROR(((VLOOKUP(Tabla1[[#This Row],[HIPOTESIS_2]],listas!$D$1:$E$105,2,FALSE))),"")</f>
        <v/>
      </c>
      <c r="AR887" s="1" t="str">
        <f>IF(HOUR(Tabla1[[#This Row],[HORA_ACCIDENTE]])&lt;6,"MAÑANA",
 IF(HOUR(Tabla1[[#This Row],[HORA_ACCIDENTE]])&lt;12,"MAÑANA",
 IF(HOUR(Tabla1[[#This Row],[HORA_ACCIDENTE]])&lt;18,"TARDE","NOCHE")))</f>
        <v>MAÑANA</v>
      </c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40"/>
    </row>
    <row r="888" spans="1:56" x14ac:dyDescent="0.25">
      <c r="A888" s="12">
        <v>702</v>
      </c>
      <c r="B888" s="97">
        <v>0</v>
      </c>
      <c r="C888" s="29">
        <v>1</v>
      </c>
      <c r="D888" s="7">
        <v>0</v>
      </c>
      <c r="E888" s="18" t="str">
        <f t="shared" si="52"/>
        <v>LESIONADO</v>
      </c>
      <c r="F888" s="7" t="s">
        <v>146</v>
      </c>
      <c r="G888" s="21">
        <v>5.3015549999999996</v>
      </c>
      <c r="H888" s="21">
        <v>-72.407218888888892</v>
      </c>
      <c r="I888" s="93" t="s">
        <v>697</v>
      </c>
      <c r="J888" s="15" t="s">
        <v>717</v>
      </c>
      <c r="K888" s="24" t="str">
        <f t="shared" si="53"/>
        <v>2024</v>
      </c>
      <c r="L888" s="24" t="str">
        <f t="shared" si="54"/>
        <v>MAYO</v>
      </c>
      <c r="M888" s="232">
        <v>45413</v>
      </c>
      <c r="N888" s="24" t="str">
        <f t="shared" si="55"/>
        <v>MIÉRCOLES</v>
      </c>
      <c r="O888" s="106">
        <v>0.63888888888888895</v>
      </c>
      <c r="P888" s="39" t="s">
        <v>469</v>
      </c>
      <c r="Q888" s="39"/>
      <c r="R888" s="36">
        <f>COUNTIF(Tabla1[[#This Row],[VEHICULOS_ACCIDENTADOS]:[VEHICULOS_ACCIDENTADOS2]],"MOTOCICLETA")</f>
        <v>1</v>
      </c>
      <c r="S888" s="36">
        <f>COUNTIF(Tabla1[[#This Row],[VEHICULOS_ACCIDENTADOS]:[VEHICULOS_ACCIDENTADOS2]],"MOTOCARRO")</f>
        <v>0</v>
      </c>
      <c r="T888" s="36">
        <f>COUNTIF(Tabla1[[#This Row],[VEHICULOS_ACCIDENTADOS]:[VEHICULOS_ACCIDENTADOS2]],"AUTOMOVIL")</f>
        <v>0</v>
      </c>
      <c r="U888" s="36">
        <f>COUNTIF(Tabla1[[#This Row],[VEHICULOS_ACCIDENTADOS]:[VEHICULOS_ACCIDENTADOS2]],"CAMPERO")</f>
        <v>0</v>
      </c>
      <c r="V888" s="36">
        <f>COUNTIF(Tabla1[[#This Row],[VEHICULOS_ACCIDENTADOS]:[VEHICULOS_ACCIDENTADOS2]],"CAMIONETA")</f>
        <v>0</v>
      </c>
      <c r="W888" s="36">
        <f>COUNTIF(Tabla1[[#This Row],[VEHICULOS_ACCIDENTADOS]:[VEHICULOS_ACCIDENTADOS2]],"MICROBUS")</f>
        <v>0</v>
      </c>
      <c r="X888" s="36">
        <f>COUNTIF(Tabla1[[#This Row],[VEHICULOS_ACCIDENTADOS]:[VEHICULOS_ACCIDENTADOS2]],"BUS")</f>
        <v>0</v>
      </c>
      <c r="Y888" s="36">
        <f>COUNTIF(Tabla1[[#This Row],[VEHICULOS_ACCIDENTADOS]:[VEHICULOS_ACCIDENTADOS2]],"BUSETA")</f>
        <v>0</v>
      </c>
      <c r="Z888" s="36">
        <f>COUNTIF(Tabla1[[#This Row],[VEHICULOS_ACCIDENTADOS]:[VEHICULOS_ACCIDENTADOS2]],"CAMION")</f>
        <v>0</v>
      </c>
      <c r="AA888" s="36">
        <f>COUNTIF(Tabla1[[#This Row],[VEHICULOS_ACCIDENTADOS]:[VEHICULOS_ACCIDENTADOS2]],"TRACTOCAMION")</f>
        <v>0</v>
      </c>
      <c r="AB888" s="36">
        <f>COUNTIF(Tabla1[[#This Row],[VEHICULOS_ACCIDENTADOS]:[VEHICULOS_ACCIDENTADOS2]],"VOLQUETA")</f>
        <v>0</v>
      </c>
      <c r="AC888" s="36">
        <f>COUNTIF(Tabla1[[#This Row],[VEHICULOS_ACCIDENTADOS]:[VEHICULOS_ACCIDENTADOS2]],"BICICLETA")</f>
        <v>0</v>
      </c>
      <c r="AD888" s="38" t="s">
        <v>471</v>
      </c>
      <c r="AE888" s="38" t="s">
        <v>472</v>
      </c>
      <c r="AF888" s="38">
        <f>COUNTIF(Tabla1[[#This Row],[GENERO_MASCULINO]:[GENERO_FEMENINO]],"MASCULINO")</f>
        <v>1</v>
      </c>
      <c r="AG888" s="36">
        <f>COUNTIF(Tabla1[[#This Row],[GENERO_MASCULINO]:[GENERO_FEMENINO]],"FEMENINO")</f>
        <v>1</v>
      </c>
      <c r="AH888" s="73">
        <v>30</v>
      </c>
      <c r="AI888" s="73">
        <v>32</v>
      </c>
      <c r="AJ888" s="73"/>
      <c r="AK888" s="73"/>
      <c r="AL888" s="73"/>
      <c r="AM888" s="7"/>
      <c r="AN888" s="73">
        <v>115</v>
      </c>
      <c r="AO888" s="36" t="str">
        <f>IFERROR(((VLOOKUP(Tabla1[[#This Row],[HIPOTESIS_1]],listas!$D$1:$E$105,2,FALSE))),"SIN INFORMACIÓN")</f>
        <v>Embriaguez o Sustancias alucinogenas</v>
      </c>
      <c r="AP888" s="7"/>
      <c r="AQ888" s="36" t="str">
        <f>IFERROR(((VLOOKUP(Tabla1[[#This Row],[HIPOTESIS_2]],listas!$D$1:$E$105,2,FALSE))),"")</f>
        <v/>
      </c>
      <c r="AR888" s="1" t="str">
        <f>IF(HOUR(Tabla1[[#This Row],[HORA_ACCIDENTE]])&lt;6,"MAÑANA",
 IF(HOUR(Tabla1[[#This Row],[HORA_ACCIDENTE]])&lt;12,"MAÑANA",
 IF(HOUR(Tabla1[[#This Row],[HORA_ACCIDENTE]])&lt;18,"TARDE","NOCHE")))</f>
        <v>TARDE</v>
      </c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  <c r="BD888" s="40"/>
    </row>
    <row r="889" spans="1:56" x14ac:dyDescent="0.25">
      <c r="A889" s="12">
        <v>551</v>
      </c>
      <c r="B889" s="38">
        <v>1</v>
      </c>
      <c r="C889" s="38">
        <v>0</v>
      </c>
      <c r="D889" s="7">
        <v>0</v>
      </c>
      <c r="E889" s="18" t="str">
        <f t="shared" si="52"/>
        <v>SOLO DAÑO</v>
      </c>
      <c r="F889" s="7" t="s">
        <v>992</v>
      </c>
      <c r="G889" s="21">
        <v>5.3290411111111107</v>
      </c>
      <c r="H889" s="21">
        <v>-72.408624166666669</v>
      </c>
      <c r="I889" s="17" t="s">
        <v>697</v>
      </c>
      <c r="J889" s="7" t="s">
        <v>717</v>
      </c>
      <c r="K889" s="24" t="str">
        <f t="shared" si="53"/>
        <v>2023</v>
      </c>
      <c r="L889" s="24" t="str">
        <f t="shared" si="54"/>
        <v>SEPTIEMBRE</v>
      </c>
      <c r="M889" s="232">
        <v>45175</v>
      </c>
      <c r="N889" s="24" t="str">
        <f t="shared" si="55"/>
        <v>MIÉRCOLES</v>
      </c>
      <c r="O889" s="106">
        <v>0.65277777777777779</v>
      </c>
      <c r="P889" s="216" t="s">
        <v>469</v>
      </c>
      <c r="Q889" s="216" t="s">
        <v>447</v>
      </c>
      <c r="R889" s="36">
        <f>COUNTIF(Tabla1[[#This Row],[VEHICULOS_ACCIDENTADOS]:[VEHICULOS_ACCIDENTADOS2]],"MOTOCICLETA")</f>
        <v>1</v>
      </c>
      <c r="S889" s="36">
        <f>COUNTIF(Tabla1[[#This Row],[VEHICULOS_ACCIDENTADOS]:[VEHICULOS_ACCIDENTADOS2]],"MOTOCARRO")</f>
        <v>0</v>
      </c>
      <c r="T889" s="36">
        <f>COUNTIF(Tabla1[[#This Row],[VEHICULOS_ACCIDENTADOS]:[VEHICULOS_ACCIDENTADOS2]],"AUTOMOVIL")</f>
        <v>1</v>
      </c>
      <c r="U889" s="36">
        <f>COUNTIF(Tabla1[[#This Row],[VEHICULOS_ACCIDENTADOS]:[VEHICULOS_ACCIDENTADOS2]],"CAMPERO")</f>
        <v>0</v>
      </c>
      <c r="V889" s="36">
        <f>COUNTIF(Tabla1[[#This Row],[VEHICULOS_ACCIDENTADOS]:[VEHICULOS_ACCIDENTADOS2]],"CAMIONETA")</f>
        <v>0</v>
      </c>
      <c r="W889" s="36">
        <f>COUNTIF(Tabla1[[#This Row],[VEHICULOS_ACCIDENTADOS]:[VEHICULOS_ACCIDENTADOS2]],"MICROBUS")</f>
        <v>0</v>
      </c>
      <c r="X889" s="36">
        <f>COUNTIF(Tabla1[[#This Row],[VEHICULOS_ACCIDENTADOS]:[VEHICULOS_ACCIDENTADOS2]],"BUS")</f>
        <v>0</v>
      </c>
      <c r="Y889" s="36">
        <f>COUNTIF(Tabla1[[#This Row],[VEHICULOS_ACCIDENTADOS]:[VEHICULOS_ACCIDENTADOS2]],"BUSETA")</f>
        <v>0</v>
      </c>
      <c r="Z889" s="36">
        <f>COUNTIF(Tabla1[[#This Row],[VEHICULOS_ACCIDENTADOS]:[VEHICULOS_ACCIDENTADOS2]],"CAMION")</f>
        <v>0</v>
      </c>
      <c r="AA889" s="36">
        <f>COUNTIF(Tabla1[[#This Row],[VEHICULOS_ACCIDENTADOS]:[VEHICULOS_ACCIDENTADOS2]],"TRACTOCAMION")</f>
        <v>0</v>
      </c>
      <c r="AB889" s="36">
        <f>COUNTIF(Tabla1[[#This Row],[VEHICULOS_ACCIDENTADOS]:[VEHICULOS_ACCIDENTADOS2]],"VOLQUETA")</f>
        <v>0</v>
      </c>
      <c r="AC889" s="36">
        <f>COUNTIF(Tabla1[[#This Row],[VEHICULOS_ACCIDENTADOS]:[VEHICULOS_ACCIDENTADOS2]],"BICICLETA")</f>
        <v>0</v>
      </c>
      <c r="AD889" s="29" t="s">
        <v>471</v>
      </c>
      <c r="AE889" s="29"/>
      <c r="AF889" s="29">
        <f>COUNTIF(Tabla1[[#This Row],[GENERO_MASCULINO]:[GENERO_FEMENINO]],"MASCULINO")</f>
        <v>1</v>
      </c>
      <c r="AG889" s="36">
        <f>COUNTIF(Tabla1[[#This Row],[GENERO_MASCULINO]:[GENERO_FEMENINO]],"FEMENINO")</f>
        <v>0</v>
      </c>
      <c r="AH889" s="195"/>
      <c r="AI889" s="195"/>
      <c r="AJ889" s="195"/>
      <c r="AK889" s="73"/>
      <c r="AL889" s="73"/>
      <c r="AM889" s="7"/>
      <c r="AN889" s="73">
        <v>1</v>
      </c>
      <c r="AO889" s="36" t="str">
        <f>IFERROR(((VLOOKUP(Tabla1[[#This Row],[HIPOTESIS_1]],listas!$D$1:$E$105,2,FALSE))),"SIN INFORMACIÓN")</f>
        <v>SIN INFORMACIÓN</v>
      </c>
      <c r="AP889" s="7"/>
      <c r="AQ889" s="36" t="str">
        <f>IFERROR(((VLOOKUP(Tabla1[[#This Row],[HIPOTESIS_2]],listas!$D$1:$E$105,2,FALSE))),"")</f>
        <v/>
      </c>
      <c r="AR889" s="1" t="str">
        <f>IF(HOUR(Tabla1[[#This Row],[HORA_ACCIDENTE]])&lt;6,"MAÑANA",
 IF(HOUR(Tabla1[[#This Row],[HORA_ACCIDENTE]])&lt;12,"MAÑANA",
 IF(HOUR(Tabla1[[#This Row],[HORA_ACCIDENTE]])&lt;18,"TARDE","NOCHE")))</f>
        <v>TARDE</v>
      </c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40"/>
    </row>
    <row r="890" spans="1:56" x14ac:dyDescent="0.25">
      <c r="A890" s="12">
        <v>1</v>
      </c>
      <c r="B890" s="38">
        <v>1</v>
      </c>
      <c r="C890" s="38">
        <v>0</v>
      </c>
      <c r="D890" s="7">
        <v>0</v>
      </c>
      <c r="E890" s="18" t="str">
        <f t="shared" si="52"/>
        <v>SOLO DAÑO</v>
      </c>
      <c r="F890" s="7" t="s">
        <v>994</v>
      </c>
      <c r="G890" s="17">
        <v>5.3261722222222216</v>
      </c>
      <c r="H890" s="17">
        <v>-72.405894444444456</v>
      </c>
      <c r="I890" s="17" t="s">
        <v>697</v>
      </c>
      <c r="J890" s="7" t="s">
        <v>717</v>
      </c>
      <c r="K890" s="24" t="str">
        <f t="shared" si="53"/>
        <v>2022</v>
      </c>
      <c r="L890" s="24" t="str">
        <f t="shared" si="54"/>
        <v>ENERO</v>
      </c>
      <c r="M890" s="232">
        <v>44562</v>
      </c>
      <c r="N890" s="24" t="str">
        <f t="shared" si="55"/>
        <v>SÁBADO</v>
      </c>
      <c r="O890" s="106">
        <v>0.3125</v>
      </c>
      <c r="P890" s="184" t="s">
        <v>447</v>
      </c>
      <c r="Q890" s="184"/>
      <c r="R890" s="36">
        <f>COUNTIF(Tabla1[[#This Row],[VEHICULOS_ACCIDENTADOS]:[VEHICULOS_ACCIDENTADOS2]],"MOTOCICLETA")</f>
        <v>0</v>
      </c>
      <c r="S890" s="36">
        <f>COUNTIF(Tabla1[[#This Row],[VEHICULOS_ACCIDENTADOS]:[VEHICULOS_ACCIDENTADOS2]],"MOTOCARRO")</f>
        <v>0</v>
      </c>
      <c r="T890" s="36">
        <f>COUNTIF(Tabla1[[#This Row],[VEHICULOS_ACCIDENTADOS]:[VEHICULOS_ACCIDENTADOS2]],"AUTOMOVIL")</f>
        <v>1</v>
      </c>
      <c r="U890" s="36">
        <f>COUNTIF(Tabla1[[#This Row],[VEHICULOS_ACCIDENTADOS]:[VEHICULOS_ACCIDENTADOS2]],"CAMPERO")</f>
        <v>0</v>
      </c>
      <c r="V890" s="36">
        <f>COUNTIF(Tabla1[[#This Row],[VEHICULOS_ACCIDENTADOS]:[VEHICULOS_ACCIDENTADOS2]],"CAMIONETA")</f>
        <v>0</v>
      </c>
      <c r="W890" s="36">
        <f>COUNTIF(Tabla1[[#This Row],[VEHICULOS_ACCIDENTADOS]:[VEHICULOS_ACCIDENTADOS2]],"MICROBUS")</f>
        <v>0</v>
      </c>
      <c r="X890" s="36">
        <f>COUNTIF(Tabla1[[#This Row],[VEHICULOS_ACCIDENTADOS]:[VEHICULOS_ACCIDENTADOS2]],"BUS")</f>
        <v>0</v>
      </c>
      <c r="Y890" s="36">
        <f>COUNTIF(Tabla1[[#This Row],[VEHICULOS_ACCIDENTADOS]:[VEHICULOS_ACCIDENTADOS2]],"BUSETA")</f>
        <v>0</v>
      </c>
      <c r="Z890" s="36">
        <f>COUNTIF(Tabla1[[#This Row],[VEHICULOS_ACCIDENTADOS]:[VEHICULOS_ACCIDENTADOS2]],"CAMION")</f>
        <v>0</v>
      </c>
      <c r="AA890" s="36">
        <f>COUNTIF(Tabla1[[#This Row],[VEHICULOS_ACCIDENTADOS]:[VEHICULOS_ACCIDENTADOS2]],"TRACTOCAMION")</f>
        <v>0</v>
      </c>
      <c r="AB890" s="36">
        <f>COUNTIF(Tabla1[[#This Row],[VEHICULOS_ACCIDENTADOS]:[VEHICULOS_ACCIDENTADOS2]],"VOLQUETA")</f>
        <v>0</v>
      </c>
      <c r="AC890" s="36">
        <f>COUNTIF(Tabla1[[#This Row],[VEHICULOS_ACCIDENTADOS]:[VEHICULOS_ACCIDENTADOS2]],"BICICLETA")</f>
        <v>0</v>
      </c>
      <c r="AD890" s="29" t="s">
        <v>471</v>
      </c>
      <c r="AE890" s="29"/>
      <c r="AF890" s="29">
        <f>COUNTIF(Tabla1[[#This Row],[GENERO_MASCULINO]:[GENERO_FEMENINO]],"MASCULINO")</f>
        <v>1</v>
      </c>
      <c r="AG890" s="36">
        <f>COUNTIF(Tabla1[[#This Row],[GENERO_MASCULINO]:[GENERO_FEMENINO]],"FEMENINO")</f>
        <v>0</v>
      </c>
      <c r="AH890" s="195"/>
      <c r="AI890" s="195"/>
      <c r="AJ890" s="195"/>
      <c r="AK890" s="73"/>
      <c r="AL890" s="73"/>
      <c r="AM890" s="7"/>
      <c r="AN890" s="73">
        <v>157</v>
      </c>
      <c r="AO890" s="36" t="str">
        <f>IFERROR(((VLOOKUP(Tabla1[[#This Row],[HIPOTESIS_1]],listas!$D$1:$E$105,2,FALSE))),"SIN INFORMACIÓN")</f>
        <v>Otra</v>
      </c>
      <c r="AP890" s="7"/>
      <c r="AQ890" s="36" t="str">
        <f>IFERROR(((VLOOKUP(Tabla1[[#This Row],[HIPOTESIS_2]],listas!$D$1:$E$105,2,FALSE))),"")</f>
        <v/>
      </c>
      <c r="AR890" s="1" t="str">
        <f>IF(HOUR(Tabla1[[#This Row],[HORA_ACCIDENTE]])&lt;6,"MAÑANA",
 IF(HOUR(Tabla1[[#This Row],[HORA_ACCIDENTE]])&lt;12,"MAÑANA",
 IF(HOUR(Tabla1[[#This Row],[HORA_ACCIDENTE]])&lt;18,"TARDE","NOCHE")))</f>
        <v>MAÑANA</v>
      </c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  <c r="BD890" s="40"/>
    </row>
    <row r="891" spans="1:56" x14ac:dyDescent="0.25">
      <c r="A891" s="12">
        <v>531</v>
      </c>
      <c r="B891" s="38">
        <v>0</v>
      </c>
      <c r="C891" s="29">
        <v>1</v>
      </c>
      <c r="D891" s="7">
        <v>0</v>
      </c>
      <c r="E891" s="18" t="str">
        <f t="shared" si="52"/>
        <v>LESIONADO</v>
      </c>
      <c r="F891" s="7" t="s">
        <v>995</v>
      </c>
      <c r="G891" s="21">
        <v>5.3180249999999996</v>
      </c>
      <c r="H891" s="21">
        <v>-72.404613888888889</v>
      </c>
      <c r="I891" s="93" t="s">
        <v>697</v>
      </c>
      <c r="J891" s="7" t="s">
        <v>717</v>
      </c>
      <c r="K891" s="24" t="str">
        <f t="shared" si="53"/>
        <v>2023</v>
      </c>
      <c r="L891" s="24" t="str">
        <f t="shared" si="54"/>
        <v>AGOSTO</v>
      </c>
      <c r="M891" s="232">
        <v>45150</v>
      </c>
      <c r="N891" s="24" t="str">
        <f t="shared" si="55"/>
        <v>SÁBADO</v>
      </c>
      <c r="O891" s="106">
        <v>0.83333333333333337</v>
      </c>
      <c r="P891" s="39" t="s">
        <v>469</v>
      </c>
      <c r="Q891" s="39" t="s">
        <v>447</v>
      </c>
      <c r="R891" s="36">
        <f>COUNTIF(Tabla1[[#This Row],[VEHICULOS_ACCIDENTADOS]:[VEHICULOS_ACCIDENTADOS2]],"MOTOCICLETA")</f>
        <v>1</v>
      </c>
      <c r="S891" s="36">
        <f>COUNTIF(Tabla1[[#This Row],[VEHICULOS_ACCIDENTADOS]:[VEHICULOS_ACCIDENTADOS2]],"MOTOCARRO")</f>
        <v>0</v>
      </c>
      <c r="T891" s="36">
        <f>COUNTIF(Tabla1[[#This Row],[VEHICULOS_ACCIDENTADOS]:[VEHICULOS_ACCIDENTADOS2]],"AUTOMOVIL")</f>
        <v>1</v>
      </c>
      <c r="U891" s="36">
        <f>COUNTIF(Tabla1[[#This Row],[VEHICULOS_ACCIDENTADOS]:[VEHICULOS_ACCIDENTADOS2]],"CAMPERO")</f>
        <v>0</v>
      </c>
      <c r="V891" s="36">
        <f>COUNTIF(Tabla1[[#This Row],[VEHICULOS_ACCIDENTADOS]:[VEHICULOS_ACCIDENTADOS2]],"CAMIONETA")</f>
        <v>0</v>
      </c>
      <c r="W891" s="36">
        <f>COUNTIF(Tabla1[[#This Row],[VEHICULOS_ACCIDENTADOS]:[VEHICULOS_ACCIDENTADOS2]],"MICROBUS")</f>
        <v>0</v>
      </c>
      <c r="X891" s="36">
        <f>COUNTIF(Tabla1[[#This Row],[VEHICULOS_ACCIDENTADOS]:[VEHICULOS_ACCIDENTADOS2]],"BUS")</f>
        <v>0</v>
      </c>
      <c r="Y891" s="36">
        <f>COUNTIF(Tabla1[[#This Row],[VEHICULOS_ACCIDENTADOS]:[VEHICULOS_ACCIDENTADOS2]],"BUSETA")</f>
        <v>0</v>
      </c>
      <c r="Z891" s="36">
        <f>COUNTIF(Tabla1[[#This Row],[VEHICULOS_ACCIDENTADOS]:[VEHICULOS_ACCIDENTADOS2]],"CAMION")</f>
        <v>0</v>
      </c>
      <c r="AA891" s="36">
        <f>COUNTIF(Tabla1[[#This Row],[VEHICULOS_ACCIDENTADOS]:[VEHICULOS_ACCIDENTADOS2]],"TRACTOCAMION")</f>
        <v>0</v>
      </c>
      <c r="AB891" s="36">
        <f>COUNTIF(Tabla1[[#This Row],[VEHICULOS_ACCIDENTADOS]:[VEHICULOS_ACCIDENTADOS2]],"VOLQUETA")</f>
        <v>0</v>
      </c>
      <c r="AC891" s="36">
        <f>COUNTIF(Tabla1[[#This Row],[VEHICULOS_ACCIDENTADOS]:[VEHICULOS_ACCIDENTADOS2]],"BICICLETA")</f>
        <v>0</v>
      </c>
      <c r="AD891" s="38" t="s">
        <v>471</v>
      </c>
      <c r="AE891" s="38"/>
      <c r="AF891" s="38">
        <f>COUNTIF(Tabla1[[#This Row],[GENERO_MASCULINO]:[GENERO_FEMENINO]],"MASCULINO")</f>
        <v>1</v>
      </c>
      <c r="AG891" s="36">
        <f>COUNTIF(Tabla1[[#This Row],[GENERO_MASCULINO]:[GENERO_FEMENINO]],"FEMENINO")</f>
        <v>0</v>
      </c>
      <c r="AH891" s="73">
        <v>32</v>
      </c>
      <c r="AI891" s="73"/>
      <c r="AJ891" s="73"/>
      <c r="AK891" s="73"/>
      <c r="AL891" s="73"/>
      <c r="AM891" s="7"/>
      <c r="AN891" s="73">
        <v>114</v>
      </c>
      <c r="AO891" s="36" t="str">
        <f>IFERROR(((VLOOKUP(Tabla1[[#This Row],[HIPOTESIS_1]],listas!$D$1:$E$105,2,FALSE))),"SIN INFORMACIÓN")</f>
        <v>Embriaguez aparente.</v>
      </c>
      <c r="AP891" s="7"/>
      <c r="AQ891" s="36" t="str">
        <f>IFERROR(((VLOOKUP(Tabla1[[#This Row],[HIPOTESIS_2]],listas!$D$1:$E$105,2,FALSE))),"")</f>
        <v/>
      </c>
      <c r="AR891" s="1" t="str">
        <f>IF(HOUR(Tabla1[[#This Row],[HORA_ACCIDENTE]])&lt;6,"MAÑANA",
 IF(HOUR(Tabla1[[#This Row],[HORA_ACCIDENTE]])&lt;12,"MAÑANA",
 IF(HOUR(Tabla1[[#This Row],[HORA_ACCIDENTE]])&lt;18,"TARDE","NOCHE")))</f>
        <v>NOCHE</v>
      </c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40"/>
    </row>
    <row r="892" spans="1:56" x14ac:dyDescent="0.25">
      <c r="A892" s="12">
        <v>814</v>
      </c>
      <c r="B892" s="97">
        <v>0</v>
      </c>
      <c r="C892" s="26">
        <v>1</v>
      </c>
      <c r="D892" s="19">
        <v>0</v>
      </c>
      <c r="E892" s="18" t="str">
        <f t="shared" si="52"/>
        <v>LESIONADO</v>
      </c>
      <c r="F892" s="15" t="s">
        <v>1070</v>
      </c>
      <c r="G892" s="17">
        <v>5.3301861111111108</v>
      </c>
      <c r="H892" s="17">
        <v>-72.40955277777779</v>
      </c>
      <c r="I892" s="93" t="s">
        <v>697</v>
      </c>
      <c r="J892" s="7" t="s">
        <v>717</v>
      </c>
      <c r="K892" s="24" t="str">
        <f t="shared" si="53"/>
        <v>2024</v>
      </c>
      <c r="L892" s="24" t="str">
        <f t="shared" si="54"/>
        <v>NOVIEMBRE</v>
      </c>
      <c r="M892" s="234">
        <v>45609</v>
      </c>
      <c r="N892" s="24" t="str">
        <f t="shared" si="55"/>
        <v>MIÉRCOLES</v>
      </c>
      <c r="O892" s="108">
        <v>0.67361111111111116</v>
      </c>
      <c r="P892" s="44" t="s">
        <v>447</v>
      </c>
      <c r="Q892" s="44"/>
      <c r="R892" s="36">
        <f>COUNTIF(Tabla1[[#This Row],[VEHICULOS_ACCIDENTADOS]:[VEHICULOS_ACCIDENTADOS2]],"MOTOCICLETA")</f>
        <v>0</v>
      </c>
      <c r="S892" s="36">
        <f>COUNTIF(Tabla1[[#This Row],[VEHICULOS_ACCIDENTADOS]:[VEHICULOS_ACCIDENTADOS2]],"MOTOCARRO")</f>
        <v>0</v>
      </c>
      <c r="T892" s="36">
        <f>COUNTIF(Tabla1[[#This Row],[VEHICULOS_ACCIDENTADOS]:[VEHICULOS_ACCIDENTADOS2]],"AUTOMOVIL")</f>
        <v>1</v>
      </c>
      <c r="U892" s="36">
        <f>COUNTIF(Tabla1[[#This Row],[VEHICULOS_ACCIDENTADOS]:[VEHICULOS_ACCIDENTADOS2]],"CAMPERO")</f>
        <v>0</v>
      </c>
      <c r="V892" s="36">
        <f>COUNTIF(Tabla1[[#This Row],[VEHICULOS_ACCIDENTADOS]:[VEHICULOS_ACCIDENTADOS2]],"CAMIONETA")</f>
        <v>0</v>
      </c>
      <c r="W892" s="36">
        <f>COUNTIF(Tabla1[[#This Row],[VEHICULOS_ACCIDENTADOS]:[VEHICULOS_ACCIDENTADOS2]],"MICROBUS")</f>
        <v>0</v>
      </c>
      <c r="X892" s="36">
        <f>COUNTIF(Tabla1[[#This Row],[VEHICULOS_ACCIDENTADOS]:[VEHICULOS_ACCIDENTADOS2]],"BUS")</f>
        <v>0</v>
      </c>
      <c r="Y892" s="36">
        <f>COUNTIF(Tabla1[[#This Row],[VEHICULOS_ACCIDENTADOS]:[VEHICULOS_ACCIDENTADOS2]],"BUSETA")</f>
        <v>0</v>
      </c>
      <c r="Z892" s="36">
        <f>COUNTIF(Tabla1[[#This Row],[VEHICULOS_ACCIDENTADOS]:[VEHICULOS_ACCIDENTADOS2]],"CAMION")</f>
        <v>0</v>
      </c>
      <c r="AA892" s="36">
        <f>COUNTIF(Tabla1[[#This Row],[VEHICULOS_ACCIDENTADOS]:[VEHICULOS_ACCIDENTADOS2]],"TRACTOCAMION")</f>
        <v>0</v>
      </c>
      <c r="AB892" s="36">
        <f>COUNTIF(Tabla1[[#This Row],[VEHICULOS_ACCIDENTADOS]:[VEHICULOS_ACCIDENTADOS2]],"VOLQUETA")</f>
        <v>0</v>
      </c>
      <c r="AC892" s="36">
        <f>COUNTIF(Tabla1[[#This Row],[VEHICULOS_ACCIDENTADOS]:[VEHICULOS_ACCIDENTADOS2]],"BICICLETA")</f>
        <v>0</v>
      </c>
      <c r="AD892" s="43" t="s">
        <v>471</v>
      </c>
      <c r="AE892" s="43"/>
      <c r="AF892" s="43">
        <f>COUNTIF(Tabla1[[#This Row],[GENERO_MASCULINO]:[GENERO_FEMENINO]],"MASCULINO")</f>
        <v>1</v>
      </c>
      <c r="AG892" s="36">
        <f>COUNTIF(Tabla1[[#This Row],[GENERO_MASCULINO]:[GENERO_FEMENINO]],"FEMENINO")</f>
        <v>0</v>
      </c>
      <c r="AH892" s="86">
        <v>22</v>
      </c>
      <c r="AI892" s="86"/>
      <c r="AJ892" s="86"/>
      <c r="AK892" s="86"/>
      <c r="AL892" s="86"/>
      <c r="AM892" s="15"/>
      <c r="AN892" s="86">
        <v>157</v>
      </c>
      <c r="AO892" s="36" t="str">
        <f>IFERROR(((VLOOKUP(Tabla1[[#This Row],[HIPOTESIS_1]],listas!$D$1:$E$105,2,FALSE))),"SIN INFORMACIÓN")</f>
        <v>Otra</v>
      </c>
      <c r="AP892" s="15"/>
      <c r="AQ892" s="36" t="str">
        <f>IFERROR(((VLOOKUP(Tabla1[[#This Row],[HIPOTESIS_2]],listas!$D$1:$E$105,2,FALSE))),"")</f>
        <v/>
      </c>
      <c r="AR892" s="1" t="str">
        <f>IF(HOUR(Tabla1[[#This Row],[HORA_ACCIDENTE]])&lt;6,"MAÑANA",
 IF(HOUR(Tabla1[[#This Row],[HORA_ACCIDENTE]])&lt;12,"MAÑANA",
 IF(HOUR(Tabla1[[#This Row],[HORA_ACCIDENTE]])&lt;18,"TARDE","NOCHE")))</f>
        <v>TARDE</v>
      </c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  <c r="BC892" s="15"/>
      <c r="BD892" s="40"/>
    </row>
    <row r="893" spans="1:56" x14ac:dyDescent="0.25">
      <c r="A893" s="12">
        <v>1092</v>
      </c>
      <c r="B893" s="47">
        <v>1</v>
      </c>
      <c r="C893" s="152">
        <v>0</v>
      </c>
      <c r="D893" s="24">
        <v>0</v>
      </c>
      <c r="E893" s="24" t="str">
        <f t="shared" si="52"/>
        <v>SOLO DAÑO</v>
      </c>
      <c r="F893" s="24" t="s">
        <v>1070</v>
      </c>
      <c r="G893" s="30">
        <v>5.3303051639999399</v>
      </c>
      <c r="H893" s="30">
        <v>-72.409709231998704</v>
      </c>
      <c r="I893" s="165" t="s">
        <v>697</v>
      </c>
      <c r="J893" s="7" t="s">
        <v>717</v>
      </c>
      <c r="K893" s="24" t="str">
        <f t="shared" si="53"/>
        <v>2025</v>
      </c>
      <c r="L893" s="24" t="str">
        <f t="shared" si="54"/>
        <v>SEPTIEMBRE</v>
      </c>
      <c r="M893" s="232">
        <v>45922</v>
      </c>
      <c r="N893" s="24" t="str">
        <f t="shared" si="55"/>
        <v>LUNES</v>
      </c>
      <c r="O893" s="106">
        <v>0.90555555555555556</v>
      </c>
      <c r="P893" s="8" t="s">
        <v>441</v>
      </c>
      <c r="Q893" s="8"/>
      <c r="R893" s="36">
        <f>COUNTIF(Tabla1[[#This Row],[VEHICULOS_ACCIDENTADOS]:[VEHICULOS_ACCIDENTADOS2]],"MOTOCICLETA")</f>
        <v>0</v>
      </c>
      <c r="S893" s="36">
        <f>COUNTIF(Tabla1[[#This Row],[VEHICULOS_ACCIDENTADOS]:[VEHICULOS_ACCIDENTADOS2]],"MOTOCARRO")</f>
        <v>0</v>
      </c>
      <c r="T893" s="36">
        <f>COUNTIF(Tabla1[[#This Row],[VEHICULOS_ACCIDENTADOS]:[VEHICULOS_ACCIDENTADOS2]],"AUTOMOVIL")</f>
        <v>0</v>
      </c>
      <c r="U893" s="36">
        <f>COUNTIF(Tabla1[[#This Row],[VEHICULOS_ACCIDENTADOS]:[VEHICULOS_ACCIDENTADOS2]],"CAMPERO")</f>
        <v>0</v>
      </c>
      <c r="V893" s="36">
        <f>COUNTIF(Tabla1[[#This Row],[VEHICULOS_ACCIDENTADOS]:[VEHICULOS_ACCIDENTADOS2]],"CAMIONETA")</f>
        <v>0</v>
      </c>
      <c r="W893" s="36">
        <f>COUNTIF(Tabla1[[#This Row],[VEHICULOS_ACCIDENTADOS]:[VEHICULOS_ACCIDENTADOS2]],"MICROBUS")</f>
        <v>0</v>
      </c>
      <c r="X893" s="36">
        <f>COUNTIF(Tabla1[[#This Row],[VEHICULOS_ACCIDENTADOS]:[VEHICULOS_ACCIDENTADOS2]],"BUS")</f>
        <v>0</v>
      </c>
      <c r="Y893" s="36">
        <f>COUNTIF(Tabla1[[#This Row],[VEHICULOS_ACCIDENTADOS]:[VEHICULOS_ACCIDENTADOS2]],"BUSETA")</f>
        <v>0</v>
      </c>
      <c r="Z893" s="36">
        <f>COUNTIF(Tabla1[[#This Row],[VEHICULOS_ACCIDENTADOS]:[VEHICULOS_ACCIDENTADOS2]],"CAMION")</f>
        <v>1</v>
      </c>
      <c r="AA893" s="36">
        <f>COUNTIF(Tabla1[[#This Row],[VEHICULOS_ACCIDENTADOS]:[VEHICULOS_ACCIDENTADOS2]],"TRACTOCAMION")</f>
        <v>0</v>
      </c>
      <c r="AB893" s="36">
        <f>COUNTIF(Tabla1[[#This Row],[VEHICULOS_ACCIDENTADOS]:[VEHICULOS_ACCIDENTADOS2]],"VOLQUETA")</f>
        <v>0</v>
      </c>
      <c r="AC893" s="36">
        <f>COUNTIF(Tabla1[[#This Row],[VEHICULOS_ACCIDENTADOS]:[VEHICULOS_ACCIDENTADOS2]],"BICICLETA")</f>
        <v>0</v>
      </c>
      <c r="AD893" s="189" t="s">
        <v>471</v>
      </c>
      <c r="AE893" s="189"/>
      <c r="AF893" s="38">
        <f>COUNTIF(Tabla1[[#This Row],[GENERO_MASCULINO]:[GENERO_FEMENINO]],"MASCULINO")</f>
        <v>1</v>
      </c>
      <c r="AG893" s="36">
        <f>COUNTIF(Tabla1[[#This Row],[GENERO_MASCULINO]:[GENERO_FEMENINO]],"FEMENINO")</f>
        <v>0</v>
      </c>
      <c r="AH893" s="86"/>
      <c r="AI893" s="86"/>
      <c r="AJ893" s="86"/>
      <c r="AK893" s="87"/>
      <c r="AL893" s="87"/>
      <c r="AM893" s="6"/>
      <c r="AN893" s="73">
        <v>122</v>
      </c>
      <c r="AO893" s="59" t="str">
        <f>IFERROR(((VLOOKUP(Tabla1[[#This Row],[HIPOTESIS_1]],listas!$D$1:$E$105,2,FALSE))),"SIN INFORMACIÓN")</f>
        <v>Girar bruscamente.</v>
      </c>
      <c r="AP893" s="7"/>
      <c r="AQ893" s="36" t="str">
        <f>IFERROR(((VLOOKUP(Tabla1[[#This Row],[HIPOTESIS_2]],listas!$D$1:$E$105,2,FALSE))),"")</f>
        <v/>
      </c>
      <c r="AR893" s="2" t="str">
        <f>IF(HOUR(Tabla1[[#This Row],[HORA_ACCIDENTE]])&lt;6,"MAÑANA",
 IF(HOUR(Tabla1[[#This Row],[HORA_ACCIDENTE]])&lt;12,"MAÑANA",
 IF(HOUR(Tabla1[[#This Row],[HORA_ACCIDENTE]])&lt;18,"TARDE","NOCHE")))</f>
        <v>NOCHE</v>
      </c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40"/>
    </row>
    <row r="894" spans="1:56" x14ac:dyDescent="0.25">
      <c r="A894" s="12">
        <v>96</v>
      </c>
      <c r="B894" s="38">
        <v>0</v>
      </c>
      <c r="C894" s="38">
        <v>1</v>
      </c>
      <c r="D894" s="7">
        <v>0</v>
      </c>
      <c r="E894" s="18" t="str">
        <f t="shared" si="52"/>
        <v>LESIONADO</v>
      </c>
      <c r="F894" s="7" t="s">
        <v>1070</v>
      </c>
      <c r="G894" s="17">
        <v>5.3301861111111108</v>
      </c>
      <c r="H894" s="17">
        <v>-72.40955277777779</v>
      </c>
      <c r="I894" s="17" t="s">
        <v>697</v>
      </c>
      <c r="J894" s="7" t="s">
        <v>717</v>
      </c>
      <c r="K894" s="24" t="str">
        <f t="shared" si="53"/>
        <v>2022</v>
      </c>
      <c r="L894" s="24" t="str">
        <f t="shared" si="54"/>
        <v>MARZO</v>
      </c>
      <c r="M894" s="232">
        <v>44641</v>
      </c>
      <c r="N894" s="24" t="str">
        <f t="shared" si="55"/>
        <v>LUNES</v>
      </c>
      <c r="O894" s="106">
        <v>0.46527777777777801</v>
      </c>
      <c r="P894" s="184" t="s">
        <v>447</v>
      </c>
      <c r="Q894" s="184" t="s">
        <v>438</v>
      </c>
      <c r="R894" s="36">
        <f>COUNTIF(Tabla1[[#This Row],[VEHICULOS_ACCIDENTADOS]:[VEHICULOS_ACCIDENTADOS2]],"MOTOCICLETA")</f>
        <v>0</v>
      </c>
      <c r="S894" s="36">
        <f>COUNTIF(Tabla1[[#This Row],[VEHICULOS_ACCIDENTADOS]:[VEHICULOS_ACCIDENTADOS2]],"MOTOCARRO")</f>
        <v>0</v>
      </c>
      <c r="T894" s="36">
        <f>COUNTIF(Tabla1[[#This Row],[VEHICULOS_ACCIDENTADOS]:[VEHICULOS_ACCIDENTADOS2]],"AUTOMOVIL")</f>
        <v>1</v>
      </c>
      <c r="U894" s="36">
        <f>COUNTIF(Tabla1[[#This Row],[VEHICULOS_ACCIDENTADOS]:[VEHICULOS_ACCIDENTADOS2]],"CAMPERO")</f>
        <v>0</v>
      </c>
      <c r="V894" s="36">
        <f>COUNTIF(Tabla1[[#This Row],[VEHICULOS_ACCIDENTADOS]:[VEHICULOS_ACCIDENTADOS2]],"CAMIONETA")</f>
        <v>0</v>
      </c>
      <c r="W894" s="36">
        <f>COUNTIF(Tabla1[[#This Row],[VEHICULOS_ACCIDENTADOS]:[VEHICULOS_ACCIDENTADOS2]],"MICROBUS")</f>
        <v>0</v>
      </c>
      <c r="X894" s="36">
        <f>COUNTIF(Tabla1[[#This Row],[VEHICULOS_ACCIDENTADOS]:[VEHICULOS_ACCIDENTADOS2]],"BUS")</f>
        <v>0</v>
      </c>
      <c r="Y894" s="36">
        <f>COUNTIF(Tabla1[[#This Row],[VEHICULOS_ACCIDENTADOS]:[VEHICULOS_ACCIDENTADOS2]],"BUSETA")</f>
        <v>0</v>
      </c>
      <c r="Z894" s="36">
        <f>COUNTIF(Tabla1[[#This Row],[VEHICULOS_ACCIDENTADOS]:[VEHICULOS_ACCIDENTADOS2]],"CAMION")</f>
        <v>0</v>
      </c>
      <c r="AA894" s="36">
        <f>COUNTIF(Tabla1[[#This Row],[VEHICULOS_ACCIDENTADOS]:[VEHICULOS_ACCIDENTADOS2]],"TRACTOCAMION")</f>
        <v>0</v>
      </c>
      <c r="AB894" s="36">
        <f>COUNTIF(Tabla1[[#This Row],[VEHICULOS_ACCIDENTADOS]:[VEHICULOS_ACCIDENTADOS2]],"VOLQUETA")</f>
        <v>0</v>
      </c>
      <c r="AC894" s="36">
        <f>COUNTIF(Tabla1[[#This Row],[VEHICULOS_ACCIDENTADOS]:[VEHICULOS_ACCIDENTADOS2]],"BICICLETA")</f>
        <v>1</v>
      </c>
      <c r="AD894" s="29" t="s">
        <v>471</v>
      </c>
      <c r="AE894" s="29"/>
      <c r="AF894" s="29">
        <f>COUNTIF(Tabla1[[#This Row],[GENERO_MASCULINO]:[GENERO_FEMENINO]],"MASCULINO")</f>
        <v>1</v>
      </c>
      <c r="AG894" s="36">
        <f>COUNTIF(Tabla1[[#This Row],[GENERO_MASCULINO]:[GENERO_FEMENINO]],"FEMENINO")</f>
        <v>0</v>
      </c>
      <c r="AH894" s="195">
        <v>62</v>
      </c>
      <c r="AI894" s="195"/>
      <c r="AJ894" s="195"/>
      <c r="AK894" s="73"/>
      <c r="AL894" s="73"/>
      <c r="AM894" s="7"/>
      <c r="AN894" s="73">
        <v>112</v>
      </c>
      <c r="AO894" s="36" t="str">
        <f>IFERROR(((VLOOKUP(Tabla1[[#This Row],[HIPOTESIS_1]],listas!$D$1:$E$105,2,FALSE))),"SIN INFORMACIÓN")</f>
        <v>Desobedecer señales o normas de tránsito.</v>
      </c>
      <c r="AP894" s="7"/>
      <c r="AQ894" s="36" t="str">
        <f>IFERROR(((VLOOKUP(Tabla1[[#This Row],[HIPOTESIS_2]],listas!$D$1:$E$105,2,FALSE))),"")</f>
        <v/>
      </c>
      <c r="AR894" s="1" t="str">
        <f>IF(HOUR(Tabla1[[#This Row],[HORA_ACCIDENTE]])&lt;6,"MAÑANA",
 IF(HOUR(Tabla1[[#This Row],[HORA_ACCIDENTE]])&lt;12,"MAÑANA",
 IF(HOUR(Tabla1[[#This Row],[HORA_ACCIDENTE]])&lt;18,"TARDE","NOCHE")))</f>
        <v>MAÑANA</v>
      </c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  <c r="BD894" s="40"/>
    </row>
    <row r="895" spans="1:56" x14ac:dyDescent="0.25">
      <c r="A895" s="12">
        <v>36</v>
      </c>
      <c r="B895" s="38">
        <v>1</v>
      </c>
      <c r="C895" s="38">
        <v>0</v>
      </c>
      <c r="D895" s="7">
        <v>0</v>
      </c>
      <c r="E895" s="18" t="str">
        <f t="shared" si="52"/>
        <v>SOLO DAÑO</v>
      </c>
      <c r="F895" s="7" t="s">
        <v>1094</v>
      </c>
      <c r="G895" s="17">
        <v>5.3187444444444445</v>
      </c>
      <c r="H895" s="17">
        <v>-72.404452777777777</v>
      </c>
      <c r="I895" s="93" t="s">
        <v>697</v>
      </c>
      <c r="J895" s="7" t="s">
        <v>717</v>
      </c>
      <c r="K895" s="24" t="str">
        <f t="shared" si="53"/>
        <v>2022</v>
      </c>
      <c r="L895" s="24" t="str">
        <f t="shared" si="54"/>
        <v>ENERO</v>
      </c>
      <c r="M895" s="232">
        <v>44590</v>
      </c>
      <c r="N895" s="24" t="str">
        <f t="shared" si="55"/>
        <v>SÁBADO</v>
      </c>
      <c r="O895" s="106">
        <v>6.9444444444444406E-2</v>
      </c>
      <c r="P895" s="184" t="s">
        <v>445</v>
      </c>
      <c r="Q895" s="184"/>
      <c r="R895" s="36">
        <f>COUNTIF(Tabla1[[#This Row],[VEHICULOS_ACCIDENTADOS]:[VEHICULOS_ACCIDENTADOS2]],"MOTOCICLETA")</f>
        <v>0</v>
      </c>
      <c r="S895" s="36">
        <f>COUNTIF(Tabla1[[#This Row],[VEHICULOS_ACCIDENTADOS]:[VEHICULOS_ACCIDENTADOS2]],"MOTOCARRO")</f>
        <v>0</v>
      </c>
      <c r="T895" s="36">
        <f>COUNTIF(Tabla1[[#This Row],[VEHICULOS_ACCIDENTADOS]:[VEHICULOS_ACCIDENTADOS2]],"AUTOMOVIL")</f>
        <v>0</v>
      </c>
      <c r="U895" s="36">
        <f>COUNTIF(Tabla1[[#This Row],[VEHICULOS_ACCIDENTADOS]:[VEHICULOS_ACCIDENTADOS2]],"CAMPERO")</f>
        <v>0</v>
      </c>
      <c r="V895" s="36">
        <f>COUNTIF(Tabla1[[#This Row],[VEHICULOS_ACCIDENTADOS]:[VEHICULOS_ACCIDENTADOS2]],"CAMIONETA")</f>
        <v>1</v>
      </c>
      <c r="W895" s="36">
        <f>COUNTIF(Tabla1[[#This Row],[VEHICULOS_ACCIDENTADOS]:[VEHICULOS_ACCIDENTADOS2]],"MICROBUS")</f>
        <v>0</v>
      </c>
      <c r="X895" s="36">
        <f>COUNTIF(Tabla1[[#This Row],[VEHICULOS_ACCIDENTADOS]:[VEHICULOS_ACCIDENTADOS2]],"BUS")</f>
        <v>0</v>
      </c>
      <c r="Y895" s="36">
        <f>COUNTIF(Tabla1[[#This Row],[VEHICULOS_ACCIDENTADOS]:[VEHICULOS_ACCIDENTADOS2]],"BUSETA")</f>
        <v>0</v>
      </c>
      <c r="Z895" s="36">
        <f>COUNTIF(Tabla1[[#This Row],[VEHICULOS_ACCIDENTADOS]:[VEHICULOS_ACCIDENTADOS2]],"CAMION")</f>
        <v>0</v>
      </c>
      <c r="AA895" s="36">
        <f>COUNTIF(Tabla1[[#This Row],[VEHICULOS_ACCIDENTADOS]:[VEHICULOS_ACCIDENTADOS2]],"TRACTOCAMION")</f>
        <v>0</v>
      </c>
      <c r="AB895" s="36">
        <f>COUNTIF(Tabla1[[#This Row],[VEHICULOS_ACCIDENTADOS]:[VEHICULOS_ACCIDENTADOS2]],"VOLQUETA")</f>
        <v>0</v>
      </c>
      <c r="AC895" s="36">
        <f>COUNTIF(Tabla1[[#This Row],[VEHICULOS_ACCIDENTADOS]:[VEHICULOS_ACCIDENTADOS2]],"BICICLETA")</f>
        <v>0</v>
      </c>
      <c r="AD895" s="29" t="s">
        <v>471</v>
      </c>
      <c r="AE895" s="29"/>
      <c r="AF895" s="29">
        <f>COUNTIF(Tabla1[[#This Row],[GENERO_MASCULINO]:[GENERO_FEMENINO]],"MASCULINO")</f>
        <v>1</v>
      </c>
      <c r="AG895" s="36">
        <f>COUNTIF(Tabla1[[#This Row],[GENERO_MASCULINO]:[GENERO_FEMENINO]],"FEMENINO")</f>
        <v>0</v>
      </c>
      <c r="AH895" s="195"/>
      <c r="AI895" s="195"/>
      <c r="AJ895" s="195"/>
      <c r="AK895" s="73"/>
      <c r="AL895" s="73"/>
      <c r="AM895" s="7"/>
      <c r="AN895" s="73">
        <v>139</v>
      </c>
      <c r="AO895" s="36" t="str">
        <f>IFERROR(((VLOOKUP(Tabla1[[#This Row],[HIPOTESIS_1]],listas!$D$1:$E$105,2,FALSE))),"SIN INFORMACIÓN")</f>
        <v>Impericia en el manejo.</v>
      </c>
      <c r="AP895" s="7"/>
      <c r="AQ895" s="36" t="str">
        <f>IFERROR(((VLOOKUP(Tabla1[[#This Row],[HIPOTESIS_2]],listas!$D$1:$E$105,2,FALSE))),"")</f>
        <v/>
      </c>
      <c r="AR895" s="1" t="str">
        <f>IF(HOUR(Tabla1[[#This Row],[HORA_ACCIDENTE]])&lt;6,"MAÑANA",
 IF(HOUR(Tabla1[[#This Row],[HORA_ACCIDENTE]])&lt;12,"MAÑANA",
 IF(HOUR(Tabla1[[#This Row],[HORA_ACCIDENTE]])&lt;18,"TARDE","NOCHE")))</f>
        <v>MAÑANA</v>
      </c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40"/>
    </row>
    <row r="896" spans="1:56" x14ac:dyDescent="0.25">
      <c r="A896" s="12">
        <v>12</v>
      </c>
      <c r="B896" s="38">
        <v>0</v>
      </c>
      <c r="C896" s="29">
        <v>1</v>
      </c>
      <c r="D896" s="7">
        <v>0</v>
      </c>
      <c r="E896" s="18" t="str">
        <f t="shared" si="52"/>
        <v>LESIONADO</v>
      </c>
      <c r="F896" s="7" t="s">
        <v>1094</v>
      </c>
      <c r="G896" s="17">
        <v>5.3187444444444445</v>
      </c>
      <c r="H896" s="17">
        <v>-72.404452777777777</v>
      </c>
      <c r="I896" s="93" t="s">
        <v>697</v>
      </c>
      <c r="J896" s="7" t="s">
        <v>717</v>
      </c>
      <c r="K896" s="24" t="str">
        <f t="shared" si="53"/>
        <v>2022</v>
      </c>
      <c r="L896" s="24" t="str">
        <f t="shared" si="54"/>
        <v>ENERO</v>
      </c>
      <c r="M896" s="232">
        <v>44577</v>
      </c>
      <c r="N896" s="24" t="str">
        <f t="shared" si="55"/>
        <v>DOMINGO</v>
      </c>
      <c r="O896" s="106">
        <v>0.23958333333333334</v>
      </c>
      <c r="P896" s="8" t="s">
        <v>469</v>
      </c>
      <c r="Q896" s="8"/>
      <c r="R896" s="36">
        <f>COUNTIF(Tabla1[[#This Row],[VEHICULOS_ACCIDENTADOS]:[VEHICULOS_ACCIDENTADOS2]],"MOTOCICLETA")</f>
        <v>1</v>
      </c>
      <c r="S896" s="36">
        <f>COUNTIF(Tabla1[[#This Row],[VEHICULOS_ACCIDENTADOS]:[VEHICULOS_ACCIDENTADOS2]],"MOTOCARRO")</f>
        <v>0</v>
      </c>
      <c r="T896" s="36">
        <f>COUNTIF(Tabla1[[#This Row],[VEHICULOS_ACCIDENTADOS]:[VEHICULOS_ACCIDENTADOS2]],"AUTOMOVIL")</f>
        <v>0</v>
      </c>
      <c r="U896" s="36">
        <f>COUNTIF(Tabla1[[#This Row],[VEHICULOS_ACCIDENTADOS]:[VEHICULOS_ACCIDENTADOS2]],"CAMPERO")</f>
        <v>0</v>
      </c>
      <c r="V896" s="36">
        <f>COUNTIF(Tabla1[[#This Row],[VEHICULOS_ACCIDENTADOS]:[VEHICULOS_ACCIDENTADOS2]],"CAMIONETA")</f>
        <v>0</v>
      </c>
      <c r="W896" s="36">
        <f>COUNTIF(Tabla1[[#This Row],[VEHICULOS_ACCIDENTADOS]:[VEHICULOS_ACCIDENTADOS2]],"MICROBUS")</f>
        <v>0</v>
      </c>
      <c r="X896" s="36">
        <f>COUNTIF(Tabla1[[#This Row],[VEHICULOS_ACCIDENTADOS]:[VEHICULOS_ACCIDENTADOS2]],"BUS")</f>
        <v>0</v>
      </c>
      <c r="Y896" s="36">
        <f>COUNTIF(Tabla1[[#This Row],[VEHICULOS_ACCIDENTADOS]:[VEHICULOS_ACCIDENTADOS2]],"BUSETA")</f>
        <v>0</v>
      </c>
      <c r="Z896" s="36">
        <f>COUNTIF(Tabla1[[#This Row],[VEHICULOS_ACCIDENTADOS]:[VEHICULOS_ACCIDENTADOS2]],"CAMION")</f>
        <v>0</v>
      </c>
      <c r="AA896" s="36">
        <f>COUNTIF(Tabla1[[#This Row],[VEHICULOS_ACCIDENTADOS]:[VEHICULOS_ACCIDENTADOS2]],"TRACTOCAMION")</f>
        <v>0</v>
      </c>
      <c r="AB896" s="36">
        <f>COUNTIF(Tabla1[[#This Row],[VEHICULOS_ACCIDENTADOS]:[VEHICULOS_ACCIDENTADOS2]],"VOLQUETA")</f>
        <v>0</v>
      </c>
      <c r="AC896" s="36">
        <f>COUNTIF(Tabla1[[#This Row],[VEHICULOS_ACCIDENTADOS]:[VEHICULOS_ACCIDENTADOS2]],"BICICLETA")</f>
        <v>0</v>
      </c>
      <c r="AD896" s="38" t="s">
        <v>471</v>
      </c>
      <c r="AE896" s="38"/>
      <c r="AF896" s="38">
        <f>COUNTIF(Tabla1[[#This Row],[GENERO_MASCULINO]:[GENERO_FEMENINO]],"MASCULINO")</f>
        <v>1</v>
      </c>
      <c r="AG896" s="36">
        <f>COUNTIF(Tabla1[[#This Row],[GENERO_MASCULINO]:[GENERO_FEMENINO]],"FEMENINO")</f>
        <v>0</v>
      </c>
      <c r="AH896" s="73">
        <v>40</v>
      </c>
      <c r="AI896" s="73"/>
      <c r="AJ896" s="73"/>
      <c r="AK896" s="73"/>
      <c r="AL896" s="73"/>
      <c r="AM896" s="7"/>
      <c r="AN896" s="73">
        <v>114</v>
      </c>
      <c r="AO896" s="36" t="str">
        <f>IFERROR(((VLOOKUP(Tabla1[[#This Row],[HIPOTESIS_1]],listas!$D$1:$E$105,2,FALSE))),"SIN INFORMACIÓN")</f>
        <v>Embriaguez aparente.</v>
      </c>
      <c r="AP896" s="7"/>
      <c r="AQ896" s="36" t="str">
        <f>IFERROR(((VLOOKUP(Tabla1[[#This Row],[HIPOTESIS_2]],listas!$D$1:$E$105,2,FALSE))),"")</f>
        <v/>
      </c>
      <c r="AR896" s="1" t="str">
        <f>IF(HOUR(Tabla1[[#This Row],[HORA_ACCIDENTE]])&lt;6,"MAÑANA",
 IF(HOUR(Tabla1[[#This Row],[HORA_ACCIDENTE]])&lt;12,"MAÑANA",
 IF(HOUR(Tabla1[[#This Row],[HORA_ACCIDENTE]])&lt;18,"TARDE","NOCHE")))</f>
        <v>MAÑANA</v>
      </c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  <c r="BC896" s="15"/>
      <c r="BD896" s="40"/>
    </row>
    <row r="897" spans="1:56" x14ac:dyDescent="0.25">
      <c r="A897" s="12">
        <v>870</v>
      </c>
      <c r="B897" s="43">
        <v>1</v>
      </c>
      <c r="C897" s="26">
        <v>0</v>
      </c>
      <c r="D897" s="15">
        <v>0</v>
      </c>
      <c r="E897" s="18" t="str">
        <f t="shared" si="52"/>
        <v>SOLO DAÑO</v>
      </c>
      <c r="F897" s="15" t="s">
        <v>1094</v>
      </c>
      <c r="G897" s="17">
        <v>5.3187444444444445</v>
      </c>
      <c r="H897" s="17">
        <v>-72.404452777777777</v>
      </c>
      <c r="I897" s="93" t="s">
        <v>697</v>
      </c>
      <c r="J897" s="21" t="s">
        <v>717</v>
      </c>
      <c r="K897" s="24" t="str">
        <f t="shared" si="53"/>
        <v>2025</v>
      </c>
      <c r="L897" s="24" t="str">
        <f t="shared" si="54"/>
        <v>FEBRERO</v>
      </c>
      <c r="M897" s="234">
        <v>45696</v>
      </c>
      <c r="N897" s="24" t="str">
        <f t="shared" si="55"/>
        <v>SÁBADO</v>
      </c>
      <c r="O897" s="108">
        <v>0.95833333333333337</v>
      </c>
      <c r="P897" s="44" t="s">
        <v>445</v>
      </c>
      <c r="Q897" s="44"/>
      <c r="R897" s="36">
        <f>COUNTIF(Tabla1[[#This Row],[VEHICULOS_ACCIDENTADOS]:[VEHICULOS_ACCIDENTADOS2]],"MOTOCICLETA")</f>
        <v>0</v>
      </c>
      <c r="S897" s="36">
        <f>COUNTIF(Tabla1[[#This Row],[VEHICULOS_ACCIDENTADOS]:[VEHICULOS_ACCIDENTADOS2]],"MOTOCARRO")</f>
        <v>0</v>
      </c>
      <c r="T897" s="36">
        <f>COUNTIF(Tabla1[[#This Row],[VEHICULOS_ACCIDENTADOS]:[VEHICULOS_ACCIDENTADOS2]],"AUTOMOVIL")</f>
        <v>0</v>
      </c>
      <c r="U897" s="36">
        <f>COUNTIF(Tabla1[[#This Row],[VEHICULOS_ACCIDENTADOS]:[VEHICULOS_ACCIDENTADOS2]],"CAMPERO")</f>
        <v>0</v>
      </c>
      <c r="V897" s="36">
        <f>COUNTIF(Tabla1[[#This Row],[VEHICULOS_ACCIDENTADOS]:[VEHICULOS_ACCIDENTADOS2]],"CAMIONETA")</f>
        <v>1</v>
      </c>
      <c r="W897" s="36">
        <f>COUNTIF(Tabla1[[#This Row],[VEHICULOS_ACCIDENTADOS]:[VEHICULOS_ACCIDENTADOS2]],"MICROBUS")</f>
        <v>0</v>
      </c>
      <c r="X897" s="36">
        <f>COUNTIF(Tabla1[[#This Row],[VEHICULOS_ACCIDENTADOS]:[VEHICULOS_ACCIDENTADOS2]],"BUS")</f>
        <v>0</v>
      </c>
      <c r="Y897" s="36">
        <f>COUNTIF(Tabla1[[#This Row],[VEHICULOS_ACCIDENTADOS]:[VEHICULOS_ACCIDENTADOS2]],"BUSETA")</f>
        <v>0</v>
      </c>
      <c r="Z897" s="36">
        <f>COUNTIF(Tabla1[[#This Row],[VEHICULOS_ACCIDENTADOS]:[VEHICULOS_ACCIDENTADOS2]],"CAMION")</f>
        <v>0</v>
      </c>
      <c r="AA897" s="36">
        <f>COUNTIF(Tabla1[[#This Row],[VEHICULOS_ACCIDENTADOS]:[VEHICULOS_ACCIDENTADOS2]],"TRACTOCAMION")</f>
        <v>0</v>
      </c>
      <c r="AB897" s="36">
        <f>COUNTIF(Tabla1[[#This Row],[VEHICULOS_ACCIDENTADOS]:[VEHICULOS_ACCIDENTADOS2]],"VOLQUETA")</f>
        <v>0</v>
      </c>
      <c r="AC897" s="36">
        <f>COUNTIF(Tabla1[[#This Row],[VEHICULOS_ACCIDENTADOS]:[VEHICULOS_ACCIDENTADOS2]],"BICICLETA")</f>
        <v>0</v>
      </c>
      <c r="AD897" s="43" t="s">
        <v>471</v>
      </c>
      <c r="AE897" s="43"/>
      <c r="AF897" s="43">
        <f>COUNTIF(Tabla1[[#This Row],[GENERO_MASCULINO]:[GENERO_FEMENINO]],"MASCULINO")</f>
        <v>1</v>
      </c>
      <c r="AG897" s="36">
        <f>COUNTIF(Tabla1[[#This Row],[GENERO_MASCULINO]:[GENERO_FEMENINO]],"FEMENINO")</f>
        <v>0</v>
      </c>
      <c r="AH897" s="86">
        <v>49</v>
      </c>
      <c r="AI897" s="86"/>
      <c r="AJ897" s="86"/>
      <c r="AK897" s="86"/>
      <c r="AL897" s="86"/>
      <c r="AM897" s="15"/>
      <c r="AN897" s="86">
        <v>110</v>
      </c>
      <c r="AO897" s="36" t="str">
        <f>IFERROR(((VLOOKUP(Tabla1[[#This Row],[HIPOTESIS_1]],listas!$D$1:$E$105,2,FALSE))),"SIN INFORMACIÓN")</f>
        <v>Exceso en horas de conducción.</v>
      </c>
      <c r="AP897" s="15"/>
      <c r="AQ897" s="36" t="str">
        <f>IFERROR(((VLOOKUP(Tabla1[[#This Row],[HIPOTESIS_2]],listas!$D$1:$E$105,2,FALSE))),"")</f>
        <v/>
      </c>
      <c r="AR897" s="1" t="str">
        <f>IF(HOUR(Tabla1[[#This Row],[HORA_ACCIDENTE]])&lt;6,"MAÑANA",
 IF(HOUR(Tabla1[[#This Row],[HORA_ACCIDENTE]])&lt;12,"MAÑANA",
 IF(HOUR(Tabla1[[#This Row],[HORA_ACCIDENTE]])&lt;18,"TARDE","NOCHE")))</f>
        <v>NOCHE</v>
      </c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40"/>
    </row>
    <row r="898" spans="1:56" x14ac:dyDescent="0.25">
      <c r="A898" s="12">
        <v>932</v>
      </c>
      <c r="B898" s="97">
        <v>0</v>
      </c>
      <c r="C898" s="29">
        <v>2</v>
      </c>
      <c r="D898" s="15">
        <v>0</v>
      </c>
      <c r="E898" s="18" t="str">
        <f t="shared" ref="E898:E961" si="56">IF(D898&gt;=1,"FALLECIDO",IF(C898&gt;=1,"LESIONADO",IF(B898&gt;=1,"SOLO DAÑO","")))</f>
        <v>LESIONADO</v>
      </c>
      <c r="F898" s="7" t="s">
        <v>1095</v>
      </c>
      <c r="G898" s="17">
        <v>5.3187444444444445</v>
      </c>
      <c r="H898" s="17">
        <v>-72.404452777777777</v>
      </c>
      <c r="I898" s="93" t="s">
        <v>697</v>
      </c>
      <c r="J898" s="7" t="s">
        <v>717</v>
      </c>
      <c r="K898" s="24" t="str">
        <f t="shared" ref="K898:K961" si="57">UPPER(TEXT(M898,"YYYY"))</f>
        <v>2025</v>
      </c>
      <c r="L898" s="24" t="str">
        <f t="shared" ref="L898:L961" si="58">UPPER(TEXT(M898,"MMMM"))</f>
        <v>ABRIL</v>
      </c>
      <c r="M898" s="232">
        <v>45758</v>
      </c>
      <c r="N898" s="24" t="str">
        <f t="shared" ref="N898:N961" si="59">UPPER(TEXT(M898,"DDDD"))</f>
        <v>VIERNES</v>
      </c>
      <c r="O898" s="106">
        <v>0.64583333333333337</v>
      </c>
      <c r="P898" s="7" t="s">
        <v>469</v>
      </c>
      <c r="Q898" s="7" t="s">
        <v>441</v>
      </c>
      <c r="R898" s="36">
        <f>COUNTIF(Tabla1[[#This Row],[VEHICULOS_ACCIDENTADOS]:[VEHICULOS_ACCIDENTADOS2]],"MOTOCICLETA")</f>
        <v>1</v>
      </c>
      <c r="S898" s="36">
        <f>COUNTIF(Tabla1[[#This Row],[VEHICULOS_ACCIDENTADOS]:[VEHICULOS_ACCIDENTADOS2]],"MOTOCARRO")</f>
        <v>0</v>
      </c>
      <c r="T898" s="36">
        <f>COUNTIF(Tabla1[[#This Row],[VEHICULOS_ACCIDENTADOS]:[VEHICULOS_ACCIDENTADOS2]],"AUTOMOVIL")</f>
        <v>0</v>
      </c>
      <c r="U898" s="36">
        <f>COUNTIF(Tabla1[[#This Row],[VEHICULOS_ACCIDENTADOS]:[VEHICULOS_ACCIDENTADOS2]],"CAMPERO")</f>
        <v>0</v>
      </c>
      <c r="V898" s="36">
        <f>COUNTIF(Tabla1[[#This Row],[VEHICULOS_ACCIDENTADOS]:[VEHICULOS_ACCIDENTADOS2]],"CAMIONETA")</f>
        <v>0</v>
      </c>
      <c r="W898" s="36">
        <f>COUNTIF(Tabla1[[#This Row],[VEHICULOS_ACCIDENTADOS]:[VEHICULOS_ACCIDENTADOS2]],"MICROBUS")</f>
        <v>0</v>
      </c>
      <c r="X898" s="36">
        <f>COUNTIF(Tabla1[[#This Row],[VEHICULOS_ACCIDENTADOS]:[VEHICULOS_ACCIDENTADOS2]],"BUS")</f>
        <v>0</v>
      </c>
      <c r="Y898" s="36">
        <f>COUNTIF(Tabla1[[#This Row],[VEHICULOS_ACCIDENTADOS]:[VEHICULOS_ACCIDENTADOS2]],"BUSETA")</f>
        <v>0</v>
      </c>
      <c r="Z898" s="36">
        <f>COUNTIF(Tabla1[[#This Row],[VEHICULOS_ACCIDENTADOS]:[VEHICULOS_ACCIDENTADOS2]],"CAMION")</f>
        <v>1</v>
      </c>
      <c r="AA898" s="36">
        <f>COUNTIF(Tabla1[[#This Row],[VEHICULOS_ACCIDENTADOS]:[VEHICULOS_ACCIDENTADOS2]],"TRACTOCAMION")</f>
        <v>0</v>
      </c>
      <c r="AB898" s="36">
        <f>COUNTIF(Tabla1[[#This Row],[VEHICULOS_ACCIDENTADOS]:[VEHICULOS_ACCIDENTADOS2]],"VOLQUETA")</f>
        <v>0</v>
      </c>
      <c r="AC898" s="36">
        <f>COUNTIF(Tabla1[[#This Row],[VEHICULOS_ACCIDENTADOS]:[VEHICULOS_ACCIDENTADOS2]],"BICICLETA")</f>
        <v>0</v>
      </c>
      <c r="AD898" s="38" t="s">
        <v>472</v>
      </c>
      <c r="AE898" s="38" t="s">
        <v>471</v>
      </c>
      <c r="AF898" s="38">
        <f>COUNTIF(Tabla1[[#This Row],[GENERO_MASCULINO]:[GENERO_FEMENINO]],"MASCULINO")</f>
        <v>1</v>
      </c>
      <c r="AG898" s="36">
        <f>COUNTIF(Tabla1[[#This Row],[GENERO_MASCULINO]:[GENERO_FEMENINO]],"FEMENINO")</f>
        <v>1</v>
      </c>
      <c r="AH898" s="86">
        <v>53</v>
      </c>
      <c r="AI898" s="86">
        <v>18</v>
      </c>
      <c r="AJ898" s="86">
        <v>9</v>
      </c>
      <c r="AK898" s="87"/>
      <c r="AL898" s="87"/>
      <c r="AM898" s="6"/>
      <c r="AN898" s="73">
        <v>145</v>
      </c>
      <c r="AO898" s="36" t="str">
        <f>IFERROR(((VLOOKUP(Tabla1[[#This Row],[HIPOTESIS_1]],listas!$D$1:$E$105,2,FALSE))),"SIN INFORMACIÓN")</f>
        <v>Arrancar sin precaución.</v>
      </c>
      <c r="AP898" s="7"/>
      <c r="AQ898" s="36" t="str">
        <f>IFERROR(((VLOOKUP(Tabla1[[#This Row],[HIPOTESIS_2]],listas!$D$1:$E$105,2,FALSE))),"")</f>
        <v/>
      </c>
      <c r="AR898" s="1" t="str">
        <f>IF(HOUR(Tabla1[[#This Row],[HORA_ACCIDENTE]])&lt;6,"MAÑANA",
 IF(HOUR(Tabla1[[#This Row],[HORA_ACCIDENTE]])&lt;12,"MAÑANA",
 IF(HOUR(Tabla1[[#This Row],[HORA_ACCIDENTE]])&lt;18,"TARDE","NOCHE")))</f>
        <v>TARDE</v>
      </c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  <c r="BD898" s="40"/>
    </row>
    <row r="899" spans="1:56" x14ac:dyDescent="0.25">
      <c r="A899" s="12">
        <v>192</v>
      </c>
      <c r="B899" s="38">
        <v>0</v>
      </c>
      <c r="C899" s="29">
        <v>1</v>
      </c>
      <c r="D899" s="7">
        <v>0</v>
      </c>
      <c r="E899" s="18" t="str">
        <f t="shared" si="56"/>
        <v>LESIONADO</v>
      </c>
      <c r="F899" s="7" t="s">
        <v>1097</v>
      </c>
      <c r="G899" s="17">
        <v>5.301708333333333</v>
      </c>
      <c r="H899" s="17">
        <v>-72.40303611111112</v>
      </c>
      <c r="I899" s="93" t="s">
        <v>697</v>
      </c>
      <c r="J899" s="7" t="s">
        <v>717</v>
      </c>
      <c r="K899" s="24" t="str">
        <f t="shared" si="57"/>
        <v>2022</v>
      </c>
      <c r="L899" s="24" t="str">
        <f t="shared" si="58"/>
        <v>MAYO</v>
      </c>
      <c r="M899" s="232">
        <v>44701</v>
      </c>
      <c r="N899" s="24" t="str">
        <f t="shared" si="59"/>
        <v>VIERNES</v>
      </c>
      <c r="O899" s="174">
        <v>0.85416666666666696</v>
      </c>
      <c r="P899" s="180" t="s">
        <v>469</v>
      </c>
      <c r="Q899" s="180"/>
      <c r="R899" s="36">
        <f>COUNTIF(Tabla1[[#This Row],[VEHICULOS_ACCIDENTADOS]:[VEHICULOS_ACCIDENTADOS2]],"MOTOCICLETA")</f>
        <v>1</v>
      </c>
      <c r="S899" s="36">
        <f>COUNTIF(Tabla1[[#This Row],[VEHICULOS_ACCIDENTADOS]:[VEHICULOS_ACCIDENTADOS2]],"MOTOCARRO")</f>
        <v>0</v>
      </c>
      <c r="T899" s="36">
        <f>COUNTIF(Tabla1[[#This Row],[VEHICULOS_ACCIDENTADOS]:[VEHICULOS_ACCIDENTADOS2]],"AUTOMOVIL")</f>
        <v>0</v>
      </c>
      <c r="U899" s="36">
        <f>COUNTIF(Tabla1[[#This Row],[VEHICULOS_ACCIDENTADOS]:[VEHICULOS_ACCIDENTADOS2]],"CAMPERO")</f>
        <v>0</v>
      </c>
      <c r="V899" s="36">
        <f>COUNTIF(Tabla1[[#This Row],[VEHICULOS_ACCIDENTADOS]:[VEHICULOS_ACCIDENTADOS2]],"CAMIONETA")</f>
        <v>0</v>
      </c>
      <c r="W899" s="36">
        <f>COUNTIF(Tabla1[[#This Row],[VEHICULOS_ACCIDENTADOS]:[VEHICULOS_ACCIDENTADOS2]],"MICROBUS")</f>
        <v>0</v>
      </c>
      <c r="X899" s="36">
        <f>COUNTIF(Tabla1[[#This Row],[VEHICULOS_ACCIDENTADOS]:[VEHICULOS_ACCIDENTADOS2]],"BUS")</f>
        <v>0</v>
      </c>
      <c r="Y899" s="36">
        <f>COUNTIF(Tabla1[[#This Row],[VEHICULOS_ACCIDENTADOS]:[VEHICULOS_ACCIDENTADOS2]],"BUSETA")</f>
        <v>0</v>
      </c>
      <c r="Z899" s="36">
        <f>COUNTIF(Tabla1[[#This Row],[VEHICULOS_ACCIDENTADOS]:[VEHICULOS_ACCIDENTADOS2]],"CAMION")</f>
        <v>0</v>
      </c>
      <c r="AA899" s="36">
        <f>COUNTIF(Tabla1[[#This Row],[VEHICULOS_ACCIDENTADOS]:[VEHICULOS_ACCIDENTADOS2]],"TRACTOCAMION")</f>
        <v>0</v>
      </c>
      <c r="AB899" s="36">
        <f>COUNTIF(Tabla1[[#This Row],[VEHICULOS_ACCIDENTADOS]:[VEHICULOS_ACCIDENTADOS2]],"VOLQUETA")</f>
        <v>0</v>
      </c>
      <c r="AC899" s="36">
        <f>COUNTIF(Tabla1[[#This Row],[VEHICULOS_ACCIDENTADOS]:[VEHICULOS_ACCIDENTADOS2]],"BICICLETA")</f>
        <v>0</v>
      </c>
      <c r="AD899" s="38" t="s">
        <v>471</v>
      </c>
      <c r="AE899" s="38"/>
      <c r="AF899" s="38">
        <f>COUNTIF(Tabla1[[#This Row],[GENERO_MASCULINO]:[GENERO_FEMENINO]],"MASCULINO")</f>
        <v>1</v>
      </c>
      <c r="AG899" s="36">
        <f>COUNTIF(Tabla1[[#This Row],[GENERO_MASCULINO]:[GENERO_FEMENINO]],"FEMENINO")</f>
        <v>0</v>
      </c>
      <c r="AH899" s="73">
        <v>44</v>
      </c>
      <c r="AI899" s="73"/>
      <c r="AJ899" s="73"/>
      <c r="AK899" s="73"/>
      <c r="AL899" s="73"/>
      <c r="AM899" s="7"/>
      <c r="AN899" s="73">
        <v>157</v>
      </c>
      <c r="AO899" s="36" t="str">
        <f>IFERROR(((VLOOKUP(Tabla1[[#This Row],[HIPOTESIS_1]],listas!$D$1:$E$105,2,FALSE))),"SIN INFORMACIÓN")</f>
        <v>Otra</v>
      </c>
      <c r="AP899" s="7"/>
      <c r="AQ899" s="36" t="str">
        <f>IFERROR(((VLOOKUP(Tabla1[[#This Row],[HIPOTESIS_2]],listas!$D$1:$E$105,2,FALSE))),"")</f>
        <v/>
      </c>
      <c r="AR899" s="1" t="str">
        <f>IF(HOUR(Tabla1[[#This Row],[HORA_ACCIDENTE]])&lt;6,"MAÑANA",
 IF(HOUR(Tabla1[[#This Row],[HORA_ACCIDENTE]])&lt;12,"MAÑANA",
 IF(HOUR(Tabla1[[#This Row],[HORA_ACCIDENTE]])&lt;18,"TARDE","NOCHE")))</f>
        <v>NOCHE</v>
      </c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40"/>
    </row>
    <row r="900" spans="1:56" x14ac:dyDescent="0.25">
      <c r="A900" s="12">
        <v>149</v>
      </c>
      <c r="B900" s="38">
        <v>0</v>
      </c>
      <c r="C900" s="29">
        <v>2</v>
      </c>
      <c r="D900" s="7">
        <v>0</v>
      </c>
      <c r="E900" s="18" t="str">
        <f t="shared" si="56"/>
        <v>LESIONADO</v>
      </c>
      <c r="F900" s="7" t="s">
        <v>1097</v>
      </c>
      <c r="G900" s="17">
        <v>5.301708333333333</v>
      </c>
      <c r="H900" s="17">
        <v>-72.40303611111112</v>
      </c>
      <c r="I900" s="93" t="s">
        <v>697</v>
      </c>
      <c r="J900" s="7" t="s">
        <v>717</v>
      </c>
      <c r="K900" s="24" t="str">
        <f t="shared" si="57"/>
        <v>2022</v>
      </c>
      <c r="L900" s="24" t="str">
        <f t="shared" si="58"/>
        <v>ABRIL</v>
      </c>
      <c r="M900" s="232">
        <v>44676</v>
      </c>
      <c r="N900" s="24" t="str">
        <f t="shared" si="59"/>
        <v>LUNES</v>
      </c>
      <c r="O900" s="106">
        <v>0.75</v>
      </c>
      <c r="P900" s="8" t="s">
        <v>469</v>
      </c>
      <c r="Q900" s="8"/>
      <c r="R900" s="36">
        <f>COUNTIF(Tabla1[[#This Row],[VEHICULOS_ACCIDENTADOS]:[VEHICULOS_ACCIDENTADOS2]],"MOTOCICLETA")</f>
        <v>1</v>
      </c>
      <c r="S900" s="36">
        <f>COUNTIF(Tabla1[[#This Row],[VEHICULOS_ACCIDENTADOS]:[VEHICULOS_ACCIDENTADOS2]],"MOTOCARRO")</f>
        <v>0</v>
      </c>
      <c r="T900" s="36">
        <f>COUNTIF(Tabla1[[#This Row],[VEHICULOS_ACCIDENTADOS]:[VEHICULOS_ACCIDENTADOS2]],"AUTOMOVIL")</f>
        <v>0</v>
      </c>
      <c r="U900" s="36">
        <f>COUNTIF(Tabla1[[#This Row],[VEHICULOS_ACCIDENTADOS]:[VEHICULOS_ACCIDENTADOS2]],"CAMPERO")</f>
        <v>0</v>
      </c>
      <c r="V900" s="36">
        <f>COUNTIF(Tabla1[[#This Row],[VEHICULOS_ACCIDENTADOS]:[VEHICULOS_ACCIDENTADOS2]],"CAMIONETA")</f>
        <v>0</v>
      </c>
      <c r="W900" s="36">
        <f>COUNTIF(Tabla1[[#This Row],[VEHICULOS_ACCIDENTADOS]:[VEHICULOS_ACCIDENTADOS2]],"MICROBUS")</f>
        <v>0</v>
      </c>
      <c r="X900" s="36">
        <f>COUNTIF(Tabla1[[#This Row],[VEHICULOS_ACCIDENTADOS]:[VEHICULOS_ACCIDENTADOS2]],"BUS")</f>
        <v>0</v>
      </c>
      <c r="Y900" s="36">
        <f>COUNTIF(Tabla1[[#This Row],[VEHICULOS_ACCIDENTADOS]:[VEHICULOS_ACCIDENTADOS2]],"BUSETA")</f>
        <v>0</v>
      </c>
      <c r="Z900" s="36">
        <f>COUNTIF(Tabla1[[#This Row],[VEHICULOS_ACCIDENTADOS]:[VEHICULOS_ACCIDENTADOS2]],"CAMION")</f>
        <v>0</v>
      </c>
      <c r="AA900" s="36">
        <f>COUNTIF(Tabla1[[#This Row],[VEHICULOS_ACCIDENTADOS]:[VEHICULOS_ACCIDENTADOS2]],"TRACTOCAMION")</f>
        <v>0</v>
      </c>
      <c r="AB900" s="36">
        <f>COUNTIF(Tabla1[[#This Row],[VEHICULOS_ACCIDENTADOS]:[VEHICULOS_ACCIDENTADOS2]],"VOLQUETA")</f>
        <v>0</v>
      </c>
      <c r="AC900" s="36">
        <f>COUNTIF(Tabla1[[#This Row],[VEHICULOS_ACCIDENTADOS]:[VEHICULOS_ACCIDENTADOS2]],"BICICLETA")</f>
        <v>0</v>
      </c>
      <c r="AD900" s="38" t="s">
        <v>471</v>
      </c>
      <c r="AE900" s="38" t="s">
        <v>472</v>
      </c>
      <c r="AF900" s="38">
        <f>COUNTIF(Tabla1[[#This Row],[GENERO_MASCULINO]:[GENERO_FEMENINO]],"MASCULINO")</f>
        <v>1</v>
      </c>
      <c r="AG900" s="36">
        <f>COUNTIF(Tabla1[[#This Row],[GENERO_MASCULINO]:[GENERO_FEMENINO]],"FEMENINO")</f>
        <v>1</v>
      </c>
      <c r="AH900" s="73">
        <v>26</v>
      </c>
      <c r="AI900" s="73"/>
      <c r="AJ900" s="73"/>
      <c r="AK900" s="73">
        <v>37</v>
      </c>
      <c r="AL900" s="73"/>
      <c r="AM900" s="7"/>
      <c r="AN900" s="73">
        <v>139</v>
      </c>
      <c r="AO900" s="36" t="str">
        <f>IFERROR(((VLOOKUP(Tabla1[[#This Row],[HIPOTESIS_1]],listas!$D$1:$E$105,2,FALSE))),"SIN INFORMACIÓN")</f>
        <v>Impericia en el manejo.</v>
      </c>
      <c r="AP900" s="7"/>
      <c r="AQ900" s="36" t="str">
        <f>IFERROR(((VLOOKUP(Tabla1[[#This Row],[HIPOTESIS_2]],listas!$D$1:$E$105,2,FALSE))),"")</f>
        <v/>
      </c>
      <c r="AR900" s="1" t="str">
        <f>IF(HOUR(Tabla1[[#This Row],[HORA_ACCIDENTE]])&lt;6,"MAÑANA",
 IF(HOUR(Tabla1[[#This Row],[HORA_ACCIDENTE]])&lt;12,"MAÑANA",
 IF(HOUR(Tabla1[[#This Row],[HORA_ACCIDENTE]])&lt;18,"TARDE","NOCHE")))</f>
        <v>NOCHE</v>
      </c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  <c r="BD900" s="40"/>
    </row>
    <row r="901" spans="1:56" x14ac:dyDescent="0.25">
      <c r="A901" s="12">
        <v>728</v>
      </c>
      <c r="B901" s="38">
        <v>0</v>
      </c>
      <c r="C901" s="29">
        <v>0</v>
      </c>
      <c r="D901" s="42">
        <v>1</v>
      </c>
      <c r="E901" s="18" t="str">
        <f t="shared" si="56"/>
        <v>FALLECIDO</v>
      </c>
      <c r="F901" s="7" t="s">
        <v>1097</v>
      </c>
      <c r="G901" s="17">
        <v>5.301708333333333</v>
      </c>
      <c r="H901" s="17">
        <v>-72.40303611111112</v>
      </c>
      <c r="I901" s="93" t="s">
        <v>697</v>
      </c>
      <c r="J901" s="15" t="s">
        <v>717</v>
      </c>
      <c r="K901" s="24" t="str">
        <f t="shared" si="57"/>
        <v>2024</v>
      </c>
      <c r="L901" s="24" t="str">
        <f t="shared" si="58"/>
        <v>JUNIO</v>
      </c>
      <c r="M901" s="232">
        <v>45455</v>
      </c>
      <c r="N901" s="24" t="str">
        <f t="shared" si="59"/>
        <v>MIÉRCOLES</v>
      </c>
      <c r="O901" s="106">
        <v>0.89583333333333337</v>
      </c>
      <c r="P901" s="39" t="s">
        <v>469</v>
      </c>
      <c r="Q901" s="39"/>
      <c r="R901" s="36">
        <f>COUNTIF(Tabla1[[#This Row],[VEHICULOS_ACCIDENTADOS]:[VEHICULOS_ACCIDENTADOS2]],"MOTOCICLETA")</f>
        <v>1</v>
      </c>
      <c r="S901" s="36">
        <f>COUNTIF(Tabla1[[#This Row],[VEHICULOS_ACCIDENTADOS]:[VEHICULOS_ACCIDENTADOS2]],"MOTOCARRO")</f>
        <v>0</v>
      </c>
      <c r="T901" s="36">
        <f>COUNTIF(Tabla1[[#This Row],[VEHICULOS_ACCIDENTADOS]:[VEHICULOS_ACCIDENTADOS2]],"AUTOMOVIL")</f>
        <v>0</v>
      </c>
      <c r="U901" s="36">
        <f>COUNTIF(Tabla1[[#This Row],[VEHICULOS_ACCIDENTADOS]:[VEHICULOS_ACCIDENTADOS2]],"CAMPERO")</f>
        <v>0</v>
      </c>
      <c r="V901" s="36">
        <f>COUNTIF(Tabla1[[#This Row],[VEHICULOS_ACCIDENTADOS]:[VEHICULOS_ACCIDENTADOS2]],"CAMIONETA")</f>
        <v>0</v>
      </c>
      <c r="W901" s="36">
        <f>COUNTIF(Tabla1[[#This Row],[VEHICULOS_ACCIDENTADOS]:[VEHICULOS_ACCIDENTADOS2]],"MICROBUS")</f>
        <v>0</v>
      </c>
      <c r="X901" s="36">
        <f>COUNTIF(Tabla1[[#This Row],[VEHICULOS_ACCIDENTADOS]:[VEHICULOS_ACCIDENTADOS2]],"BUS")</f>
        <v>0</v>
      </c>
      <c r="Y901" s="36">
        <f>COUNTIF(Tabla1[[#This Row],[VEHICULOS_ACCIDENTADOS]:[VEHICULOS_ACCIDENTADOS2]],"BUSETA")</f>
        <v>0</v>
      </c>
      <c r="Z901" s="36">
        <f>COUNTIF(Tabla1[[#This Row],[VEHICULOS_ACCIDENTADOS]:[VEHICULOS_ACCIDENTADOS2]],"CAMION")</f>
        <v>0</v>
      </c>
      <c r="AA901" s="36">
        <f>COUNTIF(Tabla1[[#This Row],[VEHICULOS_ACCIDENTADOS]:[VEHICULOS_ACCIDENTADOS2]],"TRACTOCAMION")</f>
        <v>0</v>
      </c>
      <c r="AB901" s="36">
        <f>COUNTIF(Tabla1[[#This Row],[VEHICULOS_ACCIDENTADOS]:[VEHICULOS_ACCIDENTADOS2]],"VOLQUETA")</f>
        <v>0</v>
      </c>
      <c r="AC901" s="36">
        <f>COUNTIF(Tabla1[[#This Row],[VEHICULOS_ACCIDENTADOS]:[VEHICULOS_ACCIDENTADOS2]],"BICICLETA")</f>
        <v>0</v>
      </c>
      <c r="AD901" s="38" t="s">
        <v>471</v>
      </c>
      <c r="AE901" s="38"/>
      <c r="AF901" s="38">
        <f>COUNTIF(Tabla1[[#This Row],[GENERO_MASCULINO]:[GENERO_FEMENINO]],"MASCULINO")</f>
        <v>1</v>
      </c>
      <c r="AG901" s="36">
        <f>COUNTIF(Tabla1[[#This Row],[GENERO_MASCULINO]:[GENERO_FEMENINO]],"FEMENINO")</f>
        <v>0</v>
      </c>
      <c r="AH901" s="87"/>
      <c r="AI901" s="87"/>
      <c r="AJ901" s="87"/>
      <c r="AK901" s="87"/>
      <c r="AL901" s="87"/>
      <c r="AM901" s="6"/>
      <c r="AN901" s="73">
        <v>1</v>
      </c>
      <c r="AO901" s="36" t="str">
        <f>IFERROR(((VLOOKUP(Tabla1[[#This Row],[HIPOTESIS_1]],listas!$D$1:$E$105,2,FALSE))),"SIN INFORMACIÓN")</f>
        <v>SIN INFORMACIÓN</v>
      </c>
      <c r="AP901" s="7"/>
      <c r="AQ901" s="36" t="str">
        <f>IFERROR(((VLOOKUP(Tabla1[[#This Row],[HIPOTESIS_2]],listas!$D$1:$E$105,2,FALSE))),"")</f>
        <v/>
      </c>
      <c r="AR901" s="1" t="str">
        <f>IF(HOUR(Tabla1[[#This Row],[HORA_ACCIDENTE]])&lt;6,"MAÑANA",
 IF(HOUR(Tabla1[[#This Row],[HORA_ACCIDENTE]])&lt;12,"MAÑANA",
 IF(HOUR(Tabla1[[#This Row],[HORA_ACCIDENTE]])&lt;18,"TARDE","NOCHE")))</f>
        <v>NOCHE</v>
      </c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40"/>
    </row>
    <row r="902" spans="1:56" x14ac:dyDescent="0.25">
      <c r="A902" s="12">
        <v>924</v>
      </c>
      <c r="B902" s="97">
        <v>0</v>
      </c>
      <c r="C902" s="29">
        <v>1</v>
      </c>
      <c r="D902" s="15">
        <v>0</v>
      </c>
      <c r="E902" s="18" t="str">
        <f t="shared" si="56"/>
        <v>LESIONADO</v>
      </c>
      <c r="F902" s="7" t="s">
        <v>1098</v>
      </c>
      <c r="G902" s="21">
        <v>5.2942388888888887</v>
      </c>
      <c r="H902" s="21">
        <v>-72.402269444444457</v>
      </c>
      <c r="I902" s="93" t="s">
        <v>697</v>
      </c>
      <c r="J902" s="7" t="s">
        <v>717</v>
      </c>
      <c r="K902" s="24" t="str">
        <f t="shared" si="57"/>
        <v>2025</v>
      </c>
      <c r="L902" s="24" t="str">
        <f t="shared" si="58"/>
        <v>ABRIL</v>
      </c>
      <c r="M902" s="232">
        <v>45749</v>
      </c>
      <c r="N902" s="24" t="str">
        <f t="shared" si="59"/>
        <v>MIÉRCOLES</v>
      </c>
      <c r="O902" s="106">
        <v>0.50694444444444442</v>
      </c>
      <c r="P902" s="7" t="s">
        <v>447</v>
      </c>
      <c r="Q902" s="7" t="s">
        <v>469</v>
      </c>
      <c r="R902" s="36">
        <f>COUNTIF(Tabla1[[#This Row],[VEHICULOS_ACCIDENTADOS]:[VEHICULOS_ACCIDENTADOS2]],"MOTOCICLETA")</f>
        <v>1</v>
      </c>
      <c r="S902" s="36">
        <f>COUNTIF(Tabla1[[#This Row],[VEHICULOS_ACCIDENTADOS]:[VEHICULOS_ACCIDENTADOS2]],"MOTOCARRO")</f>
        <v>0</v>
      </c>
      <c r="T902" s="36">
        <f>COUNTIF(Tabla1[[#This Row],[VEHICULOS_ACCIDENTADOS]:[VEHICULOS_ACCIDENTADOS2]],"AUTOMOVIL")</f>
        <v>1</v>
      </c>
      <c r="U902" s="36">
        <f>COUNTIF(Tabla1[[#This Row],[VEHICULOS_ACCIDENTADOS]:[VEHICULOS_ACCIDENTADOS2]],"CAMPERO")</f>
        <v>0</v>
      </c>
      <c r="V902" s="36">
        <f>COUNTIF(Tabla1[[#This Row],[VEHICULOS_ACCIDENTADOS]:[VEHICULOS_ACCIDENTADOS2]],"CAMIONETA")</f>
        <v>0</v>
      </c>
      <c r="W902" s="36">
        <f>COUNTIF(Tabla1[[#This Row],[VEHICULOS_ACCIDENTADOS]:[VEHICULOS_ACCIDENTADOS2]],"MICROBUS")</f>
        <v>0</v>
      </c>
      <c r="X902" s="36">
        <f>COUNTIF(Tabla1[[#This Row],[VEHICULOS_ACCIDENTADOS]:[VEHICULOS_ACCIDENTADOS2]],"BUS")</f>
        <v>0</v>
      </c>
      <c r="Y902" s="36">
        <f>COUNTIF(Tabla1[[#This Row],[VEHICULOS_ACCIDENTADOS]:[VEHICULOS_ACCIDENTADOS2]],"BUSETA")</f>
        <v>0</v>
      </c>
      <c r="Z902" s="36">
        <f>COUNTIF(Tabla1[[#This Row],[VEHICULOS_ACCIDENTADOS]:[VEHICULOS_ACCIDENTADOS2]],"CAMION")</f>
        <v>0</v>
      </c>
      <c r="AA902" s="36">
        <f>COUNTIF(Tabla1[[#This Row],[VEHICULOS_ACCIDENTADOS]:[VEHICULOS_ACCIDENTADOS2]],"TRACTOCAMION")</f>
        <v>0</v>
      </c>
      <c r="AB902" s="36">
        <f>COUNTIF(Tabla1[[#This Row],[VEHICULOS_ACCIDENTADOS]:[VEHICULOS_ACCIDENTADOS2]],"VOLQUETA")</f>
        <v>0</v>
      </c>
      <c r="AC902" s="36">
        <f>COUNTIF(Tabla1[[#This Row],[VEHICULOS_ACCIDENTADOS]:[VEHICULOS_ACCIDENTADOS2]],"BICICLETA")</f>
        <v>0</v>
      </c>
      <c r="AD902" s="38" t="s">
        <v>471</v>
      </c>
      <c r="AE902" s="38" t="s">
        <v>471</v>
      </c>
      <c r="AF902" s="38">
        <f>COUNTIF(Tabla1[[#This Row],[GENERO_MASCULINO]:[GENERO_FEMENINO]],"MASCULINO")</f>
        <v>2</v>
      </c>
      <c r="AG902" s="36">
        <f>COUNTIF(Tabla1[[#This Row],[GENERO_MASCULINO]:[GENERO_FEMENINO]],"FEMENINO")</f>
        <v>0</v>
      </c>
      <c r="AH902" s="86">
        <v>78</v>
      </c>
      <c r="AI902" s="86">
        <v>34</v>
      </c>
      <c r="AJ902" s="86">
        <v>34</v>
      </c>
      <c r="AK902" s="87"/>
      <c r="AL902" s="87"/>
      <c r="AM902" s="6"/>
      <c r="AN902" s="73">
        <v>139</v>
      </c>
      <c r="AO902" s="36" t="str">
        <f>IFERROR(((VLOOKUP(Tabla1[[#This Row],[HIPOTESIS_1]],listas!$D$1:$E$105,2,FALSE))),"SIN INFORMACIÓN")</f>
        <v>Impericia en el manejo.</v>
      </c>
      <c r="AP902" s="7"/>
      <c r="AQ902" s="36" t="str">
        <f>IFERROR(((VLOOKUP(Tabla1[[#This Row],[HIPOTESIS_2]],listas!$D$1:$E$105,2,FALSE))),"")</f>
        <v/>
      </c>
      <c r="AR902" s="1" t="str">
        <f>IF(HOUR(Tabla1[[#This Row],[HORA_ACCIDENTE]])&lt;6,"MAÑANA",
 IF(HOUR(Tabla1[[#This Row],[HORA_ACCIDENTE]])&lt;12,"MAÑANA",
 IF(HOUR(Tabla1[[#This Row],[HORA_ACCIDENTE]])&lt;18,"TARDE","NOCHE")))</f>
        <v>TARDE</v>
      </c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  <c r="BC902" s="15"/>
      <c r="BD902" s="40"/>
    </row>
    <row r="903" spans="1:56" x14ac:dyDescent="0.25">
      <c r="A903" s="12">
        <v>1115</v>
      </c>
      <c r="B903" s="47">
        <v>1</v>
      </c>
      <c r="C903" s="152">
        <v>0</v>
      </c>
      <c r="D903" s="24">
        <v>0</v>
      </c>
      <c r="E903" s="24" t="str">
        <f t="shared" si="56"/>
        <v>SOLO DAÑO</v>
      </c>
      <c r="F903" s="24" t="s">
        <v>998</v>
      </c>
      <c r="G903" s="30">
        <v>5.304386</v>
      </c>
      <c r="H903" s="30">
        <v>-72.403306999999998</v>
      </c>
      <c r="I903" s="165" t="s">
        <v>697</v>
      </c>
      <c r="J903" s="7" t="s">
        <v>717</v>
      </c>
      <c r="K903" s="24" t="str">
        <f t="shared" si="57"/>
        <v>2025</v>
      </c>
      <c r="L903" s="24" t="str">
        <f t="shared" si="58"/>
        <v>OCTUBRE</v>
      </c>
      <c r="M903" s="232">
        <v>45935</v>
      </c>
      <c r="N903" s="24" t="str">
        <f t="shared" si="59"/>
        <v>DOMINGO</v>
      </c>
      <c r="O903" s="106">
        <v>0.125</v>
      </c>
      <c r="P903" s="8" t="s">
        <v>447</v>
      </c>
      <c r="Q903" s="8"/>
      <c r="R903" s="36">
        <f>COUNTIF(Tabla1[[#This Row],[VEHICULOS_ACCIDENTADOS]:[VEHICULOS_ACCIDENTADOS2]],"MOTOCICLETA")</f>
        <v>0</v>
      </c>
      <c r="S903" s="36">
        <f>COUNTIF(Tabla1[[#This Row],[VEHICULOS_ACCIDENTADOS]:[VEHICULOS_ACCIDENTADOS2]],"MOTOCARRO")</f>
        <v>0</v>
      </c>
      <c r="T903" s="36">
        <f>COUNTIF(Tabla1[[#This Row],[VEHICULOS_ACCIDENTADOS]:[VEHICULOS_ACCIDENTADOS2]],"AUTOMOVIL")</f>
        <v>1</v>
      </c>
      <c r="U903" s="36">
        <f>COUNTIF(Tabla1[[#This Row],[VEHICULOS_ACCIDENTADOS]:[VEHICULOS_ACCIDENTADOS2]],"CAMPERO")</f>
        <v>0</v>
      </c>
      <c r="V903" s="36">
        <f>COUNTIF(Tabla1[[#This Row],[VEHICULOS_ACCIDENTADOS]:[VEHICULOS_ACCIDENTADOS2]],"CAMIONETA")</f>
        <v>0</v>
      </c>
      <c r="W903" s="36">
        <f>COUNTIF(Tabla1[[#This Row],[VEHICULOS_ACCIDENTADOS]:[VEHICULOS_ACCIDENTADOS2]],"MICROBUS")</f>
        <v>0</v>
      </c>
      <c r="X903" s="36">
        <f>COUNTIF(Tabla1[[#This Row],[VEHICULOS_ACCIDENTADOS]:[VEHICULOS_ACCIDENTADOS2]],"BUS")</f>
        <v>0</v>
      </c>
      <c r="Y903" s="36">
        <f>COUNTIF(Tabla1[[#This Row],[VEHICULOS_ACCIDENTADOS]:[VEHICULOS_ACCIDENTADOS2]],"BUSETA")</f>
        <v>0</v>
      </c>
      <c r="Z903" s="36">
        <f>COUNTIF(Tabla1[[#This Row],[VEHICULOS_ACCIDENTADOS]:[VEHICULOS_ACCIDENTADOS2]],"CAMION")</f>
        <v>0</v>
      </c>
      <c r="AA903" s="36">
        <f>COUNTIF(Tabla1[[#This Row],[VEHICULOS_ACCIDENTADOS]:[VEHICULOS_ACCIDENTADOS2]],"TRACTOCAMION")</f>
        <v>0</v>
      </c>
      <c r="AB903" s="36">
        <f>COUNTIF(Tabla1[[#This Row],[VEHICULOS_ACCIDENTADOS]:[VEHICULOS_ACCIDENTADOS2]],"VOLQUETA")</f>
        <v>0</v>
      </c>
      <c r="AC903" s="36">
        <f>COUNTIF(Tabla1[[#This Row],[VEHICULOS_ACCIDENTADOS]:[VEHICULOS_ACCIDENTADOS2]],"BICICLETA")</f>
        <v>0</v>
      </c>
      <c r="AD903" s="189" t="s">
        <v>471</v>
      </c>
      <c r="AE903" s="189"/>
      <c r="AF903" s="38">
        <f>COUNTIF(Tabla1[[#This Row],[GENERO_MASCULINO]:[GENERO_FEMENINO]],"MASCULINO")</f>
        <v>1</v>
      </c>
      <c r="AG903" s="36">
        <f>COUNTIF(Tabla1[[#This Row],[GENERO_MASCULINO]:[GENERO_FEMENINO]],"FEMENINO")</f>
        <v>0</v>
      </c>
      <c r="AH903" s="86"/>
      <c r="AI903" s="86"/>
      <c r="AJ903" s="86"/>
      <c r="AK903" s="87"/>
      <c r="AL903" s="87"/>
      <c r="AM903" s="6"/>
      <c r="AN903" s="73">
        <v>139</v>
      </c>
      <c r="AO903" s="59" t="str">
        <f>IFERROR(((VLOOKUP(Tabla1[[#This Row],[HIPOTESIS_1]],listas!$D$1:$E$105,2,FALSE))),"SIN INFORMACIÓN")</f>
        <v>Impericia en el manejo.</v>
      </c>
      <c r="AP903" s="7"/>
      <c r="AQ903" s="36" t="str">
        <f>IFERROR(((VLOOKUP(Tabla1[[#This Row],[HIPOTESIS_2]],listas!$D$1:$E$105,2,FALSE))),"")</f>
        <v/>
      </c>
      <c r="AR903" s="2" t="str">
        <f>IF(HOUR(Tabla1[[#This Row],[HORA_ACCIDENTE]])&lt;6,"MAÑANA",
 IF(HOUR(Tabla1[[#This Row],[HORA_ACCIDENTE]])&lt;12,"MAÑANA",
 IF(HOUR(Tabla1[[#This Row],[HORA_ACCIDENTE]])&lt;18,"TARDE","NOCHE")))</f>
        <v>MAÑANA</v>
      </c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40"/>
    </row>
    <row r="904" spans="1:56" x14ac:dyDescent="0.25">
      <c r="A904" s="12">
        <v>1032</v>
      </c>
      <c r="B904" s="47">
        <v>0</v>
      </c>
      <c r="C904" s="152">
        <v>1</v>
      </c>
      <c r="D904" s="24">
        <v>0</v>
      </c>
      <c r="E904" s="18" t="str">
        <f t="shared" si="56"/>
        <v>LESIONADO</v>
      </c>
      <c r="F904" s="24" t="s">
        <v>999</v>
      </c>
      <c r="G904" s="30">
        <v>5.3017709999999996</v>
      </c>
      <c r="H904" s="30">
        <v>-72.403036999999998</v>
      </c>
      <c r="I904" s="93" t="s">
        <v>697</v>
      </c>
      <c r="J904" s="7" t="s">
        <v>717</v>
      </c>
      <c r="K904" s="24" t="str">
        <f t="shared" si="57"/>
        <v>2025</v>
      </c>
      <c r="L904" s="24" t="str">
        <f t="shared" si="58"/>
        <v>AGOSTO</v>
      </c>
      <c r="M904" s="232">
        <v>45871</v>
      </c>
      <c r="N904" s="24" t="str">
        <f t="shared" si="59"/>
        <v>SÁBADO</v>
      </c>
      <c r="O904" s="106">
        <v>0.3576388888888889</v>
      </c>
      <c r="P904" s="8" t="s">
        <v>469</v>
      </c>
      <c r="Q904" s="8"/>
      <c r="R904" s="36">
        <f>COUNTIF(Tabla1[[#This Row],[VEHICULOS_ACCIDENTADOS]:[VEHICULOS_ACCIDENTADOS2]],"MOTOCICLETA")</f>
        <v>1</v>
      </c>
      <c r="S904" s="36">
        <f>COUNTIF(Tabla1[[#This Row],[VEHICULOS_ACCIDENTADOS]:[VEHICULOS_ACCIDENTADOS2]],"MOTOCARRO")</f>
        <v>0</v>
      </c>
      <c r="T904" s="36">
        <f>COUNTIF(Tabla1[[#This Row],[VEHICULOS_ACCIDENTADOS]:[VEHICULOS_ACCIDENTADOS2]],"AUTOMOVIL")</f>
        <v>0</v>
      </c>
      <c r="U904" s="36">
        <f>COUNTIF(Tabla1[[#This Row],[VEHICULOS_ACCIDENTADOS]:[VEHICULOS_ACCIDENTADOS2]],"CAMPERO")</f>
        <v>0</v>
      </c>
      <c r="V904" s="36">
        <f>COUNTIF(Tabla1[[#This Row],[VEHICULOS_ACCIDENTADOS]:[VEHICULOS_ACCIDENTADOS2]],"CAMIONETA")</f>
        <v>0</v>
      </c>
      <c r="W904" s="36">
        <f>COUNTIF(Tabla1[[#This Row],[VEHICULOS_ACCIDENTADOS]:[VEHICULOS_ACCIDENTADOS2]],"MICROBUS")</f>
        <v>0</v>
      </c>
      <c r="X904" s="36">
        <f>COUNTIF(Tabla1[[#This Row],[VEHICULOS_ACCIDENTADOS]:[VEHICULOS_ACCIDENTADOS2]],"BUS")</f>
        <v>0</v>
      </c>
      <c r="Y904" s="36">
        <f>COUNTIF(Tabla1[[#This Row],[VEHICULOS_ACCIDENTADOS]:[VEHICULOS_ACCIDENTADOS2]],"BUSETA")</f>
        <v>0</v>
      </c>
      <c r="Z904" s="36">
        <f>COUNTIF(Tabla1[[#This Row],[VEHICULOS_ACCIDENTADOS]:[VEHICULOS_ACCIDENTADOS2]],"CAMION")</f>
        <v>0</v>
      </c>
      <c r="AA904" s="36">
        <f>COUNTIF(Tabla1[[#This Row],[VEHICULOS_ACCIDENTADOS]:[VEHICULOS_ACCIDENTADOS2]],"TRACTOCAMION")</f>
        <v>0</v>
      </c>
      <c r="AB904" s="36">
        <f>COUNTIF(Tabla1[[#This Row],[VEHICULOS_ACCIDENTADOS]:[VEHICULOS_ACCIDENTADOS2]],"VOLQUETA")</f>
        <v>0</v>
      </c>
      <c r="AC904" s="36">
        <f>COUNTIF(Tabla1[[#This Row],[VEHICULOS_ACCIDENTADOS]:[VEHICULOS_ACCIDENTADOS2]],"BICICLETA")</f>
        <v>0</v>
      </c>
      <c r="AD904" s="189" t="s">
        <v>471</v>
      </c>
      <c r="AE904" s="189" t="s">
        <v>471</v>
      </c>
      <c r="AF904" s="38">
        <f>COUNTIF(Tabla1[[#This Row],[GENERO_MASCULINO]:[GENERO_FEMENINO]],"MASCULINO")</f>
        <v>2</v>
      </c>
      <c r="AG904" s="36">
        <f>COUNTIF(Tabla1[[#This Row],[GENERO_MASCULINO]:[GENERO_FEMENINO]],"FEMENINO")</f>
        <v>0</v>
      </c>
      <c r="AH904" s="86">
        <v>23</v>
      </c>
      <c r="AI904" s="86">
        <v>64</v>
      </c>
      <c r="AJ904" s="86"/>
      <c r="AK904" s="87"/>
      <c r="AL904" s="87"/>
      <c r="AM904" s="6"/>
      <c r="AN904" s="73">
        <v>116</v>
      </c>
      <c r="AO904" s="59" t="str">
        <f>IFERROR(((VLOOKUP(Tabla1[[#This Row],[HIPOTESIS_1]],listas!$D$1:$E$105,2,FALSE))),"SIN INFORMACIÓN")</f>
        <v>Exceso de velocidad</v>
      </c>
      <c r="AP904" s="7"/>
      <c r="AQ904" s="36" t="str">
        <f>IFERROR(((VLOOKUP(Tabla1[[#This Row],[HIPOTESIS_2]],listas!$D$1:$E$105,2,FALSE))),"")</f>
        <v/>
      </c>
      <c r="AR904" s="1" t="str">
        <f>IF(HOUR(Tabla1[[#This Row],[HORA_ACCIDENTE]])&lt;6,"MAÑANA",
 IF(HOUR(Tabla1[[#This Row],[HORA_ACCIDENTE]])&lt;12,"MAÑANA",
 IF(HOUR(Tabla1[[#This Row],[HORA_ACCIDENTE]])&lt;18,"TARDE","NOCHE")))</f>
        <v>MAÑANA</v>
      </c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  <c r="BC904" s="15"/>
      <c r="BD904" s="40"/>
    </row>
    <row r="905" spans="1:56" x14ac:dyDescent="0.25">
      <c r="A905" s="12">
        <v>183</v>
      </c>
      <c r="B905" s="38">
        <v>1</v>
      </c>
      <c r="C905" s="29">
        <v>0</v>
      </c>
      <c r="D905" s="7">
        <v>0</v>
      </c>
      <c r="E905" s="18" t="str">
        <f t="shared" si="56"/>
        <v>SOLO DAÑO</v>
      </c>
      <c r="F905" s="7" t="s">
        <v>366</v>
      </c>
      <c r="G905" s="17">
        <v>5.3284916666666664</v>
      </c>
      <c r="H905" s="17">
        <v>-72.40817777777778</v>
      </c>
      <c r="I905" s="93" t="s">
        <v>697</v>
      </c>
      <c r="J905" s="7" t="s">
        <v>717</v>
      </c>
      <c r="K905" s="24" t="str">
        <f t="shared" si="57"/>
        <v>2022</v>
      </c>
      <c r="L905" s="24" t="str">
        <f t="shared" si="58"/>
        <v>MAYO</v>
      </c>
      <c r="M905" s="232">
        <v>44697</v>
      </c>
      <c r="N905" s="24" t="str">
        <f t="shared" si="59"/>
        <v>LUNES</v>
      </c>
      <c r="O905" s="174">
        <v>0.59027777777777801</v>
      </c>
      <c r="P905" s="180" t="s">
        <v>447</v>
      </c>
      <c r="Q905" s="180" t="s">
        <v>446</v>
      </c>
      <c r="R905" s="36">
        <f>COUNTIF(Tabla1[[#This Row],[VEHICULOS_ACCIDENTADOS]:[VEHICULOS_ACCIDENTADOS2]],"MOTOCICLETA")</f>
        <v>0</v>
      </c>
      <c r="S905" s="36">
        <f>COUNTIF(Tabla1[[#This Row],[VEHICULOS_ACCIDENTADOS]:[VEHICULOS_ACCIDENTADOS2]],"MOTOCARRO")</f>
        <v>0</v>
      </c>
      <c r="T905" s="36">
        <f>COUNTIF(Tabla1[[#This Row],[VEHICULOS_ACCIDENTADOS]:[VEHICULOS_ACCIDENTADOS2]],"AUTOMOVIL")</f>
        <v>1</v>
      </c>
      <c r="U905" s="36">
        <f>COUNTIF(Tabla1[[#This Row],[VEHICULOS_ACCIDENTADOS]:[VEHICULOS_ACCIDENTADOS2]],"CAMPERO")</f>
        <v>1</v>
      </c>
      <c r="V905" s="36">
        <f>COUNTIF(Tabla1[[#This Row],[VEHICULOS_ACCIDENTADOS]:[VEHICULOS_ACCIDENTADOS2]],"CAMIONETA")</f>
        <v>0</v>
      </c>
      <c r="W905" s="36">
        <f>COUNTIF(Tabla1[[#This Row],[VEHICULOS_ACCIDENTADOS]:[VEHICULOS_ACCIDENTADOS2]],"MICROBUS")</f>
        <v>0</v>
      </c>
      <c r="X905" s="36">
        <f>COUNTIF(Tabla1[[#This Row],[VEHICULOS_ACCIDENTADOS]:[VEHICULOS_ACCIDENTADOS2]],"BUS")</f>
        <v>0</v>
      </c>
      <c r="Y905" s="36">
        <f>COUNTIF(Tabla1[[#This Row],[VEHICULOS_ACCIDENTADOS]:[VEHICULOS_ACCIDENTADOS2]],"BUSETA")</f>
        <v>0</v>
      </c>
      <c r="Z905" s="36">
        <f>COUNTIF(Tabla1[[#This Row],[VEHICULOS_ACCIDENTADOS]:[VEHICULOS_ACCIDENTADOS2]],"CAMION")</f>
        <v>0</v>
      </c>
      <c r="AA905" s="36">
        <f>COUNTIF(Tabla1[[#This Row],[VEHICULOS_ACCIDENTADOS]:[VEHICULOS_ACCIDENTADOS2]],"TRACTOCAMION")</f>
        <v>0</v>
      </c>
      <c r="AB905" s="36">
        <f>COUNTIF(Tabla1[[#This Row],[VEHICULOS_ACCIDENTADOS]:[VEHICULOS_ACCIDENTADOS2]],"VOLQUETA")</f>
        <v>0</v>
      </c>
      <c r="AC905" s="36">
        <f>COUNTIF(Tabla1[[#This Row],[VEHICULOS_ACCIDENTADOS]:[VEHICULOS_ACCIDENTADOS2]],"BICICLETA")</f>
        <v>0</v>
      </c>
      <c r="AD905" s="38" t="s">
        <v>471</v>
      </c>
      <c r="AE905" s="38"/>
      <c r="AF905" s="38">
        <f>COUNTIF(Tabla1[[#This Row],[GENERO_MASCULINO]:[GENERO_FEMENINO]],"MASCULINO")</f>
        <v>1</v>
      </c>
      <c r="AG905" s="36">
        <f>COUNTIF(Tabla1[[#This Row],[GENERO_MASCULINO]:[GENERO_FEMENINO]],"FEMENINO")</f>
        <v>0</v>
      </c>
      <c r="AH905" s="73"/>
      <c r="AI905" s="73"/>
      <c r="AJ905" s="73"/>
      <c r="AK905" s="73"/>
      <c r="AL905" s="73"/>
      <c r="AM905" s="7"/>
      <c r="AN905" s="73">
        <v>121</v>
      </c>
      <c r="AO905" s="36" t="str">
        <f>IFERROR(((VLOOKUP(Tabla1[[#This Row],[HIPOTESIS_1]],listas!$D$1:$E$105,2,FALSE))),"SIN INFORMACIÓN")</f>
        <v>No mantener distancia de seguridad.</v>
      </c>
      <c r="AP905" s="7"/>
      <c r="AQ905" s="36" t="str">
        <f>IFERROR(((VLOOKUP(Tabla1[[#This Row],[HIPOTESIS_2]],listas!$D$1:$E$105,2,FALSE))),"")</f>
        <v/>
      </c>
      <c r="AR905" s="1" t="str">
        <f>IF(HOUR(Tabla1[[#This Row],[HORA_ACCIDENTE]])&lt;6,"MAÑANA",
 IF(HOUR(Tabla1[[#This Row],[HORA_ACCIDENTE]])&lt;12,"MAÑANA",
 IF(HOUR(Tabla1[[#This Row],[HORA_ACCIDENTE]])&lt;18,"TARDE","NOCHE")))</f>
        <v>TARDE</v>
      </c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40"/>
    </row>
    <row r="906" spans="1:56" x14ac:dyDescent="0.25">
      <c r="A906" s="12">
        <v>907</v>
      </c>
      <c r="B906" s="97">
        <v>0</v>
      </c>
      <c r="C906" s="29">
        <v>1</v>
      </c>
      <c r="D906" s="15">
        <v>0</v>
      </c>
      <c r="E906" s="18" t="str">
        <f t="shared" si="56"/>
        <v>LESIONADO</v>
      </c>
      <c r="F906" s="15" t="s">
        <v>58</v>
      </c>
      <c r="G906" s="21">
        <v>5.3276349999999999</v>
      </c>
      <c r="H906" s="21">
        <v>-72.407499999999999</v>
      </c>
      <c r="I906" s="93" t="s">
        <v>697</v>
      </c>
      <c r="J906" s="21" t="s">
        <v>717</v>
      </c>
      <c r="K906" s="24" t="str">
        <f t="shared" si="57"/>
        <v>2025</v>
      </c>
      <c r="L906" s="24" t="str">
        <f t="shared" si="58"/>
        <v>MARZO</v>
      </c>
      <c r="M906" s="232">
        <v>45733</v>
      </c>
      <c r="N906" s="24" t="str">
        <f t="shared" si="59"/>
        <v>LUNES</v>
      </c>
      <c r="O906" s="106">
        <v>0.625</v>
      </c>
      <c r="P906" s="39" t="s">
        <v>445</v>
      </c>
      <c r="Q906" s="39" t="s">
        <v>469</v>
      </c>
      <c r="R906" s="36">
        <f>COUNTIF(Tabla1[[#This Row],[VEHICULOS_ACCIDENTADOS]:[VEHICULOS_ACCIDENTADOS2]],"MOTOCICLETA")</f>
        <v>1</v>
      </c>
      <c r="S906" s="36">
        <f>COUNTIF(Tabla1[[#This Row],[VEHICULOS_ACCIDENTADOS]:[VEHICULOS_ACCIDENTADOS2]],"MOTOCARRO")</f>
        <v>0</v>
      </c>
      <c r="T906" s="36">
        <f>COUNTIF(Tabla1[[#This Row],[VEHICULOS_ACCIDENTADOS]:[VEHICULOS_ACCIDENTADOS2]],"AUTOMOVIL")</f>
        <v>0</v>
      </c>
      <c r="U906" s="36">
        <f>COUNTIF(Tabla1[[#This Row],[VEHICULOS_ACCIDENTADOS]:[VEHICULOS_ACCIDENTADOS2]],"CAMPERO")</f>
        <v>0</v>
      </c>
      <c r="V906" s="36">
        <f>COUNTIF(Tabla1[[#This Row],[VEHICULOS_ACCIDENTADOS]:[VEHICULOS_ACCIDENTADOS2]],"CAMIONETA")</f>
        <v>1</v>
      </c>
      <c r="W906" s="36">
        <f>COUNTIF(Tabla1[[#This Row],[VEHICULOS_ACCIDENTADOS]:[VEHICULOS_ACCIDENTADOS2]],"MICROBUS")</f>
        <v>0</v>
      </c>
      <c r="X906" s="36">
        <f>COUNTIF(Tabla1[[#This Row],[VEHICULOS_ACCIDENTADOS]:[VEHICULOS_ACCIDENTADOS2]],"BUS")</f>
        <v>0</v>
      </c>
      <c r="Y906" s="36">
        <f>COUNTIF(Tabla1[[#This Row],[VEHICULOS_ACCIDENTADOS]:[VEHICULOS_ACCIDENTADOS2]],"BUSETA")</f>
        <v>0</v>
      </c>
      <c r="Z906" s="36">
        <f>COUNTIF(Tabla1[[#This Row],[VEHICULOS_ACCIDENTADOS]:[VEHICULOS_ACCIDENTADOS2]],"CAMION")</f>
        <v>0</v>
      </c>
      <c r="AA906" s="36">
        <f>COUNTIF(Tabla1[[#This Row],[VEHICULOS_ACCIDENTADOS]:[VEHICULOS_ACCIDENTADOS2]],"TRACTOCAMION")</f>
        <v>0</v>
      </c>
      <c r="AB906" s="36">
        <f>COUNTIF(Tabla1[[#This Row],[VEHICULOS_ACCIDENTADOS]:[VEHICULOS_ACCIDENTADOS2]],"VOLQUETA")</f>
        <v>0</v>
      </c>
      <c r="AC906" s="36">
        <f>COUNTIF(Tabla1[[#This Row],[VEHICULOS_ACCIDENTADOS]:[VEHICULOS_ACCIDENTADOS2]],"BICICLETA")</f>
        <v>0</v>
      </c>
      <c r="AD906" s="38" t="s">
        <v>471</v>
      </c>
      <c r="AE906" s="38" t="s">
        <v>472</v>
      </c>
      <c r="AF906" s="38">
        <f>COUNTIF(Tabla1[[#This Row],[GENERO_MASCULINO]:[GENERO_FEMENINO]],"MASCULINO")</f>
        <v>1</v>
      </c>
      <c r="AG906" s="36">
        <f>COUNTIF(Tabla1[[#This Row],[GENERO_MASCULINO]:[GENERO_FEMENINO]],"FEMENINO")</f>
        <v>1</v>
      </c>
      <c r="AH906" s="86">
        <v>56</v>
      </c>
      <c r="AI906" s="86">
        <v>26</v>
      </c>
      <c r="AJ906" s="86"/>
      <c r="AK906" s="73"/>
      <c r="AL906" s="73"/>
      <c r="AM906" s="7"/>
      <c r="AN906" s="73">
        <v>103</v>
      </c>
      <c r="AO906" s="36" t="str">
        <f>IFERROR(((VLOOKUP(Tabla1[[#This Row],[HIPOTESIS_1]],listas!$D$1:$E$105,2,FALSE))),"SIN INFORMACIÓN")</f>
        <v>Adelantar cerrando.</v>
      </c>
      <c r="AP906" s="7"/>
      <c r="AQ906" s="36" t="str">
        <f>IFERROR(((VLOOKUP(Tabla1[[#This Row],[HIPOTESIS_2]],listas!$D$1:$E$105,2,FALSE))),"")</f>
        <v/>
      </c>
      <c r="AR906" s="1" t="str">
        <f>IF(HOUR(Tabla1[[#This Row],[HORA_ACCIDENTE]])&lt;6,"MAÑANA",
 IF(HOUR(Tabla1[[#This Row],[HORA_ACCIDENTE]])&lt;12,"MAÑANA",
 IF(HOUR(Tabla1[[#This Row],[HORA_ACCIDENTE]])&lt;18,"TARDE","NOCHE")))</f>
        <v>TARDE</v>
      </c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  <c r="BC906" s="15"/>
      <c r="BD906" s="40"/>
    </row>
    <row r="907" spans="1:56" x14ac:dyDescent="0.25">
      <c r="A907" s="12">
        <v>139</v>
      </c>
      <c r="B907" s="38">
        <v>1</v>
      </c>
      <c r="C907" s="29">
        <v>0</v>
      </c>
      <c r="D907" s="7">
        <v>0</v>
      </c>
      <c r="E907" s="18" t="str">
        <f t="shared" si="56"/>
        <v>SOLO DAÑO</v>
      </c>
      <c r="F907" s="7" t="s">
        <v>386</v>
      </c>
      <c r="G907" s="17">
        <v>5.32125</v>
      </c>
      <c r="H907" s="17">
        <v>-72.404616666666669</v>
      </c>
      <c r="I907" s="93" t="s">
        <v>697</v>
      </c>
      <c r="J907" s="7" t="s">
        <v>717</v>
      </c>
      <c r="K907" s="24" t="str">
        <f t="shared" si="57"/>
        <v>2022</v>
      </c>
      <c r="L907" s="24" t="str">
        <f t="shared" si="58"/>
        <v>ABRIL</v>
      </c>
      <c r="M907" s="232">
        <v>44665</v>
      </c>
      <c r="N907" s="24" t="str">
        <f t="shared" si="59"/>
        <v>JUEVES</v>
      </c>
      <c r="O907" s="106">
        <v>0.45138888888888901</v>
      </c>
      <c r="P907" s="8" t="s">
        <v>447</v>
      </c>
      <c r="Q907" s="8"/>
      <c r="R907" s="36">
        <f>COUNTIF(Tabla1[[#This Row],[VEHICULOS_ACCIDENTADOS]:[VEHICULOS_ACCIDENTADOS2]],"MOTOCICLETA")</f>
        <v>0</v>
      </c>
      <c r="S907" s="36">
        <f>COUNTIF(Tabla1[[#This Row],[VEHICULOS_ACCIDENTADOS]:[VEHICULOS_ACCIDENTADOS2]],"MOTOCARRO")</f>
        <v>0</v>
      </c>
      <c r="T907" s="36">
        <f>COUNTIF(Tabla1[[#This Row],[VEHICULOS_ACCIDENTADOS]:[VEHICULOS_ACCIDENTADOS2]],"AUTOMOVIL")</f>
        <v>1</v>
      </c>
      <c r="U907" s="36">
        <f>COUNTIF(Tabla1[[#This Row],[VEHICULOS_ACCIDENTADOS]:[VEHICULOS_ACCIDENTADOS2]],"CAMPERO")</f>
        <v>0</v>
      </c>
      <c r="V907" s="36">
        <f>COUNTIF(Tabla1[[#This Row],[VEHICULOS_ACCIDENTADOS]:[VEHICULOS_ACCIDENTADOS2]],"CAMIONETA")</f>
        <v>0</v>
      </c>
      <c r="W907" s="36">
        <f>COUNTIF(Tabla1[[#This Row],[VEHICULOS_ACCIDENTADOS]:[VEHICULOS_ACCIDENTADOS2]],"MICROBUS")</f>
        <v>0</v>
      </c>
      <c r="X907" s="36">
        <f>COUNTIF(Tabla1[[#This Row],[VEHICULOS_ACCIDENTADOS]:[VEHICULOS_ACCIDENTADOS2]],"BUS")</f>
        <v>0</v>
      </c>
      <c r="Y907" s="36">
        <f>COUNTIF(Tabla1[[#This Row],[VEHICULOS_ACCIDENTADOS]:[VEHICULOS_ACCIDENTADOS2]],"BUSETA")</f>
        <v>0</v>
      </c>
      <c r="Z907" s="36">
        <f>COUNTIF(Tabla1[[#This Row],[VEHICULOS_ACCIDENTADOS]:[VEHICULOS_ACCIDENTADOS2]],"CAMION")</f>
        <v>0</v>
      </c>
      <c r="AA907" s="36">
        <f>COUNTIF(Tabla1[[#This Row],[VEHICULOS_ACCIDENTADOS]:[VEHICULOS_ACCIDENTADOS2]],"TRACTOCAMION")</f>
        <v>0</v>
      </c>
      <c r="AB907" s="36">
        <f>COUNTIF(Tabla1[[#This Row],[VEHICULOS_ACCIDENTADOS]:[VEHICULOS_ACCIDENTADOS2]],"VOLQUETA")</f>
        <v>0</v>
      </c>
      <c r="AC907" s="36">
        <f>COUNTIF(Tabla1[[#This Row],[VEHICULOS_ACCIDENTADOS]:[VEHICULOS_ACCIDENTADOS2]],"BICICLETA")</f>
        <v>0</v>
      </c>
      <c r="AD907" s="38"/>
      <c r="AE907" s="38" t="s">
        <v>472</v>
      </c>
      <c r="AF907" s="38">
        <f>COUNTIF(Tabla1[[#This Row],[GENERO_MASCULINO]:[GENERO_FEMENINO]],"MASCULINO")</f>
        <v>0</v>
      </c>
      <c r="AG907" s="36">
        <f>COUNTIF(Tabla1[[#This Row],[GENERO_MASCULINO]:[GENERO_FEMENINO]],"FEMENINO")</f>
        <v>1</v>
      </c>
      <c r="AH907" s="73"/>
      <c r="AI907" s="73"/>
      <c r="AJ907" s="73"/>
      <c r="AK907" s="73"/>
      <c r="AL907" s="73"/>
      <c r="AM907" s="7"/>
      <c r="AN907" s="73">
        <v>157</v>
      </c>
      <c r="AO907" s="36" t="str">
        <f>IFERROR(((VLOOKUP(Tabla1[[#This Row],[HIPOTESIS_1]],listas!$D$1:$E$105,2,FALSE))),"SIN INFORMACIÓN")</f>
        <v>Otra</v>
      </c>
      <c r="AP907" s="7"/>
      <c r="AQ907" s="36" t="str">
        <f>IFERROR(((VLOOKUP(Tabla1[[#This Row],[HIPOTESIS_2]],listas!$D$1:$E$105,2,FALSE))),"")</f>
        <v/>
      </c>
      <c r="AR907" s="1" t="str">
        <f>IF(HOUR(Tabla1[[#This Row],[HORA_ACCIDENTE]])&lt;6,"MAÑANA",
 IF(HOUR(Tabla1[[#This Row],[HORA_ACCIDENTE]])&lt;12,"MAÑANA",
 IF(HOUR(Tabla1[[#This Row],[HORA_ACCIDENTE]])&lt;18,"TARDE","NOCHE")))</f>
        <v>MAÑANA</v>
      </c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40"/>
    </row>
    <row r="908" spans="1:56" x14ac:dyDescent="0.25">
      <c r="A908" s="12">
        <v>912</v>
      </c>
      <c r="B908" s="38">
        <v>1</v>
      </c>
      <c r="C908" s="29">
        <v>0</v>
      </c>
      <c r="D908" s="15">
        <v>0</v>
      </c>
      <c r="E908" s="18" t="str">
        <f t="shared" si="56"/>
        <v>SOLO DAÑO</v>
      </c>
      <c r="F908" s="7" t="s">
        <v>56</v>
      </c>
      <c r="G908" s="37">
        <v>5.3164069999999999</v>
      </c>
      <c r="H908" s="37">
        <v>-72.404360999999994</v>
      </c>
      <c r="I908" s="93" t="s">
        <v>697</v>
      </c>
      <c r="J908" s="37" t="s">
        <v>717</v>
      </c>
      <c r="K908" s="24" t="str">
        <f t="shared" si="57"/>
        <v>2025</v>
      </c>
      <c r="L908" s="24" t="str">
        <f t="shared" si="58"/>
        <v>MARZO</v>
      </c>
      <c r="M908" s="232">
        <v>45742</v>
      </c>
      <c r="N908" s="24" t="str">
        <f t="shared" si="59"/>
        <v>MIÉRCOLES</v>
      </c>
      <c r="O908" s="106">
        <v>0.76388888888888884</v>
      </c>
      <c r="P908" s="39" t="s">
        <v>447</v>
      </c>
      <c r="Q908" s="39" t="s">
        <v>438</v>
      </c>
      <c r="R908" s="36">
        <f>COUNTIF(Tabla1[[#This Row],[VEHICULOS_ACCIDENTADOS]:[VEHICULOS_ACCIDENTADOS2]],"MOTOCICLETA")</f>
        <v>0</v>
      </c>
      <c r="S908" s="36">
        <f>COUNTIF(Tabla1[[#This Row],[VEHICULOS_ACCIDENTADOS]:[VEHICULOS_ACCIDENTADOS2]],"MOTOCARRO")</f>
        <v>0</v>
      </c>
      <c r="T908" s="36">
        <f>COUNTIF(Tabla1[[#This Row],[VEHICULOS_ACCIDENTADOS]:[VEHICULOS_ACCIDENTADOS2]],"AUTOMOVIL")</f>
        <v>1</v>
      </c>
      <c r="U908" s="36">
        <f>COUNTIF(Tabla1[[#This Row],[VEHICULOS_ACCIDENTADOS]:[VEHICULOS_ACCIDENTADOS2]],"CAMPERO")</f>
        <v>0</v>
      </c>
      <c r="V908" s="36">
        <f>COUNTIF(Tabla1[[#This Row],[VEHICULOS_ACCIDENTADOS]:[VEHICULOS_ACCIDENTADOS2]],"CAMIONETA")</f>
        <v>0</v>
      </c>
      <c r="W908" s="36">
        <f>COUNTIF(Tabla1[[#This Row],[VEHICULOS_ACCIDENTADOS]:[VEHICULOS_ACCIDENTADOS2]],"MICROBUS")</f>
        <v>0</v>
      </c>
      <c r="X908" s="36">
        <f>COUNTIF(Tabla1[[#This Row],[VEHICULOS_ACCIDENTADOS]:[VEHICULOS_ACCIDENTADOS2]],"BUS")</f>
        <v>0</v>
      </c>
      <c r="Y908" s="36">
        <f>COUNTIF(Tabla1[[#This Row],[VEHICULOS_ACCIDENTADOS]:[VEHICULOS_ACCIDENTADOS2]],"BUSETA")</f>
        <v>0</v>
      </c>
      <c r="Z908" s="36">
        <f>COUNTIF(Tabla1[[#This Row],[VEHICULOS_ACCIDENTADOS]:[VEHICULOS_ACCIDENTADOS2]],"CAMION")</f>
        <v>0</v>
      </c>
      <c r="AA908" s="36">
        <f>COUNTIF(Tabla1[[#This Row],[VEHICULOS_ACCIDENTADOS]:[VEHICULOS_ACCIDENTADOS2]],"TRACTOCAMION")</f>
        <v>0</v>
      </c>
      <c r="AB908" s="36">
        <f>COUNTIF(Tabla1[[#This Row],[VEHICULOS_ACCIDENTADOS]:[VEHICULOS_ACCIDENTADOS2]],"VOLQUETA")</f>
        <v>0</v>
      </c>
      <c r="AC908" s="36">
        <f>COUNTIF(Tabla1[[#This Row],[VEHICULOS_ACCIDENTADOS]:[VEHICULOS_ACCIDENTADOS2]],"BICICLETA")</f>
        <v>1</v>
      </c>
      <c r="AD908" s="38" t="s">
        <v>471</v>
      </c>
      <c r="AE908" s="38" t="s">
        <v>471</v>
      </c>
      <c r="AF908" s="38">
        <f>COUNTIF(Tabla1[[#This Row],[GENERO_MASCULINO]:[GENERO_FEMENINO]],"MASCULINO")</f>
        <v>2</v>
      </c>
      <c r="AG908" s="36">
        <f>COUNTIF(Tabla1[[#This Row],[GENERO_MASCULINO]:[GENERO_FEMENINO]],"FEMENINO")</f>
        <v>0</v>
      </c>
      <c r="AH908" s="86"/>
      <c r="AI908" s="86">
        <v>29</v>
      </c>
      <c r="AJ908" s="86"/>
      <c r="AK908" s="73"/>
      <c r="AL908" s="73"/>
      <c r="AM908" s="7"/>
      <c r="AN908" s="73">
        <v>115</v>
      </c>
      <c r="AO908" s="36" t="str">
        <f>IFERROR(((VLOOKUP(Tabla1[[#This Row],[HIPOTESIS_1]],listas!$D$1:$E$105,2,FALSE))),"SIN INFORMACIÓN")</f>
        <v>Embriaguez o Sustancias alucinogenas</v>
      </c>
      <c r="AP908" s="7"/>
      <c r="AQ908" s="36" t="str">
        <f>IFERROR(((VLOOKUP(Tabla1[[#This Row],[HIPOTESIS_2]],listas!$D$1:$E$105,2,FALSE))),"")</f>
        <v/>
      </c>
      <c r="AR908" s="1" t="str">
        <f>IF(HOUR(Tabla1[[#This Row],[HORA_ACCIDENTE]])&lt;6,"MAÑANA",
 IF(HOUR(Tabla1[[#This Row],[HORA_ACCIDENTE]])&lt;12,"MAÑANA",
 IF(HOUR(Tabla1[[#This Row],[HORA_ACCIDENTE]])&lt;18,"TARDE","NOCHE")))</f>
        <v>NOCHE</v>
      </c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33"/>
    </row>
    <row r="909" spans="1:56" x14ac:dyDescent="0.25">
      <c r="A909" s="12">
        <v>109</v>
      </c>
      <c r="B909" s="38">
        <v>0</v>
      </c>
      <c r="C909" s="29">
        <v>2</v>
      </c>
      <c r="D909" s="7">
        <v>0</v>
      </c>
      <c r="E909" s="18" t="str">
        <f t="shared" si="56"/>
        <v>LESIONADO</v>
      </c>
      <c r="F909" s="50" t="s">
        <v>400</v>
      </c>
      <c r="G909" s="17">
        <v>5.3139833333333328</v>
      </c>
      <c r="H909" s="17">
        <v>-72.403874999999999</v>
      </c>
      <c r="I909" s="93" t="s">
        <v>697</v>
      </c>
      <c r="J909" s="7" t="s">
        <v>717</v>
      </c>
      <c r="K909" s="24" t="str">
        <f t="shared" si="57"/>
        <v>2022</v>
      </c>
      <c r="L909" s="24" t="str">
        <f t="shared" si="58"/>
        <v>MARZO</v>
      </c>
      <c r="M909" s="232">
        <v>44646</v>
      </c>
      <c r="N909" s="24" t="str">
        <f t="shared" si="59"/>
        <v>SÁBADO</v>
      </c>
      <c r="O909" s="106">
        <v>0.77083333333333304</v>
      </c>
      <c r="P909" s="8" t="s">
        <v>469</v>
      </c>
      <c r="Q909" s="8"/>
      <c r="R909" s="36">
        <f>COUNTIF(Tabla1[[#This Row],[VEHICULOS_ACCIDENTADOS]:[VEHICULOS_ACCIDENTADOS2]],"MOTOCICLETA")</f>
        <v>1</v>
      </c>
      <c r="S909" s="36">
        <f>COUNTIF(Tabla1[[#This Row],[VEHICULOS_ACCIDENTADOS]:[VEHICULOS_ACCIDENTADOS2]],"MOTOCARRO")</f>
        <v>0</v>
      </c>
      <c r="T909" s="36">
        <f>COUNTIF(Tabla1[[#This Row],[VEHICULOS_ACCIDENTADOS]:[VEHICULOS_ACCIDENTADOS2]],"AUTOMOVIL")</f>
        <v>0</v>
      </c>
      <c r="U909" s="36">
        <f>COUNTIF(Tabla1[[#This Row],[VEHICULOS_ACCIDENTADOS]:[VEHICULOS_ACCIDENTADOS2]],"CAMPERO")</f>
        <v>0</v>
      </c>
      <c r="V909" s="36">
        <f>COUNTIF(Tabla1[[#This Row],[VEHICULOS_ACCIDENTADOS]:[VEHICULOS_ACCIDENTADOS2]],"CAMIONETA")</f>
        <v>0</v>
      </c>
      <c r="W909" s="36">
        <f>COUNTIF(Tabla1[[#This Row],[VEHICULOS_ACCIDENTADOS]:[VEHICULOS_ACCIDENTADOS2]],"MICROBUS")</f>
        <v>0</v>
      </c>
      <c r="X909" s="36">
        <f>COUNTIF(Tabla1[[#This Row],[VEHICULOS_ACCIDENTADOS]:[VEHICULOS_ACCIDENTADOS2]],"BUS")</f>
        <v>0</v>
      </c>
      <c r="Y909" s="36">
        <f>COUNTIF(Tabla1[[#This Row],[VEHICULOS_ACCIDENTADOS]:[VEHICULOS_ACCIDENTADOS2]],"BUSETA")</f>
        <v>0</v>
      </c>
      <c r="Z909" s="36">
        <f>COUNTIF(Tabla1[[#This Row],[VEHICULOS_ACCIDENTADOS]:[VEHICULOS_ACCIDENTADOS2]],"CAMION")</f>
        <v>0</v>
      </c>
      <c r="AA909" s="36">
        <f>COUNTIF(Tabla1[[#This Row],[VEHICULOS_ACCIDENTADOS]:[VEHICULOS_ACCIDENTADOS2]],"TRACTOCAMION")</f>
        <v>0</v>
      </c>
      <c r="AB909" s="36">
        <f>COUNTIF(Tabla1[[#This Row],[VEHICULOS_ACCIDENTADOS]:[VEHICULOS_ACCIDENTADOS2]],"VOLQUETA")</f>
        <v>0</v>
      </c>
      <c r="AC909" s="36">
        <f>COUNTIF(Tabla1[[#This Row],[VEHICULOS_ACCIDENTADOS]:[VEHICULOS_ACCIDENTADOS2]],"BICICLETA")</f>
        <v>0</v>
      </c>
      <c r="AD909" s="38" t="s">
        <v>471</v>
      </c>
      <c r="AE909" s="38"/>
      <c r="AF909" s="38">
        <f>COUNTIF(Tabla1[[#This Row],[GENERO_MASCULINO]:[GENERO_FEMENINO]],"MASCULINO")</f>
        <v>1</v>
      </c>
      <c r="AG909" s="36">
        <f>COUNTIF(Tabla1[[#This Row],[GENERO_MASCULINO]:[GENERO_FEMENINO]],"FEMENINO")</f>
        <v>0</v>
      </c>
      <c r="AH909" s="73">
        <v>44</v>
      </c>
      <c r="AI909" s="73"/>
      <c r="AJ909" s="87"/>
      <c r="AK909" s="73">
        <v>49</v>
      </c>
      <c r="AL909" s="73"/>
      <c r="AM909" s="7"/>
      <c r="AN909" s="73">
        <v>1</v>
      </c>
      <c r="AO909" s="36" t="str">
        <f>IFERROR(((VLOOKUP(Tabla1[[#This Row],[HIPOTESIS_1]],listas!$D$1:$E$105,2,FALSE))),"SIN INFORMACIÓN")</f>
        <v>SIN INFORMACIÓN</v>
      </c>
      <c r="AP909" s="7"/>
      <c r="AQ909" s="36" t="str">
        <f>IFERROR(((VLOOKUP(Tabla1[[#This Row],[HIPOTESIS_2]],listas!$D$1:$E$105,2,FALSE))),"")</f>
        <v/>
      </c>
      <c r="AR909" s="1" t="str">
        <f>IF(HOUR(Tabla1[[#This Row],[HORA_ACCIDENTE]])&lt;6,"MAÑANA",
 IF(HOUR(Tabla1[[#This Row],[HORA_ACCIDENTE]])&lt;12,"MAÑANA",
 IF(HOUR(Tabla1[[#This Row],[HORA_ACCIDENTE]])&lt;18,"TARDE","NOCHE")))</f>
        <v>NOCHE</v>
      </c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33"/>
    </row>
    <row r="910" spans="1:56" x14ac:dyDescent="0.25">
      <c r="A910" s="12">
        <v>544</v>
      </c>
      <c r="B910" s="38">
        <v>0</v>
      </c>
      <c r="C910" s="29">
        <v>2</v>
      </c>
      <c r="D910" s="7">
        <v>0</v>
      </c>
      <c r="E910" s="18" t="str">
        <f t="shared" si="56"/>
        <v>LESIONADO</v>
      </c>
      <c r="F910" s="7" t="s">
        <v>212</v>
      </c>
      <c r="G910" s="21">
        <v>5.3127997222222216</v>
      </c>
      <c r="H910" s="21">
        <v>-72.404003055555563</v>
      </c>
      <c r="I910" s="93" t="s">
        <v>697</v>
      </c>
      <c r="J910" s="7" t="s">
        <v>717</v>
      </c>
      <c r="K910" s="24" t="str">
        <f t="shared" si="57"/>
        <v>2023</v>
      </c>
      <c r="L910" s="24" t="str">
        <f t="shared" si="58"/>
        <v>AGOSTO</v>
      </c>
      <c r="M910" s="232">
        <v>45167</v>
      </c>
      <c r="N910" s="24" t="str">
        <f t="shared" si="59"/>
        <v>MARTES</v>
      </c>
      <c r="O910" s="106">
        <v>0.5625</v>
      </c>
      <c r="P910" s="39" t="s">
        <v>469</v>
      </c>
      <c r="Q910" s="39" t="s">
        <v>447</v>
      </c>
      <c r="R910" s="36">
        <f>COUNTIF(Tabla1[[#This Row],[VEHICULOS_ACCIDENTADOS]:[VEHICULOS_ACCIDENTADOS2]],"MOTOCICLETA")</f>
        <v>1</v>
      </c>
      <c r="S910" s="36">
        <f>COUNTIF(Tabla1[[#This Row],[VEHICULOS_ACCIDENTADOS]:[VEHICULOS_ACCIDENTADOS2]],"MOTOCARRO")</f>
        <v>0</v>
      </c>
      <c r="T910" s="36">
        <f>COUNTIF(Tabla1[[#This Row],[VEHICULOS_ACCIDENTADOS]:[VEHICULOS_ACCIDENTADOS2]],"AUTOMOVIL")</f>
        <v>1</v>
      </c>
      <c r="U910" s="36">
        <f>COUNTIF(Tabla1[[#This Row],[VEHICULOS_ACCIDENTADOS]:[VEHICULOS_ACCIDENTADOS2]],"CAMPERO")</f>
        <v>0</v>
      </c>
      <c r="V910" s="36">
        <f>COUNTIF(Tabla1[[#This Row],[VEHICULOS_ACCIDENTADOS]:[VEHICULOS_ACCIDENTADOS2]],"CAMIONETA")</f>
        <v>0</v>
      </c>
      <c r="W910" s="36">
        <f>COUNTIF(Tabla1[[#This Row],[VEHICULOS_ACCIDENTADOS]:[VEHICULOS_ACCIDENTADOS2]],"MICROBUS")</f>
        <v>0</v>
      </c>
      <c r="X910" s="36">
        <f>COUNTIF(Tabla1[[#This Row],[VEHICULOS_ACCIDENTADOS]:[VEHICULOS_ACCIDENTADOS2]],"BUS")</f>
        <v>0</v>
      </c>
      <c r="Y910" s="36">
        <f>COUNTIF(Tabla1[[#This Row],[VEHICULOS_ACCIDENTADOS]:[VEHICULOS_ACCIDENTADOS2]],"BUSETA")</f>
        <v>0</v>
      </c>
      <c r="Z910" s="36">
        <f>COUNTIF(Tabla1[[#This Row],[VEHICULOS_ACCIDENTADOS]:[VEHICULOS_ACCIDENTADOS2]],"CAMION")</f>
        <v>0</v>
      </c>
      <c r="AA910" s="36">
        <f>COUNTIF(Tabla1[[#This Row],[VEHICULOS_ACCIDENTADOS]:[VEHICULOS_ACCIDENTADOS2]],"TRACTOCAMION")</f>
        <v>0</v>
      </c>
      <c r="AB910" s="36">
        <f>COUNTIF(Tabla1[[#This Row],[VEHICULOS_ACCIDENTADOS]:[VEHICULOS_ACCIDENTADOS2]],"VOLQUETA")</f>
        <v>0</v>
      </c>
      <c r="AC910" s="36">
        <f>COUNTIF(Tabla1[[#This Row],[VEHICULOS_ACCIDENTADOS]:[VEHICULOS_ACCIDENTADOS2]],"BICICLETA")</f>
        <v>0</v>
      </c>
      <c r="AD910" s="38" t="s">
        <v>471</v>
      </c>
      <c r="AE910" s="38" t="s">
        <v>472</v>
      </c>
      <c r="AF910" s="38">
        <f>COUNTIF(Tabla1[[#This Row],[GENERO_MASCULINO]:[GENERO_FEMENINO]],"MASCULINO")</f>
        <v>1</v>
      </c>
      <c r="AG910" s="36">
        <f>COUNTIF(Tabla1[[#This Row],[GENERO_MASCULINO]:[GENERO_FEMENINO]],"FEMENINO")</f>
        <v>1</v>
      </c>
      <c r="AH910" s="73">
        <v>23</v>
      </c>
      <c r="AI910" s="73"/>
      <c r="AJ910" s="73"/>
      <c r="AK910" s="73"/>
      <c r="AL910" s="73">
        <v>28</v>
      </c>
      <c r="AM910" s="7"/>
      <c r="AN910" s="73">
        <v>121</v>
      </c>
      <c r="AO910" s="36" t="str">
        <f>IFERROR(((VLOOKUP(Tabla1[[#This Row],[HIPOTESIS_1]],listas!$D$1:$E$105,2,FALSE))),"SIN INFORMACIÓN")</f>
        <v>No mantener distancia de seguridad.</v>
      </c>
      <c r="AP910" s="7"/>
      <c r="AQ910" s="36" t="str">
        <f>IFERROR(((VLOOKUP(Tabla1[[#This Row],[HIPOTESIS_2]],listas!$D$1:$E$105,2,FALSE))),"")</f>
        <v/>
      </c>
      <c r="AR910" s="1" t="str">
        <f>IF(HOUR(Tabla1[[#This Row],[HORA_ACCIDENTE]])&lt;6,"MAÑANA",
 IF(HOUR(Tabla1[[#This Row],[HORA_ACCIDENTE]])&lt;12,"MAÑANA",
 IF(HOUR(Tabla1[[#This Row],[HORA_ACCIDENTE]])&lt;18,"TARDE","NOCHE")))</f>
        <v>TARDE</v>
      </c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33"/>
    </row>
    <row r="911" spans="1:56" x14ac:dyDescent="0.25">
      <c r="A911" s="12">
        <v>479</v>
      </c>
      <c r="B911" s="38">
        <v>0</v>
      </c>
      <c r="C911" s="29">
        <v>1</v>
      </c>
      <c r="D911" s="7">
        <v>0</v>
      </c>
      <c r="E911" s="18" t="str">
        <f t="shared" si="56"/>
        <v>LESIONADO</v>
      </c>
      <c r="F911" s="7" t="s">
        <v>245</v>
      </c>
      <c r="G911" s="21">
        <v>5.3114388888888886</v>
      </c>
      <c r="H911" s="21">
        <v>-72.403619444444445</v>
      </c>
      <c r="I911" s="93" t="s">
        <v>697</v>
      </c>
      <c r="J911" s="7" t="s">
        <v>717</v>
      </c>
      <c r="K911" s="24" t="str">
        <f t="shared" si="57"/>
        <v>2023</v>
      </c>
      <c r="L911" s="24" t="str">
        <f t="shared" si="58"/>
        <v>MAYO</v>
      </c>
      <c r="M911" s="232">
        <v>45062</v>
      </c>
      <c r="N911" s="24" t="str">
        <f t="shared" si="59"/>
        <v>MARTES</v>
      </c>
      <c r="O911" s="106">
        <v>0.38194444444444442</v>
      </c>
      <c r="P911" s="39" t="s">
        <v>469</v>
      </c>
      <c r="Q911" s="39" t="s">
        <v>440</v>
      </c>
      <c r="R911" s="36">
        <f>COUNTIF(Tabla1[[#This Row],[VEHICULOS_ACCIDENTADOS]:[VEHICULOS_ACCIDENTADOS2]],"MOTOCICLETA")</f>
        <v>1</v>
      </c>
      <c r="S911" s="36">
        <f>COUNTIF(Tabla1[[#This Row],[VEHICULOS_ACCIDENTADOS]:[VEHICULOS_ACCIDENTADOS2]],"MOTOCARRO")</f>
        <v>0</v>
      </c>
      <c r="T911" s="36">
        <f>COUNTIF(Tabla1[[#This Row],[VEHICULOS_ACCIDENTADOS]:[VEHICULOS_ACCIDENTADOS2]],"AUTOMOVIL")</f>
        <v>0</v>
      </c>
      <c r="U911" s="36">
        <f>COUNTIF(Tabla1[[#This Row],[VEHICULOS_ACCIDENTADOS]:[VEHICULOS_ACCIDENTADOS2]],"CAMPERO")</f>
        <v>0</v>
      </c>
      <c r="V911" s="36">
        <f>COUNTIF(Tabla1[[#This Row],[VEHICULOS_ACCIDENTADOS]:[VEHICULOS_ACCIDENTADOS2]],"CAMIONETA")</f>
        <v>0</v>
      </c>
      <c r="W911" s="36">
        <f>COUNTIF(Tabla1[[#This Row],[VEHICULOS_ACCIDENTADOS]:[VEHICULOS_ACCIDENTADOS2]],"MICROBUS")</f>
        <v>0</v>
      </c>
      <c r="X911" s="36">
        <f>COUNTIF(Tabla1[[#This Row],[VEHICULOS_ACCIDENTADOS]:[VEHICULOS_ACCIDENTADOS2]],"BUS")</f>
        <v>0</v>
      </c>
      <c r="Y911" s="36">
        <f>COUNTIF(Tabla1[[#This Row],[VEHICULOS_ACCIDENTADOS]:[VEHICULOS_ACCIDENTADOS2]],"BUSETA")</f>
        <v>0</v>
      </c>
      <c r="Z911" s="36">
        <f>COUNTIF(Tabla1[[#This Row],[VEHICULOS_ACCIDENTADOS]:[VEHICULOS_ACCIDENTADOS2]],"CAMION")</f>
        <v>0</v>
      </c>
      <c r="AA911" s="36">
        <f>COUNTIF(Tabla1[[#This Row],[VEHICULOS_ACCIDENTADOS]:[VEHICULOS_ACCIDENTADOS2]],"TRACTOCAMION")</f>
        <v>1</v>
      </c>
      <c r="AB911" s="36">
        <f>COUNTIF(Tabla1[[#This Row],[VEHICULOS_ACCIDENTADOS]:[VEHICULOS_ACCIDENTADOS2]],"VOLQUETA")</f>
        <v>0</v>
      </c>
      <c r="AC911" s="36">
        <f>COUNTIF(Tabla1[[#This Row],[VEHICULOS_ACCIDENTADOS]:[VEHICULOS_ACCIDENTADOS2]],"BICICLETA")</f>
        <v>0</v>
      </c>
      <c r="AD911" s="38" t="s">
        <v>471</v>
      </c>
      <c r="AE911" s="38"/>
      <c r="AF911" s="38">
        <f>COUNTIF(Tabla1[[#This Row],[GENERO_MASCULINO]:[GENERO_FEMENINO]],"MASCULINO")</f>
        <v>1</v>
      </c>
      <c r="AG911" s="36">
        <f>COUNTIF(Tabla1[[#This Row],[GENERO_MASCULINO]:[GENERO_FEMENINO]],"FEMENINO")</f>
        <v>0</v>
      </c>
      <c r="AH911" s="73">
        <v>19</v>
      </c>
      <c r="AI911" s="73"/>
      <c r="AJ911" s="73"/>
      <c r="AK911" s="73"/>
      <c r="AL911" s="73"/>
      <c r="AM911" s="7"/>
      <c r="AN911" s="73">
        <v>102</v>
      </c>
      <c r="AO911" s="36" t="str">
        <f>IFERROR(((VLOOKUP(Tabla1[[#This Row],[HIPOTESIS_1]],listas!$D$1:$E$105,2,FALSE))),"SIN INFORMACIÓN")</f>
        <v>Adelantar por la derecha.</v>
      </c>
      <c r="AP911" s="7"/>
      <c r="AQ911" s="36" t="str">
        <f>IFERROR(((VLOOKUP(Tabla1[[#This Row],[HIPOTESIS_2]],listas!$D$1:$E$105,2,FALSE))),"")</f>
        <v/>
      </c>
      <c r="AR911" s="1" t="str">
        <f>IF(HOUR(Tabla1[[#This Row],[HORA_ACCIDENTE]])&lt;6,"MAÑANA",
 IF(HOUR(Tabla1[[#This Row],[HORA_ACCIDENTE]])&lt;12,"MAÑANA",
 IF(HOUR(Tabla1[[#This Row],[HORA_ACCIDENTE]])&lt;18,"TARDE","NOCHE")))</f>
        <v>MAÑANA</v>
      </c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33"/>
    </row>
    <row r="912" spans="1:56" x14ac:dyDescent="0.25">
      <c r="A912" s="12">
        <v>860</v>
      </c>
      <c r="B912" s="97">
        <v>0</v>
      </c>
      <c r="C912" s="26">
        <v>1</v>
      </c>
      <c r="D912" s="15">
        <v>0</v>
      </c>
      <c r="E912" s="18" t="str">
        <f t="shared" si="56"/>
        <v>LESIONADO</v>
      </c>
      <c r="F912" s="15" t="s">
        <v>79</v>
      </c>
      <c r="G912" s="21">
        <v>5.3063989999999999</v>
      </c>
      <c r="H912" s="21">
        <v>-72.403516999999994</v>
      </c>
      <c r="I912" s="93" t="s">
        <v>697</v>
      </c>
      <c r="J912" s="21" t="s">
        <v>717</v>
      </c>
      <c r="K912" s="24" t="str">
        <f t="shared" si="57"/>
        <v>2025</v>
      </c>
      <c r="L912" s="24" t="str">
        <f t="shared" si="58"/>
        <v>ENERO</v>
      </c>
      <c r="M912" s="234">
        <v>45678</v>
      </c>
      <c r="N912" s="24" t="str">
        <f t="shared" si="59"/>
        <v>MARTES</v>
      </c>
      <c r="O912" s="108">
        <v>0.51736111111111105</v>
      </c>
      <c r="P912" s="44" t="s">
        <v>441</v>
      </c>
      <c r="Q912" s="44" t="s">
        <v>438</v>
      </c>
      <c r="R912" s="36">
        <f>COUNTIF(Tabla1[[#This Row],[VEHICULOS_ACCIDENTADOS]:[VEHICULOS_ACCIDENTADOS2]],"MOTOCICLETA")</f>
        <v>0</v>
      </c>
      <c r="S912" s="36">
        <f>COUNTIF(Tabla1[[#This Row],[VEHICULOS_ACCIDENTADOS]:[VEHICULOS_ACCIDENTADOS2]],"MOTOCARRO")</f>
        <v>0</v>
      </c>
      <c r="T912" s="36">
        <f>COUNTIF(Tabla1[[#This Row],[VEHICULOS_ACCIDENTADOS]:[VEHICULOS_ACCIDENTADOS2]],"AUTOMOVIL")</f>
        <v>0</v>
      </c>
      <c r="U912" s="36">
        <f>COUNTIF(Tabla1[[#This Row],[VEHICULOS_ACCIDENTADOS]:[VEHICULOS_ACCIDENTADOS2]],"CAMPERO")</f>
        <v>0</v>
      </c>
      <c r="V912" s="36">
        <f>COUNTIF(Tabla1[[#This Row],[VEHICULOS_ACCIDENTADOS]:[VEHICULOS_ACCIDENTADOS2]],"CAMIONETA")</f>
        <v>0</v>
      </c>
      <c r="W912" s="36">
        <f>COUNTIF(Tabla1[[#This Row],[VEHICULOS_ACCIDENTADOS]:[VEHICULOS_ACCIDENTADOS2]],"MICROBUS")</f>
        <v>0</v>
      </c>
      <c r="X912" s="36">
        <f>COUNTIF(Tabla1[[#This Row],[VEHICULOS_ACCIDENTADOS]:[VEHICULOS_ACCIDENTADOS2]],"BUS")</f>
        <v>0</v>
      </c>
      <c r="Y912" s="36">
        <f>COUNTIF(Tabla1[[#This Row],[VEHICULOS_ACCIDENTADOS]:[VEHICULOS_ACCIDENTADOS2]],"BUSETA")</f>
        <v>0</v>
      </c>
      <c r="Z912" s="36">
        <f>COUNTIF(Tabla1[[#This Row],[VEHICULOS_ACCIDENTADOS]:[VEHICULOS_ACCIDENTADOS2]],"CAMION")</f>
        <v>1</v>
      </c>
      <c r="AA912" s="36">
        <f>COUNTIF(Tabla1[[#This Row],[VEHICULOS_ACCIDENTADOS]:[VEHICULOS_ACCIDENTADOS2]],"TRACTOCAMION")</f>
        <v>0</v>
      </c>
      <c r="AB912" s="36">
        <f>COUNTIF(Tabla1[[#This Row],[VEHICULOS_ACCIDENTADOS]:[VEHICULOS_ACCIDENTADOS2]],"VOLQUETA")</f>
        <v>0</v>
      </c>
      <c r="AC912" s="36">
        <f>COUNTIF(Tabla1[[#This Row],[VEHICULOS_ACCIDENTADOS]:[VEHICULOS_ACCIDENTADOS2]],"BICICLETA")</f>
        <v>1</v>
      </c>
      <c r="AD912" s="43" t="s">
        <v>471</v>
      </c>
      <c r="AE912" s="43" t="s">
        <v>471</v>
      </c>
      <c r="AF912" s="43">
        <f>COUNTIF(Tabla1[[#This Row],[GENERO_MASCULINO]:[GENERO_FEMENINO]],"MASCULINO")</f>
        <v>2</v>
      </c>
      <c r="AG912" s="36">
        <f>COUNTIF(Tabla1[[#This Row],[GENERO_MASCULINO]:[GENERO_FEMENINO]],"FEMENINO")</f>
        <v>0</v>
      </c>
      <c r="AH912" s="86"/>
      <c r="AI912" s="86">
        <v>41</v>
      </c>
      <c r="AJ912" s="86"/>
      <c r="AK912" s="86"/>
      <c r="AL912" s="86"/>
      <c r="AM912" s="15"/>
      <c r="AN912" s="86">
        <v>139</v>
      </c>
      <c r="AO912" s="36" t="str">
        <f>IFERROR(((VLOOKUP(Tabla1[[#This Row],[HIPOTESIS_1]],listas!$D$1:$E$105,2,FALSE))),"SIN INFORMACIÓN")</f>
        <v>Impericia en el manejo.</v>
      </c>
      <c r="AP912" s="15"/>
      <c r="AQ912" s="36" t="str">
        <f>IFERROR(((VLOOKUP(Tabla1[[#This Row],[HIPOTESIS_2]],listas!$D$1:$E$105,2,FALSE))),"")</f>
        <v/>
      </c>
      <c r="AR912" s="1" t="str">
        <f>IF(HOUR(Tabla1[[#This Row],[HORA_ACCIDENTE]])&lt;6,"MAÑANA",
 IF(HOUR(Tabla1[[#This Row],[HORA_ACCIDENTE]])&lt;12,"MAÑANA",
 IF(HOUR(Tabla1[[#This Row],[HORA_ACCIDENTE]])&lt;18,"TARDE","NOCHE")))</f>
        <v>TARDE</v>
      </c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33"/>
    </row>
    <row r="913" spans="1:56" x14ac:dyDescent="0.25">
      <c r="A913" s="12">
        <v>113</v>
      </c>
      <c r="B913" s="38">
        <v>1</v>
      </c>
      <c r="C913" s="29">
        <v>0</v>
      </c>
      <c r="D913" s="7">
        <v>0</v>
      </c>
      <c r="E913" s="18" t="str">
        <f t="shared" si="56"/>
        <v>SOLO DAÑO</v>
      </c>
      <c r="F913" s="7" t="s">
        <v>396</v>
      </c>
      <c r="G913" s="17">
        <v>5.493236111111111</v>
      </c>
      <c r="H913" s="17">
        <v>-72.226877777777773</v>
      </c>
      <c r="I913" s="93" t="s">
        <v>697</v>
      </c>
      <c r="J913" s="7" t="s">
        <v>1</v>
      </c>
      <c r="K913" s="24" t="str">
        <f t="shared" si="57"/>
        <v>2022</v>
      </c>
      <c r="L913" s="24" t="str">
        <f t="shared" si="58"/>
        <v>ABRIL</v>
      </c>
      <c r="M913" s="232">
        <v>44654</v>
      </c>
      <c r="N913" s="24" t="str">
        <f t="shared" si="59"/>
        <v>DOMINGO</v>
      </c>
      <c r="O913" s="106">
        <v>0.77083333333333304</v>
      </c>
      <c r="P913" s="8" t="s">
        <v>447</v>
      </c>
      <c r="Q913" s="8" t="s">
        <v>441</v>
      </c>
      <c r="R913" s="36">
        <f>COUNTIF(Tabla1[[#This Row],[VEHICULOS_ACCIDENTADOS]:[VEHICULOS_ACCIDENTADOS2]],"MOTOCICLETA")</f>
        <v>0</v>
      </c>
      <c r="S913" s="36">
        <f>COUNTIF(Tabla1[[#This Row],[VEHICULOS_ACCIDENTADOS]:[VEHICULOS_ACCIDENTADOS2]],"MOTOCARRO")</f>
        <v>0</v>
      </c>
      <c r="T913" s="36">
        <f>COUNTIF(Tabla1[[#This Row],[VEHICULOS_ACCIDENTADOS]:[VEHICULOS_ACCIDENTADOS2]],"AUTOMOVIL")</f>
        <v>1</v>
      </c>
      <c r="U913" s="36">
        <f>COUNTIF(Tabla1[[#This Row],[VEHICULOS_ACCIDENTADOS]:[VEHICULOS_ACCIDENTADOS2]],"CAMPERO")</f>
        <v>0</v>
      </c>
      <c r="V913" s="36">
        <f>COUNTIF(Tabla1[[#This Row],[VEHICULOS_ACCIDENTADOS]:[VEHICULOS_ACCIDENTADOS2]],"CAMIONETA")</f>
        <v>0</v>
      </c>
      <c r="W913" s="36">
        <f>COUNTIF(Tabla1[[#This Row],[VEHICULOS_ACCIDENTADOS]:[VEHICULOS_ACCIDENTADOS2]],"MICROBUS")</f>
        <v>0</v>
      </c>
      <c r="X913" s="36">
        <f>COUNTIF(Tabla1[[#This Row],[VEHICULOS_ACCIDENTADOS]:[VEHICULOS_ACCIDENTADOS2]],"BUS")</f>
        <v>0</v>
      </c>
      <c r="Y913" s="36">
        <f>COUNTIF(Tabla1[[#This Row],[VEHICULOS_ACCIDENTADOS]:[VEHICULOS_ACCIDENTADOS2]],"BUSETA")</f>
        <v>0</v>
      </c>
      <c r="Z913" s="36">
        <f>COUNTIF(Tabla1[[#This Row],[VEHICULOS_ACCIDENTADOS]:[VEHICULOS_ACCIDENTADOS2]],"CAMION")</f>
        <v>1</v>
      </c>
      <c r="AA913" s="36">
        <f>COUNTIF(Tabla1[[#This Row],[VEHICULOS_ACCIDENTADOS]:[VEHICULOS_ACCIDENTADOS2]],"TRACTOCAMION")</f>
        <v>0</v>
      </c>
      <c r="AB913" s="36">
        <f>COUNTIF(Tabla1[[#This Row],[VEHICULOS_ACCIDENTADOS]:[VEHICULOS_ACCIDENTADOS2]],"VOLQUETA")</f>
        <v>0</v>
      </c>
      <c r="AC913" s="36">
        <f>COUNTIF(Tabla1[[#This Row],[VEHICULOS_ACCIDENTADOS]:[VEHICULOS_ACCIDENTADOS2]],"BICICLETA")</f>
        <v>0</v>
      </c>
      <c r="AD913" s="38"/>
      <c r="AE913" s="38" t="s">
        <v>472</v>
      </c>
      <c r="AF913" s="38">
        <f>COUNTIF(Tabla1[[#This Row],[GENERO_MASCULINO]:[GENERO_FEMENINO]],"MASCULINO")</f>
        <v>0</v>
      </c>
      <c r="AG913" s="36">
        <f>COUNTIF(Tabla1[[#This Row],[GENERO_MASCULINO]:[GENERO_FEMENINO]],"FEMENINO")</f>
        <v>1</v>
      </c>
      <c r="AH913" s="193"/>
      <c r="AI913" s="193"/>
      <c r="AJ913" s="89"/>
      <c r="AK913" s="193"/>
      <c r="AL913" s="193"/>
      <c r="AM913" s="32"/>
      <c r="AN913" s="193">
        <v>134</v>
      </c>
      <c r="AO913" s="36" t="str">
        <f>IFERROR(((VLOOKUP(Tabla1[[#This Row],[HIPOTESIS_1]],listas!$D$1:$E$105,2,FALSE))),"SIN INFORMACIÓN")</f>
        <v>Reverso imprudente.</v>
      </c>
      <c r="AP913" s="32"/>
      <c r="AQ913" s="36" t="str">
        <f>IFERROR(((VLOOKUP(Tabla1[[#This Row],[HIPOTESIS_2]],listas!$D$1:$E$105,2,FALSE))),"")</f>
        <v/>
      </c>
      <c r="AR913" s="1" t="str">
        <f>IF(HOUR(Tabla1[[#This Row],[HORA_ACCIDENTE]])&lt;6,"MAÑANA",
 IF(HOUR(Tabla1[[#This Row],[HORA_ACCIDENTE]])&lt;12,"MAÑANA",
 IF(HOUR(Tabla1[[#This Row],[HORA_ACCIDENTE]])&lt;18,"TARDE","NOCHE")))</f>
        <v>NOCHE</v>
      </c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33"/>
    </row>
    <row r="914" spans="1:56" x14ac:dyDescent="0.25">
      <c r="A914" s="12">
        <v>106</v>
      </c>
      <c r="B914" s="38">
        <v>0</v>
      </c>
      <c r="C914" s="7">
        <v>2</v>
      </c>
      <c r="D914" s="7">
        <v>0</v>
      </c>
      <c r="E914" s="18" t="str">
        <f t="shared" si="56"/>
        <v>LESIONADO</v>
      </c>
      <c r="F914" s="7" t="s">
        <v>401</v>
      </c>
      <c r="G914" s="17">
        <v>5.2970638888888883</v>
      </c>
      <c r="H914" s="17">
        <v>-72.402605555555567</v>
      </c>
      <c r="I914" s="93" t="s">
        <v>697</v>
      </c>
      <c r="J914" s="169" t="s">
        <v>717</v>
      </c>
      <c r="K914" s="24" t="str">
        <f t="shared" si="57"/>
        <v>2022</v>
      </c>
      <c r="L914" s="24" t="str">
        <f t="shared" si="58"/>
        <v>MARZO</v>
      </c>
      <c r="M914" s="238">
        <v>44650</v>
      </c>
      <c r="N914" s="24" t="str">
        <f t="shared" si="59"/>
        <v>MIÉRCOLES</v>
      </c>
      <c r="O914" s="109">
        <v>0.84375</v>
      </c>
      <c r="P914" s="8" t="s">
        <v>469</v>
      </c>
      <c r="Q914" s="220"/>
      <c r="R914" s="36">
        <f>COUNTIF(Tabla1[[#This Row],[VEHICULOS_ACCIDENTADOS]:[VEHICULOS_ACCIDENTADOS2]],"MOTOCICLETA")</f>
        <v>1</v>
      </c>
      <c r="S914" s="36">
        <f>COUNTIF(Tabla1[[#This Row],[VEHICULOS_ACCIDENTADOS]:[VEHICULOS_ACCIDENTADOS2]],"MOTOCARRO")</f>
        <v>0</v>
      </c>
      <c r="T914" s="36">
        <f>COUNTIF(Tabla1[[#This Row],[VEHICULOS_ACCIDENTADOS]:[VEHICULOS_ACCIDENTADOS2]],"AUTOMOVIL")</f>
        <v>0</v>
      </c>
      <c r="U914" s="36">
        <f>COUNTIF(Tabla1[[#This Row],[VEHICULOS_ACCIDENTADOS]:[VEHICULOS_ACCIDENTADOS2]],"CAMPERO")</f>
        <v>0</v>
      </c>
      <c r="V914" s="36">
        <f>COUNTIF(Tabla1[[#This Row],[VEHICULOS_ACCIDENTADOS]:[VEHICULOS_ACCIDENTADOS2]],"CAMIONETA")</f>
        <v>0</v>
      </c>
      <c r="W914" s="36">
        <f>COUNTIF(Tabla1[[#This Row],[VEHICULOS_ACCIDENTADOS]:[VEHICULOS_ACCIDENTADOS2]],"MICROBUS")</f>
        <v>0</v>
      </c>
      <c r="X914" s="36">
        <f>COUNTIF(Tabla1[[#This Row],[VEHICULOS_ACCIDENTADOS]:[VEHICULOS_ACCIDENTADOS2]],"BUS")</f>
        <v>0</v>
      </c>
      <c r="Y914" s="36">
        <f>COUNTIF(Tabla1[[#This Row],[VEHICULOS_ACCIDENTADOS]:[VEHICULOS_ACCIDENTADOS2]],"BUSETA")</f>
        <v>0</v>
      </c>
      <c r="Z914" s="36">
        <f>COUNTIF(Tabla1[[#This Row],[VEHICULOS_ACCIDENTADOS]:[VEHICULOS_ACCIDENTADOS2]],"CAMION")</f>
        <v>0</v>
      </c>
      <c r="AA914" s="36">
        <f>COUNTIF(Tabla1[[#This Row],[VEHICULOS_ACCIDENTADOS]:[VEHICULOS_ACCIDENTADOS2]],"TRACTOCAMION")</f>
        <v>0</v>
      </c>
      <c r="AB914" s="36">
        <f>COUNTIF(Tabla1[[#This Row],[VEHICULOS_ACCIDENTADOS]:[VEHICULOS_ACCIDENTADOS2]],"VOLQUETA")</f>
        <v>0</v>
      </c>
      <c r="AC914" s="36">
        <f>COUNTIF(Tabla1[[#This Row],[VEHICULOS_ACCIDENTADOS]:[VEHICULOS_ACCIDENTADOS2]],"BICICLETA")</f>
        <v>0</v>
      </c>
      <c r="AD914" s="7" t="s">
        <v>471</v>
      </c>
      <c r="AE914" s="7"/>
      <c r="AF914" s="7">
        <f>COUNTIF(Tabla1[[#This Row],[GENERO_MASCULINO]:[GENERO_FEMENINO]],"MASCULINO")</f>
        <v>1</v>
      </c>
      <c r="AG914" s="36">
        <f>COUNTIF(Tabla1[[#This Row],[GENERO_MASCULINO]:[GENERO_FEMENINO]],"FEMENINO")</f>
        <v>0</v>
      </c>
      <c r="AH914" s="73">
        <v>29</v>
      </c>
      <c r="AI914" s="199"/>
      <c r="AJ914" s="87"/>
      <c r="AK914" s="73">
        <v>11</v>
      </c>
      <c r="AL914" s="73"/>
      <c r="AM914" s="7"/>
      <c r="AN914" s="199">
        <v>139</v>
      </c>
      <c r="AO914" s="36" t="str">
        <f>IFERROR(((VLOOKUP(Tabla1[[#This Row],[HIPOTESIS_1]],listas!$D$1:$E$105,2,FALSE))),"SIN INFORMACIÓN")</f>
        <v>Impericia en el manejo.</v>
      </c>
      <c r="AP914" s="41"/>
      <c r="AQ914" s="36" t="str">
        <f>IFERROR(((VLOOKUP(Tabla1[[#This Row],[HIPOTESIS_2]],listas!$D$1:$E$105,2,FALSE))),"")</f>
        <v/>
      </c>
      <c r="AR914" s="1" t="str">
        <f>IF(HOUR(Tabla1[[#This Row],[HORA_ACCIDENTE]])&lt;6,"MAÑANA",
 IF(HOUR(Tabla1[[#This Row],[HORA_ACCIDENTE]])&lt;12,"MAÑANA",
 IF(HOUR(Tabla1[[#This Row],[HORA_ACCIDENTE]])&lt;18,"TARDE","NOCHE")))</f>
        <v>NOCHE</v>
      </c>
      <c r="AS914" s="6"/>
      <c r="AT914" s="6"/>
      <c r="AU914" s="6"/>
      <c r="AV914" s="6"/>
      <c r="AW914" s="6"/>
      <c r="AX914" s="6"/>
      <c r="AY914" s="6"/>
      <c r="AZ914" s="6"/>
      <c r="BA914" s="6"/>
      <c r="BB914" s="41"/>
      <c r="BC914" s="41"/>
      <c r="BD914" s="40"/>
    </row>
    <row r="915" spans="1:56" x14ac:dyDescent="0.25">
      <c r="A915" s="12">
        <v>370</v>
      </c>
      <c r="B915" s="38">
        <v>0</v>
      </c>
      <c r="C915" s="29">
        <v>0</v>
      </c>
      <c r="D915" s="7">
        <v>1</v>
      </c>
      <c r="E915" s="18" t="str">
        <f t="shared" si="56"/>
        <v>FALLECIDO</v>
      </c>
      <c r="F915" s="7" t="s">
        <v>116</v>
      </c>
      <c r="G915" s="17">
        <v>5.3090666666666664</v>
      </c>
      <c r="H915" s="17">
        <v>-72.403480555555561</v>
      </c>
      <c r="I915" s="93" t="s">
        <v>697</v>
      </c>
      <c r="J915" s="7" t="s">
        <v>717</v>
      </c>
      <c r="K915" s="24" t="str">
        <f t="shared" si="57"/>
        <v>2022</v>
      </c>
      <c r="L915" s="24" t="str">
        <f t="shared" si="58"/>
        <v>DICIEMBRE</v>
      </c>
      <c r="M915" s="232">
        <v>44906</v>
      </c>
      <c r="N915" s="24" t="str">
        <f t="shared" si="59"/>
        <v>DOMINGO</v>
      </c>
      <c r="O915" s="174">
        <v>6.9444444444444406E-2</v>
      </c>
      <c r="P915" s="180" t="s">
        <v>469</v>
      </c>
      <c r="Q915" s="180"/>
      <c r="R915" s="36">
        <f>COUNTIF(Tabla1[[#This Row],[VEHICULOS_ACCIDENTADOS]:[VEHICULOS_ACCIDENTADOS2]],"MOTOCICLETA")</f>
        <v>1</v>
      </c>
      <c r="S915" s="36">
        <f>COUNTIF(Tabla1[[#This Row],[VEHICULOS_ACCIDENTADOS]:[VEHICULOS_ACCIDENTADOS2]],"MOTOCARRO")</f>
        <v>0</v>
      </c>
      <c r="T915" s="36">
        <f>COUNTIF(Tabla1[[#This Row],[VEHICULOS_ACCIDENTADOS]:[VEHICULOS_ACCIDENTADOS2]],"AUTOMOVIL")</f>
        <v>0</v>
      </c>
      <c r="U915" s="36">
        <f>COUNTIF(Tabla1[[#This Row],[VEHICULOS_ACCIDENTADOS]:[VEHICULOS_ACCIDENTADOS2]],"CAMPERO")</f>
        <v>0</v>
      </c>
      <c r="V915" s="36">
        <f>COUNTIF(Tabla1[[#This Row],[VEHICULOS_ACCIDENTADOS]:[VEHICULOS_ACCIDENTADOS2]],"CAMIONETA")</f>
        <v>0</v>
      </c>
      <c r="W915" s="36">
        <f>COUNTIF(Tabla1[[#This Row],[VEHICULOS_ACCIDENTADOS]:[VEHICULOS_ACCIDENTADOS2]],"MICROBUS")</f>
        <v>0</v>
      </c>
      <c r="X915" s="36">
        <f>COUNTIF(Tabla1[[#This Row],[VEHICULOS_ACCIDENTADOS]:[VEHICULOS_ACCIDENTADOS2]],"BUS")</f>
        <v>0</v>
      </c>
      <c r="Y915" s="36">
        <f>COUNTIF(Tabla1[[#This Row],[VEHICULOS_ACCIDENTADOS]:[VEHICULOS_ACCIDENTADOS2]],"BUSETA")</f>
        <v>0</v>
      </c>
      <c r="Z915" s="36">
        <f>COUNTIF(Tabla1[[#This Row],[VEHICULOS_ACCIDENTADOS]:[VEHICULOS_ACCIDENTADOS2]],"CAMION")</f>
        <v>0</v>
      </c>
      <c r="AA915" s="36">
        <f>COUNTIF(Tabla1[[#This Row],[VEHICULOS_ACCIDENTADOS]:[VEHICULOS_ACCIDENTADOS2]],"TRACTOCAMION")</f>
        <v>0</v>
      </c>
      <c r="AB915" s="36">
        <f>COUNTIF(Tabla1[[#This Row],[VEHICULOS_ACCIDENTADOS]:[VEHICULOS_ACCIDENTADOS2]],"VOLQUETA")</f>
        <v>0</v>
      </c>
      <c r="AC915" s="36">
        <f>COUNTIF(Tabla1[[#This Row],[VEHICULOS_ACCIDENTADOS]:[VEHICULOS_ACCIDENTADOS2]],"BICICLETA")</f>
        <v>0</v>
      </c>
      <c r="AD915" s="38" t="s">
        <v>471</v>
      </c>
      <c r="AE915" s="38"/>
      <c r="AF915" s="38">
        <f>COUNTIF(Tabla1[[#This Row],[GENERO_MASCULINO]:[GENERO_FEMENINO]],"MASCULINO")</f>
        <v>1</v>
      </c>
      <c r="AG915" s="36">
        <f>COUNTIF(Tabla1[[#This Row],[GENERO_MASCULINO]:[GENERO_FEMENINO]],"FEMENINO")</f>
        <v>0</v>
      </c>
      <c r="AH915" s="73"/>
      <c r="AI915" s="73"/>
      <c r="AJ915" s="87"/>
      <c r="AK915" s="73"/>
      <c r="AL915" s="73"/>
      <c r="AM915" s="7"/>
      <c r="AN915" s="73">
        <v>116</v>
      </c>
      <c r="AO915" s="36" t="str">
        <f>IFERROR(((VLOOKUP(Tabla1[[#This Row],[HIPOTESIS_1]],listas!$D$1:$E$105,2,FALSE))),"SIN INFORMACIÓN")</f>
        <v>Exceso de velocidad</v>
      </c>
      <c r="AP915" s="7"/>
      <c r="AQ915" s="36" t="str">
        <f>IFERROR(((VLOOKUP(Tabla1[[#This Row],[HIPOTESIS_2]],listas!$D$1:$E$105,2,FALSE))),"")</f>
        <v/>
      </c>
      <c r="AR915" s="1" t="str">
        <f>IF(HOUR(Tabla1[[#This Row],[HORA_ACCIDENTE]])&lt;6,"MAÑANA",
 IF(HOUR(Tabla1[[#This Row],[HORA_ACCIDENTE]])&lt;12,"MAÑANA",
 IF(HOUR(Tabla1[[#This Row],[HORA_ACCIDENTE]])&lt;18,"TARDE","NOCHE")))</f>
        <v>MAÑANA</v>
      </c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33"/>
    </row>
    <row r="916" spans="1:56" x14ac:dyDescent="0.25">
      <c r="A916" s="12">
        <v>906</v>
      </c>
      <c r="B916" s="97">
        <v>0</v>
      </c>
      <c r="C916" s="26">
        <v>1</v>
      </c>
      <c r="D916" s="15">
        <v>0</v>
      </c>
      <c r="E916" s="18" t="str">
        <f t="shared" si="56"/>
        <v>LESIONADO</v>
      </c>
      <c r="F916" s="15" t="s">
        <v>59</v>
      </c>
      <c r="G916" s="21">
        <v>5.3209400000000002</v>
      </c>
      <c r="H916" s="21">
        <v>-72.404767000000007</v>
      </c>
      <c r="I916" s="93" t="s">
        <v>697</v>
      </c>
      <c r="J916" s="21" t="s">
        <v>717</v>
      </c>
      <c r="K916" s="24" t="str">
        <f t="shared" si="57"/>
        <v>2025</v>
      </c>
      <c r="L916" s="24" t="str">
        <f t="shared" si="58"/>
        <v>MARZO</v>
      </c>
      <c r="M916" s="234">
        <v>45731</v>
      </c>
      <c r="N916" s="24" t="str">
        <f t="shared" si="59"/>
        <v>SÁBADO</v>
      </c>
      <c r="O916" s="108">
        <v>6.9444444444444441E-3</v>
      </c>
      <c r="P916" s="44" t="s">
        <v>469</v>
      </c>
      <c r="Q916" s="44"/>
      <c r="R916" s="36">
        <f>COUNTIF(Tabla1[[#This Row],[VEHICULOS_ACCIDENTADOS]:[VEHICULOS_ACCIDENTADOS2]],"MOTOCICLETA")</f>
        <v>1</v>
      </c>
      <c r="S916" s="36">
        <f>COUNTIF(Tabla1[[#This Row],[VEHICULOS_ACCIDENTADOS]:[VEHICULOS_ACCIDENTADOS2]],"MOTOCARRO")</f>
        <v>0</v>
      </c>
      <c r="T916" s="36">
        <f>COUNTIF(Tabla1[[#This Row],[VEHICULOS_ACCIDENTADOS]:[VEHICULOS_ACCIDENTADOS2]],"AUTOMOVIL")</f>
        <v>0</v>
      </c>
      <c r="U916" s="36">
        <f>COUNTIF(Tabla1[[#This Row],[VEHICULOS_ACCIDENTADOS]:[VEHICULOS_ACCIDENTADOS2]],"CAMPERO")</f>
        <v>0</v>
      </c>
      <c r="V916" s="36">
        <f>COUNTIF(Tabla1[[#This Row],[VEHICULOS_ACCIDENTADOS]:[VEHICULOS_ACCIDENTADOS2]],"CAMIONETA")</f>
        <v>0</v>
      </c>
      <c r="W916" s="36">
        <f>COUNTIF(Tabla1[[#This Row],[VEHICULOS_ACCIDENTADOS]:[VEHICULOS_ACCIDENTADOS2]],"MICROBUS")</f>
        <v>0</v>
      </c>
      <c r="X916" s="36">
        <f>COUNTIF(Tabla1[[#This Row],[VEHICULOS_ACCIDENTADOS]:[VEHICULOS_ACCIDENTADOS2]],"BUS")</f>
        <v>0</v>
      </c>
      <c r="Y916" s="36">
        <f>COUNTIF(Tabla1[[#This Row],[VEHICULOS_ACCIDENTADOS]:[VEHICULOS_ACCIDENTADOS2]],"BUSETA")</f>
        <v>0</v>
      </c>
      <c r="Z916" s="36">
        <f>COUNTIF(Tabla1[[#This Row],[VEHICULOS_ACCIDENTADOS]:[VEHICULOS_ACCIDENTADOS2]],"CAMION")</f>
        <v>0</v>
      </c>
      <c r="AA916" s="36">
        <f>COUNTIF(Tabla1[[#This Row],[VEHICULOS_ACCIDENTADOS]:[VEHICULOS_ACCIDENTADOS2]],"TRACTOCAMION")</f>
        <v>0</v>
      </c>
      <c r="AB916" s="36">
        <f>COUNTIF(Tabla1[[#This Row],[VEHICULOS_ACCIDENTADOS]:[VEHICULOS_ACCIDENTADOS2]],"VOLQUETA")</f>
        <v>0</v>
      </c>
      <c r="AC916" s="36">
        <f>COUNTIF(Tabla1[[#This Row],[VEHICULOS_ACCIDENTADOS]:[VEHICULOS_ACCIDENTADOS2]],"BICICLETA")</f>
        <v>0</v>
      </c>
      <c r="AD916" s="43" t="s">
        <v>471</v>
      </c>
      <c r="AE916" s="43"/>
      <c r="AF916" s="43">
        <f>COUNTIF(Tabla1[[#This Row],[GENERO_MASCULINO]:[GENERO_FEMENINO]],"MASCULINO")</f>
        <v>1</v>
      </c>
      <c r="AG916" s="36">
        <f>COUNTIF(Tabla1[[#This Row],[GENERO_MASCULINO]:[GENERO_FEMENINO]],"FEMENINO")</f>
        <v>0</v>
      </c>
      <c r="AH916" s="86">
        <v>33</v>
      </c>
      <c r="AI916" s="86"/>
      <c r="AJ916" s="86"/>
      <c r="AK916" s="86"/>
      <c r="AL916" s="86"/>
      <c r="AM916" s="15"/>
      <c r="AN916" s="86">
        <v>157</v>
      </c>
      <c r="AO916" s="36" t="str">
        <f>IFERROR(((VLOOKUP(Tabla1[[#This Row],[HIPOTESIS_1]],listas!$D$1:$E$105,2,FALSE))),"SIN INFORMACIÓN")</f>
        <v>Otra</v>
      </c>
      <c r="AP916" s="15"/>
      <c r="AQ916" s="36" t="str">
        <f>IFERROR(((VLOOKUP(Tabla1[[#This Row],[HIPOTESIS_2]],listas!$D$1:$E$105,2,FALSE))),"")</f>
        <v/>
      </c>
      <c r="AR916" s="1" t="str">
        <f>IF(HOUR(Tabla1[[#This Row],[HORA_ACCIDENTE]])&lt;6,"MAÑANA",
 IF(HOUR(Tabla1[[#This Row],[HORA_ACCIDENTE]])&lt;12,"MAÑANA",
 IF(HOUR(Tabla1[[#This Row],[HORA_ACCIDENTE]])&lt;18,"TARDE","NOCHE")))</f>
        <v>MAÑANA</v>
      </c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33"/>
    </row>
    <row r="917" spans="1:56" x14ac:dyDescent="0.25">
      <c r="A917" s="12">
        <v>849</v>
      </c>
      <c r="B917" s="97">
        <v>0</v>
      </c>
      <c r="C917" s="26">
        <v>2</v>
      </c>
      <c r="D917" s="19">
        <v>0</v>
      </c>
      <c r="E917" s="18" t="str">
        <f t="shared" si="56"/>
        <v>LESIONADO</v>
      </c>
      <c r="F917" s="15" t="s">
        <v>86</v>
      </c>
      <c r="G917" s="21">
        <v>5.3028127777777776</v>
      </c>
      <c r="H917" s="21">
        <v>-72.403131111111122</v>
      </c>
      <c r="I917" s="93" t="s">
        <v>697</v>
      </c>
      <c r="J917" s="7" t="s">
        <v>717</v>
      </c>
      <c r="K917" s="24" t="str">
        <f t="shared" si="57"/>
        <v>2024</v>
      </c>
      <c r="L917" s="24" t="str">
        <f t="shared" si="58"/>
        <v>DICIEMBRE</v>
      </c>
      <c r="M917" s="234">
        <v>45652</v>
      </c>
      <c r="N917" s="24" t="str">
        <f t="shared" si="59"/>
        <v>JUEVES</v>
      </c>
      <c r="O917" s="108">
        <v>0.76388888888888884</v>
      </c>
      <c r="P917" s="44" t="s">
        <v>469</v>
      </c>
      <c r="Q917" s="44" t="s">
        <v>438</v>
      </c>
      <c r="R917" s="36">
        <f>COUNTIF(Tabla1[[#This Row],[VEHICULOS_ACCIDENTADOS]:[VEHICULOS_ACCIDENTADOS2]],"MOTOCICLETA")</f>
        <v>1</v>
      </c>
      <c r="S917" s="36">
        <f>COUNTIF(Tabla1[[#This Row],[VEHICULOS_ACCIDENTADOS]:[VEHICULOS_ACCIDENTADOS2]],"MOTOCARRO")</f>
        <v>0</v>
      </c>
      <c r="T917" s="36">
        <f>COUNTIF(Tabla1[[#This Row],[VEHICULOS_ACCIDENTADOS]:[VEHICULOS_ACCIDENTADOS2]],"AUTOMOVIL")</f>
        <v>0</v>
      </c>
      <c r="U917" s="36">
        <f>COUNTIF(Tabla1[[#This Row],[VEHICULOS_ACCIDENTADOS]:[VEHICULOS_ACCIDENTADOS2]],"CAMPERO")</f>
        <v>0</v>
      </c>
      <c r="V917" s="36">
        <f>COUNTIF(Tabla1[[#This Row],[VEHICULOS_ACCIDENTADOS]:[VEHICULOS_ACCIDENTADOS2]],"CAMIONETA")</f>
        <v>0</v>
      </c>
      <c r="W917" s="36">
        <f>COUNTIF(Tabla1[[#This Row],[VEHICULOS_ACCIDENTADOS]:[VEHICULOS_ACCIDENTADOS2]],"MICROBUS")</f>
        <v>0</v>
      </c>
      <c r="X917" s="36">
        <f>COUNTIF(Tabla1[[#This Row],[VEHICULOS_ACCIDENTADOS]:[VEHICULOS_ACCIDENTADOS2]],"BUS")</f>
        <v>0</v>
      </c>
      <c r="Y917" s="36">
        <f>COUNTIF(Tabla1[[#This Row],[VEHICULOS_ACCIDENTADOS]:[VEHICULOS_ACCIDENTADOS2]],"BUSETA")</f>
        <v>0</v>
      </c>
      <c r="Z917" s="36">
        <f>COUNTIF(Tabla1[[#This Row],[VEHICULOS_ACCIDENTADOS]:[VEHICULOS_ACCIDENTADOS2]],"CAMION")</f>
        <v>0</v>
      </c>
      <c r="AA917" s="36">
        <f>COUNTIF(Tabla1[[#This Row],[VEHICULOS_ACCIDENTADOS]:[VEHICULOS_ACCIDENTADOS2]],"TRACTOCAMION")</f>
        <v>0</v>
      </c>
      <c r="AB917" s="36">
        <f>COUNTIF(Tabla1[[#This Row],[VEHICULOS_ACCIDENTADOS]:[VEHICULOS_ACCIDENTADOS2]],"VOLQUETA")</f>
        <v>0</v>
      </c>
      <c r="AC917" s="36">
        <f>COUNTIF(Tabla1[[#This Row],[VEHICULOS_ACCIDENTADOS]:[VEHICULOS_ACCIDENTADOS2]],"BICICLETA")</f>
        <v>1</v>
      </c>
      <c r="AD917" s="43" t="s">
        <v>471</v>
      </c>
      <c r="AE917" s="43"/>
      <c r="AF917" s="43">
        <f>COUNTIF(Tabla1[[#This Row],[GENERO_MASCULINO]:[GENERO_FEMENINO]],"MASCULINO")</f>
        <v>1</v>
      </c>
      <c r="AG917" s="36">
        <f>COUNTIF(Tabla1[[#This Row],[GENERO_MASCULINO]:[GENERO_FEMENINO]],"FEMENINO")</f>
        <v>0</v>
      </c>
      <c r="AH917" s="86">
        <v>19</v>
      </c>
      <c r="AI917" s="86">
        <v>56</v>
      </c>
      <c r="AJ917" s="86"/>
      <c r="AK917" s="86"/>
      <c r="AL917" s="86"/>
      <c r="AM917" s="15"/>
      <c r="AN917" s="86">
        <v>157</v>
      </c>
      <c r="AO917" s="36" t="str">
        <f>IFERROR(((VLOOKUP(Tabla1[[#This Row],[HIPOTESIS_1]],listas!$D$1:$E$105,2,FALSE))),"SIN INFORMACIÓN")</f>
        <v>Otra</v>
      </c>
      <c r="AP917" s="15"/>
      <c r="AQ917" s="36" t="str">
        <f>IFERROR(((VLOOKUP(Tabla1[[#This Row],[HIPOTESIS_2]],listas!$D$1:$E$105,2,FALSE))),"")</f>
        <v/>
      </c>
      <c r="AR917" s="1" t="str">
        <f>IF(HOUR(Tabla1[[#This Row],[HORA_ACCIDENTE]])&lt;6,"MAÑANA",
 IF(HOUR(Tabla1[[#This Row],[HORA_ACCIDENTE]])&lt;12,"MAÑANA",
 IF(HOUR(Tabla1[[#This Row],[HORA_ACCIDENTE]])&lt;18,"TARDE","NOCHE")))</f>
        <v>NOCHE</v>
      </c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33"/>
    </row>
    <row r="918" spans="1:56" x14ac:dyDescent="0.25">
      <c r="A918" s="12">
        <v>474</v>
      </c>
      <c r="B918" s="38">
        <v>0</v>
      </c>
      <c r="C918" s="29">
        <v>1</v>
      </c>
      <c r="D918" s="7">
        <v>0</v>
      </c>
      <c r="E918" s="18" t="str">
        <f t="shared" si="56"/>
        <v>LESIONADO</v>
      </c>
      <c r="F918" s="7" t="s">
        <v>248</v>
      </c>
      <c r="G918" s="21">
        <v>5.3088361111111109</v>
      </c>
      <c r="H918" s="21">
        <v>-72.403466666666674</v>
      </c>
      <c r="I918" s="93" t="s">
        <v>697</v>
      </c>
      <c r="J918" s="7" t="s">
        <v>717</v>
      </c>
      <c r="K918" s="24" t="str">
        <f t="shared" si="57"/>
        <v>2023</v>
      </c>
      <c r="L918" s="24" t="str">
        <f t="shared" si="58"/>
        <v>MAYO</v>
      </c>
      <c r="M918" s="232">
        <v>45055</v>
      </c>
      <c r="N918" s="24" t="str">
        <f t="shared" si="59"/>
        <v>MARTES</v>
      </c>
      <c r="O918" s="106">
        <v>0.51041666666666663</v>
      </c>
      <c r="P918" s="39" t="s">
        <v>469</v>
      </c>
      <c r="Q918" s="39"/>
      <c r="R918" s="36">
        <f>COUNTIF(Tabla1[[#This Row],[VEHICULOS_ACCIDENTADOS]:[VEHICULOS_ACCIDENTADOS2]],"MOTOCICLETA")</f>
        <v>1</v>
      </c>
      <c r="S918" s="36">
        <f>COUNTIF(Tabla1[[#This Row],[VEHICULOS_ACCIDENTADOS]:[VEHICULOS_ACCIDENTADOS2]],"MOTOCARRO")</f>
        <v>0</v>
      </c>
      <c r="T918" s="36">
        <f>COUNTIF(Tabla1[[#This Row],[VEHICULOS_ACCIDENTADOS]:[VEHICULOS_ACCIDENTADOS2]],"AUTOMOVIL")</f>
        <v>0</v>
      </c>
      <c r="U918" s="36">
        <f>COUNTIF(Tabla1[[#This Row],[VEHICULOS_ACCIDENTADOS]:[VEHICULOS_ACCIDENTADOS2]],"CAMPERO")</f>
        <v>0</v>
      </c>
      <c r="V918" s="36">
        <f>COUNTIF(Tabla1[[#This Row],[VEHICULOS_ACCIDENTADOS]:[VEHICULOS_ACCIDENTADOS2]],"CAMIONETA")</f>
        <v>0</v>
      </c>
      <c r="W918" s="36">
        <f>COUNTIF(Tabla1[[#This Row],[VEHICULOS_ACCIDENTADOS]:[VEHICULOS_ACCIDENTADOS2]],"MICROBUS")</f>
        <v>0</v>
      </c>
      <c r="X918" s="36">
        <f>COUNTIF(Tabla1[[#This Row],[VEHICULOS_ACCIDENTADOS]:[VEHICULOS_ACCIDENTADOS2]],"BUS")</f>
        <v>0</v>
      </c>
      <c r="Y918" s="36">
        <f>COUNTIF(Tabla1[[#This Row],[VEHICULOS_ACCIDENTADOS]:[VEHICULOS_ACCIDENTADOS2]],"BUSETA")</f>
        <v>0</v>
      </c>
      <c r="Z918" s="36">
        <f>COUNTIF(Tabla1[[#This Row],[VEHICULOS_ACCIDENTADOS]:[VEHICULOS_ACCIDENTADOS2]],"CAMION")</f>
        <v>0</v>
      </c>
      <c r="AA918" s="36">
        <f>COUNTIF(Tabla1[[#This Row],[VEHICULOS_ACCIDENTADOS]:[VEHICULOS_ACCIDENTADOS2]],"TRACTOCAMION")</f>
        <v>0</v>
      </c>
      <c r="AB918" s="36">
        <f>COUNTIF(Tabla1[[#This Row],[VEHICULOS_ACCIDENTADOS]:[VEHICULOS_ACCIDENTADOS2]],"VOLQUETA")</f>
        <v>0</v>
      </c>
      <c r="AC918" s="36">
        <f>COUNTIF(Tabla1[[#This Row],[VEHICULOS_ACCIDENTADOS]:[VEHICULOS_ACCIDENTADOS2]],"BICICLETA")</f>
        <v>0</v>
      </c>
      <c r="AD918" s="38" t="s">
        <v>471</v>
      </c>
      <c r="AE918" s="38"/>
      <c r="AF918" s="38">
        <f>COUNTIF(Tabla1[[#This Row],[GENERO_MASCULINO]:[GENERO_FEMENINO]],"MASCULINO")</f>
        <v>1</v>
      </c>
      <c r="AG918" s="36">
        <f>COUNTIF(Tabla1[[#This Row],[GENERO_MASCULINO]:[GENERO_FEMENINO]],"FEMENINO")</f>
        <v>0</v>
      </c>
      <c r="AH918" s="73"/>
      <c r="AI918" s="73"/>
      <c r="AJ918" s="73"/>
      <c r="AK918" s="73">
        <v>74</v>
      </c>
      <c r="AL918" s="73"/>
      <c r="AM918" s="7"/>
      <c r="AN918" s="73">
        <v>407</v>
      </c>
      <c r="AO918" s="36" t="str">
        <f>IFERROR(((VLOOKUP(Tabla1[[#This Row],[HIPOTESIS_1]],listas!$D$1:$E$105,2,FALSE))),"SIN INFORMACIÓN")</f>
        <v>Pararse sobre la calzada.</v>
      </c>
      <c r="AP918" s="7"/>
      <c r="AQ918" s="36" t="str">
        <f>IFERROR(((VLOOKUP(Tabla1[[#This Row],[HIPOTESIS_2]],listas!$D$1:$E$105,2,FALSE))),"")</f>
        <v/>
      </c>
      <c r="AR918" s="1" t="str">
        <f>IF(HOUR(Tabla1[[#This Row],[HORA_ACCIDENTE]])&lt;6,"MAÑANA",
 IF(HOUR(Tabla1[[#This Row],[HORA_ACCIDENTE]])&lt;12,"MAÑANA",
 IF(HOUR(Tabla1[[#This Row],[HORA_ACCIDENTE]])&lt;18,"TARDE","NOCHE")))</f>
        <v>TARDE</v>
      </c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33"/>
    </row>
    <row r="919" spans="1:56" x14ac:dyDescent="0.25">
      <c r="A919" s="12">
        <v>1006</v>
      </c>
      <c r="B919" s="47">
        <v>0</v>
      </c>
      <c r="C919" s="152">
        <v>1</v>
      </c>
      <c r="D919" s="24">
        <v>0</v>
      </c>
      <c r="E919" s="18" t="str">
        <f t="shared" si="56"/>
        <v>LESIONADO</v>
      </c>
      <c r="F919" s="24" t="s">
        <v>0</v>
      </c>
      <c r="G919" s="30">
        <v>5.3252220000000001</v>
      </c>
      <c r="H919" s="30">
        <v>-72.405669000000003</v>
      </c>
      <c r="I919" s="93" t="s">
        <v>697</v>
      </c>
      <c r="J919" s="7" t="s">
        <v>717</v>
      </c>
      <c r="K919" s="24" t="str">
        <f t="shared" si="57"/>
        <v>2025</v>
      </c>
      <c r="L919" s="24" t="str">
        <f t="shared" si="58"/>
        <v>JUNIO</v>
      </c>
      <c r="M919" s="232">
        <v>45837</v>
      </c>
      <c r="N919" s="24" t="str">
        <f t="shared" si="59"/>
        <v>DOMINGO</v>
      </c>
      <c r="O919" s="106">
        <v>0.22569444444444445</v>
      </c>
      <c r="P919" s="8" t="s">
        <v>469</v>
      </c>
      <c r="Q919" s="8"/>
      <c r="R919" s="36">
        <f>COUNTIF(Tabla1[[#This Row],[VEHICULOS_ACCIDENTADOS]:[VEHICULOS_ACCIDENTADOS2]],"MOTOCICLETA")</f>
        <v>1</v>
      </c>
      <c r="S919" s="36">
        <f>COUNTIF(Tabla1[[#This Row],[VEHICULOS_ACCIDENTADOS]:[VEHICULOS_ACCIDENTADOS2]],"MOTOCARRO")</f>
        <v>0</v>
      </c>
      <c r="T919" s="36">
        <f>COUNTIF(Tabla1[[#This Row],[VEHICULOS_ACCIDENTADOS]:[VEHICULOS_ACCIDENTADOS2]],"AUTOMOVIL")</f>
        <v>0</v>
      </c>
      <c r="U919" s="36">
        <f>COUNTIF(Tabla1[[#This Row],[VEHICULOS_ACCIDENTADOS]:[VEHICULOS_ACCIDENTADOS2]],"CAMPERO")</f>
        <v>0</v>
      </c>
      <c r="V919" s="36">
        <f>COUNTIF(Tabla1[[#This Row],[VEHICULOS_ACCIDENTADOS]:[VEHICULOS_ACCIDENTADOS2]],"CAMIONETA")</f>
        <v>0</v>
      </c>
      <c r="W919" s="36">
        <f>COUNTIF(Tabla1[[#This Row],[VEHICULOS_ACCIDENTADOS]:[VEHICULOS_ACCIDENTADOS2]],"MICROBUS")</f>
        <v>0</v>
      </c>
      <c r="X919" s="36">
        <f>COUNTIF(Tabla1[[#This Row],[VEHICULOS_ACCIDENTADOS]:[VEHICULOS_ACCIDENTADOS2]],"BUS")</f>
        <v>0</v>
      </c>
      <c r="Y919" s="36">
        <f>COUNTIF(Tabla1[[#This Row],[VEHICULOS_ACCIDENTADOS]:[VEHICULOS_ACCIDENTADOS2]],"BUSETA")</f>
        <v>0</v>
      </c>
      <c r="Z919" s="36">
        <f>COUNTIF(Tabla1[[#This Row],[VEHICULOS_ACCIDENTADOS]:[VEHICULOS_ACCIDENTADOS2]],"CAMION")</f>
        <v>0</v>
      </c>
      <c r="AA919" s="36">
        <f>COUNTIF(Tabla1[[#This Row],[VEHICULOS_ACCIDENTADOS]:[VEHICULOS_ACCIDENTADOS2]],"TRACTOCAMION")</f>
        <v>0</v>
      </c>
      <c r="AB919" s="36">
        <f>COUNTIF(Tabla1[[#This Row],[VEHICULOS_ACCIDENTADOS]:[VEHICULOS_ACCIDENTADOS2]],"VOLQUETA")</f>
        <v>0</v>
      </c>
      <c r="AC919" s="36">
        <f>COUNTIF(Tabla1[[#This Row],[VEHICULOS_ACCIDENTADOS]:[VEHICULOS_ACCIDENTADOS2]],"BICICLETA")</f>
        <v>0</v>
      </c>
      <c r="AD919" s="38" t="s">
        <v>471</v>
      </c>
      <c r="AE919" s="38"/>
      <c r="AF919" s="38">
        <f>COUNTIF(Tabla1[[#This Row],[GENERO_MASCULINO]:[GENERO_FEMENINO]],"MASCULINO")</f>
        <v>1</v>
      </c>
      <c r="AG919" s="36">
        <f>COUNTIF(Tabla1[[#This Row],[GENERO_MASCULINO]:[GENERO_FEMENINO]],"FEMENINO")</f>
        <v>0</v>
      </c>
      <c r="AH919" s="86">
        <v>27</v>
      </c>
      <c r="AI919" s="86"/>
      <c r="AJ919" s="86"/>
      <c r="AK919" s="87"/>
      <c r="AL919" s="87"/>
      <c r="AM919" s="6"/>
      <c r="AN919" s="73">
        <v>114</v>
      </c>
      <c r="AO919" s="36" t="str">
        <f>IFERROR(((VLOOKUP(Tabla1[[#This Row],[HIPOTESIS_1]],listas!$D$1:$E$105,2,FALSE))),"SIN INFORMACIÓN")</f>
        <v>Embriaguez aparente.</v>
      </c>
      <c r="AP919" s="7"/>
      <c r="AQ919" s="36" t="str">
        <f>IFERROR(((VLOOKUP(Tabla1[[#This Row],[HIPOTESIS_2]],listas!$D$1:$E$105,2,FALSE))),"")</f>
        <v/>
      </c>
      <c r="AR919" s="1" t="str">
        <f>IF(HOUR(Tabla1[[#This Row],[HORA_ACCIDENTE]])&lt;6,"MAÑANA",
 IF(HOUR(Tabla1[[#This Row],[HORA_ACCIDENTE]])&lt;12,"MAÑANA",
 IF(HOUR(Tabla1[[#This Row],[HORA_ACCIDENTE]])&lt;18,"TARDE","NOCHE")))</f>
        <v>MAÑANA</v>
      </c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33"/>
    </row>
    <row r="920" spans="1:56" x14ac:dyDescent="0.25">
      <c r="A920" s="12">
        <v>621</v>
      </c>
      <c r="B920" s="38">
        <v>0</v>
      </c>
      <c r="C920" s="29">
        <v>1</v>
      </c>
      <c r="D920" s="7">
        <v>0</v>
      </c>
      <c r="E920" s="18" t="str">
        <f t="shared" si="56"/>
        <v>LESIONADO</v>
      </c>
      <c r="F920" s="7" t="s">
        <v>1001</v>
      </c>
      <c r="G920" s="21">
        <v>5.3462805555555555</v>
      </c>
      <c r="H920" s="21">
        <v>-72.374311111111098</v>
      </c>
      <c r="I920" s="93" t="s">
        <v>697</v>
      </c>
      <c r="J920" s="7" t="s">
        <v>717</v>
      </c>
      <c r="K920" s="24" t="str">
        <f t="shared" si="57"/>
        <v>2023</v>
      </c>
      <c r="L920" s="24" t="str">
        <f t="shared" si="58"/>
        <v>NOVIEMBRE</v>
      </c>
      <c r="M920" s="232">
        <v>45259</v>
      </c>
      <c r="N920" s="24" t="str">
        <f t="shared" si="59"/>
        <v>MIÉRCOLES</v>
      </c>
      <c r="O920" s="106">
        <v>0.95138888888888884</v>
      </c>
      <c r="P920" s="35" t="s">
        <v>469</v>
      </c>
      <c r="Q920" s="35"/>
      <c r="R920" s="36">
        <f>COUNTIF(Tabla1[[#This Row],[VEHICULOS_ACCIDENTADOS]:[VEHICULOS_ACCIDENTADOS2]],"MOTOCICLETA")</f>
        <v>1</v>
      </c>
      <c r="S920" s="36">
        <f>COUNTIF(Tabla1[[#This Row],[VEHICULOS_ACCIDENTADOS]:[VEHICULOS_ACCIDENTADOS2]],"MOTOCARRO")</f>
        <v>0</v>
      </c>
      <c r="T920" s="36">
        <f>COUNTIF(Tabla1[[#This Row],[VEHICULOS_ACCIDENTADOS]:[VEHICULOS_ACCIDENTADOS2]],"AUTOMOVIL")</f>
        <v>0</v>
      </c>
      <c r="U920" s="36">
        <f>COUNTIF(Tabla1[[#This Row],[VEHICULOS_ACCIDENTADOS]:[VEHICULOS_ACCIDENTADOS2]],"CAMPERO")</f>
        <v>0</v>
      </c>
      <c r="V920" s="36">
        <f>COUNTIF(Tabla1[[#This Row],[VEHICULOS_ACCIDENTADOS]:[VEHICULOS_ACCIDENTADOS2]],"CAMIONETA")</f>
        <v>0</v>
      </c>
      <c r="W920" s="36">
        <f>COUNTIF(Tabla1[[#This Row],[VEHICULOS_ACCIDENTADOS]:[VEHICULOS_ACCIDENTADOS2]],"MICROBUS")</f>
        <v>0</v>
      </c>
      <c r="X920" s="36">
        <f>COUNTIF(Tabla1[[#This Row],[VEHICULOS_ACCIDENTADOS]:[VEHICULOS_ACCIDENTADOS2]],"BUS")</f>
        <v>0</v>
      </c>
      <c r="Y920" s="36">
        <f>COUNTIF(Tabla1[[#This Row],[VEHICULOS_ACCIDENTADOS]:[VEHICULOS_ACCIDENTADOS2]],"BUSETA")</f>
        <v>0</v>
      </c>
      <c r="Z920" s="36">
        <f>COUNTIF(Tabla1[[#This Row],[VEHICULOS_ACCIDENTADOS]:[VEHICULOS_ACCIDENTADOS2]],"CAMION")</f>
        <v>0</v>
      </c>
      <c r="AA920" s="36">
        <f>COUNTIF(Tabla1[[#This Row],[VEHICULOS_ACCIDENTADOS]:[VEHICULOS_ACCIDENTADOS2]],"TRACTOCAMION")</f>
        <v>0</v>
      </c>
      <c r="AB920" s="36">
        <f>COUNTIF(Tabla1[[#This Row],[VEHICULOS_ACCIDENTADOS]:[VEHICULOS_ACCIDENTADOS2]],"VOLQUETA")</f>
        <v>0</v>
      </c>
      <c r="AC920" s="36">
        <f>COUNTIF(Tabla1[[#This Row],[VEHICULOS_ACCIDENTADOS]:[VEHICULOS_ACCIDENTADOS2]],"BICICLETA")</f>
        <v>0</v>
      </c>
      <c r="AD920" s="34" t="s">
        <v>471</v>
      </c>
      <c r="AE920" s="34"/>
      <c r="AF920" s="34">
        <f>COUNTIF(Tabla1[[#This Row],[GENERO_MASCULINO]:[GENERO_FEMENINO]],"MASCULINO")</f>
        <v>1</v>
      </c>
      <c r="AG920" s="36">
        <f>COUNTIF(Tabla1[[#This Row],[GENERO_MASCULINO]:[GENERO_FEMENINO]],"FEMENINO")</f>
        <v>0</v>
      </c>
      <c r="AH920" s="75">
        <v>37</v>
      </c>
      <c r="AI920" s="75"/>
      <c r="AJ920" s="91"/>
      <c r="AK920" s="75"/>
      <c r="AL920" s="75"/>
      <c r="AM920" s="9"/>
      <c r="AN920" s="75">
        <v>114</v>
      </c>
      <c r="AO920" s="36" t="str">
        <f>IFERROR(((VLOOKUP(Tabla1[[#This Row],[HIPOTESIS_1]],listas!$D$1:$E$105,2,FALSE))),"SIN INFORMACIÓN")</f>
        <v>Embriaguez aparente.</v>
      </c>
      <c r="AP920" s="9"/>
      <c r="AQ920" s="36" t="str">
        <f>IFERROR(((VLOOKUP(Tabla1[[#This Row],[HIPOTESIS_2]],listas!$D$1:$E$105,2,FALSE))),"")</f>
        <v/>
      </c>
      <c r="AR920" s="1" t="str">
        <f>IF(HOUR(Tabla1[[#This Row],[HORA_ACCIDENTE]])&lt;6,"MAÑANA",
 IF(HOUR(Tabla1[[#This Row],[HORA_ACCIDENTE]])&lt;12,"MAÑANA",
 IF(HOUR(Tabla1[[#This Row],[HORA_ACCIDENTE]])&lt;18,"TARDE","NOCHE")))</f>
        <v>NOCHE</v>
      </c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33"/>
    </row>
    <row r="921" spans="1:56" x14ac:dyDescent="0.25">
      <c r="A921" s="12">
        <v>1050</v>
      </c>
      <c r="B921" s="47">
        <v>0</v>
      </c>
      <c r="C921" s="152">
        <v>1</v>
      </c>
      <c r="D921" s="24">
        <v>0</v>
      </c>
      <c r="E921" s="18" t="str">
        <f t="shared" si="56"/>
        <v>LESIONADO</v>
      </c>
      <c r="F921" s="24" t="s">
        <v>1002</v>
      </c>
      <c r="G921" s="37">
        <v>5.3407470000000004</v>
      </c>
      <c r="H921" s="37">
        <v>-72.364774199999999</v>
      </c>
      <c r="I921" s="93" t="s">
        <v>697</v>
      </c>
      <c r="J921" s="7" t="s">
        <v>717</v>
      </c>
      <c r="K921" s="24" t="str">
        <f t="shared" si="57"/>
        <v>2025</v>
      </c>
      <c r="L921" s="24" t="str">
        <f t="shared" si="58"/>
        <v>AGOSTO</v>
      </c>
      <c r="M921" s="232">
        <v>45878</v>
      </c>
      <c r="N921" s="24" t="str">
        <f t="shared" si="59"/>
        <v>SÁBADO</v>
      </c>
      <c r="O921" s="109">
        <v>0.65277777777777779</v>
      </c>
      <c r="P921" s="8" t="s">
        <v>679</v>
      </c>
      <c r="Q921" s="8" t="s">
        <v>445</v>
      </c>
      <c r="R921" s="36">
        <f>COUNTIF(Tabla1[[#This Row],[VEHICULOS_ACCIDENTADOS]:[VEHICULOS_ACCIDENTADOS2]],"MOTOCICLETA")</f>
        <v>0</v>
      </c>
      <c r="S921" s="36">
        <f>COUNTIF(Tabla1[[#This Row],[VEHICULOS_ACCIDENTADOS]:[VEHICULOS_ACCIDENTADOS2]],"MOTOCARRO")</f>
        <v>0</v>
      </c>
      <c r="T921" s="36">
        <f>COUNTIF(Tabla1[[#This Row],[VEHICULOS_ACCIDENTADOS]:[VEHICULOS_ACCIDENTADOS2]],"AUTOMOVIL")</f>
        <v>0</v>
      </c>
      <c r="U921" s="36">
        <f>COUNTIF(Tabla1[[#This Row],[VEHICULOS_ACCIDENTADOS]:[VEHICULOS_ACCIDENTADOS2]],"CAMPERO")</f>
        <v>0</v>
      </c>
      <c r="V921" s="36">
        <f>COUNTIF(Tabla1[[#This Row],[VEHICULOS_ACCIDENTADOS]:[VEHICULOS_ACCIDENTADOS2]],"CAMIONETA")</f>
        <v>1</v>
      </c>
      <c r="W921" s="36">
        <f>COUNTIF(Tabla1[[#This Row],[VEHICULOS_ACCIDENTADOS]:[VEHICULOS_ACCIDENTADOS2]],"MICROBUS")</f>
        <v>0</v>
      </c>
      <c r="X921" s="36">
        <f>COUNTIF(Tabla1[[#This Row],[VEHICULOS_ACCIDENTADOS]:[VEHICULOS_ACCIDENTADOS2]],"BUS")</f>
        <v>0</v>
      </c>
      <c r="Y921" s="36">
        <f>COUNTIF(Tabla1[[#This Row],[VEHICULOS_ACCIDENTADOS]:[VEHICULOS_ACCIDENTADOS2]],"BUSETA")</f>
        <v>0</v>
      </c>
      <c r="Z921" s="36">
        <f>COUNTIF(Tabla1[[#This Row],[VEHICULOS_ACCIDENTADOS]:[VEHICULOS_ACCIDENTADOS2]],"CAMION")</f>
        <v>0</v>
      </c>
      <c r="AA921" s="36">
        <f>COUNTIF(Tabla1[[#This Row],[VEHICULOS_ACCIDENTADOS]:[VEHICULOS_ACCIDENTADOS2]],"TRACTOCAMION")</f>
        <v>0</v>
      </c>
      <c r="AB921" s="36">
        <f>COUNTIF(Tabla1[[#This Row],[VEHICULOS_ACCIDENTADOS]:[VEHICULOS_ACCIDENTADOS2]],"VOLQUETA")</f>
        <v>0</v>
      </c>
      <c r="AC921" s="36">
        <f>COUNTIF(Tabla1[[#This Row],[VEHICULOS_ACCIDENTADOS]:[VEHICULOS_ACCIDENTADOS2]],"BICICLETA")</f>
        <v>0</v>
      </c>
      <c r="AD921" s="73" t="s">
        <v>471</v>
      </c>
      <c r="AE921" s="73" t="s">
        <v>471</v>
      </c>
      <c r="AF921" s="7">
        <f>COUNTIF(Tabla1[[#This Row],[GENERO_MASCULINO]:[GENERO_FEMENINO]],"MASCULINO")</f>
        <v>2</v>
      </c>
      <c r="AG921" s="36">
        <f>COUNTIF(Tabla1[[#This Row],[GENERO_MASCULINO]:[GENERO_FEMENINO]],"FEMENINO")</f>
        <v>0</v>
      </c>
      <c r="AH921" s="86">
        <v>28</v>
      </c>
      <c r="AI921" s="86">
        <v>52</v>
      </c>
      <c r="AJ921" s="86"/>
      <c r="AK921" s="87"/>
      <c r="AL921" s="87"/>
      <c r="AM921" s="6"/>
      <c r="AN921" s="73">
        <v>157</v>
      </c>
      <c r="AO921" s="59" t="str">
        <f>IFERROR(((VLOOKUP(Tabla1[[#This Row],[HIPOTESIS_1]],listas!$D$1:$E$105,2,FALSE))),"SIN INFORMACIÓN")</f>
        <v>Otra</v>
      </c>
      <c r="AP921" s="7"/>
      <c r="AQ921" s="36" t="str">
        <f>IFERROR(((VLOOKUP(Tabla1[[#This Row],[HIPOTESIS_2]],listas!$D$1:$E$105,2,FALSE))),"")</f>
        <v/>
      </c>
      <c r="AR921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922" spans="1:56" x14ac:dyDescent="0.25">
      <c r="A922" s="12">
        <v>759</v>
      </c>
      <c r="B922" s="97">
        <v>0</v>
      </c>
      <c r="C922" s="26">
        <v>1</v>
      </c>
      <c r="D922" s="15">
        <v>0</v>
      </c>
      <c r="E922" s="18" t="str">
        <f t="shared" si="56"/>
        <v>LESIONADO</v>
      </c>
      <c r="F922" s="15" t="s">
        <v>1099</v>
      </c>
      <c r="G922" s="21">
        <v>5.3300602777777772</v>
      </c>
      <c r="H922" s="21">
        <v>-72.408016388888896</v>
      </c>
      <c r="I922" s="93" t="s">
        <v>697</v>
      </c>
      <c r="J922" s="15" t="s">
        <v>717</v>
      </c>
      <c r="K922" s="24" t="str">
        <f t="shared" si="57"/>
        <v>2024</v>
      </c>
      <c r="L922" s="24" t="str">
        <f t="shared" si="58"/>
        <v>AGOSTO</v>
      </c>
      <c r="M922" s="234">
        <v>45508</v>
      </c>
      <c r="N922" s="24" t="str">
        <f t="shared" si="59"/>
        <v>DOMINGO</v>
      </c>
      <c r="O922" s="110">
        <v>0.33333333333333331</v>
      </c>
      <c r="P922" s="44" t="s">
        <v>469</v>
      </c>
      <c r="Q922" s="44" t="s">
        <v>445</v>
      </c>
      <c r="R922" s="36">
        <f>COUNTIF(Tabla1[[#This Row],[VEHICULOS_ACCIDENTADOS]:[VEHICULOS_ACCIDENTADOS2]],"MOTOCICLETA")</f>
        <v>1</v>
      </c>
      <c r="S922" s="36">
        <f>COUNTIF(Tabla1[[#This Row],[VEHICULOS_ACCIDENTADOS]:[VEHICULOS_ACCIDENTADOS2]],"MOTOCARRO")</f>
        <v>0</v>
      </c>
      <c r="T922" s="36">
        <f>COUNTIF(Tabla1[[#This Row],[VEHICULOS_ACCIDENTADOS]:[VEHICULOS_ACCIDENTADOS2]],"AUTOMOVIL")</f>
        <v>0</v>
      </c>
      <c r="U922" s="36">
        <f>COUNTIF(Tabla1[[#This Row],[VEHICULOS_ACCIDENTADOS]:[VEHICULOS_ACCIDENTADOS2]],"CAMPERO")</f>
        <v>0</v>
      </c>
      <c r="V922" s="36">
        <f>COUNTIF(Tabla1[[#This Row],[VEHICULOS_ACCIDENTADOS]:[VEHICULOS_ACCIDENTADOS2]],"CAMIONETA")</f>
        <v>1</v>
      </c>
      <c r="W922" s="36">
        <f>COUNTIF(Tabla1[[#This Row],[VEHICULOS_ACCIDENTADOS]:[VEHICULOS_ACCIDENTADOS2]],"MICROBUS")</f>
        <v>0</v>
      </c>
      <c r="X922" s="36">
        <f>COUNTIF(Tabla1[[#This Row],[VEHICULOS_ACCIDENTADOS]:[VEHICULOS_ACCIDENTADOS2]],"BUS")</f>
        <v>0</v>
      </c>
      <c r="Y922" s="36">
        <f>COUNTIF(Tabla1[[#This Row],[VEHICULOS_ACCIDENTADOS]:[VEHICULOS_ACCIDENTADOS2]],"BUSETA")</f>
        <v>0</v>
      </c>
      <c r="Z922" s="36">
        <f>COUNTIF(Tabla1[[#This Row],[VEHICULOS_ACCIDENTADOS]:[VEHICULOS_ACCIDENTADOS2]],"CAMION")</f>
        <v>0</v>
      </c>
      <c r="AA922" s="36">
        <f>COUNTIF(Tabla1[[#This Row],[VEHICULOS_ACCIDENTADOS]:[VEHICULOS_ACCIDENTADOS2]],"TRACTOCAMION")</f>
        <v>0</v>
      </c>
      <c r="AB922" s="36">
        <f>COUNTIF(Tabla1[[#This Row],[VEHICULOS_ACCIDENTADOS]:[VEHICULOS_ACCIDENTADOS2]],"VOLQUETA")</f>
        <v>0</v>
      </c>
      <c r="AC922" s="36">
        <f>COUNTIF(Tabla1[[#This Row],[VEHICULOS_ACCIDENTADOS]:[VEHICULOS_ACCIDENTADOS2]],"BICICLETA")</f>
        <v>0</v>
      </c>
      <c r="AD922" s="15" t="s">
        <v>471</v>
      </c>
      <c r="AE922" s="15"/>
      <c r="AF922" s="15">
        <f>COUNTIF(Tabla1[[#This Row],[GENERO_MASCULINO]:[GENERO_FEMENINO]],"MASCULINO")</f>
        <v>1</v>
      </c>
      <c r="AG922" s="36">
        <f>COUNTIF(Tabla1[[#This Row],[GENERO_MASCULINO]:[GENERO_FEMENINO]],"FEMENINO")</f>
        <v>0</v>
      </c>
      <c r="AH922" s="86">
        <v>23</v>
      </c>
      <c r="AI922" s="86">
        <v>62</v>
      </c>
      <c r="AJ922" s="86"/>
      <c r="AK922" s="86"/>
      <c r="AL922" s="86"/>
      <c r="AM922" s="15"/>
      <c r="AN922" s="86">
        <v>132</v>
      </c>
      <c r="AO922" s="36" t="str">
        <f>IFERROR(((VLOOKUP(Tabla1[[#This Row],[HIPOTESIS_1]],listas!$D$1:$E$105,2,FALSE))),"SIN INFORMACIÓN")</f>
        <v>No respetar prelación.</v>
      </c>
      <c r="AP922" s="15"/>
      <c r="AQ922" s="36" t="str">
        <f>IFERROR(((VLOOKUP(Tabla1[[#This Row],[HIPOTESIS_2]],listas!$D$1:$E$105,2,FALSE))),"")</f>
        <v/>
      </c>
      <c r="AR922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923" spans="1:56" x14ac:dyDescent="0.25">
      <c r="A923" s="12">
        <v>998</v>
      </c>
      <c r="B923" s="47">
        <v>0</v>
      </c>
      <c r="C923" s="152">
        <v>0</v>
      </c>
      <c r="D923" s="24">
        <v>1</v>
      </c>
      <c r="E923" s="18" t="str">
        <f t="shared" si="56"/>
        <v>FALLECIDO</v>
      </c>
      <c r="F923" s="24" t="s">
        <v>1100</v>
      </c>
      <c r="G923" s="30">
        <v>5.3185349999999998</v>
      </c>
      <c r="H923" s="30">
        <v>-72.403441999999998</v>
      </c>
      <c r="I923" s="93" t="s">
        <v>697</v>
      </c>
      <c r="J923" s="7" t="s">
        <v>717</v>
      </c>
      <c r="K923" s="24" t="str">
        <f t="shared" si="57"/>
        <v>2025</v>
      </c>
      <c r="L923" s="24" t="str">
        <f t="shared" si="58"/>
        <v>JUNIO</v>
      </c>
      <c r="M923" s="236">
        <v>45829</v>
      </c>
      <c r="N923" s="24" t="str">
        <f t="shared" si="59"/>
        <v>SÁBADO</v>
      </c>
      <c r="O923" s="109">
        <v>5.2083333333333336E-2</v>
      </c>
      <c r="P923" s="8" t="s">
        <v>469</v>
      </c>
      <c r="Q923" s="8"/>
      <c r="R923" s="36">
        <f>COUNTIF(Tabla1[[#This Row],[VEHICULOS_ACCIDENTADOS]:[VEHICULOS_ACCIDENTADOS2]],"MOTOCICLETA")</f>
        <v>1</v>
      </c>
      <c r="S923" s="36">
        <f>COUNTIF(Tabla1[[#This Row],[VEHICULOS_ACCIDENTADOS]:[VEHICULOS_ACCIDENTADOS2]],"MOTOCARRO")</f>
        <v>0</v>
      </c>
      <c r="T923" s="36">
        <f>COUNTIF(Tabla1[[#This Row],[VEHICULOS_ACCIDENTADOS]:[VEHICULOS_ACCIDENTADOS2]],"AUTOMOVIL")</f>
        <v>0</v>
      </c>
      <c r="U923" s="36">
        <f>COUNTIF(Tabla1[[#This Row],[VEHICULOS_ACCIDENTADOS]:[VEHICULOS_ACCIDENTADOS2]],"CAMPERO")</f>
        <v>0</v>
      </c>
      <c r="V923" s="36">
        <f>COUNTIF(Tabla1[[#This Row],[VEHICULOS_ACCIDENTADOS]:[VEHICULOS_ACCIDENTADOS2]],"CAMIONETA")</f>
        <v>0</v>
      </c>
      <c r="W923" s="36">
        <f>COUNTIF(Tabla1[[#This Row],[VEHICULOS_ACCIDENTADOS]:[VEHICULOS_ACCIDENTADOS2]],"MICROBUS")</f>
        <v>0</v>
      </c>
      <c r="X923" s="36">
        <f>COUNTIF(Tabla1[[#This Row],[VEHICULOS_ACCIDENTADOS]:[VEHICULOS_ACCIDENTADOS2]],"BUS")</f>
        <v>0</v>
      </c>
      <c r="Y923" s="36">
        <f>COUNTIF(Tabla1[[#This Row],[VEHICULOS_ACCIDENTADOS]:[VEHICULOS_ACCIDENTADOS2]],"BUSETA")</f>
        <v>0</v>
      </c>
      <c r="Z923" s="36">
        <f>COUNTIF(Tabla1[[#This Row],[VEHICULOS_ACCIDENTADOS]:[VEHICULOS_ACCIDENTADOS2]],"CAMION")</f>
        <v>0</v>
      </c>
      <c r="AA923" s="36">
        <f>COUNTIF(Tabla1[[#This Row],[VEHICULOS_ACCIDENTADOS]:[VEHICULOS_ACCIDENTADOS2]],"TRACTOCAMION")</f>
        <v>0</v>
      </c>
      <c r="AB923" s="36">
        <f>COUNTIF(Tabla1[[#This Row],[VEHICULOS_ACCIDENTADOS]:[VEHICULOS_ACCIDENTADOS2]],"VOLQUETA")</f>
        <v>0</v>
      </c>
      <c r="AC923" s="36">
        <f>COUNTIF(Tabla1[[#This Row],[VEHICULOS_ACCIDENTADOS]:[VEHICULOS_ACCIDENTADOS2]],"BICICLETA")</f>
        <v>0</v>
      </c>
      <c r="AD923" s="7" t="s">
        <v>471</v>
      </c>
      <c r="AE923" s="7"/>
      <c r="AF923" s="7">
        <f>COUNTIF(Tabla1[[#This Row],[GENERO_MASCULINO]:[GENERO_FEMENINO]],"MASCULINO")</f>
        <v>1</v>
      </c>
      <c r="AG923" s="36">
        <f>COUNTIF(Tabla1[[#This Row],[GENERO_MASCULINO]:[GENERO_FEMENINO]],"FEMENINO")</f>
        <v>0</v>
      </c>
      <c r="AH923" s="86">
        <v>30</v>
      </c>
      <c r="AI923" s="86"/>
      <c r="AJ923" s="86"/>
      <c r="AK923" s="87"/>
      <c r="AL923" s="87"/>
      <c r="AM923" s="6"/>
      <c r="AN923" s="73">
        <v>139</v>
      </c>
      <c r="AO923" s="36" t="str">
        <f>IFERROR(((VLOOKUP(Tabla1[[#This Row],[HIPOTESIS_1]],listas!$D$1:$E$105,2,FALSE))),"SIN INFORMACIÓN")</f>
        <v>Impericia en el manejo.</v>
      </c>
      <c r="AP923" s="7"/>
      <c r="AQ923" s="36" t="str">
        <f>IFERROR(((VLOOKUP(Tabla1[[#This Row],[HIPOTESIS_2]],listas!$D$1:$E$105,2,FALSE))),"")</f>
        <v/>
      </c>
      <c r="AR923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924" spans="1:56" x14ac:dyDescent="0.25">
      <c r="A924" s="12">
        <v>568</v>
      </c>
      <c r="B924" s="38">
        <v>0</v>
      </c>
      <c r="C924" s="29">
        <v>1</v>
      </c>
      <c r="D924" s="7">
        <v>0</v>
      </c>
      <c r="E924" s="18" t="str">
        <f t="shared" si="56"/>
        <v>LESIONADO</v>
      </c>
      <c r="F924" s="7" t="s">
        <v>200</v>
      </c>
      <c r="G924" s="21">
        <v>5.3300602777777772</v>
      </c>
      <c r="H924" s="21">
        <v>-72.408016388888896</v>
      </c>
      <c r="I924" s="93" t="s">
        <v>697</v>
      </c>
      <c r="J924" s="7" t="s">
        <v>717</v>
      </c>
      <c r="K924" s="24" t="str">
        <f t="shared" si="57"/>
        <v>2023</v>
      </c>
      <c r="L924" s="24" t="str">
        <f t="shared" si="58"/>
        <v>OCTUBRE</v>
      </c>
      <c r="M924" s="232">
        <v>45202</v>
      </c>
      <c r="N924" s="24" t="str">
        <f t="shared" si="59"/>
        <v>MARTES</v>
      </c>
      <c r="O924" s="109">
        <v>0.59722222222222221</v>
      </c>
      <c r="P924" s="39" t="s">
        <v>469</v>
      </c>
      <c r="Q924" s="39"/>
      <c r="R924" s="36">
        <f>COUNTIF(Tabla1[[#This Row],[VEHICULOS_ACCIDENTADOS]:[VEHICULOS_ACCIDENTADOS2]],"MOTOCICLETA")</f>
        <v>1</v>
      </c>
      <c r="S924" s="36">
        <f>COUNTIF(Tabla1[[#This Row],[VEHICULOS_ACCIDENTADOS]:[VEHICULOS_ACCIDENTADOS2]],"MOTOCARRO")</f>
        <v>0</v>
      </c>
      <c r="T924" s="36">
        <f>COUNTIF(Tabla1[[#This Row],[VEHICULOS_ACCIDENTADOS]:[VEHICULOS_ACCIDENTADOS2]],"AUTOMOVIL")</f>
        <v>0</v>
      </c>
      <c r="U924" s="36">
        <f>COUNTIF(Tabla1[[#This Row],[VEHICULOS_ACCIDENTADOS]:[VEHICULOS_ACCIDENTADOS2]],"CAMPERO")</f>
        <v>0</v>
      </c>
      <c r="V924" s="36">
        <f>COUNTIF(Tabla1[[#This Row],[VEHICULOS_ACCIDENTADOS]:[VEHICULOS_ACCIDENTADOS2]],"CAMIONETA")</f>
        <v>0</v>
      </c>
      <c r="W924" s="36">
        <f>COUNTIF(Tabla1[[#This Row],[VEHICULOS_ACCIDENTADOS]:[VEHICULOS_ACCIDENTADOS2]],"MICROBUS")</f>
        <v>0</v>
      </c>
      <c r="X924" s="36">
        <f>COUNTIF(Tabla1[[#This Row],[VEHICULOS_ACCIDENTADOS]:[VEHICULOS_ACCIDENTADOS2]],"BUS")</f>
        <v>0</v>
      </c>
      <c r="Y924" s="36">
        <f>COUNTIF(Tabla1[[#This Row],[VEHICULOS_ACCIDENTADOS]:[VEHICULOS_ACCIDENTADOS2]],"BUSETA")</f>
        <v>0</v>
      </c>
      <c r="Z924" s="36">
        <f>COUNTIF(Tabla1[[#This Row],[VEHICULOS_ACCIDENTADOS]:[VEHICULOS_ACCIDENTADOS2]],"CAMION")</f>
        <v>0</v>
      </c>
      <c r="AA924" s="36">
        <f>COUNTIF(Tabla1[[#This Row],[VEHICULOS_ACCIDENTADOS]:[VEHICULOS_ACCIDENTADOS2]],"TRACTOCAMION")</f>
        <v>0</v>
      </c>
      <c r="AB924" s="36">
        <f>COUNTIF(Tabla1[[#This Row],[VEHICULOS_ACCIDENTADOS]:[VEHICULOS_ACCIDENTADOS2]],"VOLQUETA")</f>
        <v>0</v>
      </c>
      <c r="AC924" s="36">
        <f>COUNTIF(Tabla1[[#This Row],[VEHICULOS_ACCIDENTADOS]:[VEHICULOS_ACCIDENTADOS2]],"BICICLETA")</f>
        <v>0</v>
      </c>
      <c r="AD924" s="7" t="s">
        <v>471</v>
      </c>
      <c r="AE924" s="7"/>
      <c r="AF924" s="7">
        <f>COUNTIF(Tabla1[[#This Row],[GENERO_MASCULINO]:[GENERO_FEMENINO]],"MASCULINO")</f>
        <v>1</v>
      </c>
      <c r="AG924" s="36">
        <f>COUNTIF(Tabla1[[#This Row],[GENERO_MASCULINO]:[GENERO_FEMENINO]],"FEMENINO")</f>
        <v>0</v>
      </c>
      <c r="AH924" s="73">
        <v>19</v>
      </c>
      <c r="AI924" s="73"/>
      <c r="AJ924" s="87"/>
      <c r="AK924" s="73"/>
      <c r="AL924" s="73"/>
      <c r="AM924" s="7"/>
      <c r="AN924" s="73">
        <v>157</v>
      </c>
      <c r="AO924" s="36" t="str">
        <f>IFERROR(((VLOOKUP(Tabla1[[#This Row],[HIPOTESIS_1]],listas!$D$1:$E$105,2,FALSE))),"SIN INFORMACIÓN")</f>
        <v>Otra</v>
      </c>
      <c r="AP924" s="7"/>
      <c r="AQ924" s="36" t="str">
        <f>IFERROR(((VLOOKUP(Tabla1[[#This Row],[HIPOTESIS_2]],listas!$D$1:$E$105,2,FALSE))),"")</f>
        <v/>
      </c>
      <c r="AR924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925" spans="1:56" x14ac:dyDescent="0.25">
      <c r="A925" s="12">
        <v>181</v>
      </c>
      <c r="B925" s="38">
        <v>1</v>
      </c>
      <c r="C925" s="29">
        <v>0</v>
      </c>
      <c r="D925" s="7">
        <v>0</v>
      </c>
      <c r="E925" s="18" t="str">
        <f t="shared" si="56"/>
        <v>SOLO DAÑO</v>
      </c>
      <c r="F925" s="7" t="s">
        <v>367</v>
      </c>
      <c r="G925" s="17">
        <v>5.3291749999999993</v>
      </c>
      <c r="H925" s="17">
        <v>-72.407375000000002</v>
      </c>
      <c r="I925" s="93" t="s">
        <v>697</v>
      </c>
      <c r="J925" s="7" t="s">
        <v>717</v>
      </c>
      <c r="K925" s="24" t="str">
        <f t="shared" si="57"/>
        <v>2022</v>
      </c>
      <c r="L925" s="24" t="str">
        <f t="shared" si="58"/>
        <v>MAYO</v>
      </c>
      <c r="M925" s="232">
        <v>44692</v>
      </c>
      <c r="N925" s="24" t="str">
        <f t="shared" si="59"/>
        <v>MIÉRCOLES</v>
      </c>
      <c r="O925" s="175">
        <v>0.59375</v>
      </c>
      <c r="P925" s="180" t="s">
        <v>469</v>
      </c>
      <c r="Q925" s="180" t="s">
        <v>447</v>
      </c>
      <c r="R925" s="36">
        <f>COUNTIF(Tabla1[[#This Row],[VEHICULOS_ACCIDENTADOS]:[VEHICULOS_ACCIDENTADOS2]],"MOTOCICLETA")</f>
        <v>1</v>
      </c>
      <c r="S925" s="36">
        <f>COUNTIF(Tabla1[[#This Row],[VEHICULOS_ACCIDENTADOS]:[VEHICULOS_ACCIDENTADOS2]],"MOTOCARRO")</f>
        <v>0</v>
      </c>
      <c r="T925" s="36">
        <f>COUNTIF(Tabla1[[#This Row],[VEHICULOS_ACCIDENTADOS]:[VEHICULOS_ACCIDENTADOS2]],"AUTOMOVIL")</f>
        <v>1</v>
      </c>
      <c r="U925" s="36">
        <f>COUNTIF(Tabla1[[#This Row],[VEHICULOS_ACCIDENTADOS]:[VEHICULOS_ACCIDENTADOS2]],"CAMPERO")</f>
        <v>0</v>
      </c>
      <c r="V925" s="36">
        <f>COUNTIF(Tabla1[[#This Row],[VEHICULOS_ACCIDENTADOS]:[VEHICULOS_ACCIDENTADOS2]],"CAMIONETA")</f>
        <v>0</v>
      </c>
      <c r="W925" s="36">
        <f>COUNTIF(Tabla1[[#This Row],[VEHICULOS_ACCIDENTADOS]:[VEHICULOS_ACCIDENTADOS2]],"MICROBUS")</f>
        <v>0</v>
      </c>
      <c r="X925" s="36">
        <f>COUNTIF(Tabla1[[#This Row],[VEHICULOS_ACCIDENTADOS]:[VEHICULOS_ACCIDENTADOS2]],"BUS")</f>
        <v>0</v>
      </c>
      <c r="Y925" s="36">
        <f>COUNTIF(Tabla1[[#This Row],[VEHICULOS_ACCIDENTADOS]:[VEHICULOS_ACCIDENTADOS2]],"BUSETA")</f>
        <v>0</v>
      </c>
      <c r="Z925" s="36">
        <f>COUNTIF(Tabla1[[#This Row],[VEHICULOS_ACCIDENTADOS]:[VEHICULOS_ACCIDENTADOS2]],"CAMION")</f>
        <v>0</v>
      </c>
      <c r="AA925" s="36">
        <f>COUNTIF(Tabla1[[#This Row],[VEHICULOS_ACCIDENTADOS]:[VEHICULOS_ACCIDENTADOS2]],"TRACTOCAMION")</f>
        <v>0</v>
      </c>
      <c r="AB925" s="36">
        <f>COUNTIF(Tabla1[[#This Row],[VEHICULOS_ACCIDENTADOS]:[VEHICULOS_ACCIDENTADOS2]],"VOLQUETA")</f>
        <v>0</v>
      </c>
      <c r="AC925" s="36">
        <f>COUNTIF(Tabla1[[#This Row],[VEHICULOS_ACCIDENTADOS]:[VEHICULOS_ACCIDENTADOS2]],"BICICLETA")</f>
        <v>0</v>
      </c>
      <c r="AD925" s="7" t="s">
        <v>471</v>
      </c>
      <c r="AE925" s="7" t="s">
        <v>472</v>
      </c>
      <c r="AF925" s="7">
        <f>COUNTIF(Tabla1[[#This Row],[GENERO_MASCULINO]:[GENERO_FEMENINO]],"MASCULINO")</f>
        <v>1</v>
      </c>
      <c r="AG925" s="36">
        <f>COUNTIF(Tabla1[[#This Row],[GENERO_MASCULINO]:[GENERO_FEMENINO]],"FEMENINO")</f>
        <v>1</v>
      </c>
      <c r="AH925" s="73"/>
      <c r="AI925" s="73"/>
      <c r="AJ925" s="73"/>
      <c r="AK925" s="73"/>
      <c r="AL925" s="73"/>
      <c r="AM925" s="7"/>
      <c r="AN925" s="73">
        <v>157</v>
      </c>
      <c r="AO925" s="36" t="str">
        <f>IFERROR(((VLOOKUP(Tabla1[[#This Row],[HIPOTESIS_1]],listas!$D$1:$E$105,2,FALSE))),"SIN INFORMACIÓN")</f>
        <v>Otra</v>
      </c>
      <c r="AP925" s="7"/>
      <c r="AQ925" s="36" t="str">
        <f>IFERROR(((VLOOKUP(Tabla1[[#This Row],[HIPOTESIS_2]],listas!$D$1:$E$105,2,FALSE))),"")</f>
        <v/>
      </c>
      <c r="AR925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926" spans="1:56" x14ac:dyDescent="0.25">
      <c r="A926" s="12">
        <v>699</v>
      </c>
      <c r="B926" s="97">
        <v>0</v>
      </c>
      <c r="C926" s="26">
        <v>1</v>
      </c>
      <c r="D926" s="15">
        <v>0</v>
      </c>
      <c r="E926" s="18" t="str">
        <f t="shared" si="56"/>
        <v>LESIONADO</v>
      </c>
      <c r="F926" s="15" t="s">
        <v>148</v>
      </c>
      <c r="G926" s="17">
        <v>5.3185555555555553</v>
      </c>
      <c r="H926" s="17">
        <v>-72.403444444444446</v>
      </c>
      <c r="I926" s="93" t="s">
        <v>697</v>
      </c>
      <c r="J926" s="15" t="s">
        <v>717</v>
      </c>
      <c r="K926" s="24" t="str">
        <f t="shared" si="57"/>
        <v>2024</v>
      </c>
      <c r="L926" s="24" t="str">
        <f t="shared" si="58"/>
        <v>ABRIL</v>
      </c>
      <c r="M926" s="234">
        <v>45409</v>
      </c>
      <c r="N926" s="24" t="str">
        <f t="shared" si="59"/>
        <v>SÁBADO</v>
      </c>
      <c r="O926" s="110">
        <v>6.9444444444444441E-3</v>
      </c>
      <c r="P926" s="44" t="s">
        <v>469</v>
      </c>
      <c r="Q926" s="44" t="s">
        <v>445</v>
      </c>
      <c r="R926" s="36">
        <f>COUNTIF(Tabla1[[#This Row],[VEHICULOS_ACCIDENTADOS]:[VEHICULOS_ACCIDENTADOS2]],"MOTOCICLETA")</f>
        <v>1</v>
      </c>
      <c r="S926" s="36">
        <f>COUNTIF(Tabla1[[#This Row],[VEHICULOS_ACCIDENTADOS]:[VEHICULOS_ACCIDENTADOS2]],"MOTOCARRO")</f>
        <v>0</v>
      </c>
      <c r="T926" s="36">
        <f>COUNTIF(Tabla1[[#This Row],[VEHICULOS_ACCIDENTADOS]:[VEHICULOS_ACCIDENTADOS2]],"AUTOMOVIL")</f>
        <v>0</v>
      </c>
      <c r="U926" s="36">
        <f>COUNTIF(Tabla1[[#This Row],[VEHICULOS_ACCIDENTADOS]:[VEHICULOS_ACCIDENTADOS2]],"CAMPERO")</f>
        <v>0</v>
      </c>
      <c r="V926" s="36">
        <f>COUNTIF(Tabla1[[#This Row],[VEHICULOS_ACCIDENTADOS]:[VEHICULOS_ACCIDENTADOS2]],"CAMIONETA")</f>
        <v>1</v>
      </c>
      <c r="W926" s="36">
        <f>COUNTIF(Tabla1[[#This Row],[VEHICULOS_ACCIDENTADOS]:[VEHICULOS_ACCIDENTADOS2]],"MICROBUS")</f>
        <v>0</v>
      </c>
      <c r="X926" s="36">
        <f>COUNTIF(Tabla1[[#This Row],[VEHICULOS_ACCIDENTADOS]:[VEHICULOS_ACCIDENTADOS2]],"BUS")</f>
        <v>0</v>
      </c>
      <c r="Y926" s="36">
        <f>COUNTIF(Tabla1[[#This Row],[VEHICULOS_ACCIDENTADOS]:[VEHICULOS_ACCIDENTADOS2]],"BUSETA")</f>
        <v>0</v>
      </c>
      <c r="Z926" s="36">
        <f>COUNTIF(Tabla1[[#This Row],[VEHICULOS_ACCIDENTADOS]:[VEHICULOS_ACCIDENTADOS2]],"CAMION")</f>
        <v>0</v>
      </c>
      <c r="AA926" s="36">
        <f>COUNTIF(Tabla1[[#This Row],[VEHICULOS_ACCIDENTADOS]:[VEHICULOS_ACCIDENTADOS2]],"TRACTOCAMION")</f>
        <v>0</v>
      </c>
      <c r="AB926" s="36">
        <f>COUNTIF(Tabla1[[#This Row],[VEHICULOS_ACCIDENTADOS]:[VEHICULOS_ACCIDENTADOS2]],"VOLQUETA")</f>
        <v>0</v>
      </c>
      <c r="AC926" s="36">
        <f>COUNTIF(Tabla1[[#This Row],[VEHICULOS_ACCIDENTADOS]:[VEHICULOS_ACCIDENTADOS2]],"BICICLETA")</f>
        <v>0</v>
      </c>
      <c r="AD926" s="15" t="s">
        <v>471</v>
      </c>
      <c r="AE926" s="15"/>
      <c r="AF926" s="15">
        <f>COUNTIF(Tabla1[[#This Row],[GENERO_MASCULINO]:[GENERO_FEMENINO]],"MASCULINO")</f>
        <v>1</v>
      </c>
      <c r="AG926" s="36">
        <f>COUNTIF(Tabla1[[#This Row],[GENERO_MASCULINO]:[GENERO_FEMENINO]],"FEMENINO")</f>
        <v>0</v>
      </c>
      <c r="AH926" s="86">
        <v>29</v>
      </c>
      <c r="AI926" s="86">
        <v>38</v>
      </c>
      <c r="AJ926" s="86"/>
      <c r="AK926" s="86"/>
      <c r="AL926" s="86"/>
      <c r="AM926" s="15"/>
      <c r="AN926" s="86">
        <v>103</v>
      </c>
      <c r="AO926" s="36" t="str">
        <f>IFERROR(((VLOOKUP(Tabla1[[#This Row],[HIPOTESIS_1]],listas!$D$1:$E$105,2,FALSE))),"SIN INFORMACIÓN")</f>
        <v>Adelantar cerrando.</v>
      </c>
      <c r="AP926" s="15"/>
      <c r="AQ926" s="36" t="str">
        <f>IFERROR(((VLOOKUP(Tabla1[[#This Row],[HIPOTESIS_2]],listas!$D$1:$E$105,2,FALSE))),"")</f>
        <v/>
      </c>
      <c r="AR926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927" spans="1:56" x14ac:dyDescent="0.25">
      <c r="A927" s="12">
        <v>52</v>
      </c>
      <c r="B927" s="38">
        <v>1</v>
      </c>
      <c r="C927" s="29">
        <v>0</v>
      </c>
      <c r="D927" s="7">
        <v>0</v>
      </c>
      <c r="E927" s="18" t="str">
        <f t="shared" si="56"/>
        <v>SOLO DAÑO</v>
      </c>
      <c r="F927" s="7" t="s">
        <v>421</v>
      </c>
      <c r="G927" s="17">
        <v>5.3148249999999999</v>
      </c>
      <c r="H927" s="17">
        <v>-72.403061111111114</v>
      </c>
      <c r="I927" s="93" t="s">
        <v>697</v>
      </c>
      <c r="J927" s="7" t="s">
        <v>717</v>
      </c>
      <c r="K927" s="24" t="str">
        <f t="shared" si="57"/>
        <v>2022</v>
      </c>
      <c r="L927" s="24" t="str">
        <f t="shared" si="58"/>
        <v>FEBRERO</v>
      </c>
      <c r="M927" s="232">
        <v>44603</v>
      </c>
      <c r="N927" s="24" t="str">
        <f t="shared" si="59"/>
        <v>VIERNES</v>
      </c>
      <c r="O927" s="109">
        <v>0.67708333333333304</v>
      </c>
      <c r="P927" s="8" t="s">
        <v>447</v>
      </c>
      <c r="Q927" s="8" t="s">
        <v>447</v>
      </c>
      <c r="R927" s="36">
        <f>COUNTIF(Tabla1[[#This Row],[VEHICULOS_ACCIDENTADOS]:[VEHICULOS_ACCIDENTADOS2]],"MOTOCICLETA")</f>
        <v>0</v>
      </c>
      <c r="S927" s="36">
        <f>COUNTIF(Tabla1[[#This Row],[VEHICULOS_ACCIDENTADOS]:[VEHICULOS_ACCIDENTADOS2]],"MOTOCARRO")</f>
        <v>0</v>
      </c>
      <c r="T927" s="36">
        <f>COUNTIF(Tabla1[[#This Row],[VEHICULOS_ACCIDENTADOS]:[VEHICULOS_ACCIDENTADOS2]],"AUTOMOVIL")</f>
        <v>2</v>
      </c>
      <c r="U927" s="36">
        <f>COUNTIF(Tabla1[[#This Row],[VEHICULOS_ACCIDENTADOS]:[VEHICULOS_ACCIDENTADOS2]],"CAMPERO")</f>
        <v>0</v>
      </c>
      <c r="V927" s="36">
        <f>COUNTIF(Tabla1[[#This Row],[VEHICULOS_ACCIDENTADOS]:[VEHICULOS_ACCIDENTADOS2]],"CAMIONETA")</f>
        <v>0</v>
      </c>
      <c r="W927" s="36">
        <f>COUNTIF(Tabla1[[#This Row],[VEHICULOS_ACCIDENTADOS]:[VEHICULOS_ACCIDENTADOS2]],"MICROBUS")</f>
        <v>0</v>
      </c>
      <c r="X927" s="36">
        <f>COUNTIF(Tabla1[[#This Row],[VEHICULOS_ACCIDENTADOS]:[VEHICULOS_ACCIDENTADOS2]],"BUS")</f>
        <v>0</v>
      </c>
      <c r="Y927" s="36">
        <f>COUNTIF(Tabla1[[#This Row],[VEHICULOS_ACCIDENTADOS]:[VEHICULOS_ACCIDENTADOS2]],"BUSETA")</f>
        <v>0</v>
      </c>
      <c r="Z927" s="36">
        <f>COUNTIF(Tabla1[[#This Row],[VEHICULOS_ACCIDENTADOS]:[VEHICULOS_ACCIDENTADOS2]],"CAMION")</f>
        <v>0</v>
      </c>
      <c r="AA927" s="36">
        <f>COUNTIF(Tabla1[[#This Row],[VEHICULOS_ACCIDENTADOS]:[VEHICULOS_ACCIDENTADOS2]],"TRACTOCAMION")</f>
        <v>0</v>
      </c>
      <c r="AB927" s="36">
        <f>COUNTIF(Tabla1[[#This Row],[VEHICULOS_ACCIDENTADOS]:[VEHICULOS_ACCIDENTADOS2]],"VOLQUETA")</f>
        <v>0</v>
      </c>
      <c r="AC927" s="36">
        <f>COUNTIF(Tabla1[[#This Row],[VEHICULOS_ACCIDENTADOS]:[VEHICULOS_ACCIDENTADOS2]],"BICICLETA")</f>
        <v>0</v>
      </c>
      <c r="AD927" s="7"/>
      <c r="AE927" s="7" t="s">
        <v>472</v>
      </c>
      <c r="AF927" s="7">
        <f>COUNTIF(Tabla1[[#This Row],[GENERO_MASCULINO]:[GENERO_FEMENINO]],"MASCULINO")</f>
        <v>0</v>
      </c>
      <c r="AG927" s="36">
        <f>COUNTIF(Tabla1[[#This Row],[GENERO_MASCULINO]:[GENERO_FEMENINO]],"FEMENINO")</f>
        <v>1</v>
      </c>
      <c r="AH927" s="73"/>
      <c r="AI927" s="73"/>
      <c r="AJ927" s="87"/>
      <c r="AK927" s="73"/>
      <c r="AL927" s="73"/>
      <c r="AM927" s="7"/>
      <c r="AN927" s="73">
        <v>112</v>
      </c>
      <c r="AO927" s="36" t="str">
        <f>IFERROR(((VLOOKUP(Tabla1[[#This Row],[HIPOTESIS_1]],listas!$D$1:$E$105,2,FALSE))),"SIN INFORMACIÓN")</f>
        <v>Desobedecer señales o normas de tránsito.</v>
      </c>
      <c r="AP927" s="7"/>
      <c r="AQ927" s="36" t="str">
        <f>IFERROR(((VLOOKUP(Tabla1[[#This Row],[HIPOTESIS_2]],listas!$D$1:$E$105,2,FALSE))),"")</f>
        <v/>
      </c>
      <c r="AR927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928" spans="1:56" x14ac:dyDescent="0.25">
      <c r="A928" s="12">
        <v>547</v>
      </c>
      <c r="B928" s="38">
        <v>0</v>
      </c>
      <c r="C928" s="29">
        <v>1</v>
      </c>
      <c r="D928" s="7">
        <v>0</v>
      </c>
      <c r="E928" s="18" t="str">
        <f t="shared" si="56"/>
        <v>LESIONADO</v>
      </c>
      <c r="F928" s="7" t="s">
        <v>1004</v>
      </c>
      <c r="G928" s="21">
        <v>5.3141627777777778</v>
      </c>
      <c r="H928" s="21">
        <v>-72.402021388888897</v>
      </c>
      <c r="I928" s="93" t="s">
        <v>697</v>
      </c>
      <c r="J928" s="7" t="s">
        <v>717</v>
      </c>
      <c r="K928" s="24" t="str">
        <f t="shared" si="57"/>
        <v>2023</v>
      </c>
      <c r="L928" s="24" t="str">
        <f t="shared" si="58"/>
        <v>SEPTIEMBRE</v>
      </c>
      <c r="M928" s="232">
        <v>45171</v>
      </c>
      <c r="N928" s="24" t="str">
        <f t="shared" si="59"/>
        <v>SÁBADO</v>
      </c>
      <c r="O928" s="109">
        <v>0.71527777777777779</v>
      </c>
      <c r="P928" s="39" t="s">
        <v>469</v>
      </c>
      <c r="Q928" s="39" t="s">
        <v>469</v>
      </c>
      <c r="R928" s="36">
        <f>COUNTIF(Tabla1[[#This Row],[VEHICULOS_ACCIDENTADOS]:[VEHICULOS_ACCIDENTADOS2]],"MOTOCICLETA")</f>
        <v>2</v>
      </c>
      <c r="S928" s="36">
        <f>COUNTIF(Tabla1[[#This Row],[VEHICULOS_ACCIDENTADOS]:[VEHICULOS_ACCIDENTADOS2]],"MOTOCARRO")</f>
        <v>0</v>
      </c>
      <c r="T928" s="36">
        <f>COUNTIF(Tabla1[[#This Row],[VEHICULOS_ACCIDENTADOS]:[VEHICULOS_ACCIDENTADOS2]],"AUTOMOVIL")</f>
        <v>0</v>
      </c>
      <c r="U928" s="36">
        <f>COUNTIF(Tabla1[[#This Row],[VEHICULOS_ACCIDENTADOS]:[VEHICULOS_ACCIDENTADOS2]],"CAMPERO")</f>
        <v>0</v>
      </c>
      <c r="V928" s="36">
        <f>COUNTIF(Tabla1[[#This Row],[VEHICULOS_ACCIDENTADOS]:[VEHICULOS_ACCIDENTADOS2]],"CAMIONETA")</f>
        <v>0</v>
      </c>
      <c r="W928" s="36">
        <f>COUNTIF(Tabla1[[#This Row],[VEHICULOS_ACCIDENTADOS]:[VEHICULOS_ACCIDENTADOS2]],"MICROBUS")</f>
        <v>0</v>
      </c>
      <c r="X928" s="36">
        <f>COUNTIF(Tabla1[[#This Row],[VEHICULOS_ACCIDENTADOS]:[VEHICULOS_ACCIDENTADOS2]],"BUS")</f>
        <v>0</v>
      </c>
      <c r="Y928" s="36">
        <f>COUNTIF(Tabla1[[#This Row],[VEHICULOS_ACCIDENTADOS]:[VEHICULOS_ACCIDENTADOS2]],"BUSETA")</f>
        <v>0</v>
      </c>
      <c r="Z928" s="36">
        <f>COUNTIF(Tabla1[[#This Row],[VEHICULOS_ACCIDENTADOS]:[VEHICULOS_ACCIDENTADOS2]],"CAMION")</f>
        <v>0</v>
      </c>
      <c r="AA928" s="36">
        <f>COUNTIF(Tabla1[[#This Row],[VEHICULOS_ACCIDENTADOS]:[VEHICULOS_ACCIDENTADOS2]],"TRACTOCAMION")</f>
        <v>0</v>
      </c>
      <c r="AB928" s="36">
        <f>COUNTIF(Tabla1[[#This Row],[VEHICULOS_ACCIDENTADOS]:[VEHICULOS_ACCIDENTADOS2]],"VOLQUETA")</f>
        <v>0</v>
      </c>
      <c r="AC928" s="36">
        <f>COUNTIF(Tabla1[[#This Row],[VEHICULOS_ACCIDENTADOS]:[VEHICULOS_ACCIDENTADOS2]],"BICICLETA")</f>
        <v>0</v>
      </c>
      <c r="AD928" s="7" t="s">
        <v>471</v>
      </c>
      <c r="AE928" s="7"/>
      <c r="AF928" s="7">
        <f>COUNTIF(Tabla1[[#This Row],[GENERO_MASCULINO]:[GENERO_FEMENINO]],"MASCULINO")</f>
        <v>1</v>
      </c>
      <c r="AG928" s="36">
        <f>COUNTIF(Tabla1[[#This Row],[GENERO_MASCULINO]:[GENERO_FEMENINO]],"FEMENINO")</f>
        <v>0</v>
      </c>
      <c r="AH928" s="73">
        <v>50</v>
      </c>
      <c r="AI928" s="73"/>
      <c r="AJ928" s="87"/>
      <c r="AK928" s="73"/>
      <c r="AL928" s="73"/>
      <c r="AM928" s="7"/>
      <c r="AN928" s="73">
        <v>139</v>
      </c>
      <c r="AO928" s="36" t="str">
        <f>IFERROR(((VLOOKUP(Tabla1[[#This Row],[HIPOTESIS_1]],listas!$D$1:$E$105,2,FALSE))),"SIN INFORMACIÓN")</f>
        <v>Impericia en el manejo.</v>
      </c>
      <c r="AP928" s="7"/>
      <c r="AQ928" s="36" t="str">
        <f>IFERROR(((VLOOKUP(Tabla1[[#This Row],[HIPOTESIS_2]],listas!$D$1:$E$105,2,FALSE))),"")</f>
        <v/>
      </c>
      <c r="AR928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929" spans="1:44" x14ac:dyDescent="0.25">
      <c r="A929" s="12">
        <v>909</v>
      </c>
      <c r="B929" s="38">
        <v>1</v>
      </c>
      <c r="C929" s="29">
        <v>0</v>
      </c>
      <c r="D929" s="15">
        <v>0</v>
      </c>
      <c r="E929" s="18" t="str">
        <f t="shared" si="56"/>
        <v>SOLO DAÑO</v>
      </c>
      <c r="F929" s="7" t="s">
        <v>1101</v>
      </c>
      <c r="G929" s="17">
        <v>5.3185111111111105</v>
      </c>
      <c r="H929" s="17">
        <v>-72.402433333333335</v>
      </c>
      <c r="I929" s="93" t="s">
        <v>697</v>
      </c>
      <c r="J929" s="37" t="s">
        <v>717</v>
      </c>
      <c r="K929" s="24" t="str">
        <f t="shared" si="57"/>
        <v>2025</v>
      </c>
      <c r="L929" s="24" t="str">
        <f t="shared" si="58"/>
        <v>MARZO</v>
      </c>
      <c r="M929" s="232">
        <v>45738</v>
      </c>
      <c r="N929" s="24" t="str">
        <f t="shared" si="59"/>
        <v>SÁBADO</v>
      </c>
      <c r="O929" s="109">
        <v>0.40486111111111112</v>
      </c>
      <c r="P929" s="39" t="s">
        <v>469</v>
      </c>
      <c r="Q929" s="39" t="s">
        <v>469</v>
      </c>
      <c r="R929" s="36">
        <f>COUNTIF(Tabla1[[#This Row],[VEHICULOS_ACCIDENTADOS]:[VEHICULOS_ACCIDENTADOS2]],"MOTOCICLETA")</f>
        <v>2</v>
      </c>
      <c r="S929" s="36">
        <f>COUNTIF(Tabla1[[#This Row],[VEHICULOS_ACCIDENTADOS]:[VEHICULOS_ACCIDENTADOS2]],"MOTOCARRO")</f>
        <v>0</v>
      </c>
      <c r="T929" s="36">
        <f>COUNTIF(Tabla1[[#This Row],[VEHICULOS_ACCIDENTADOS]:[VEHICULOS_ACCIDENTADOS2]],"AUTOMOVIL")</f>
        <v>0</v>
      </c>
      <c r="U929" s="36">
        <f>COUNTIF(Tabla1[[#This Row],[VEHICULOS_ACCIDENTADOS]:[VEHICULOS_ACCIDENTADOS2]],"CAMPERO")</f>
        <v>0</v>
      </c>
      <c r="V929" s="36">
        <f>COUNTIF(Tabla1[[#This Row],[VEHICULOS_ACCIDENTADOS]:[VEHICULOS_ACCIDENTADOS2]],"CAMIONETA")</f>
        <v>0</v>
      </c>
      <c r="W929" s="36">
        <f>COUNTIF(Tabla1[[#This Row],[VEHICULOS_ACCIDENTADOS]:[VEHICULOS_ACCIDENTADOS2]],"MICROBUS")</f>
        <v>0</v>
      </c>
      <c r="X929" s="36">
        <f>COUNTIF(Tabla1[[#This Row],[VEHICULOS_ACCIDENTADOS]:[VEHICULOS_ACCIDENTADOS2]],"BUS")</f>
        <v>0</v>
      </c>
      <c r="Y929" s="36">
        <f>COUNTIF(Tabla1[[#This Row],[VEHICULOS_ACCIDENTADOS]:[VEHICULOS_ACCIDENTADOS2]],"BUSETA")</f>
        <v>0</v>
      </c>
      <c r="Z929" s="36">
        <f>COUNTIF(Tabla1[[#This Row],[VEHICULOS_ACCIDENTADOS]:[VEHICULOS_ACCIDENTADOS2]],"CAMION")</f>
        <v>0</v>
      </c>
      <c r="AA929" s="36">
        <f>COUNTIF(Tabla1[[#This Row],[VEHICULOS_ACCIDENTADOS]:[VEHICULOS_ACCIDENTADOS2]],"TRACTOCAMION")</f>
        <v>0</v>
      </c>
      <c r="AB929" s="36">
        <f>COUNTIF(Tabla1[[#This Row],[VEHICULOS_ACCIDENTADOS]:[VEHICULOS_ACCIDENTADOS2]],"VOLQUETA")</f>
        <v>0</v>
      </c>
      <c r="AC929" s="36">
        <f>COUNTIF(Tabla1[[#This Row],[VEHICULOS_ACCIDENTADOS]:[VEHICULOS_ACCIDENTADOS2]],"BICICLETA")</f>
        <v>0</v>
      </c>
      <c r="AD929" s="7" t="s">
        <v>471</v>
      </c>
      <c r="AE929" s="7" t="s">
        <v>471</v>
      </c>
      <c r="AF929" s="7">
        <f>COUNTIF(Tabla1[[#This Row],[GENERO_MASCULINO]:[GENERO_FEMENINO]],"MASCULINO")</f>
        <v>2</v>
      </c>
      <c r="AG929" s="36">
        <f>COUNTIF(Tabla1[[#This Row],[GENERO_MASCULINO]:[GENERO_FEMENINO]],"FEMENINO")</f>
        <v>0</v>
      </c>
      <c r="AH929" s="86">
        <v>38</v>
      </c>
      <c r="AI929" s="86">
        <v>31</v>
      </c>
      <c r="AJ929" s="86"/>
      <c r="AK929" s="73"/>
      <c r="AL929" s="73"/>
      <c r="AM929" s="7"/>
      <c r="AN929" s="73">
        <v>115</v>
      </c>
      <c r="AO929" s="36" t="str">
        <f>IFERROR(((VLOOKUP(Tabla1[[#This Row],[HIPOTESIS_1]],listas!$D$1:$E$105,2,FALSE))),"SIN INFORMACIÓN")</f>
        <v>Embriaguez o Sustancias alucinogenas</v>
      </c>
      <c r="AP929" s="7"/>
      <c r="AQ929" s="36" t="str">
        <f>IFERROR(((VLOOKUP(Tabla1[[#This Row],[HIPOTESIS_2]],listas!$D$1:$E$105,2,FALSE))),"")</f>
        <v/>
      </c>
      <c r="AR929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930" spans="1:44" x14ac:dyDescent="0.25">
      <c r="A930" s="12">
        <v>350</v>
      </c>
      <c r="B930" s="38">
        <v>0</v>
      </c>
      <c r="C930" s="29">
        <v>3</v>
      </c>
      <c r="D930" s="7">
        <v>0</v>
      </c>
      <c r="E930" s="18" t="str">
        <f t="shared" si="56"/>
        <v>LESIONADO</v>
      </c>
      <c r="F930" s="29" t="s">
        <v>1102</v>
      </c>
      <c r="G930" s="17">
        <v>5.316613888888889</v>
      </c>
      <c r="H930" s="17">
        <v>-72.402241666666669</v>
      </c>
      <c r="I930" s="93" t="s">
        <v>697</v>
      </c>
      <c r="J930" s="7" t="s">
        <v>717</v>
      </c>
      <c r="K930" s="24" t="str">
        <f t="shared" si="57"/>
        <v>2022</v>
      </c>
      <c r="L930" s="24" t="str">
        <f t="shared" si="58"/>
        <v>NOVIEMBRE</v>
      </c>
      <c r="M930" s="232">
        <v>44870</v>
      </c>
      <c r="N930" s="24" t="str">
        <f t="shared" si="59"/>
        <v>SÁBADO</v>
      </c>
      <c r="O930" s="175">
        <v>0.97222222222222199</v>
      </c>
      <c r="P930" s="180" t="s">
        <v>469</v>
      </c>
      <c r="Q930" s="180" t="s">
        <v>469</v>
      </c>
      <c r="R930" s="36">
        <f>COUNTIF(Tabla1[[#This Row],[VEHICULOS_ACCIDENTADOS]:[VEHICULOS_ACCIDENTADOS2]],"MOTOCICLETA")</f>
        <v>2</v>
      </c>
      <c r="S930" s="36">
        <f>COUNTIF(Tabla1[[#This Row],[VEHICULOS_ACCIDENTADOS]:[VEHICULOS_ACCIDENTADOS2]],"MOTOCARRO")</f>
        <v>0</v>
      </c>
      <c r="T930" s="36">
        <f>COUNTIF(Tabla1[[#This Row],[VEHICULOS_ACCIDENTADOS]:[VEHICULOS_ACCIDENTADOS2]],"AUTOMOVIL")</f>
        <v>0</v>
      </c>
      <c r="U930" s="36">
        <f>COUNTIF(Tabla1[[#This Row],[VEHICULOS_ACCIDENTADOS]:[VEHICULOS_ACCIDENTADOS2]],"CAMPERO")</f>
        <v>0</v>
      </c>
      <c r="V930" s="36">
        <f>COUNTIF(Tabla1[[#This Row],[VEHICULOS_ACCIDENTADOS]:[VEHICULOS_ACCIDENTADOS2]],"CAMIONETA")</f>
        <v>0</v>
      </c>
      <c r="W930" s="36">
        <f>COUNTIF(Tabla1[[#This Row],[VEHICULOS_ACCIDENTADOS]:[VEHICULOS_ACCIDENTADOS2]],"MICROBUS")</f>
        <v>0</v>
      </c>
      <c r="X930" s="36">
        <f>COUNTIF(Tabla1[[#This Row],[VEHICULOS_ACCIDENTADOS]:[VEHICULOS_ACCIDENTADOS2]],"BUS")</f>
        <v>0</v>
      </c>
      <c r="Y930" s="36">
        <f>COUNTIF(Tabla1[[#This Row],[VEHICULOS_ACCIDENTADOS]:[VEHICULOS_ACCIDENTADOS2]],"BUSETA")</f>
        <v>0</v>
      </c>
      <c r="Z930" s="36">
        <f>COUNTIF(Tabla1[[#This Row],[VEHICULOS_ACCIDENTADOS]:[VEHICULOS_ACCIDENTADOS2]],"CAMION")</f>
        <v>0</v>
      </c>
      <c r="AA930" s="36">
        <f>COUNTIF(Tabla1[[#This Row],[VEHICULOS_ACCIDENTADOS]:[VEHICULOS_ACCIDENTADOS2]],"TRACTOCAMION")</f>
        <v>0</v>
      </c>
      <c r="AB930" s="36">
        <f>COUNTIF(Tabla1[[#This Row],[VEHICULOS_ACCIDENTADOS]:[VEHICULOS_ACCIDENTADOS2]],"VOLQUETA")</f>
        <v>0</v>
      </c>
      <c r="AC930" s="36">
        <f>COUNTIF(Tabla1[[#This Row],[VEHICULOS_ACCIDENTADOS]:[VEHICULOS_ACCIDENTADOS2]],"BICICLETA")</f>
        <v>0</v>
      </c>
      <c r="AD930" s="7" t="s">
        <v>471</v>
      </c>
      <c r="AE930" s="7"/>
      <c r="AF930" s="7">
        <f>COUNTIF(Tabla1[[#This Row],[GENERO_MASCULINO]:[GENERO_FEMENINO]],"MASCULINO")</f>
        <v>1</v>
      </c>
      <c r="AG930" s="36">
        <f>COUNTIF(Tabla1[[#This Row],[GENERO_MASCULINO]:[GENERO_FEMENINO]],"FEMENINO")</f>
        <v>0</v>
      </c>
      <c r="AH930" s="73">
        <v>32</v>
      </c>
      <c r="AI930" s="73">
        <v>19</v>
      </c>
      <c r="AJ930" s="73"/>
      <c r="AK930" s="73"/>
      <c r="AL930" s="73">
        <v>19</v>
      </c>
      <c r="AM930" s="7"/>
      <c r="AN930" s="73">
        <v>114</v>
      </c>
      <c r="AO930" s="36" t="str">
        <f>IFERROR(((VLOOKUP(Tabla1[[#This Row],[HIPOTESIS_1]],listas!$D$1:$E$105,2,FALSE))),"SIN INFORMACIÓN")</f>
        <v>Embriaguez aparente.</v>
      </c>
      <c r="AP930" s="7"/>
      <c r="AQ930" s="36" t="str">
        <f>IFERROR(((VLOOKUP(Tabla1[[#This Row],[HIPOTESIS_2]],listas!$D$1:$E$105,2,FALSE))),"")</f>
        <v/>
      </c>
      <c r="AR930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931" spans="1:44" x14ac:dyDescent="0.25">
      <c r="A931" s="12">
        <v>306</v>
      </c>
      <c r="B931" s="38">
        <v>1</v>
      </c>
      <c r="C931" s="29">
        <v>0</v>
      </c>
      <c r="D931" s="7">
        <v>0</v>
      </c>
      <c r="E931" s="18" t="str">
        <f t="shared" si="56"/>
        <v>SOLO DAÑO</v>
      </c>
      <c r="F931" s="7" t="s">
        <v>1006</v>
      </c>
      <c r="G931" s="17">
        <v>5.3316625000000002</v>
      </c>
      <c r="H931" s="17">
        <v>-72.40793583333334</v>
      </c>
      <c r="I931" s="93" t="s">
        <v>697</v>
      </c>
      <c r="J931" s="7" t="s">
        <v>717</v>
      </c>
      <c r="K931" s="24" t="str">
        <f t="shared" si="57"/>
        <v>2022</v>
      </c>
      <c r="L931" s="24" t="str">
        <f t="shared" si="58"/>
        <v>SEPTIEMBRE</v>
      </c>
      <c r="M931" s="232">
        <v>44813</v>
      </c>
      <c r="N931" s="24" t="str">
        <f t="shared" si="59"/>
        <v>VIERNES</v>
      </c>
      <c r="O931" s="175">
        <v>0.99305555555555503</v>
      </c>
      <c r="P931" s="180" t="s">
        <v>447</v>
      </c>
      <c r="Q931" s="180" t="s">
        <v>447</v>
      </c>
      <c r="R931" s="36">
        <f>COUNTIF(Tabla1[[#This Row],[VEHICULOS_ACCIDENTADOS]:[VEHICULOS_ACCIDENTADOS2]],"MOTOCICLETA")</f>
        <v>0</v>
      </c>
      <c r="S931" s="36">
        <f>COUNTIF(Tabla1[[#This Row],[VEHICULOS_ACCIDENTADOS]:[VEHICULOS_ACCIDENTADOS2]],"MOTOCARRO")</f>
        <v>0</v>
      </c>
      <c r="T931" s="36">
        <f>COUNTIF(Tabla1[[#This Row],[VEHICULOS_ACCIDENTADOS]:[VEHICULOS_ACCIDENTADOS2]],"AUTOMOVIL")</f>
        <v>2</v>
      </c>
      <c r="U931" s="36">
        <f>COUNTIF(Tabla1[[#This Row],[VEHICULOS_ACCIDENTADOS]:[VEHICULOS_ACCIDENTADOS2]],"CAMPERO")</f>
        <v>0</v>
      </c>
      <c r="V931" s="36">
        <f>COUNTIF(Tabla1[[#This Row],[VEHICULOS_ACCIDENTADOS]:[VEHICULOS_ACCIDENTADOS2]],"CAMIONETA")</f>
        <v>0</v>
      </c>
      <c r="W931" s="36">
        <f>COUNTIF(Tabla1[[#This Row],[VEHICULOS_ACCIDENTADOS]:[VEHICULOS_ACCIDENTADOS2]],"MICROBUS")</f>
        <v>0</v>
      </c>
      <c r="X931" s="36">
        <f>COUNTIF(Tabla1[[#This Row],[VEHICULOS_ACCIDENTADOS]:[VEHICULOS_ACCIDENTADOS2]],"BUS")</f>
        <v>0</v>
      </c>
      <c r="Y931" s="36">
        <f>COUNTIF(Tabla1[[#This Row],[VEHICULOS_ACCIDENTADOS]:[VEHICULOS_ACCIDENTADOS2]],"BUSETA")</f>
        <v>0</v>
      </c>
      <c r="Z931" s="36">
        <f>COUNTIF(Tabla1[[#This Row],[VEHICULOS_ACCIDENTADOS]:[VEHICULOS_ACCIDENTADOS2]],"CAMION")</f>
        <v>0</v>
      </c>
      <c r="AA931" s="36">
        <f>COUNTIF(Tabla1[[#This Row],[VEHICULOS_ACCIDENTADOS]:[VEHICULOS_ACCIDENTADOS2]],"TRACTOCAMION")</f>
        <v>0</v>
      </c>
      <c r="AB931" s="36">
        <f>COUNTIF(Tabla1[[#This Row],[VEHICULOS_ACCIDENTADOS]:[VEHICULOS_ACCIDENTADOS2]],"VOLQUETA")</f>
        <v>0</v>
      </c>
      <c r="AC931" s="36">
        <f>COUNTIF(Tabla1[[#This Row],[VEHICULOS_ACCIDENTADOS]:[VEHICULOS_ACCIDENTADOS2]],"BICICLETA")</f>
        <v>0</v>
      </c>
      <c r="AD931" s="7" t="s">
        <v>471</v>
      </c>
      <c r="AE931" s="7"/>
      <c r="AF931" s="7">
        <f>COUNTIF(Tabla1[[#This Row],[GENERO_MASCULINO]:[GENERO_FEMENINO]],"MASCULINO")</f>
        <v>1</v>
      </c>
      <c r="AG931" s="36">
        <f>COUNTIF(Tabla1[[#This Row],[GENERO_MASCULINO]:[GENERO_FEMENINO]],"FEMENINO")</f>
        <v>0</v>
      </c>
      <c r="AH931" s="73"/>
      <c r="AI931" s="73"/>
      <c r="AJ931" s="87"/>
      <c r="AK931" s="73"/>
      <c r="AL931" s="73"/>
      <c r="AM931" s="7"/>
      <c r="AN931" s="73">
        <v>157</v>
      </c>
      <c r="AO931" s="36" t="str">
        <f>IFERROR(((VLOOKUP(Tabla1[[#This Row],[HIPOTESIS_1]],listas!$D$1:$E$105,2,FALSE))),"SIN INFORMACIÓN")</f>
        <v>Otra</v>
      </c>
      <c r="AP931" s="7"/>
      <c r="AQ931" s="36" t="str">
        <f>IFERROR(((VLOOKUP(Tabla1[[#This Row],[HIPOTESIS_2]],listas!$D$1:$E$105,2,FALSE))),"")</f>
        <v/>
      </c>
      <c r="AR931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932" spans="1:44" x14ac:dyDescent="0.25">
      <c r="A932" s="12">
        <v>678</v>
      </c>
      <c r="B932" s="97">
        <v>0</v>
      </c>
      <c r="C932" s="26">
        <v>2</v>
      </c>
      <c r="D932" s="15">
        <v>0</v>
      </c>
      <c r="E932" s="18" t="str">
        <f t="shared" si="56"/>
        <v>LESIONADO</v>
      </c>
      <c r="F932" s="15" t="s">
        <v>157</v>
      </c>
      <c r="G932" s="21">
        <v>5.325685</v>
      </c>
      <c r="H932" s="21">
        <v>-72.403162500000008</v>
      </c>
      <c r="I932" s="93" t="s">
        <v>697</v>
      </c>
      <c r="J932" s="15" t="s">
        <v>717</v>
      </c>
      <c r="K932" s="24" t="str">
        <f t="shared" si="57"/>
        <v>2024</v>
      </c>
      <c r="L932" s="24" t="str">
        <f t="shared" si="58"/>
        <v>MARZO</v>
      </c>
      <c r="M932" s="234">
        <v>45362</v>
      </c>
      <c r="N932" s="24" t="str">
        <f t="shared" si="59"/>
        <v>LUNES</v>
      </c>
      <c r="O932" s="110">
        <v>0.82638888888888884</v>
      </c>
      <c r="P932" s="44" t="s">
        <v>469</v>
      </c>
      <c r="Q932" s="44"/>
      <c r="R932" s="36">
        <f>COUNTIF(Tabla1[[#This Row],[VEHICULOS_ACCIDENTADOS]:[VEHICULOS_ACCIDENTADOS2]],"MOTOCICLETA")</f>
        <v>1</v>
      </c>
      <c r="S932" s="36">
        <f>COUNTIF(Tabla1[[#This Row],[VEHICULOS_ACCIDENTADOS]:[VEHICULOS_ACCIDENTADOS2]],"MOTOCARRO")</f>
        <v>0</v>
      </c>
      <c r="T932" s="36">
        <f>COUNTIF(Tabla1[[#This Row],[VEHICULOS_ACCIDENTADOS]:[VEHICULOS_ACCIDENTADOS2]],"AUTOMOVIL")</f>
        <v>0</v>
      </c>
      <c r="U932" s="36">
        <f>COUNTIF(Tabla1[[#This Row],[VEHICULOS_ACCIDENTADOS]:[VEHICULOS_ACCIDENTADOS2]],"CAMPERO")</f>
        <v>0</v>
      </c>
      <c r="V932" s="36">
        <f>COUNTIF(Tabla1[[#This Row],[VEHICULOS_ACCIDENTADOS]:[VEHICULOS_ACCIDENTADOS2]],"CAMIONETA")</f>
        <v>0</v>
      </c>
      <c r="W932" s="36">
        <f>COUNTIF(Tabla1[[#This Row],[VEHICULOS_ACCIDENTADOS]:[VEHICULOS_ACCIDENTADOS2]],"MICROBUS")</f>
        <v>0</v>
      </c>
      <c r="X932" s="36">
        <f>COUNTIF(Tabla1[[#This Row],[VEHICULOS_ACCIDENTADOS]:[VEHICULOS_ACCIDENTADOS2]],"BUS")</f>
        <v>0</v>
      </c>
      <c r="Y932" s="36">
        <f>COUNTIF(Tabla1[[#This Row],[VEHICULOS_ACCIDENTADOS]:[VEHICULOS_ACCIDENTADOS2]],"BUSETA")</f>
        <v>0</v>
      </c>
      <c r="Z932" s="36">
        <f>COUNTIF(Tabla1[[#This Row],[VEHICULOS_ACCIDENTADOS]:[VEHICULOS_ACCIDENTADOS2]],"CAMION")</f>
        <v>0</v>
      </c>
      <c r="AA932" s="36">
        <f>COUNTIF(Tabla1[[#This Row],[VEHICULOS_ACCIDENTADOS]:[VEHICULOS_ACCIDENTADOS2]],"TRACTOCAMION")</f>
        <v>0</v>
      </c>
      <c r="AB932" s="36">
        <f>COUNTIF(Tabla1[[#This Row],[VEHICULOS_ACCIDENTADOS]:[VEHICULOS_ACCIDENTADOS2]],"VOLQUETA")</f>
        <v>0</v>
      </c>
      <c r="AC932" s="36">
        <f>COUNTIF(Tabla1[[#This Row],[VEHICULOS_ACCIDENTADOS]:[VEHICULOS_ACCIDENTADOS2]],"BICICLETA")</f>
        <v>0</v>
      </c>
      <c r="AD932" s="15" t="s">
        <v>471</v>
      </c>
      <c r="AE932" s="15" t="s">
        <v>472</v>
      </c>
      <c r="AF932" s="15">
        <f>COUNTIF(Tabla1[[#This Row],[GENERO_MASCULINO]:[GENERO_FEMENINO]],"MASCULINO")</f>
        <v>1</v>
      </c>
      <c r="AG932" s="36">
        <f>COUNTIF(Tabla1[[#This Row],[GENERO_MASCULINO]:[GENERO_FEMENINO]],"FEMENINO")</f>
        <v>1</v>
      </c>
      <c r="AH932" s="86">
        <v>65</v>
      </c>
      <c r="AI932" s="86"/>
      <c r="AJ932" s="86"/>
      <c r="AK932" s="86"/>
      <c r="AL932" s="86"/>
      <c r="AM932" s="15"/>
      <c r="AN932" s="86">
        <v>116</v>
      </c>
      <c r="AO932" s="36" t="str">
        <f>IFERROR(((VLOOKUP(Tabla1[[#This Row],[HIPOTESIS_1]],listas!$D$1:$E$105,2,FALSE))),"SIN INFORMACIÓN")</f>
        <v>Exceso de velocidad</v>
      </c>
      <c r="AP932" s="15"/>
      <c r="AQ932" s="36" t="str">
        <f>IFERROR(((VLOOKUP(Tabla1[[#This Row],[HIPOTESIS_2]],listas!$D$1:$E$105,2,FALSE))),"")</f>
        <v/>
      </c>
      <c r="AR932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933" spans="1:44" x14ac:dyDescent="0.25">
      <c r="A933" s="12">
        <v>120</v>
      </c>
      <c r="B933" s="38">
        <v>1</v>
      </c>
      <c r="C933" s="29">
        <v>0</v>
      </c>
      <c r="D933" s="7">
        <v>0</v>
      </c>
      <c r="E933" s="18" t="str">
        <f t="shared" si="56"/>
        <v>SOLO DAÑO</v>
      </c>
      <c r="F933" s="7" t="s">
        <v>392</v>
      </c>
      <c r="G933" s="17">
        <v>5.3138722222222219</v>
      </c>
      <c r="H933" s="17">
        <v>-72.401638888888897</v>
      </c>
      <c r="I933" s="93" t="s">
        <v>697</v>
      </c>
      <c r="J933" s="7" t="s">
        <v>717</v>
      </c>
      <c r="K933" s="24" t="str">
        <f t="shared" si="57"/>
        <v>2022</v>
      </c>
      <c r="L933" s="24" t="str">
        <f t="shared" si="58"/>
        <v>ABRIL</v>
      </c>
      <c r="M933" s="232">
        <v>44656</v>
      </c>
      <c r="N933" s="24" t="str">
        <f t="shared" si="59"/>
        <v>MARTES</v>
      </c>
      <c r="O933" s="109">
        <v>0.8125</v>
      </c>
      <c r="P933" s="8" t="s">
        <v>469</v>
      </c>
      <c r="Q933" s="8" t="s">
        <v>445</v>
      </c>
      <c r="R933" s="36">
        <f>COUNTIF(Tabla1[[#This Row],[VEHICULOS_ACCIDENTADOS]:[VEHICULOS_ACCIDENTADOS2]],"MOTOCICLETA")</f>
        <v>1</v>
      </c>
      <c r="S933" s="36">
        <f>COUNTIF(Tabla1[[#This Row],[VEHICULOS_ACCIDENTADOS]:[VEHICULOS_ACCIDENTADOS2]],"MOTOCARRO")</f>
        <v>0</v>
      </c>
      <c r="T933" s="36">
        <f>COUNTIF(Tabla1[[#This Row],[VEHICULOS_ACCIDENTADOS]:[VEHICULOS_ACCIDENTADOS2]],"AUTOMOVIL")</f>
        <v>0</v>
      </c>
      <c r="U933" s="36">
        <f>COUNTIF(Tabla1[[#This Row],[VEHICULOS_ACCIDENTADOS]:[VEHICULOS_ACCIDENTADOS2]],"CAMPERO")</f>
        <v>0</v>
      </c>
      <c r="V933" s="36">
        <f>COUNTIF(Tabla1[[#This Row],[VEHICULOS_ACCIDENTADOS]:[VEHICULOS_ACCIDENTADOS2]],"CAMIONETA")</f>
        <v>1</v>
      </c>
      <c r="W933" s="36">
        <f>COUNTIF(Tabla1[[#This Row],[VEHICULOS_ACCIDENTADOS]:[VEHICULOS_ACCIDENTADOS2]],"MICROBUS")</f>
        <v>0</v>
      </c>
      <c r="X933" s="36">
        <f>COUNTIF(Tabla1[[#This Row],[VEHICULOS_ACCIDENTADOS]:[VEHICULOS_ACCIDENTADOS2]],"BUS")</f>
        <v>0</v>
      </c>
      <c r="Y933" s="36">
        <f>COUNTIF(Tabla1[[#This Row],[VEHICULOS_ACCIDENTADOS]:[VEHICULOS_ACCIDENTADOS2]],"BUSETA")</f>
        <v>0</v>
      </c>
      <c r="Z933" s="36">
        <f>COUNTIF(Tabla1[[#This Row],[VEHICULOS_ACCIDENTADOS]:[VEHICULOS_ACCIDENTADOS2]],"CAMION")</f>
        <v>0</v>
      </c>
      <c r="AA933" s="36">
        <f>COUNTIF(Tabla1[[#This Row],[VEHICULOS_ACCIDENTADOS]:[VEHICULOS_ACCIDENTADOS2]],"TRACTOCAMION")</f>
        <v>0</v>
      </c>
      <c r="AB933" s="36">
        <f>COUNTIF(Tabla1[[#This Row],[VEHICULOS_ACCIDENTADOS]:[VEHICULOS_ACCIDENTADOS2]],"VOLQUETA")</f>
        <v>0</v>
      </c>
      <c r="AC933" s="36">
        <f>COUNTIF(Tabla1[[#This Row],[VEHICULOS_ACCIDENTADOS]:[VEHICULOS_ACCIDENTADOS2]],"BICICLETA")</f>
        <v>0</v>
      </c>
      <c r="AD933" s="7" t="s">
        <v>471</v>
      </c>
      <c r="AE933" s="7"/>
      <c r="AF933" s="7">
        <f>COUNTIF(Tabla1[[#This Row],[GENERO_MASCULINO]:[GENERO_FEMENINO]],"MASCULINO")</f>
        <v>1</v>
      </c>
      <c r="AG933" s="36">
        <f>COUNTIF(Tabla1[[#This Row],[GENERO_MASCULINO]:[GENERO_FEMENINO]],"FEMENINO")</f>
        <v>0</v>
      </c>
      <c r="AH933" s="193"/>
      <c r="AI933" s="193"/>
      <c r="AJ933" s="89"/>
      <c r="AK933" s="193"/>
      <c r="AL933" s="193"/>
      <c r="AM933" s="32"/>
      <c r="AN933" s="193">
        <v>104</v>
      </c>
      <c r="AO933" s="36" t="str">
        <f>IFERROR(((VLOOKUP(Tabla1[[#This Row],[HIPOTESIS_1]],listas!$D$1:$E$105,2,FALSE))),"SIN INFORMACIÓN")</f>
        <v>Adelantar invadiendo carril de sentido contrario.</v>
      </c>
      <c r="AP933" s="32"/>
      <c r="AQ933" s="36" t="str">
        <f>IFERROR(((VLOOKUP(Tabla1[[#This Row],[HIPOTESIS_2]],listas!$D$1:$E$105,2,FALSE))),"")</f>
        <v/>
      </c>
      <c r="AR933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934" spans="1:44" x14ac:dyDescent="0.25">
      <c r="A934" s="12">
        <v>21</v>
      </c>
      <c r="B934" s="38">
        <v>1</v>
      </c>
      <c r="C934" s="29">
        <v>0</v>
      </c>
      <c r="D934" s="7">
        <v>0</v>
      </c>
      <c r="E934" s="18" t="str">
        <f t="shared" si="56"/>
        <v>SOLO DAÑO</v>
      </c>
      <c r="F934" s="7" t="s">
        <v>432</v>
      </c>
      <c r="G934" s="70">
        <v>5.3129609999999996</v>
      </c>
      <c r="H934" s="37">
        <v>-72.401919000000007</v>
      </c>
      <c r="I934" s="93" t="s">
        <v>697</v>
      </c>
      <c r="J934" s="7" t="s">
        <v>717</v>
      </c>
      <c r="K934" s="24" t="str">
        <f t="shared" si="57"/>
        <v>2022</v>
      </c>
      <c r="L934" s="24" t="str">
        <f t="shared" si="58"/>
        <v>ENERO</v>
      </c>
      <c r="M934" s="232">
        <v>44584</v>
      </c>
      <c r="N934" s="24" t="str">
        <f t="shared" si="59"/>
        <v>DOMINGO</v>
      </c>
      <c r="O934" s="109">
        <v>0.77777777777777779</v>
      </c>
      <c r="P934" s="8" t="s">
        <v>469</v>
      </c>
      <c r="Q934" s="8" t="s">
        <v>447</v>
      </c>
      <c r="R934" s="36">
        <f>COUNTIF(Tabla1[[#This Row],[VEHICULOS_ACCIDENTADOS]:[VEHICULOS_ACCIDENTADOS2]],"MOTOCICLETA")</f>
        <v>1</v>
      </c>
      <c r="S934" s="36">
        <f>COUNTIF(Tabla1[[#This Row],[VEHICULOS_ACCIDENTADOS]:[VEHICULOS_ACCIDENTADOS2]],"MOTOCARRO")</f>
        <v>0</v>
      </c>
      <c r="T934" s="36">
        <f>COUNTIF(Tabla1[[#This Row],[VEHICULOS_ACCIDENTADOS]:[VEHICULOS_ACCIDENTADOS2]],"AUTOMOVIL")</f>
        <v>1</v>
      </c>
      <c r="U934" s="36">
        <f>COUNTIF(Tabla1[[#This Row],[VEHICULOS_ACCIDENTADOS]:[VEHICULOS_ACCIDENTADOS2]],"CAMPERO")</f>
        <v>0</v>
      </c>
      <c r="V934" s="36">
        <f>COUNTIF(Tabla1[[#This Row],[VEHICULOS_ACCIDENTADOS]:[VEHICULOS_ACCIDENTADOS2]],"CAMIONETA")</f>
        <v>0</v>
      </c>
      <c r="W934" s="36">
        <f>COUNTIF(Tabla1[[#This Row],[VEHICULOS_ACCIDENTADOS]:[VEHICULOS_ACCIDENTADOS2]],"MICROBUS")</f>
        <v>0</v>
      </c>
      <c r="X934" s="36">
        <f>COUNTIF(Tabla1[[#This Row],[VEHICULOS_ACCIDENTADOS]:[VEHICULOS_ACCIDENTADOS2]],"BUS")</f>
        <v>0</v>
      </c>
      <c r="Y934" s="36">
        <f>COUNTIF(Tabla1[[#This Row],[VEHICULOS_ACCIDENTADOS]:[VEHICULOS_ACCIDENTADOS2]],"BUSETA")</f>
        <v>0</v>
      </c>
      <c r="Z934" s="36">
        <f>COUNTIF(Tabla1[[#This Row],[VEHICULOS_ACCIDENTADOS]:[VEHICULOS_ACCIDENTADOS2]],"CAMION")</f>
        <v>0</v>
      </c>
      <c r="AA934" s="36">
        <f>COUNTIF(Tabla1[[#This Row],[VEHICULOS_ACCIDENTADOS]:[VEHICULOS_ACCIDENTADOS2]],"TRACTOCAMION")</f>
        <v>0</v>
      </c>
      <c r="AB934" s="36">
        <f>COUNTIF(Tabla1[[#This Row],[VEHICULOS_ACCIDENTADOS]:[VEHICULOS_ACCIDENTADOS2]],"VOLQUETA")</f>
        <v>0</v>
      </c>
      <c r="AC934" s="36">
        <f>COUNTIF(Tabla1[[#This Row],[VEHICULOS_ACCIDENTADOS]:[VEHICULOS_ACCIDENTADOS2]],"BICICLETA")</f>
        <v>0</v>
      </c>
      <c r="AD934" s="7" t="s">
        <v>471</v>
      </c>
      <c r="AE934" s="7"/>
      <c r="AF934" s="7">
        <f>COUNTIF(Tabla1[[#This Row],[GENERO_MASCULINO]:[GENERO_FEMENINO]],"MASCULINO")</f>
        <v>1</v>
      </c>
      <c r="AG934" s="36">
        <f>COUNTIF(Tabla1[[#This Row],[GENERO_MASCULINO]:[GENERO_FEMENINO]],"FEMENINO")</f>
        <v>0</v>
      </c>
      <c r="AH934" s="73"/>
      <c r="AI934" s="73"/>
      <c r="AJ934" s="73"/>
      <c r="AK934" s="73"/>
      <c r="AL934" s="73"/>
      <c r="AM934" s="7"/>
      <c r="AN934" s="73">
        <v>121</v>
      </c>
      <c r="AO934" s="36" t="str">
        <f>IFERROR(((VLOOKUP(Tabla1[[#This Row],[HIPOTESIS_1]],listas!$D$1:$E$105,2,FALSE))),"SIN INFORMACIÓN")</f>
        <v>No mantener distancia de seguridad.</v>
      </c>
      <c r="AP934" s="7"/>
      <c r="AQ934" s="36" t="str">
        <f>IFERROR(((VLOOKUP(Tabla1[[#This Row],[HIPOTESIS_2]],listas!$D$1:$E$105,2,FALSE))),"")</f>
        <v/>
      </c>
      <c r="AR934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935" spans="1:44" x14ac:dyDescent="0.25">
      <c r="A935" s="12">
        <v>661</v>
      </c>
      <c r="B935" s="97">
        <v>0</v>
      </c>
      <c r="C935" s="26">
        <v>3</v>
      </c>
      <c r="D935" s="15">
        <v>0</v>
      </c>
      <c r="E935" s="18" t="str">
        <f t="shared" si="56"/>
        <v>LESIONADO</v>
      </c>
      <c r="F935" s="15" t="s">
        <v>165</v>
      </c>
      <c r="G935" s="21">
        <v>5.3111999999999995</v>
      </c>
      <c r="H935" s="21">
        <v>-72.401741666666666</v>
      </c>
      <c r="I935" s="93" t="s">
        <v>697</v>
      </c>
      <c r="J935" s="15" t="s">
        <v>717</v>
      </c>
      <c r="K935" s="24" t="str">
        <f t="shared" si="57"/>
        <v>2024</v>
      </c>
      <c r="L935" s="24" t="str">
        <f t="shared" si="58"/>
        <v>FEBRERO</v>
      </c>
      <c r="M935" s="234">
        <v>45333</v>
      </c>
      <c r="N935" s="24" t="str">
        <f t="shared" si="59"/>
        <v>DOMINGO</v>
      </c>
      <c r="O935" s="110">
        <v>0.89583333333333337</v>
      </c>
      <c r="P935" s="44" t="s">
        <v>469</v>
      </c>
      <c r="Q935" s="44" t="s">
        <v>469</v>
      </c>
      <c r="R935" s="36">
        <f>COUNTIF(Tabla1[[#This Row],[VEHICULOS_ACCIDENTADOS]:[VEHICULOS_ACCIDENTADOS2]],"MOTOCICLETA")</f>
        <v>2</v>
      </c>
      <c r="S935" s="36">
        <f>COUNTIF(Tabla1[[#This Row],[VEHICULOS_ACCIDENTADOS]:[VEHICULOS_ACCIDENTADOS2]],"MOTOCARRO")</f>
        <v>0</v>
      </c>
      <c r="T935" s="36">
        <f>COUNTIF(Tabla1[[#This Row],[VEHICULOS_ACCIDENTADOS]:[VEHICULOS_ACCIDENTADOS2]],"AUTOMOVIL")</f>
        <v>0</v>
      </c>
      <c r="U935" s="36">
        <f>COUNTIF(Tabla1[[#This Row],[VEHICULOS_ACCIDENTADOS]:[VEHICULOS_ACCIDENTADOS2]],"CAMPERO")</f>
        <v>0</v>
      </c>
      <c r="V935" s="36">
        <f>COUNTIF(Tabla1[[#This Row],[VEHICULOS_ACCIDENTADOS]:[VEHICULOS_ACCIDENTADOS2]],"CAMIONETA")</f>
        <v>0</v>
      </c>
      <c r="W935" s="36">
        <f>COUNTIF(Tabla1[[#This Row],[VEHICULOS_ACCIDENTADOS]:[VEHICULOS_ACCIDENTADOS2]],"MICROBUS")</f>
        <v>0</v>
      </c>
      <c r="X935" s="36">
        <f>COUNTIF(Tabla1[[#This Row],[VEHICULOS_ACCIDENTADOS]:[VEHICULOS_ACCIDENTADOS2]],"BUS")</f>
        <v>0</v>
      </c>
      <c r="Y935" s="36">
        <f>COUNTIF(Tabla1[[#This Row],[VEHICULOS_ACCIDENTADOS]:[VEHICULOS_ACCIDENTADOS2]],"BUSETA")</f>
        <v>0</v>
      </c>
      <c r="Z935" s="36">
        <f>COUNTIF(Tabla1[[#This Row],[VEHICULOS_ACCIDENTADOS]:[VEHICULOS_ACCIDENTADOS2]],"CAMION")</f>
        <v>0</v>
      </c>
      <c r="AA935" s="36">
        <f>COUNTIF(Tabla1[[#This Row],[VEHICULOS_ACCIDENTADOS]:[VEHICULOS_ACCIDENTADOS2]],"TRACTOCAMION")</f>
        <v>0</v>
      </c>
      <c r="AB935" s="36">
        <f>COUNTIF(Tabla1[[#This Row],[VEHICULOS_ACCIDENTADOS]:[VEHICULOS_ACCIDENTADOS2]],"VOLQUETA")</f>
        <v>0</v>
      </c>
      <c r="AC935" s="36">
        <f>COUNTIF(Tabla1[[#This Row],[VEHICULOS_ACCIDENTADOS]:[VEHICULOS_ACCIDENTADOS2]],"BICICLETA")</f>
        <v>0</v>
      </c>
      <c r="AD935" s="15" t="s">
        <v>471</v>
      </c>
      <c r="AE935" s="15"/>
      <c r="AF935" s="15">
        <f>COUNTIF(Tabla1[[#This Row],[GENERO_MASCULINO]:[GENERO_FEMENINO]],"MASCULINO")</f>
        <v>1</v>
      </c>
      <c r="AG935" s="36">
        <f>COUNTIF(Tabla1[[#This Row],[GENERO_MASCULINO]:[GENERO_FEMENINO]],"FEMENINO")</f>
        <v>0</v>
      </c>
      <c r="AH935" s="86">
        <v>23</v>
      </c>
      <c r="AI935" s="86">
        <v>20</v>
      </c>
      <c r="AJ935" s="86">
        <v>22</v>
      </c>
      <c r="AK935" s="86"/>
      <c r="AL935" s="86"/>
      <c r="AM935" s="15"/>
      <c r="AN935" s="86">
        <v>139</v>
      </c>
      <c r="AO935" s="36" t="str">
        <f>IFERROR(((VLOOKUP(Tabla1[[#This Row],[HIPOTESIS_1]],listas!$D$1:$E$105,2,FALSE))),"SIN INFORMACIÓN")</f>
        <v>Impericia en el manejo.</v>
      </c>
      <c r="AP935" s="15"/>
      <c r="AQ935" s="36" t="str">
        <f>IFERROR(((VLOOKUP(Tabla1[[#This Row],[HIPOTESIS_2]],listas!$D$1:$E$105,2,FALSE))),"")</f>
        <v/>
      </c>
      <c r="AR935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936" spans="1:44" x14ac:dyDescent="0.25">
      <c r="A936" s="12">
        <v>215</v>
      </c>
      <c r="B936" s="38">
        <v>0</v>
      </c>
      <c r="C936" s="29">
        <v>1</v>
      </c>
      <c r="D936" s="7">
        <v>1</v>
      </c>
      <c r="E936" s="18" t="str">
        <f t="shared" si="56"/>
        <v>FALLECIDO</v>
      </c>
      <c r="F936" s="7" t="s">
        <v>356</v>
      </c>
      <c r="G936" s="17">
        <v>5.31</v>
      </c>
      <c r="H936" s="17">
        <v>-72.40162222222223</v>
      </c>
      <c r="I936" s="93" t="s">
        <v>697</v>
      </c>
      <c r="J936" s="7" t="s">
        <v>717</v>
      </c>
      <c r="K936" s="24" t="str">
        <f t="shared" si="57"/>
        <v>2022</v>
      </c>
      <c r="L936" s="24" t="str">
        <f t="shared" si="58"/>
        <v>JUNIO</v>
      </c>
      <c r="M936" s="232">
        <v>44724</v>
      </c>
      <c r="N936" s="24" t="str">
        <f t="shared" si="59"/>
        <v>DOMINGO</v>
      </c>
      <c r="O936" s="175">
        <v>0.84722222222222221</v>
      </c>
      <c r="P936" s="180" t="s">
        <v>469</v>
      </c>
      <c r="Q936" s="180" t="s">
        <v>447</v>
      </c>
      <c r="R936" s="36">
        <f>COUNTIF(Tabla1[[#This Row],[VEHICULOS_ACCIDENTADOS]:[VEHICULOS_ACCIDENTADOS2]],"MOTOCICLETA")</f>
        <v>1</v>
      </c>
      <c r="S936" s="36">
        <f>COUNTIF(Tabla1[[#This Row],[VEHICULOS_ACCIDENTADOS]:[VEHICULOS_ACCIDENTADOS2]],"MOTOCARRO")</f>
        <v>0</v>
      </c>
      <c r="T936" s="36">
        <f>COUNTIF(Tabla1[[#This Row],[VEHICULOS_ACCIDENTADOS]:[VEHICULOS_ACCIDENTADOS2]],"AUTOMOVIL")</f>
        <v>1</v>
      </c>
      <c r="U936" s="36">
        <f>COUNTIF(Tabla1[[#This Row],[VEHICULOS_ACCIDENTADOS]:[VEHICULOS_ACCIDENTADOS2]],"CAMPERO")</f>
        <v>0</v>
      </c>
      <c r="V936" s="36">
        <f>COUNTIF(Tabla1[[#This Row],[VEHICULOS_ACCIDENTADOS]:[VEHICULOS_ACCIDENTADOS2]],"CAMIONETA")</f>
        <v>0</v>
      </c>
      <c r="W936" s="36">
        <f>COUNTIF(Tabla1[[#This Row],[VEHICULOS_ACCIDENTADOS]:[VEHICULOS_ACCIDENTADOS2]],"MICROBUS")</f>
        <v>0</v>
      </c>
      <c r="X936" s="36">
        <f>COUNTIF(Tabla1[[#This Row],[VEHICULOS_ACCIDENTADOS]:[VEHICULOS_ACCIDENTADOS2]],"BUS")</f>
        <v>0</v>
      </c>
      <c r="Y936" s="36">
        <f>COUNTIF(Tabla1[[#This Row],[VEHICULOS_ACCIDENTADOS]:[VEHICULOS_ACCIDENTADOS2]],"BUSETA")</f>
        <v>0</v>
      </c>
      <c r="Z936" s="36">
        <f>COUNTIF(Tabla1[[#This Row],[VEHICULOS_ACCIDENTADOS]:[VEHICULOS_ACCIDENTADOS2]],"CAMION")</f>
        <v>0</v>
      </c>
      <c r="AA936" s="36">
        <f>COUNTIF(Tabla1[[#This Row],[VEHICULOS_ACCIDENTADOS]:[VEHICULOS_ACCIDENTADOS2]],"TRACTOCAMION")</f>
        <v>0</v>
      </c>
      <c r="AB936" s="36">
        <f>COUNTIF(Tabla1[[#This Row],[VEHICULOS_ACCIDENTADOS]:[VEHICULOS_ACCIDENTADOS2]],"VOLQUETA")</f>
        <v>0</v>
      </c>
      <c r="AC936" s="36">
        <f>COUNTIF(Tabla1[[#This Row],[VEHICULOS_ACCIDENTADOS]:[VEHICULOS_ACCIDENTADOS2]],"BICICLETA")</f>
        <v>0</v>
      </c>
      <c r="AD936" s="7"/>
      <c r="AE936" s="7" t="s">
        <v>472</v>
      </c>
      <c r="AF936" s="7">
        <f>COUNTIF(Tabla1[[#This Row],[GENERO_MASCULINO]:[GENERO_FEMENINO]],"MASCULINO")</f>
        <v>0</v>
      </c>
      <c r="AG936" s="36">
        <f>COUNTIF(Tabla1[[#This Row],[GENERO_MASCULINO]:[GENERO_FEMENINO]],"FEMENINO")</f>
        <v>1</v>
      </c>
      <c r="AH936" s="73"/>
      <c r="AI936" s="73"/>
      <c r="AJ936" s="73"/>
      <c r="AK936" s="73"/>
      <c r="AL936" s="73">
        <v>50</v>
      </c>
      <c r="AM936" s="7">
        <v>46</v>
      </c>
      <c r="AN936" s="73">
        <v>157</v>
      </c>
      <c r="AO936" s="36" t="str">
        <f>IFERROR(((VLOOKUP(Tabla1[[#This Row],[HIPOTESIS_1]],listas!$D$1:$E$105,2,FALSE))),"SIN INFORMACIÓN")</f>
        <v>Otra</v>
      </c>
      <c r="AP936" s="7"/>
      <c r="AQ936" s="36" t="str">
        <f>IFERROR(((VLOOKUP(Tabla1[[#This Row],[HIPOTESIS_2]],listas!$D$1:$E$105,2,FALSE))),"")</f>
        <v/>
      </c>
      <c r="AR936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937" spans="1:44" x14ac:dyDescent="0.25">
      <c r="A937" s="12">
        <v>155</v>
      </c>
      <c r="B937" s="38">
        <v>0</v>
      </c>
      <c r="C937" s="29">
        <v>1</v>
      </c>
      <c r="D937" s="7">
        <v>0</v>
      </c>
      <c r="E937" s="18" t="str">
        <f t="shared" si="56"/>
        <v>LESIONADO</v>
      </c>
      <c r="F937" s="7" t="s">
        <v>356</v>
      </c>
      <c r="G937" s="17">
        <v>5.31</v>
      </c>
      <c r="H937" s="17">
        <v>-72.40162222222223</v>
      </c>
      <c r="I937" s="93" t="s">
        <v>697</v>
      </c>
      <c r="J937" s="7" t="s">
        <v>717</v>
      </c>
      <c r="K937" s="24" t="str">
        <f t="shared" si="57"/>
        <v>2022</v>
      </c>
      <c r="L937" s="24" t="str">
        <f t="shared" si="58"/>
        <v>ABRIL</v>
      </c>
      <c r="M937" s="232">
        <v>44680</v>
      </c>
      <c r="N937" s="24" t="str">
        <f t="shared" si="59"/>
        <v>VIERNES</v>
      </c>
      <c r="O937" s="175">
        <v>0.625</v>
      </c>
      <c r="P937" s="180" t="s">
        <v>469</v>
      </c>
      <c r="Q937" s="180" t="s">
        <v>447</v>
      </c>
      <c r="R937" s="36">
        <f>COUNTIF(Tabla1[[#This Row],[VEHICULOS_ACCIDENTADOS]:[VEHICULOS_ACCIDENTADOS2]],"MOTOCICLETA")</f>
        <v>1</v>
      </c>
      <c r="S937" s="36">
        <f>COUNTIF(Tabla1[[#This Row],[VEHICULOS_ACCIDENTADOS]:[VEHICULOS_ACCIDENTADOS2]],"MOTOCARRO")</f>
        <v>0</v>
      </c>
      <c r="T937" s="36">
        <f>COUNTIF(Tabla1[[#This Row],[VEHICULOS_ACCIDENTADOS]:[VEHICULOS_ACCIDENTADOS2]],"AUTOMOVIL")</f>
        <v>1</v>
      </c>
      <c r="U937" s="36">
        <f>COUNTIF(Tabla1[[#This Row],[VEHICULOS_ACCIDENTADOS]:[VEHICULOS_ACCIDENTADOS2]],"CAMPERO")</f>
        <v>0</v>
      </c>
      <c r="V937" s="36">
        <f>COUNTIF(Tabla1[[#This Row],[VEHICULOS_ACCIDENTADOS]:[VEHICULOS_ACCIDENTADOS2]],"CAMIONETA")</f>
        <v>0</v>
      </c>
      <c r="W937" s="36">
        <f>COUNTIF(Tabla1[[#This Row],[VEHICULOS_ACCIDENTADOS]:[VEHICULOS_ACCIDENTADOS2]],"MICROBUS")</f>
        <v>0</v>
      </c>
      <c r="X937" s="36">
        <f>COUNTIF(Tabla1[[#This Row],[VEHICULOS_ACCIDENTADOS]:[VEHICULOS_ACCIDENTADOS2]],"BUS")</f>
        <v>0</v>
      </c>
      <c r="Y937" s="36">
        <f>COUNTIF(Tabla1[[#This Row],[VEHICULOS_ACCIDENTADOS]:[VEHICULOS_ACCIDENTADOS2]],"BUSETA")</f>
        <v>0</v>
      </c>
      <c r="Z937" s="36">
        <f>COUNTIF(Tabla1[[#This Row],[VEHICULOS_ACCIDENTADOS]:[VEHICULOS_ACCIDENTADOS2]],"CAMION")</f>
        <v>0</v>
      </c>
      <c r="AA937" s="36">
        <f>COUNTIF(Tabla1[[#This Row],[VEHICULOS_ACCIDENTADOS]:[VEHICULOS_ACCIDENTADOS2]],"TRACTOCAMION")</f>
        <v>0</v>
      </c>
      <c r="AB937" s="36">
        <f>COUNTIF(Tabla1[[#This Row],[VEHICULOS_ACCIDENTADOS]:[VEHICULOS_ACCIDENTADOS2]],"VOLQUETA")</f>
        <v>0</v>
      </c>
      <c r="AC937" s="36">
        <f>COUNTIF(Tabla1[[#This Row],[VEHICULOS_ACCIDENTADOS]:[VEHICULOS_ACCIDENTADOS2]],"BICICLETA")</f>
        <v>0</v>
      </c>
      <c r="AD937" s="7" t="s">
        <v>471</v>
      </c>
      <c r="AE937" s="7"/>
      <c r="AF937" s="7">
        <f>COUNTIF(Tabla1[[#This Row],[GENERO_MASCULINO]:[GENERO_FEMENINO]],"MASCULINO")</f>
        <v>1</v>
      </c>
      <c r="AG937" s="36">
        <f>COUNTIF(Tabla1[[#This Row],[GENERO_MASCULINO]:[GENERO_FEMENINO]],"FEMENINO")</f>
        <v>0</v>
      </c>
      <c r="AH937" s="73">
        <v>18</v>
      </c>
      <c r="AI937" s="73"/>
      <c r="AJ937" s="73"/>
      <c r="AK937" s="73"/>
      <c r="AL937" s="73"/>
      <c r="AM937" s="7"/>
      <c r="AN937" s="73">
        <v>139</v>
      </c>
      <c r="AO937" s="36" t="str">
        <f>IFERROR(((VLOOKUP(Tabla1[[#This Row],[HIPOTESIS_1]],listas!$D$1:$E$105,2,FALSE))),"SIN INFORMACIÓN")</f>
        <v>Impericia en el manejo.</v>
      </c>
      <c r="AP937" s="7"/>
      <c r="AQ937" s="36" t="str">
        <f>IFERROR(((VLOOKUP(Tabla1[[#This Row],[HIPOTESIS_2]],listas!$D$1:$E$105,2,FALSE))),"")</f>
        <v/>
      </c>
      <c r="AR937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938" spans="1:44" x14ac:dyDescent="0.25">
      <c r="A938" s="12">
        <v>877</v>
      </c>
      <c r="B938" s="43">
        <v>1</v>
      </c>
      <c r="C938" s="26">
        <v>0</v>
      </c>
      <c r="D938" s="15">
        <v>0</v>
      </c>
      <c r="E938" s="18" t="str">
        <f t="shared" si="56"/>
        <v>SOLO DAÑO</v>
      </c>
      <c r="F938" s="15" t="s">
        <v>70</v>
      </c>
      <c r="G938" s="17">
        <v>5.31</v>
      </c>
      <c r="H938" s="17">
        <v>-72.40162222222223</v>
      </c>
      <c r="I938" s="93" t="s">
        <v>697</v>
      </c>
      <c r="J938" s="21" t="s">
        <v>717</v>
      </c>
      <c r="K938" s="24" t="str">
        <f t="shared" si="57"/>
        <v>2025</v>
      </c>
      <c r="L938" s="24" t="str">
        <f t="shared" si="58"/>
        <v>FEBRERO</v>
      </c>
      <c r="M938" s="234">
        <v>45706</v>
      </c>
      <c r="N938" s="24" t="str">
        <f t="shared" si="59"/>
        <v>MARTES</v>
      </c>
      <c r="O938" s="110">
        <v>0.1388888888888889</v>
      </c>
      <c r="P938" s="44" t="s">
        <v>445</v>
      </c>
      <c r="Q938" s="44"/>
      <c r="R938" s="36">
        <f>COUNTIF(Tabla1[[#This Row],[VEHICULOS_ACCIDENTADOS]:[VEHICULOS_ACCIDENTADOS2]],"MOTOCICLETA")</f>
        <v>0</v>
      </c>
      <c r="S938" s="36">
        <f>COUNTIF(Tabla1[[#This Row],[VEHICULOS_ACCIDENTADOS]:[VEHICULOS_ACCIDENTADOS2]],"MOTOCARRO")</f>
        <v>0</v>
      </c>
      <c r="T938" s="36">
        <f>COUNTIF(Tabla1[[#This Row],[VEHICULOS_ACCIDENTADOS]:[VEHICULOS_ACCIDENTADOS2]],"AUTOMOVIL")</f>
        <v>0</v>
      </c>
      <c r="U938" s="36">
        <f>COUNTIF(Tabla1[[#This Row],[VEHICULOS_ACCIDENTADOS]:[VEHICULOS_ACCIDENTADOS2]],"CAMPERO")</f>
        <v>0</v>
      </c>
      <c r="V938" s="36">
        <f>COUNTIF(Tabla1[[#This Row],[VEHICULOS_ACCIDENTADOS]:[VEHICULOS_ACCIDENTADOS2]],"CAMIONETA")</f>
        <v>1</v>
      </c>
      <c r="W938" s="36">
        <f>COUNTIF(Tabla1[[#This Row],[VEHICULOS_ACCIDENTADOS]:[VEHICULOS_ACCIDENTADOS2]],"MICROBUS")</f>
        <v>0</v>
      </c>
      <c r="X938" s="36">
        <f>COUNTIF(Tabla1[[#This Row],[VEHICULOS_ACCIDENTADOS]:[VEHICULOS_ACCIDENTADOS2]],"BUS")</f>
        <v>0</v>
      </c>
      <c r="Y938" s="36">
        <f>COUNTIF(Tabla1[[#This Row],[VEHICULOS_ACCIDENTADOS]:[VEHICULOS_ACCIDENTADOS2]],"BUSETA")</f>
        <v>0</v>
      </c>
      <c r="Z938" s="36">
        <f>COUNTIF(Tabla1[[#This Row],[VEHICULOS_ACCIDENTADOS]:[VEHICULOS_ACCIDENTADOS2]],"CAMION")</f>
        <v>0</v>
      </c>
      <c r="AA938" s="36">
        <f>COUNTIF(Tabla1[[#This Row],[VEHICULOS_ACCIDENTADOS]:[VEHICULOS_ACCIDENTADOS2]],"TRACTOCAMION")</f>
        <v>0</v>
      </c>
      <c r="AB938" s="36">
        <f>COUNTIF(Tabla1[[#This Row],[VEHICULOS_ACCIDENTADOS]:[VEHICULOS_ACCIDENTADOS2]],"VOLQUETA")</f>
        <v>0</v>
      </c>
      <c r="AC938" s="36">
        <f>COUNTIF(Tabla1[[#This Row],[VEHICULOS_ACCIDENTADOS]:[VEHICULOS_ACCIDENTADOS2]],"BICICLETA")</f>
        <v>0</v>
      </c>
      <c r="AD938" s="15" t="s">
        <v>471</v>
      </c>
      <c r="AE938" s="15"/>
      <c r="AF938" s="15">
        <f>COUNTIF(Tabla1[[#This Row],[GENERO_MASCULINO]:[GENERO_FEMENINO]],"MASCULINO")</f>
        <v>1</v>
      </c>
      <c r="AG938" s="36">
        <f>COUNTIF(Tabla1[[#This Row],[GENERO_MASCULINO]:[GENERO_FEMENINO]],"FEMENINO")</f>
        <v>0</v>
      </c>
      <c r="AH938" s="86">
        <v>51</v>
      </c>
      <c r="AI938" s="86"/>
      <c r="AJ938" s="86"/>
      <c r="AK938" s="86"/>
      <c r="AL938" s="86"/>
      <c r="AM938" s="15"/>
      <c r="AN938" s="86">
        <v>157</v>
      </c>
      <c r="AO938" s="36" t="str">
        <f>IFERROR(((VLOOKUP(Tabla1[[#This Row],[HIPOTESIS_1]],listas!$D$1:$E$105,2,FALSE))),"SIN INFORMACIÓN")</f>
        <v>Otra</v>
      </c>
      <c r="AP938" s="15"/>
      <c r="AQ938" s="36" t="str">
        <f>IFERROR(((VLOOKUP(Tabla1[[#This Row],[HIPOTESIS_2]],listas!$D$1:$E$105,2,FALSE))),"")</f>
        <v/>
      </c>
      <c r="AR938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939" spans="1:44" x14ac:dyDescent="0.25">
      <c r="A939" s="12">
        <v>867</v>
      </c>
      <c r="B939" s="97">
        <v>0</v>
      </c>
      <c r="C939" s="26">
        <v>1</v>
      </c>
      <c r="D939" s="15">
        <v>0</v>
      </c>
      <c r="E939" s="18" t="str">
        <f t="shared" si="56"/>
        <v>LESIONADO</v>
      </c>
      <c r="F939" s="15" t="s">
        <v>70</v>
      </c>
      <c r="G939" s="17">
        <v>5.31</v>
      </c>
      <c r="H939" s="17">
        <v>-72.40162222222223</v>
      </c>
      <c r="I939" s="93" t="s">
        <v>697</v>
      </c>
      <c r="J939" s="21" t="s">
        <v>717</v>
      </c>
      <c r="K939" s="24" t="str">
        <f t="shared" si="57"/>
        <v>2025</v>
      </c>
      <c r="L939" s="24" t="str">
        <f t="shared" si="58"/>
        <v>FEBRERO</v>
      </c>
      <c r="M939" s="234">
        <v>45691</v>
      </c>
      <c r="N939" s="24" t="str">
        <f t="shared" si="59"/>
        <v>LUNES</v>
      </c>
      <c r="O939" s="110">
        <v>0.34027777777777773</v>
      </c>
      <c r="P939" s="44" t="s">
        <v>469</v>
      </c>
      <c r="Q939" s="44" t="s">
        <v>469</v>
      </c>
      <c r="R939" s="36">
        <f>COUNTIF(Tabla1[[#This Row],[VEHICULOS_ACCIDENTADOS]:[VEHICULOS_ACCIDENTADOS2]],"MOTOCICLETA")</f>
        <v>2</v>
      </c>
      <c r="S939" s="36">
        <f>COUNTIF(Tabla1[[#This Row],[VEHICULOS_ACCIDENTADOS]:[VEHICULOS_ACCIDENTADOS2]],"MOTOCARRO")</f>
        <v>0</v>
      </c>
      <c r="T939" s="36">
        <f>COUNTIF(Tabla1[[#This Row],[VEHICULOS_ACCIDENTADOS]:[VEHICULOS_ACCIDENTADOS2]],"AUTOMOVIL")</f>
        <v>0</v>
      </c>
      <c r="U939" s="36">
        <f>COUNTIF(Tabla1[[#This Row],[VEHICULOS_ACCIDENTADOS]:[VEHICULOS_ACCIDENTADOS2]],"CAMPERO")</f>
        <v>0</v>
      </c>
      <c r="V939" s="36">
        <f>COUNTIF(Tabla1[[#This Row],[VEHICULOS_ACCIDENTADOS]:[VEHICULOS_ACCIDENTADOS2]],"CAMIONETA")</f>
        <v>0</v>
      </c>
      <c r="W939" s="36">
        <f>COUNTIF(Tabla1[[#This Row],[VEHICULOS_ACCIDENTADOS]:[VEHICULOS_ACCIDENTADOS2]],"MICROBUS")</f>
        <v>0</v>
      </c>
      <c r="X939" s="36">
        <f>COUNTIF(Tabla1[[#This Row],[VEHICULOS_ACCIDENTADOS]:[VEHICULOS_ACCIDENTADOS2]],"BUS")</f>
        <v>0</v>
      </c>
      <c r="Y939" s="36">
        <f>COUNTIF(Tabla1[[#This Row],[VEHICULOS_ACCIDENTADOS]:[VEHICULOS_ACCIDENTADOS2]],"BUSETA")</f>
        <v>0</v>
      </c>
      <c r="Z939" s="36">
        <f>COUNTIF(Tabla1[[#This Row],[VEHICULOS_ACCIDENTADOS]:[VEHICULOS_ACCIDENTADOS2]],"CAMION")</f>
        <v>0</v>
      </c>
      <c r="AA939" s="36">
        <f>COUNTIF(Tabla1[[#This Row],[VEHICULOS_ACCIDENTADOS]:[VEHICULOS_ACCIDENTADOS2]],"TRACTOCAMION")</f>
        <v>0</v>
      </c>
      <c r="AB939" s="36">
        <f>COUNTIF(Tabla1[[#This Row],[VEHICULOS_ACCIDENTADOS]:[VEHICULOS_ACCIDENTADOS2]],"VOLQUETA")</f>
        <v>0</v>
      </c>
      <c r="AC939" s="36">
        <f>COUNTIF(Tabla1[[#This Row],[VEHICULOS_ACCIDENTADOS]:[VEHICULOS_ACCIDENTADOS2]],"BICICLETA")</f>
        <v>0</v>
      </c>
      <c r="AD939" s="15" t="s">
        <v>471</v>
      </c>
      <c r="AE939" s="15" t="s">
        <v>471</v>
      </c>
      <c r="AF939" s="15">
        <f>COUNTIF(Tabla1[[#This Row],[GENERO_MASCULINO]:[GENERO_FEMENINO]],"MASCULINO")</f>
        <v>2</v>
      </c>
      <c r="AG939" s="36">
        <f>COUNTIF(Tabla1[[#This Row],[GENERO_MASCULINO]:[GENERO_FEMENINO]],"FEMENINO")</f>
        <v>0</v>
      </c>
      <c r="AH939" s="86">
        <v>48</v>
      </c>
      <c r="AI939" s="86">
        <v>52</v>
      </c>
      <c r="AJ939" s="86"/>
      <c r="AK939" s="86"/>
      <c r="AL939" s="86"/>
      <c r="AM939" s="15"/>
      <c r="AN939" s="86">
        <v>112</v>
      </c>
      <c r="AO939" s="36" t="str">
        <f>IFERROR(((VLOOKUP(Tabla1[[#This Row],[HIPOTESIS_1]],listas!$D$1:$E$105,2,FALSE))),"SIN INFORMACIÓN")</f>
        <v>Desobedecer señales o normas de tránsito.</v>
      </c>
      <c r="AP939" s="15"/>
      <c r="AQ939" s="36" t="str">
        <f>IFERROR(((VLOOKUP(Tabla1[[#This Row],[HIPOTESIS_2]],listas!$D$1:$E$105,2,FALSE))),"")</f>
        <v/>
      </c>
      <c r="AR939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940" spans="1:44" x14ac:dyDescent="0.25">
      <c r="A940" s="12">
        <v>990</v>
      </c>
      <c r="B940" s="47">
        <v>0</v>
      </c>
      <c r="C940" s="152">
        <v>2</v>
      </c>
      <c r="D940" s="24">
        <v>0</v>
      </c>
      <c r="E940" s="18" t="str">
        <f t="shared" si="56"/>
        <v>LESIONADO</v>
      </c>
      <c r="F940" s="24" t="s">
        <v>10</v>
      </c>
      <c r="G940" s="30">
        <v>5.3327780000000002</v>
      </c>
      <c r="H940" s="30">
        <v>-72.408844000000002</v>
      </c>
      <c r="I940" s="93" t="s">
        <v>697</v>
      </c>
      <c r="J940" s="7" t="s">
        <v>717</v>
      </c>
      <c r="K940" s="24" t="str">
        <f t="shared" si="57"/>
        <v>2025</v>
      </c>
      <c r="L940" s="24" t="str">
        <f t="shared" si="58"/>
        <v>JUNIO</v>
      </c>
      <c r="M940" s="236">
        <v>45823</v>
      </c>
      <c r="N940" s="24" t="str">
        <f t="shared" si="59"/>
        <v>DOMINGO</v>
      </c>
      <c r="O940" s="109">
        <v>0.35416666666666669</v>
      </c>
      <c r="P940" s="8" t="s">
        <v>469</v>
      </c>
      <c r="Q940" s="8"/>
      <c r="R940" s="36">
        <f>COUNTIF(Tabla1[[#This Row],[VEHICULOS_ACCIDENTADOS]:[VEHICULOS_ACCIDENTADOS2]],"MOTOCICLETA")</f>
        <v>1</v>
      </c>
      <c r="S940" s="36">
        <f>COUNTIF(Tabla1[[#This Row],[VEHICULOS_ACCIDENTADOS]:[VEHICULOS_ACCIDENTADOS2]],"MOTOCARRO")</f>
        <v>0</v>
      </c>
      <c r="T940" s="36">
        <f>COUNTIF(Tabla1[[#This Row],[VEHICULOS_ACCIDENTADOS]:[VEHICULOS_ACCIDENTADOS2]],"AUTOMOVIL")</f>
        <v>0</v>
      </c>
      <c r="U940" s="36">
        <f>COUNTIF(Tabla1[[#This Row],[VEHICULOS_ACCIDENTADOS]:[VEHICULOS_ACCIDENTADOS2]],"CAMPERO")</f>
        <v>0</v>
      </c>
      <c r="V940" s="36">
        <f>COUNTIF(Tabla1[[#This Row],[VEHICULOS_ACCIDENTADOS]:[VEHICULOS_ACCIDENTADOS2]],"CAMIONETA")</f>
        <v>0</v>
      </c>
      <c r="W940" s="36">
        <f>COUNTIF(Tabla1[[#This Row],[VEHICULOS_ACCIDENTADOS]:[VEHICULOS_ACCIDENTADOS2]],"MICROBUS")</f>
        <v>0</v>
      </c>
      <c r="X940" s="36">
        <f>COUNTIF(Tabla1[[#This Row],[VEHICULOS_ACCIDENTADOS]:[VEHICULOS_ACCIDENTADOS2]],"BUS")</f>
        <v>0</v>
      </c>
      <c r="Y940" s="36">
        <f>COUNTIF(Tabla1[[#This Row],[VEHICULOS_ACCIDENTADOS]:[VEHICULOS_ACCIDENTADOS2]],"BUSETA")</f>
        <v>0</v>
      </c>
      <c r="Z940" s="36">
        <f>COUNTIF(Tabla1[[#This Row],[VEHICULOS_ACCIDENTADOS]:[VEHICULOS_ACCIDENTADOS2]],"CAMION")</f>
        <v>0</v>
      </c>
      <c r="AA940" s="36">
        <f>COUNTIF(Tabla1[[#This Row],[VEHICULOS_ACCIDENTADOS]:[VEHICULOS_ACCIDENTADOS2]],"TRACTOCAMION")</f>
        <v>0</v>
      </c>
      <c r="AB940" s="36">
        <f>COUNTIF(Tabla1[[#This Row],[VEHICULOS_ACCIDENTADOS]:[VEHICULOS_ACCIDENTADOS2]],"VOLQUETA")</f>
        <v>0</v>
      </c>
      <c r="AC940" s="36">
        <f>COUNTIF(Tabla1[[#This Row],[VEHICULOS_ACCIDENTADOS]:[VEHICULOS_ACCIDENTADOS2]],"BICICLETA")</f>
        <v>0</v>
      </c>
      <c r="AD940" s="7" t="s">
        <v>471</v>
      </c>
      <c r="AE940" s="7" t="s">
        <v>471</v>
      </c>
      <c r="AF940" s="7">
        <f>COUNTIF(Tabla1[[#This Row],[GENERO_MASCULINO]:[GENERO_FEMENINO]],"MASCULINO")</f>
        <v>2</v>
      </c>
      <c r="AG940" s="36">
        <f>COUNTIF(Tabla1[[#This Row],[GENERO_MASCULINO]:[GENERO_FEMENINO]],"FEMENINO")</f>
        <v>0</v>
      </c>
      <c r="AH940" s="86">
        <v>53</v>
      </c>
      <c r="AI940" s="86">
        <v>26</v>
      </c>
      <c r="AJ940" s="86"/>
      <c r="AK940" s="87"/>
      <c r="AL940" s="87"/>
      <c r="AM940" s="6"/>
      <c r="AN940" s="73">
        <v>157</v>
      </c>
      <c r="AO940" s="36" t="str">
        <f>IFERROR(((VLOOKUP(Tabla1[[#This Row],[HIPOTESIS_1]],listas!$D$1:$E$105,2,FALSE))),"SIN INFORMACIÓN")</f>
        <v>Otra</v>
      </c>
      <c r="AP940" s="7"/>
      <c r="AQ940" s="36" t="str">
        <f>IFERROR(((VLOOKUP(Tabla1[[#This Row],[HIPOTESIS_2]],listas!$D$1:$E$105,2,FALSE))),"")</f>
        <v/>
      </c>
      <c r="AR940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941" spans="1:44" x14ac:dyDescent="0.25">
      <c r="A941" s="12">
        <v>778</v>
      </c>
      <c r="B941" s="16">
        <v>0</v>
      </c>
      <c r="C941" s="38">
        <v>2</v>
      </c>
      <c r="D941" s="42">
        <v>0</v>
      </c>
      <c r="E941" s="18" t="str">
        <f t="shared" si="56"/>
        <v>LESIONADO</v>
      </c>
      <c r="F941" s="7" t="s">
        <v>115</v>
      </c>
      <c r="G941" s="21">
        <v>5.3327888888888886</v>
      </c>
      <c r="H941" s="21">
        <v>-72.408850000000001</v>
      </c>
      <c r="I941" s="93" t="s">
        <v>697</v>
      </c>
      <c r="J941" s="7" t="s">
        <v>717</v>
      </c>
      <c r="K941" s="24" t="str">
        <f t="shared" si="57"/>
        <v>2024</v>
      </c>
      <c r="L941" s="24" t="str">
        <f t="shared" si="58"/>
        <v>SEPTIEMBRE</v>
      </c>
      <c r="M941" s="232">
        <v>45543</v>
      </c>
      <c r="N941" s="24" t="str">
        <f t="shared" si="59"/>
        <v>DOMINGO</v>
      </c>
      <c r="O941" s="109">
        <v>0.83333333333333337</v>
      </c>
      <c r="P941" s="39" t="s">
        <v>469</v>
      </c>
      <c r="Q941" s="39" t="s">
        <v>469</v>
      </c>
      <c r="R941" s="36">
        <f>COUNTIF(Tabla1[[#This Row],[VEHICULOS_ACCIDENTADOS]:[VEHICULOS_ACCIDENTADOS2]],"MOTOCICLETA")</f>
        <v>2</v>
      </c>
      <c r="S941" s="36">
        <f>COUNTIF(Tabla1[[#This Row],[VEHICULOS_ACCIDENTADOS]:[VEHICULOS_ACCIDENTADOS2]],"MOTOCARRO")</f>
        <v>0</v>
      </c>
      <c r="T941" s="36">
        <f>COUNTIF(Tabla1[[#This Row],[VEHICULOS_ACCIDENTADOS]:[VEHICULOS_ACCIDENTADOS2]],"AUTOMOVIL")</f>
        <v>0</v>
      </c>
      <c r="U941" s="36">
        <f>COUNTIF(Tabla1[[#This Row],[VEHICULOS_ACCIDENTADOS]:[VEHICULOS_ACCIDENTADOS2]],"CAMPERO")</f>
        <v>0</v>
      </c>
      <c r="V941" s="36">
        <f>COUNTIF(Tabla1[[#This Row],[VEHICULOS_ACCIDENTADOS]:[VEHICULOS_ACCIDENTADOS2]],"CAMIONETA")</f>
        <v>0</v>
      </c>
      <c r="W941" s="36">
        <f>COUNTIF(Tabla1[[#This Row],[VEHICULOS_ACCIDENTADOS]:[VEHICULOS_ACCIDENTADOS2]],"MICROBUS")</f>
        <v>0</v>
      </c>
      <c r="X941" s="36">
        <f>COUNTIF(Tabla1[[#This Row],[VEHICULOS_ACCIDENTADOS]:[VEHICULOS_ACCIDENTADOS2]],"BUS")</f>
        <v>0</v>
      </c>
      <c r="Y941" s="36">
        <f>COUNTIF(Tabla1[[#This Row],[VEHICULOS_ACCIDENTADOS]:[VEHICULOS_ACCIDENTADOS2]],"BUSETA")</f>
        <v>0</v>
      </c>
      <c r="Z941" s="36">
        <f>COUNTIF(Tabla1[[#This Row],[VEHICULOS_ACCIDENTADOS]:[VEHICULOS_ACCIDENTADOS2]],"CAMION")</f>
        <v>0</v>
      </c>
      <c r="AA941" s="36">
        <f>COUNTIF(Tabla1[[#This Row],[VEHICULOS_ACCIDENTADOS]:[VEHICULOS_ACCIDENTADOS2]],"TRACTOCAMION")</f>
        <v>0</v>
      </c>
      <c r="AB941" s="36">
        <f>COUNTIF(Tabla1[[#This Row],[VEHICULOS_ACCIDENTADOS]:[VEHICULOS_ACCIDENTADOS2]],"VOLQUETA")</f>
        <v>0</v>
      </c>
      <c r="AC941" s="36">
        <f>COUNTIF(Tabla1[[#This Row],[VEHICULOS_ACCIDENTADOS]:[VEHICULOS_ACCIDENTADOS2]],"BICICLETA")</f>
        <v>0</v>
      </c>
      <c r="AD941" s="7" t="s">
        <v>471</v>
      </c>
      <c r="AE941" s="7" t="s">
        <v>472</v>
      </c>
      <c r="AF941" s="7">
        <f>COUNTIF(Tabla1[[#This Row],[GENERO_MASCULINO]:[GENERO_FEMENINO]],"MASCULINO")</f>
        <v>1</v>
      </c>
      <c r="AG941" s="36">
        <f>COUNTIF(Tabla1[[#This Row],[GENERO_MASCULINO]:[GENERO_FEMENINO]],"FEMENINO")</f>
        <v>1</v>
      </c>
      <c r="AH941" s="73">
        <v>44</v>
      </c>
      <c r="AI941" s="73">
        <v>28</v>
      </c>
      <c r="AJ941" s="73">
        <v>27</v>
      </c>
      <c r="AK941" s="73"/>
      <c r="AL941" s="73"/>
      <c r="AM941" s="7"/>
      <c r="AN941" s="73">
        <v>112</v>
      </c>
      <c r="AO941" s="36" t="str">
        <f>IFERROR(((VLOOKUP(Tabla1[[#This Row],[HIPOTESIS_1]],listas!$D$1:$E$105,2,FALSE))),"SIN INFORMACIÓN")</f>
        <v>Desobedecer señales o normas de tránsito.</v>
      </c>
      <c r="AP941" s="7"/>
      <c r="AQ941" s="36" t="str">
        <f>IFERROR(((VLOOKUP(Tabla1[[#This Row],[HIPOTESIS_2]],listas!$D$1:$E$105,2,FALSE))),"")</f>
        <v/>
      </c>
      <c r="AR941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942" spans="1:44" x14ac:dyDescent="0.25">
      <c r="A942" s="12">
        <v>395</v>
      </c>
      <c r="B942" s="7">
        <v>0</v>
      </c>
      <c r="C942" s="29">
        <v>1</v>
      </c>
      <c r="D942" s="7">
        <v>0</v>
      </c>
      <c r="E942" s="18" t="str">
        <f t="shared" si="56"/>
        <v>LESIONADO</v>
      </c>
      <c r="F942" s="7" t="s">
        <v>289</v>
      </c>
      <c r="G942" s="21">
        <v>5.3328036111111112</v>
      </c>
      <c r="H942" s="21">
        <v>-72.408825555555566</v>
      </c>
      <c r="I942" s="93" t="s">
        <v>697</v>
      </c>
      <c r="J942" s="7" t="s">
        <v>717</v>
      </c>
      <c r="K942" s="24" t="str">
        <f t="shared" si="57"/>
        <v>2023</v>
      </c>
      <c r="L942" s="24" t="str">
        <f t="shared" si="58"/>
        <v>ENERO</v>
      </c>
      <c r="M942" s="232">
        <v>44953</v>
      </c>
      <c r="N942" s="24" t="str">
        <f t="shared" si="59"/>
        <v>VIERNES</v>
      </c>
      <c r="O942" s="109">
        <v>0.64583333333333304</v>
      </c>
      <c r="P942" s="39" t="s">
        <v>469</v>
      </c>
      <c r="Q942" s="39" t="s">
        <v>469</v>
      </c>
      <c r="R942" s="36">
        <f>COUNTIF(Tabla1[[#This Row],[VEHICULOS_ACCIDENTADOS]:[VEHICULOS_ACCIDENTADOS2]],"MOTOCICLETA")</f>
        <v>2</v>
      </c>
      <c r="S942" s="36">
        <f>COUNTIF(Tabla1[[#This Row],[VEHICULOS_ACCIDENTADOS]:[VEHICULOS_ACCIDENTADOS2]],"MOTOCARRO")</f>
        <v>0</v>
      </c>
      <c r="T942" s="36">
        <f>COUNTIF(Tabla1[[#This Row],[VEHICULOS_ACCIDENTADOS]:[VEHICULOS_ACCIDENTADOS2]],"AUTOMOVIL")</f>
        <v>0</v>
      </c>
      <c r="U942" s="36">
        <f>COUNTIF(Tabla1[[#This Row],[VEHICULOS_ACCIDENTADOS]:[VEHICULOS_ACCIDENTADOS2]],"CAMPERO")</f>
        <v>0</v>
      </c>
      <c r="V942" s="36">
        <f>COUNTIF(Tabla1[[#This Row],[VEHICULOS_ACCIDENTADOS]:[VEHICULOS_ACCIDENTADOS2]],"CAMIONETA")</f>
        <v>0</v>
      </c>
      <c r="W942" s="36">
        <f>COUNTIF(Tabla1[[#This Row],[VEHICULOS_ACCIDENTADOS]:[VEHICULOS_ACCIDENTADOS2]],"MICROBUS")</f>
        <v>0</v>
      </c>
      <c r="X942" s="36">
        <f>COUNTIF(Tabla1[[#This Row],[VEHICULOS_ACCIDENTADOS]:[VEHICULOS_ACCIDENTADOS2]],"BUS")</f>
        <v>0</v>
      </c>
      <c r="Y942" s="36">
        <f>COUNTIF(Tabla1[[#This Row],[VEHICULOS_ACCIDENTADOS]:[VEHICULOS_ACCIDENTADOS2]],"BUSETA")</f>
        <v>0</v>
      </c>
      <c r="Z942" s="36">
        <f>COUNTIF(Tabla1[[#This Row],[VEHICULOS_ACCIDENTADOS]:[VEHICULOS_ACCIDENTADOS2]],"CAMION")</f>
        <v>0</v>
      </c>
      <c r="AA942" s="36">
        <f>COUNTIF(Tabla1[[#This Row],[VEHICULOS_ACCIDENTADOS]:[VEHICULOS_ACCIDENTADOS2]],"TRACTOCAMION")</f>
        <v>0</v>
      </c>
      <c r="AB942" s="36">
        <f>COUNTIF(Tabla1[[#This Row],[VEHICULOS_ACCIDENTADOS]:[VEHICULOS_ACCIDENTADOS2]],"VOLQUETA")</f>
        <v>0</v>
      </c>
      <c r="AC942" s="36">
        <f>COUNTIF(Tabla1[[#This Row],[VEHICULOS_ACCIDENTADOS]:[VEHICULOS_ACCIDENTADOS2]],"BICICLETA")</f>
        <v>0</v>
      </c>
      <c r="AD942" s="7" t="s">
        <v>471</v>
      </c>
      <c r="AE942" s="7" t="s">
        <v>472</v>
      </c>
      <c r="AF942" s="7">
        <f>COUNTIF(Tabla1[[#This Row],[GENERO_MASCULINO]:[GENERO_FEMENINO]],"MASCULINO")</f>
        <v>1</v>
      </c>
      <c r="AG942" s="36">
        <f>COUNTIF(Tabla1[[#This Row],[GENERO_MASCULINO]:[GENERO_FEMENINO]],"FEMENINO")</f>
        <v>1</v>
      </c>
      <c r="AH942" s="73">
        <v>34</v>
      </c>
      <c r="AI942" s="73">
        <v>28</v>
      </c>
      <c r="AJ942" s="73"/>
      <c r="AK942" s="73"/>
      <c r="AL942" s="73"/>
      <c r="AM942" s="7"/>
      <c r="AN942" s="73">
        <v>112</v>
      </c>
      <c r="AO942" s="36" t="str">
        <f>IFERROR(((VLOOKUP(Tabla1[[#This Row],[HIPOTESIS_1]],listas!$D$1:$E$105,2,FALSE))),"SIN INFORMACIÓN")</f>
        <v>Desobedecer señales o normas de tránsito.</v>
      </c>
      <c r="AP942" s="7"/>
      <c r="AQ942" s="36" t="str">
        <f>IFERROR(((VLOOKUP(Tabla1[[#This Row],[HIPOTESIS_2]],listas!$D$1:$E$105,2,FALSE))),"")</f>
        <v/>
      </c>
      <c r="AR942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943" spans="1:44" x14ac:dyDescent="0.25">
      <c r="A943" s="12">
        <v>825</v>
      </c>
      <c r="B943" s="43">
        <v>0</v>
      </c>
      <c r="C943" s="26">
        <v>0</v>
      </c>
      <c r="D943" s="19">
        <v>1</v>
      </c>
      <c r="E943" s="18" t="str">
        <f t="shared" si="56"/>
        <v>FALLECIDO</v>
      </c>
      <c r="F943" s="15" t="s">
        <v>98</v>
      </c>
      <c r="G943" s="21">
        <v>5.3323186111111109</v>
      </c>
      <c r="H943" s="21">
        <v>-72.406719722222235</v>
      </c>
      <c r="I943" s="93" t="s">
        <v>697</v>
      </c>
      <c r="J943" s="7" t="s">
        <v>717</v>
      </c>
      <c r="K943" s="24" t="str">
        <f t="shared" si="57"/>
        <v>2024</v>
      </c>
      <c r="L943" s="24" t="str">
        <f t="shared" si="58"/>
        <v>DICIEMBRE</v>
      </c>
      <c r="M943" s="234">
        <v>45630</v>
      </c>
      <c r="N943" s="24" t="str">
        <f t="shared" si="59"/>
        <v>MIÉRCOLES</v>
      </c>
      <c r="O943" s="110">
        <v>6.25E-2</v>
      </c>
      <c r="P943" s="44" t="s">
        <v>665</v>
      </c>
      <c r="Q943" s="44"/>
      <c r="R943" s="36">
        <f>COUNTIF(Tabla1[[#This Row],[VEHICULOS_ACCIDENTADOS]:[VEHICULOS_ACCIDENTADOS2]],"MOTOCICLETA")</f>
        <v>0</v>
      </c>
      <c r="S943" s="36">
        <f>COUNTIF(Tabla1[[#This Row],[VEHICULOS_ACCIDENTADOS]:[VEHICULOS_ACCIDENTADOS2]],"MOTOCARRO")</f>
        <v>0</v>
      </c>
      <c r="T943" s="36">
        <f>COUNTIF(Tabla1[[#This Row],[VEHICULOS_ACCIDENTADOS]:[VEHICULOS_ACCIDENTADOS2]],"AUTOMOVIL")</f>
        <v>0</v>
      </c>
      <c r="U943" s="36">
        <f>COUNTIF(Tabla1[[#This Row],[VEHICULOS_ACCIDENTADOS]:[VEHICULOS_ACCIDENTADOS2]],"CAMPERO")</f>
        <v>0</v>
      </c>
      <c r="V943" s="36">
        <f>COUNTIF(Tabla1[[#This Row],[VEHICULOS_ACCIDENTADOS]:[VEHICULOS_ACCIDENTADOS2]],"CAMIONETA")</f>
        <v>0</v>
      </c>
      <c r="W943" s="36">
        <f>COUNTIF(Tabla1[[#This Row],[VEHICULOS_ACCIDENTADOS]:[VEHICULOS_ACCIDENTADOS2]],"MICROBUS")</f>
        <v>0</v>
      </c>
      <c r="X943" s="36">
        <f>COUNTIF(Tabla1[[#This Row],[VEHICULOS_ACCIDENTADOS]:[VEHICULOS_ACCIDENTADOS2]],"BUS")</f>
        <v>0</v>
      </c>
      <c r="Y943" s="36">
        <f>COUNTIF(Tabla1[[#This Row],[VEHICULOS_ACCIDENTADOS]:[VEHICULOS_ACCIDENTADOS2]],"BUSETA")</f>
        <v>0</v>
      </c>
      <c r="Z943" s="36">
        <f>COUNTIF(Tabla1[[#This Row],[VEHICULOS_ACCIDENTADOS]:[VEHICULOS_ACCIDENTADOS2]],"CAMION")</f>
        <v>0</v>
      </c>
      <c r="AA943" s="36">
        <f>COUNTIF(Tabla1[[#This Row],[VEHICULOS_ACCIDENTADOS]:[VEHICULOS_ACCIDENTADOS2]],"TRACTOCAMION")</f>
        <v>0</v>
      </c>
      <c r="AB943" s="36">
        <f>COUNTIF(Tabla1[[#This Row],[VEHICULOS_ACCIDENTADOS]:[VEHICULOS_ACCIDENTADOS2]],"VOLQUETA")</f>
        <v>0</v>
      </c>
      <c r="AC943" s="36">
        <f>COUNTIF(Tabla1[[#This Row],[VEHICULOS_ACCIDENTADOS]:[VEHICULOS_ACCIDENTADOS2]],"BICICLETA")</f>
        <v>0</v>
      </c>
      <c r="AD943" s="15" t="s">
        <v>471</v>
      </c>
      <c r="AE943" s="15"/>
      <c r="AF943" s="15">
        <f>COUNTIF(Tabla1[[#This Row],[GENERO_MASCULINO]:[GENERO_FEMENINO]],"MASCULINO")</f>
        <v>1</v>
      </c>
      <c r="AG943" s="36">
        <f>COUNTIF(Tabla1[[#This Row],[GENERO_MASCULINO]:[GENERO_FEMENINO]],"FEMENINO")</f>
        <v>0</v>
      </c>
      <c r="AH943" s="86"/>
      <c r="AI943" s="86"/>
      <c r="AJ943" s="86"/>
      <c r="AK943" s="86"/>
      <c r="AL943" s="86"/>
      <c r="AM943" s="15">
        <v>25</v>
      </c>
      <c r="AN943" s="86">
        <v>1</v>
      </c>
      <c r="AO943" s="36" t="str">
        <f>IFERROR(((VLOOKUP(Tabla1[[#This Row],[HIPOTESIS_1]],listas!$D$1:$E$105,2,FALSE))),"SIN INFORMACIÓN")</f>
        <v>SIN INFORMACIÓN</v>
      </c>
      <c r="AP943" s="15"/>
      <c r="AQ943" s="36" t="str">
        <f>IFERROR(((VLOOKUP(Tabla1[[#This Row],[HIPOTESIS_2]],listas!$D$1:$E$105,2,FALSE))),"")</f>
        <v/>
      </c>
      <c r="AR943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944" spans="1:44" x14ac:dyDescent="0.25">
      <c r="A944" s="12">
        <v>546</v>
      </c>
      <c r="B944" s="38">
        <v>0</v>
      </c>
      <c r="C944" s="29">
        <v>0</v>
      </c>
      <c r="D944" s="7">
        <v>1</v>
      </c>
      <c r="E944" s="18" t="str">
        <f t="shared" si="56"/>
        <v>FALLECIDO</v>
      </c>
      <c r="F944" s="7" t="s">
        <v>210</v>
      </c>
      <c r="G944" s="21">
        <v>5.3005550000000001</v>
      </c>
      <c r="H944" s="21">
        <v>-72.419994444444455</v>
      </c>
      <c r="I944" s="93" t="s">
        <v>697</v>
      </c>
      <c r="J944" s="7" t="s">
        <v>717</v>
      </c>
      <c r="K944" s="24" t="str">
        <f t="shared" si="57"/>
        <v>2023</v>
      </c>
      <c r="L944" s="24" t="str">
        <f t="shared" si="58"/>
        <v>JULIO</v>
      </c>
      <c r="M944" s="232">
        <v>45120</v>
      </c>
      <c r="N944" s="24" t="str">
        <f t="shared" si="59"/>
        <v>JUEVES</v>
      </c>
      <c r="O944" s="109">
        <v>0.59722222222222221</v>
      </c>
      <c r="P944" s="39" t="s">
        <v>469</v>
      </c>
      <c r="Q944" s="39" t="s">
        <v>447</v>
      </c>
      <c r="R944" s="36">
        <f>COUNTIF(Tabla1[[#This Row],[VEHICULOS_ACCIDENTADOS]:[VEHICULOS_ACCIDENTADOS2]],"MOTOCICLETA")</f>
        <v>1</v>
      </c>
      <c r="S944" s="36">
        <f>COUNTIF(Tabla1[[#This Row],[VEHICULOS_ACCIDENTADOS]:[VEHICULOS_ACCIDENTADOS2]],"MOTOCARRO")</f>
        <v>0</v>
      </c>
      <c r="T944" s="36">
        <f>COUNTIF(Tabla1[[#This Row],[VEHICULOS_ACCIDENTADOS]:[VEHICULOS_ACCIDENTADOS2]],"AUTOMOVIL")</f>
        <v>1</v>
      </c>
      <c r="U944" s="36">
        <f>COUNTIF(Tabla1[[#This Row],[VEHICULOS_ACCIDENTADOS]:[VEHICULOS_ACCIDENTADOS2]],"CAMPERO")</f>
        <v>0</v>
      </c>
      <c r="V944" s="36">
        <f>COUNTIF(Tabla1[[#This Row],[VEHICULOS_ACCIDENTADOS]:[VEHICULOS_ACCIDENTADOS2]],"CAMIONETA")</f>
        <v>0</v>
      </c>
      <c r="W944" s="36">
        <f>COUNTIF(Tabla1[[#This Row],[VEHICULOS_ACCIDENTADOS]:[VEHICULOS_ACCIDENTADOS2]],"MICROBUS")</f>
        <v>0</v>
      </c>
      <c r="X944" s="36">
        <f>COUNTIF(Tabla1[[#This Row],[VEHICULOS_ACCIDENTADOS]:[VEHICULOS_ACCIDENTADOS2]],"BUS")</f>
        <v>0</v>
      </c>
      <c r="Y944" s="36">
        <f>COUNTIF(Tabla1[[#This Row],[VEHICULOS_ACCIDENTADOS]:[VEHICULOS_ACCIDENTADOS2]],"BUSETA")</f>
        <v>0</v>
      </c>
      <c r="Z944" s="36">
        <f>COUNTIF(Tabla1[[#This Row],[VEHICULOS_ACCIDENTADOS]:[VEHICULOS_ACCIDENTADOS2]],"CAMION")</f>
        <v>0</v>
      </c>
      <c r="AA944" s="36">
        <f>COUNTIF(Tabla1[[#This Row],[VEHICULOS_ACCIDENTADOS]:[VEHICULOS_ACCIDENTADOS2]],"TRACTOCAMION")</f>
        <v>0</v>
      </c>
      <c r="AB944" s="36">
        <f>COUNTIF(Tabla1[[#This Row],[VEHICULOS_ACCIDENTADOS]:[VEHICULOS_ACCIDENTADOS2]],"VOLQUETA")</f>
        <v>0</v>
      </c>
      <c r="AC944" s="36">
        <f>COUNTIF(Tabla1[[#This Row],[VEHICULOS_ACCIDENTADOS]:[VEHICULOS_ACCIDENTADOS2]],"BICICLETA")</f>
        <v>0</v>
      </c>
      <c r="AD944" s="7"/>
      <c r="AE944" s="7" t="s">
        <v>472</v>
      </c>
      <c r="AF944" s="7">
        <f>COUNTIF(Tabla1[[#This Row],[GENERO_MASCULINO]:[GENERO_FEMENINO]],"MASCULINO")</f>
        <v>0</v>
      </c>
      <c r="AG944" s="36">
        <f>COUNTIF(Tabla1[[#This Row],[GENERO_MASCULINO]:[GENERO_FEMENINO]],"FEMENINO")</f>
        <v>1</v>
      </c>
      <c r="AH944" s="73"/>
      <c r="AI944" s="73"/>
      <c r="AJ944" s="73"/>
      <c r="AK944" s="73"/>
      <c r="AL944" s="73"/>
      <c r="AM944" s="7"/>
      <c r="AN944" s="73">
        <v>1</v>
      </c>
      <c r="AO944" s="36" t="str">
        <f>IFERROR(((VLOOKUP(Tabla1[[#This Row],[HIPOTESIS_1]],listas!$D$1:$E$105,2,FALSE))),"SIN INFORMACIÓN")</f>
        <v>SIN INFORMACIÓN</v>
      </c>
      <c r="AP944" s="7"/>
      <c r="AQ944" s="36" t="str">
        <f>IFERROR(((VLOOKUP(Tabla1[[#This Row],[HIPOTESIS_2]],listas!$D$1:$E$105,2,FALSE))),"")</f>
        <v/>
      </c>
      <c r="AR944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945" spans="1:44" x14ac:dyDescent="0.25">
      <c r="A945" s="12">
        <v>80</v>
      </c>
      <c r="B945" s="38">
        <v>0</v>
      </c>
      <c r="C945" s="29">
        <v>1</v>
      </c>
      <c r="D945" s="7">
        <v>0</v>
      </c>
      <c r="E945" s="18" t="str">
        <f t="shared" si="56"/>
        <v>LESIONADO</v>
      </c>
      <c r="F945" s="7" t="s">
        <v>1007</v>
      </c>
      <c r="G945" s="17">
        <v>5.3322805555555552</v>
      </c>
      <c r="H945" s="17">
        <v>-72.405719444444443</v>
      </c>
      <c r="I945" s="93" t="s">
        <v>697</v>
      </c>
      <c r="J945" s="7" t="s">
        <v>717</v>
      </c>
      <c r="K945" s="24" t="str">
        <f t="shared" si="57"/>
        <v>2022</v>
      </c>
      <c r="L945" s="24" t="str">
        <f t="shared" si="58"/>
        <v>MARZO</v>
      </c>
      <c r="M945" s="232">
        <v>44631</v>
      </c>
      <c r="N945" s="24" t="str">
        <f t="shared" si="59"/>
        <v>VIERNES</v>
      </c>
      <c r="O945" s="109">
        <v>0.75</v>
      </c>
      <c r="P945" s="8" t="s">
        <v>469</v>
      </c>
      <c r="Q945" s="8" t="s">
        <v>445</v>
      </c>
      <c r="R945" s="36">
        <f>COUNTIF(Tabla1[[#This Row],[VEHICULOS_ACCIDENTADOS]:[VEHICULOS_ACCIDENTADOS2]],"MOTOCICLETA")</f>
        <v>1</v>
      </c>
      <c r="S945" s="36">
        <f>COUNTIF(Tabla1[[#This Row],[VEHICULOS_ACCIDENTADOS]:[VEHICULOS_ACCIDENTADOS2]],"MOTOCARRO")</f>
        <v>0</v>
      </c>
      <c r="T945" s="36">
        <f>COUNTIF(Tabla1[[#This Row],[VEHICULOS_ACCIDENTADOS]:[VEHICULOS_ACCIDENTADOS2]],"AUTOMOVIL")</f>
        <v>0</v>
      </c>
      <c r="U945" s="36">
        <f>COUNTIF(Tabla1[[#This Row],[VEHICULOS_ACCIDENTADOS]:[VEHICULOS_ACCIDENTADOS2]],"CAMPERO")</f>
        <v>0</v>
      </c>
      <c r="V945" s="36">
        <f>COUNTIF(Tabla1[[#This Row],[VEHICULOS_ACCIDENTADOS]:[VEHICULOS_ACCIDENTADOS2]],"CAMIONETA")</f>
        <v>1</v>
      </c>
      <c r="W945" s="36">
        <f>COUNTIF(Tabla1[[#This Row],[VEHICULOS_ACCIDENTADOS]:[VEHICULOS_ACCIDENTADOS2]],"MICROBUS")</f>
        <v>0</v>
      </c>
      <c r="X945" s="36">
        <f>COUNTIF(Tabla1[[#This Row],[VEHICULOS_ACCIDENTADOS]:[VEHICULOS_ACCIDENTADOS2]],"BUS")</f>
        <v>0</v>
      </c>
      <c r="Y945" s="36">
        <f>COUNTIF(Tabla1[[#This Row],[VEHICULOS_ACCIDENTADOS]:[VEHICULOS_ACCIDENTADOS2]],"BUSETA")</f>
        <v>0</v>
      </c>
      <c r="Z945" s="36">
        <f>COUNTIF(Tabla1[[#This Row],[VEHICULOS_ACCIDENTADOS]:[VEHICULOS_ACCIDENTADOS2]],"CAMION")</f>
        <v>0</v>
      </c>
      <c r="AA945" s="36">
        <f>COUNTIF(Tabla1[[#This Row],[VEHICULOS_ACCIDENTADOS]:[VEHICULOS_ACCIDENTADOS2]],"TRACTOCAMION")</f>
        <v>0</v>
      </c>
      <c r="AB945" s="36">
        <f>COUNTIF(Tabla1[[#This Row],[VEHICULOS_ACCIDENTADOS]:[VEHICULOS_ACCIDENTADOS2]],"VOLQUETA")</f>
        <v>0</v>
      </c>
      <c r="AC945" s="36">
        <f>COUNTIF(Tabla1[[#This Row],[VEHICULOS_ACCIDENTADOS]:[VEHICULOS_ACCIDENTADOS2]],"BICICLETA")</f>
        <v>0</v>
      </c>
      <c r="AD945" s="7" t="s">
        <v>471</v>
      </c>
      <c r="AE945" s="7"/>
      <c r="AF945" s="7">
        <f>COUNTIF(Tabla1[[#This Row],[GENERO_MASCULINO]:[GENERO_FEMENINO]],"MASCULINO")</f>
        <v>1</v>
      </c>
      <c r="AG945" s="36">
        <f>COUNTIF(Tabla1[[#This Row],[GENERO_MASCULINO]:[GENERO_FEMENINO]],"FEMENINO")</f>
        <v>0</v>
      </c>
      <c r="AH945" s="73">
        <v>24</v>
      </c>
      <c r="AI945" s="73"/>
      <c r="AJ945" s="73"/>
      <c r="AK945" s="73"/>
      <c r="AL945" s="73"/>
      <c r="AM945" s="260"/>
      <c r="AN945" s="73">
        <v>139</v>
      </c>
      <c r="AO945" s="36" t="str">
        <f>IFERROR(((VLOOKUP(Tabla1[[#This Row],[HIPOTESIS_1]],listas!$D$1:$E$105,2,FALSE))),"SIN INFORMACIÓN")</f>
        <v>Impericia en el manejo.</v>
      </c>
      <c r="AP945" s="7"/>
      <c r="AQ945" s="36" t="str">
        <f>IFERROR(((VLOOKUP(Tabla1[[#This Row],[HIPOTESIS_2]],listas!$D$1:$E$105,2,FALSE))),"")</f>
        <v/>
      </c>
      <c r="AR945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946" spans="1:44" x14ac:dyDescent="0.25">
      <c r="A946" s="12">
        <v>987</v>
      </c>
      <c r="B946" s="47">
        <v>0</v>
      </c>
      <c r="C946" s="152">
        <v>1</v>
      </c>
      <c r="D946" s="24">
        <v>0</v>
      </c>
      <c r="E946" s="18" t="str">
        <f t="shared" si="56"/>
        <v>LESIONADO</v>
      </c>
      <c r="F946" s="24" t="s">
        <v>12</v>
      </c>
      <c r="G946" s="30">
        <v>5.3332259999999998</v>
      </c>
      <c r="H946" s="30">
        <v>-72.405951000000002</v>
      </c>
      <c r="I946" s="93" t="s">
        <v>697</v>
      </c>
      <c r="J946" s="7" t="s">
        <v>717</v>
      </c>
      <c r="K946" s="24" t="str">
        <f t="shared" si="57"/>
        <v>2025</v>
      </c>
      <c r="L946" s="24" t="str">
        <f t="shared" si="58"/>
        <v>JUNIO</v>
      </c>
      <c r="M946" s="236">
        <v>45821</v>
      </c>
      <c r="N946" s="24" t="str">
        <f t="shared" si="59"/>
        <v>VIERNES</v>
      </c>
      <c r="O946" s="109">
        <v>0.81597222222222221</v>
      </c>
      <c r="P946" s="8" t="s">
        <v>438</v>
      </c>
      <c r="Q946" s="8" t="s">
        <v>447</v>
      </c>
      <c r="R946" s="36">
        <f>COUNTIF(Tabla1[[#This Row],[VEHICULOS_ACCIDENTADOS]:[VEHICULOS_ACCIDENTADOS2]],"MOTOCICLETA")</f>
        <v>0</v>
      </c>
      <c r="S946" s="36">
        <f>COUNTIF(Tabla1[[#This Row],[VEHICULOS_ACCIDENTADOS]:[VEHICULOS_ACCIDENTADOS2]],"MOTOCARRO")</f>
        <v>0</v>
      </c>
      <c r="T946" s="36">
        <f>COUNTIF(Tabla1[[#This Row],[VEHICULOS_ACCIDENTADOS]:[VEHICULOS_ACCIDENTADOS2]],"AUTOMOVIL")</f>
        <v>1</v>
      </c>
      <c r="U946" s="36">
        <f>COUNTIF(Tabla1[[#This Row],[VEHICULOS_ACCIDENTADOS]:[VEHICULOS_ACCIDENTADOS2]],"CAMPERO")</f>
        <v>0</v>
      </c>
      <c r="V946" s="36">
        <f>COUNTIF(Tabla1[[#This Row],[VEHICULOS_ACCIDENTADOS]:[VEHICULOS_ACCIDENTADOS2]],"CAMIONETA")</f>
        <v>0</v>
      </c>
      <c r="W946" s="36">
        <f>COUNTIF(Tabla1[[#This Row],[VEHICULOS_ACCIDENTADOS]:[VEHICULOS_ACCIDENTADOS2]],"MICROBUS")</f>
        <v>0</v>
      </c>
      <c r="X946" s="36">
        <f>COUNTIF(Tabla1[[#This Row],[VEHICULOS_ACCIDENTADOS]:[VEHICULOS_ACCIDENTADOS2]],"BUS")</f>
        <v>0</v>
      </c>
      <c r="Y946" s="36">
        <f>COUNTIF(Tabla1[[#This Row],[VEHICULOS_ACCIDENTADOS]:[VEHICULOS_ACCIDENTADOS2]],"BUSETA")</f>
        <v>0</v>
      </c>
      <c r="Z946" s="36">
        <f>COUNTIF(Tabla1[[#This Row],[VEHICULOS_ACCIDENTADOS]:[VEHICULOS_ACCIDENTADOS2]],"CAMION")</f>
        <v>0</v>
      </c>
      <c r="AA946" s="36">
        <f>COUNTIF(Tabla1[[#This Row],[VEHICULOS_ACCIDENTADOS]:[VEHICULOS_ACCIDENTADOS2]],"TRACTOCAMION")</f>
        <v>0</v>
      </c>
      <c r="AB946" s="36">
        <f>COUNTIF(Tabla1[[#This Row],[VEHICULOS_ACCIDENTADOS]:[VEHICULOS_ACCIDENTADOS2]],"VOLQUETA")</f>
        <v>0</v>
      </c>
      <c r="AC946" s="36">
        <f>COUNTIF(Tabla1[[#This Row],[VEHICULOS_ACCIDENTADOS]:[VEHICULOS_ACCIDENTADOS2]],"BICICLETA")</f>
        <v>1</v>
      </c>
      <c r="AD946" s="7" t="s">
        <v>471</v>
      </c>
      <c r="AE946" s="7" t="s">
        <v>471</v>
      </c>
      <c r="AF946" s="7">
        <f>COUNTIF(Tabla1[[#This Row],[GENERO_MASCULINO]:[GENERO_FEMENINO]],"MASCULINO")</f>
        <v>2</v>
      </c>
      <c r="AG946" s="36">
        <f>COUNTIF(Tabla1[[#This Row],[GENERO_MASCULINO]:[GENERO_FEMENINO]],"FEMENINO")</f>
        <v>0</v>
      </c>
      <c r="AH946" s="86">
        <v>24</v>
      </c>
      <c r="AI946" s="86">
        <v>59</v>
      </c>
      <c r="AJ946" s="86"/>
      <c r="AK946" s="87"/>
      <c r="AL946" s="87"/>
      <c r="AM946" s="6"/>
      <c r="AN946" s="73">
        <v>157</v>
      </c>
      <c r="AO946" s="36" t="str">
        <f>IFERROR(((VLOOKUP(Tabla1[[#This Row],[HIPOTESIS_1]],listas!$D$1:$E$105,2,FALSE))),"SIN INFORMACIÓN")</f>
        <v>Otra</v>
      </c>
      <c r="AP946" s="7"/>
      <c r="AQ946" s="36" t="str">
        <f>IFERROR(((VLOOKUP(Tabla1[[#This Row],[HIPOTESIS_2]],listas!$D$1:$E$105,2,FALSE))),"")</f>
        <v/>
      </c>
      <c r="AR946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947" spans="1:44" x14ac:dyDescent="0.25">
      <c r="A947" s="12">
        <v>257</v>
      </c>
      <c r="B947" s="38">
        <v>0</v>
      </c>
      <c r="C947" s="29">
        <v>1</v>
      </c>
      <c r="D947" s="7">
        <v>0</v>
      </c>
      <c r="E947" s="18" t="str">
        <f t="shared" si="56"/>
        <v>LESIONADO</v>
      </c>
      <c r="F947" s="7" t="s">
        <v>338</v>
      </c>
      <c r="G947" s="17">
        <v>5.3335169444444439</v>
      </c>
      <c r="H947" s="17">
        <v>-72.404180833333342</v>
      </c>
      <c r="I947" s="93" t="s">
        <v>697</v>
      </c>
      <c r="J947" s="7" t="s">
        <v>717</v>
      </c>
      <c r="K947" s="24" t="str">
        <f t="shared" si="57"/>
        <v>2022</v>
      </c>
      <c r="L947" s="24" t="str">
        <f t="shared" si="58"/>
        <v>JULIO</v>
      </c>
      <c r="M947" s="232">
        <v>44763</v>
      </c>
      <c r="N947" s="24" t="str">
        <f t="shared" si="59"/>
        <v>JUEVES</v>
      </c>
      <c r="O947" s="175">
        <v>0.26388888888888901</v>
      </c>
      <c r="P947" s="180" t="s">
        <v>469</v>
      </c>
      <c r="Q947" s="180" t="s">
        <v>445</v>
      </c>
      <c r="R947" s="36">
        <f>COUNTIF(Tabla1[[#This Row],[VEHICULOS_ACCIDENTADOS]:[VEHICULOS_ACCIDENTADOS2]],"MOTOCICLETA")</f>
        <v>1</v>
      </c>
      <c r="S947" s="36">
        <f>COUNTIF(Tabla1[[#This Row],[VEHICULOS_ACCIDENTADOS]:[VEHICULOS_ACCIDENTADOS2]],"MOTOCARRO")</f>
        <v>0</v>
      </c>
      <c r="T947" s="36">
        <f>COUNTIF(Tabla1[[#This Row],[VEHICULOS_ACCIDENTADOS]:[VEHICULOS_ACCIDENTADOS2]],"AUTOMOVIL")</f>
        <v>0</v>
      </c>
      <c r="U947" s="36">
        <f>COUNTIF(Tabla1[[#This Row],[VEHICULOS_ACCIDENTADOS]:[VEHICULOS_ACCIDENTADOS2]],"CAMPERO")</f>
        <v>0</v>
      </c>
      <c r="V947" s="36">
        <f>COUNTIF(Tabla1[[#This Row],[VEHICULOS_ACCIDENTADOS]:[VEHICULOS_ACCIDENTADOS2]],"CAMIONETA")</f>
        <v>1</v>
      </c>
      <c r="W947" s="36">
        <f>COUNTIF(Tabla1[[#This Row],[VEHICULOS_ACCIDENTADOS]:[VEHICULOS_ACCIDENTADOS2]],"MICROBUS")</f>
        <v>0</v>
      </c>
      <c r="X947" s="36">
        <f>COUNTIF(Tabla1[[#This Row],[VEHICULOS_ACCIDENTADOS]:[VEHICULOS_ACCIDENTADOS2]],"BUS")</f>
        <v>0</v>
      </c>
      <c r="Y947" s="36">
        <f>COUNTIF(Tabla1[[#This Row],[VEHICULOS_ACCIDENTADOS]:[VEHICULOS_ACCIDENTADOS2]],"BUSETA")</f>
        <v>0</v>
      </c>
      <c r="Z947" s="36">
        <f>COUNTIF(Tabla1[[#This Row],[VEHICULOS_ACCIDENTADOS]:[VEHICULOS_ACCIDENTADOS2]],"CAMION")</f>
        <v>0</v>
      </c>
      <c r="AA947" s="36">
        <f>COUNTIF(Tabla1[[#This Row],[VEHICULOS_ACCIDENTADOS]:[VEHICULOS_ACCIDENTADOS2]],"TRACTOCAMION")</f>
        <v>0</v>
      </c>
      <c r="AB947" s="36">
        <f>COUNTIF(Tabla1[[#This Row],[VEHICULOS_ACCIDENTADOS]:[VEHICULOS_ACCIDENTADOS2]],"VOLQUETA")</f>
        <v>0</v>
      </c>
      <c r="AC947" s="36">
        <f>COUNTIF(Tabla1[[#This Row],[VEHICULOS_ACCIDENTADOS]:[VEHICULOS_ACCIDENTADOS2]],"BICICLETA")</f>
        <v>0</v>
      </c>
      <c r="AD947" s="7"/>
      <c r="AE947" s="7" t="s">
        <v>472</v>
      </c>
      <c r="AF947" s="7">
        <f>COUNTIF(Tabla1[[#This Row],[GENERO_MASCULINO]:[GENERO_FEMENINO]],"MASCULINO")</f>
        <v>0</v>
      </c>
      <c r="AG947" s="36">
        <f>COUNTIF(Tabla1[[#This Row],[GENERO_MASCULINO]:[GENERO_FEMENINO]],"FEMENINO")</f>
        <v>1</v>
      </c>
      <c r="AH947" s="73">
        <v>33</v>
      </c>
      <c r="AI947" s="73"/>
      <c r="AJ947" s="87"/>
      <c r="AK947" s="73"/>
      <c r="AL947" s="73"/>
      <c r="AM947" s="7"/>
      <c r="AN947" s="73">
        <v>112</v>
      </c>
      <c r="AO947" s="36" t="str">
        <f>IFERROR(((VLOOKUP(Tabla1[[#This Row],[HIPOTESIS_1]],listas!$D$1:$E$105,2,FALSE))),"SIN INFORMACIÓN")</f>
        <v>Desobedecer señales o normas de tránsito.</v>
      </c>
      <c r="AP947" s="7"/>
      <c r="AQ947" s="36" t="str">
        <f>IFERROR(((VLOOKUP(Tabla1[[#This Row],[HIPOTESIS_2]],listas!$D$1:$E$105,2,FALSE))),"")</f>
        <v/>
      </c>
      <c r="AR947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948" spans="1:44" x14ac:dyDescent="0.25">
      <c r="A948" s="12">
        <v>111</v>
      </c>
      <c r="B948" s="38">
        <v>1</v>
      </c>
      <c r="C948" s="29">
        <v>0</v>
      </c>
      <c r="D948" s="7">
        <v>0</v>
      </c>
      <c r="E948" s="18" t="str">
        <f t="shared" si="56"/>
        <v>SOLO DAÑO</v>
      </c>
      <c r="F948" s="7" t="s">
        <v>398</v>
      </c>
      <c r="G948" s="17">
        <v>5.3171833333333334</v>
      </c>
      <c r="H948" s="17">
        <v>-72.400455555555567</v>
      </c>
      <c r="I948" s="93" t="s">
        <v>697</v>
      </c>
      <c r="J948" s="7" t="s">
        <v>717</v>
      </c>
      <c r="K948" s="24" t="str">
        <f t="shared" si="57"/>
        <v>2022</v>
      </c>
      <c r="L948" s="24" t="str">
        <f t="shared" si="58"/>
        <v>ABRIL</v>
      </c>
      <c r="M948" s="232">
        <v>44653</v>
      </c>
      <c r="N948" s="24" t="str">
        <f t="shared" si="59"/>
        <v>SÁBADO</v>
      </c>
      <c r="O948" s="109">
        <v>0.52777777777777801</v>
      </c>
      <c r="P948" s="8" t="s">
        <v>447</v>
      </c>
      <c r="Q948" s="8" t="s">
        <v>445</v>
      </c>
      <c r="R948" s="36">
        <f>COUNTIF(Tabla1[[#This Row],[VEHICULOS_ACCIDENTADOS]:[VEHICULOS_ACCIDENTADOS2]],"MOTOCICLETA")</f>
        <v>0</v>
      </c>
      <c r="S948" s="36">
        <f>COUNTIF(Tabla1[[#This Row],[VEHICULOS_ACCIDENTADOS]:[VEHICULOS_ACCIDENTADOS2]],"MOTOCARRO")</f>
        <v>0</v>
      </c>
      <c r="T948" s="36">
        <f>COUNTIF(Tabla1[[#This Row],[VEHICULOS_ACCIDENTADOS]:[VEHICULOS_ACCIDENTADOS2]],"AUTOMOVIL")</f>
        <v>1</v>
      </c>
      <c r="U948" s="36">
        <f>COUNTIF(Tabla1[[#This Row],[VEHICULOS_ACCIDENTADOS]:[VEHICULOS_ACCIDENTADOS2]],"CAMPERO")</f>
        <v>0</v>
      </c>
      <c r="V948" s="36">
        <f>COUNTIF(Tabla1[[#This Row],[VEHICULOS_ACCIDENTADOS]:[VEHICULOS_ACCIDENTADOS2]],"CAMIONETA")</f>
        <v>1</v>
      </c>
      <c r="W948" s="36">
        <f>COUNTIF(Tabla1[[#This Row],[VEHICULOS_ACCIDENTADOS]:[VEHICULOS_ACCIDENTADOS2]],"MICROBUS")</f>
        <v>0</v>
      </c>
      <c r="X948" s="36">
        <f>COUNTIF(Tabla1[[#This Row],[VEHICULOS_ACCIDENTADOS]:[VEHICULOS_ACCIDENTADOS2]],"BUS")</f>
        <v>0</v>
      </c>
      <c r="Y948" s="36">
        <f>COUNTIF(Tabla1[[#This Row],[VEHICULOS_ACCIDENTADOS]:[VEHICULOS_ACCIDENTADOS2]],"BUSETA")</f>
        <v>0</v>
      </c>
      <c r="Z948" s="36">
        <f>COUNTIF(Tabla1[[#This Row],[VEHICULOS_ACCIDENTADOS]:[VEHICULOS_ACCIDENTADOS2]],"CAMION")</f>
        <v>0</v>
      </c>
      <c r="AA948" s="36">
        <f>COUNTIF(Tabla1[[#This Row],[VEHICULOS_ACCIDENTADOS]:[VEHICULOS_ACCIDENTADOS2]],"TRACTOCAMION")</f>
        <v>0</v>
      </c>
      <c r="AB948" s="36">
        <f>COUNTIF(Tabla1[[#This Row],[VEHICULOS_ACCIDENTADOS]:[VEHICULOS_ACCIDENTADOS2]],"VOLQUETA")</f>
        <v>0</v>
      </c>
      <c r="AC948" s="36">
        <f>COUNTIF(Tabla1[[#This Row],[VEHICULOS_ACCIDENTADOS]:[VEHICULOS_ACCIDENTADOS2]],"BICICLETA")</f>
        <v>0</v>
      </c>
      <c r="AD948" s="7" t="s">
        <v>471</v>
      </c>
      <c r="AE948" s="7" t="s">
        <v>472</v>
      </c>
      <c r="AF948" s="7">
        <f>COUNTIF(Tabla1[[#This Row],[GENERO_MASCULINO]:[GENERO_FEMENINO]],"MASCULINO")</f>
        <v>1</v>
      </c>
      <c r="AG948" s="36">
        <f>COUNTIF(Tabla1[[#This Row],[GENERO_MASCULINO]:[GENERO_FEMENINO]],"FEMENINO")</f>
        <v>1</v>
      </c>
      <c r="AH948" s="193"/>
      <c r="AI948" s="193"/>
      <c r="AJ948" s="89"/>
      <c r="AK948" s="193"/>
      <c r="AL948" s="193"/>
      <c r="AM948" s="32"/>
      <c r="AN948" s="193">
        <v>112</v>
      </c>
      <c r="AO948" s="36" t="str">
        <f>IFERROR(((VLOOKUP(Tabla1[[#This Row],[HIPOTESIS_1]],listas!$D$1:$E$105,2,FALSE))),"SIN INFORMACIÓN")</f>
        <v>Desobedecer señales o normas de tránsito.</v>
      </c>
      <c r="AP948" s="32"/>
      <c r="AQ948" s="36" t="str">
        <f>IFERROR(((VLOOKUP(Tabla1[[#This Row],[HIPOTESIS_2]],listas!$D$1:$E$105,2,FALSE))),"")</f>
        <v/>
      </c>
      <c r="AR948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949" spans="1:44" x14ac:dyDescent="0.25">
      <c r="A949" s="12">
        <v>37</v>
      </c>
      <c r="B949" s="38">
        <v>0</v>
      </c>
      <c r="C949" s="29">
        <v>0</v>
      </c>
      <c r="D949" s="7">
        <v>1</v>
      </c>
      <c r="E949" s="18" t="str">
        <f t="shared" si="56"/>
        <v>FALLECIDO</v>
      </c>
      <c r="F949" s="7" t="s">
        <v>428</v>
      </c>
      <c r="G949" s="17">
        <v>5.2961200000000002</v>
      </c>
      <c r="H949" s="21">
        <v>-72.398351000000005</v>
      </c>
      <c r="I949" s="93" t="s">
        <v>697</v>
      </c>
      <c r="J949" s="7" t="s">
        <v>717</v>
      </c>
      <c r="K949" s="24" t="str">
        <f t="shared" si="57"/>
        <v>2022</v>
      </c>
      <c r="L949" s="24" t="str">
        <f t="shared" si="58"/>
        <v>FEBRERO</v>
      </c>
      <c r="M949" s="232">
        <v>44593</v>
      </c>
      <c r="N949" s="24" t="str">
        <f t="shared" si="59"/>
        <v>MARTES</v>
      </c>
      <c r="O949" s="109">
        <v>0.9291666666666667</v>
      </c>
      <c r="P949" s="8" t="s">
        <v>469</v>
      </c>
      <c r="Q949" s="8"/>
      <c r="R949" s="36">
        <f>COUNTIF(Tabla1[[#This Row],[VEHICULOS_ACCIDENTADOS]:[VEHICULOS_ACCIDENTADOS2]],"MOTOCICLETA")</f>
        <v>1</v>
      </c>
      <c r="S949" s="36">
        <f>COUNTIF(Tabla1[[#This Row],[VEHICULOS_ACCIDENTADOS]:[VEHICULOS_ACCIDENTADOS2]],"MOTOCARRO")</f>
        <v>0</v>
      </c>
      <c r="T949" s="36">
        <f>COUNTIF(Tabla1[[#This Row],[VEHICULOS_ACCIDENTADOS]:[VEHICULOS_ACCIDENTADOS2]],"AUTOMOVIL")</f>
        <v>0</v>
      </c>
      <c r="U949" s="36">
        <f>COUNTIF(Tabla1[[#This Row],[VEHICULOS_ACCIDENTADOS]:[VEHICULOS_ACCIDENTADOS2]],"CAMPERO")</f>
        <v>0</v>
      </c>
      <c r="V949" s="36">
        <f>COUNTIF(Tabla1[[#This Row],[VEHICULOS_ACCIDENTADOS]:[VEHICULOS_ACCIDENTADOS2]],"CAMIONETA")</f>
        <v>0</v>
      </c>
      <c r="W949" s="36">
        <f>COUNTIF(Tabla1[[#This Row],[VEHICULOS_ACCIDENTADOS]:[VEHICULOS_ACCIDENTADOS2]],"MICROBUS")</f>
        <v>0</v>
      </c>
      <c r="X949" s="36">
        <f>COUNTIF(Tabla1[[#This Row],[VEHICULOS_ACCIDENTADOS]:[VEHICULOS_ACCIDENTADOS2]],"BUS")</f>
        <v>0</v>
      </c>
      <c r="Y949" s="36">
        <f>COUNTIF(Tabla1[[#This Row],[VEHICULOS_ACCIDENTADOS]:[VEHICULOS_ACCIDENTADOS2]],"BUSETA")</f>
        <v>0</v>
      </c>
      <c r="Z949" s="36">
        <f>COUNTIF(Tabla1[[#This Row],[VEHICULOS_ACCIDENTADOS]:[VEHICULOS_ACCIDENTADOS2]],"CAMION")</f>
        <v>0</v>
      </c>
      <c r="AA949" s="36">
        <f>COUNTIF(Tabla1[[#This Row],[VEHICULOS_ACCIDENTADOS]:[VEHICULOS_ACCIDENTADOS2]],"TRACTOCAMION")</f>
        <v>0</v>
      </c>
      <c r="AB949" s="36">
        <f>COUNTIF(Tabla1[[#This Row],[VEHICULOS_ACCIDENTADOS]:[VEHICULOS_ACCIDENTADOS2]],"VOLQUETA")</f>
        <v>0</v>
      </c>
      <c r="AC949" s="36">
        <f>COUNTIF(Tabla1[[#This Row],[VEHICULOS_ACCIDENTADOS]:[VEHICULOS_ACCIDENTADOS2]],"BICICLETA")</f>
        <v>0</v>
      </c>
      <c r="AD949" s="7" t="s">
        <v>471</v>
      </c>
      <c r="AE949" s="7"/>
      <c r="AF949" s="7">
        <f>COUNTIF(Tabla1[[#This Row],[GENERO_MASCULINO]:[GENERO_FEMENINO]],"MASCULINO")</f>
        <v>1</v>
      </c>
      <c r="AG949" s="36">
        <f>COUNTIF(Tabla1[[#This Row],[GENERO_MASCULINO]:[GENERO_FEMENINO]],"FEMENINO")</f>
        <v>0</v>
      </c>
      <c r="AH949" s="73"/>
      <c r="AI949" s="73"/>
      <c r="AJ949" s="87"/>
      <c r="AK949" s="73"/>
      <c r="AL949" s="73"/>
      <c r="AM949" s="7">
        <v>31</v>
      </c>
      <c r="AN949" s="73">
        <v>116</v>
      </c>
      <c r="AO949" s="36" t="str">
        <f>IFERROR(((VLOOKUP(Tabla1[[#This Row],[HIPOTESIS_1]],listas!$D$1:$E$105,2,FALSE))),"SIN INFORMACIÓN")</f>
        <v>Exceso de velocidad</v>
      </c>
      <c r="AP949" s="7"/>
      <c r="AQ949" s="36" t="str">
        <f>IFERROR(((VLOOKUP(Tabla1[[#This Row],[HIPOTESIS_2]],listas!$D$1:$E$105,2,FALSE))),"")</f>
        <v/>
      </c>
      <c r="AR949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950" spans="1:44" x14ac:dyDescent="0.25">
      <c r="A950" s="12">
        <v>1004</v>
      </c>
      <c r="B950" s="47">
        <v>0</v>
      </c>
      <c r="C950" s="26">
        <v>1</v>
      </c>
      <c r="D950" s="24">
        <v>0</v>
      </c>
      <c r="E950" s="18" t="str">
        <f t="shared" si="56"/>
        <v>LESIONADO</v>
      </c>
      <c r="F950" s="15" t="s">
        <v>2</v>
      </c>
      <c r="G950" s="30">
        <v>5.3109630000000001</v>
      </c>
      <c r="H950" s="30">
        <v>-72.399827999999999</v>
      </c>
      <c r="I950" s="93" t="s">
        <v>697</v>
      </c>
      <c r="J950" s="7" t="s">
        <v>717</v>
      </c>
      <c r="K950" s="24" t="str">
        <f t="shared" si="57"/>
        <v>2025</v>
      </c>
      <c r="L950" s="24" t="str">
        <f t="shared" si="58"/>
        <v>JUNIO</v>
      </c>
      <c r="M950" s="234">
        <v>45833</v>
      </c>
      <c r="N950" s="24" t="str">
        <f t="shared" si="59"/>
        <v>MIÉRCOLES</v>
      </c>
      <c r="O950" s="109">
        <v>0.64583333333333337</v>
      </c>
      <c r="P950" s="8" t="s">
        <v>469</v>
      </c>
      <c r="Q950" s="8"/>
      <c r="R950" s="36">
        <f>COUNTIF(Tabla1[[#This Row],[VEHICULOS_ACCIDENTADOS]:[VEHICULOS_ACCIDENTADOS2]],"MOTOCICLETA")</f>
        <v>1</v>
      </c>
      <c r="S950" s="36">
        <f>COUNTIF(Tabla1[[#This Row],[VEHICULOS_ACCIDENTADOS]:[VEHICULOS_ACCIDENTADOS2]],"MOTOCARRO")</f>
        <v>0</v>
      </c>
      <c r="T950" s="36">
        <f>COUNTIF(Tabla1[[#This Row],[VEHICULOS_ACCIDENTADOS]:[VEHICULOS_ACCIDENTADOS2]],"AUTOMOVIL")</f>
        <v>0</v>
      </c>
      <c r="U950" s="36">
        <f>COUNTIF(Tabla1[[#This Row],[VEHICULOS_ACCIDENTADOS]:[VEHICULOS_ACCIDENTADOS2]],"CAMPERO")</f>
        <v>0</v>
      </c>
      <c r="V950" s="36">
        <f>COUNTIF(Tabla1[[#This Row],[VEHICULOS_ACCIDENTADOS]:[VEHICULOS_ACCIDENTADOS2]],"CAMIONETA")</f>
        <v>0</v>
      </c>
      <c r="W950" s="36">
        <f>COUNTIF(Tabla1[[#This Row],[VEHICULOS_ACCIDENTADOS]:[VEHICULOS_ACCIDENTADOS2]],"MICROBUS")</f>
        <v>0</v>
      </c>
      <c r="X950" s="36">
        <f>COUNTIF(Tabla1[[#This Row],[VEHICULOS_ACCIDENTADOS]:[VEHICULOS_ACCIDENTADOS2]],"BUS")</f>
        <v>0</v>
      </c>
      <c r="Y950" s="36">
        <f>COUNTIF(Tabla1[[#This Row],[VEHICULOS_ACCIDENTADOS]:[VEHICULOS_ACCIDENTADOS2]],"BUSETA")</f>
        <v>0</v>
      </c>
      <c r="Z950" s="36">
        <f>COUNTIF(Tabla1[[#This Row],[VEHICULOS_ACCIDENTADOS]:[VEHICULOS_ACCIDENTADOS2]],"CAMION")</f>
        <v>0</v>
      </c>
      <c r="AA950" s="36">
        <f>COUNTIF(Tabla1[[#This Row],[VEHICULOS_ACCIDENTADOS]:[VEHICULOS_ACCIDENTADOS2]],"TRACTOCAMION")</f>
        <v>0</v>
      </c>
      <c r="AB950" s="36">
        <f>COUNTIF(Tabla1[[#This Row],[VEHICULOS_ACCIDENTADOS]:[VEHICULOS_ACCIDENTADOS2]],"VOLQUETA")</f>
        <v>0</v>
      </c>
      <c r="AC950" s="36">
        <f>COUNTIF(Tabla1[[#This Row],[VEHICULOS_ACCIDENTADOS]:[VEHICULOS_ACCIDENTADOS2]],"BICICLETA")</f>
        <v>0</v>
      </c>
      <c r="AD950" s="7" t="s">
        <v>472</v>
      </c>
      <c r="AE950" s="7"/>
      <c r="AF950" s="7">
        <f>COUNTIF(Tabla1[[#This Row],[GENERO_MASCULINO]:[GENERO_FEMENINO]],"MASCULINO")</f>
        <v>0</v>
      </c>
      <c r="AG950" s="36">
        <f>COUNTIF(Tabla1[[#This Row],[GENERO_MASCULINO]:[GENERO_FEMENINO]],"FEMENINO")</f>
        <v>1</v>
      </c>
      <c r="AH950" s="86">
        <v>32</v>
      </c>
      <c r="AI950" s="86"/>
      <c r="AJ950" s="86"/>
      <c r="AK950" s="87"/>
      <c r="AL950" s="87"/>
      <c r="AM950" s="6"/>
      <c r="AN950" s="73">
        <v>139</v>
      </c>
      <c r="AO950" s="36" t="str">
        <f>IFERROR(((VLOOKUP(Tabla1[[#This Row],[HIPOTESIS_1]],listas!$D$1:$E$105,2,FALSE))),"SIN INFORMACIÓN")</f>
        <v>Impericia en el manejo.</v>
      </c>
      <c r="AP950" s="7"/>
      <c r="AQ950" s="36" t="str">
        <f>IFERROR(((VLOOKUP(Tabla1[[#This Row],[HIPOTESIS_2]],listas!$D$1:$E$105,2,FALSE))),"")</f>
        <v/>
      </c>
      <c r="AR950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951" spans="1:44" x14ac:dyDescent="0.25">
      <c r="A951" s="12">
        <v>417</v>
      </c>
      <c r="B951" s="140">
        <v>0</v>
      </c>
      <c r="C951" s="210">
        <v>1</v>
      </c>
      <c r="D951" s="32">
        <v>0</v>
      </c>
      <c r="E951" s="18" t="str">
        <f t="shared" si="56"/>
        <v>LESIONADO</v>
      </c>
      <c r="F951" s="7" t="s">
        <v>279</v>
      </c>
      <c r="G951" s="21">
        <v>5.3038863888888885</v>
      </c>
      <c r="H951" s="21">
        <v>-72.416143055555565</v>
      </c>
      <c r="I951" s="93" t="s">
        <v>697</v>
      </c>
      <c r="J951" s="7" t="s">
        <v>717</v>
      </c>
      <c r="K951" s="24" t="str">
        <f t="shared" si="57"/>
        <v>2023</v>
      </c>
      <c r="L951" s="24" t="str">
        <f t="shared" si="58"/>
        <v>FEBRERO</v>
      </c>
      <c r="M951" s="232">
        <v>44981</v>
      </c>
      <c r="N951" s="24" t="str">
        <f t="shared" si="59"/>
        <v>VIERNES</v>
      </c>
      <c r="O951" s="110">
        <v>0.3263888888888889</v>
      </c>
      <c r="P951" s="215" t="s">
        <v>469</v>
      </c>
      <c r="Q951" s="215" t="s">
        <v>447</v>
      </c>
      <c r="R951" s="36">
        <f>COUNTIF(Tabla1[[#This Row],[VEHICULOS_ACCIDENTADOS]:[VEHICULOS_ACCIDENTADOS2]],"MOTOCICLETA")</f>
        <v>1</v>
      </c>
      <c r="S951" s="36">
        <f>COUNTIF(Tabla1[[#This Row],[VEHICULOS_ACCIDENTADOS]:[VEHICULOS_ACCIDENTADOS2]],"MOTOCARRO")</f>
        <v>0</v>
      </c>
      <c r="T951" s="36">
        <f>COUNTIF(Tabla1[[#This Row],[VEHICULOS_ACCIDENTADOS]:[VEHICULOS_ACCIDENTADOS2]],"AUTOMOVIL")</f>
        <v>1</v>
      </c>
      <c r="U951" s="36">
        <f>COUNTIF(Tabla1[[#This Row],[VEHICULOS_ACCIDENTADOS]:[VEHICULOS_ACCIDENTADOS2]],"CAMPERO")</f>
        <v>0</v>
      </c>
      <c r="V951" s="36">
        <f>COUNTIF(Tabla1[[#This Row],[VEHICULOS_ACCIDENTADOS]:[VEHICULOS_ACCIDENTADOS2]],"CAMIONETA")</f>
        <v>0</v>
      </c>
      <c r="W951" s="36">
        <f>COUNTIF(Tabla1[[#This Row],[VEHICULOS_ACCIDENTADOS]:[VEHICULOS_ACCIDENTADOS2]],"MICROBUS")</f>
        <v>0</v>
      </c>
      <c r="X951" s="36">
        <f>COUNTIF(Tabla1[[#This Row],[VEHICULOS_ACCIDENTADOS]:[VEHICULOS_ACCIDENTADOS2]],"BUS")</f>
        <v>0</v>
      </c>
      <c r="Y951" s="36">
        <f>COUNTIF(Tabla1[[#This Row],[VEHICULOS_ACCIDENTADOS]:[VEHICULOS_ACCIDENTADOS2]],"BUSETA")</f>
        <v>0</v>
      </c>
      <c r="Z951" s="36">
        <f>COUNTIF(Tabla1[[#This Row],[VEHICULOS_ACCIDENTADOS]:[VEHICULOS_ACCIDENTADOS2]],"CAMION")</f>
        <v>0</v>
      </c>
      <c r="AA951" s="36">
        <f>COUNTIF(Tabla1[[#This Row],[VEHICULOS_ACCIDENTADOS]:[VEHICULOS_ACCIDENTADOS2]],"TRACTOCAMION")</f>
        <v>0</v>
      </c>
      <c r="AB951" s="36">
        <f>COUNTIF(Tabla1[[#This Row],[VEHICULOS_ACCIDENTADOS]:[VEHICULOS_ACCIDENTADOS2]],"VOLQUETA")</f>
        <v>0</v>
      </c>
      <c r="AC951" s="36">
        <f>COUNTIF(Tabla1[[#This Row],[VEHICULOS_ACCIDENTADOS]:[VEHICULOS_ACCIDENTADOS2]],"BICICLETA")</f>
        <v>0</v>
      </c>
      <c r="AD951" s="7" t="s">
        <v>471</v>
      </c>
      <c r="AE951" s="7"/>
      <c r="AF951" s="7">
        <f>COUNTIF(Tabla1[[#This Row],[GENERO_MASCULINO]:[GENERO_FEMENINO]],"MASCULINO")</f>
        <v>1</v>
      </c>
      <c r="AG951" s="36">
        <f>COUNTIF(Tabla1[[#This Row],[GENERO_MASCULINO]:[GENERO_FEMENINO]],"FEMENINO")</f>
        <v>0</v>
      </c>
      <c r="AH951" s="193">
        <v>26</v>
      </c>
      <c r="AI951" s="193"/>
      <c r="AJ951" s="193"/>
      <c r="AK951" s="193"/>
      <c r="AL951" s="193"/>
      <c r="AM951" s="32"/>
      <c r="AN951" s="193">
        <v>104</v>
      </c>
      <c r="AO951" s="36" t="str">
        <f>IFERROR(((VLOOKUP(Tabla1[[#This Row],[HIPOTESIS_1]],listas!$D$1:$E$105,2,FALSE))),"SIN INFORMACIÓN")</f>
        <v>Adelantar invadiendo carril de sentido contrario.</v>
      </c>
      <c r="AP951" s="32"/>
      <c r="AQ951" s="36" t="str">
        <f>IFERROR(((VLOOKUP(Tabla1[[#This Row],[HIPOTESIS_2]],listas!$D$1:$E$105,2,FALSE))),"")</f>
        <v/>
      </c>
      <c r="AR951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952" spans="1:44" x14ac:dyDescent="0.25">
      <c r="A952" s="12">
        <v>194</v>
      </c>
      <c r="B952" s="38">
        <v>1</v>
      </c>
      <c r="C952" s="29">
        <v>0</v>
      </c>
      <c r="D952" s="7">
        <v>0</v>
      </c>
      <c r="E952" s="18" t="str">
        <f t="shared" si="56"/>
        <v>SOLO DAÑO</v>
      </c>
      <c r="F952" s="7" t="s">
        <v>1009</v>
      </c>
      <c r="G952" s="17">
        <v>5.3338555555555551</v>
      </c>
      <c r="H952" s="17">
        <v>-72.402822222222227</v>
      </c>
      <c r="I952" s="93" t="s">
        <v>697</v>
      </c>
      <c r="J952" s="7" t="s">
        <v>717</v>
      </c>
      <c r="K952" s="24" t="str">
        <f t="shared" si="57"/>
        <v>2022</v>
      </c>
      <c r="L952" s="24" t="str">
        <f t="shared" si="58"/>
        <v>MAYO</v>
      </c>
      <c r="M952" s="232">
        <v>44707</v>
      </c>
      <c r="N952" s="24" t="str">
        <f t="shared" si="59"/>
        <v>JUEVES</v>
      </c>
      <c r="O952" s="109">
        <v>0.75694444444444442</v>
      </c>
      <c r="P952" s="8" t="s">
        <v>469</v>
      </c>
      <c r="Q952" s="8" t="s">
        <v>446</v>
      </c>
      <c r="R952" s="36">
        <f>COUNTIF(Tabla1[[#This Row],[VEHICULOS_ACCIDENTADOS]:[VEHICULOS_ACCIDENTADOS2]],"MOTOCICLETA")</f>
        <v>1</v>
      </c>
      <c r="S952" s="36">
        <f>COUNTIF(Tabla1[[#This Row],[VEHICULOS_ACCIDENTADOS]:[VEHICULOS_ACCIDENTADOS2]],"MOTOCARRO")</f>
        <v>0</v>
      </c>
      <c r="T952" s="36">
        <f>COUNTIF(Tabla1[[#This Row],[VEHICULOS_ACCIDENTADOS]:[VEHICULOS_ACCIDENTADOS2]],"AUTOMOVIL")</f>
        <v>0</v>
      </c>
      <c r="U952" s="36">
        <f>COUNTIF(Tabla1[[#This Row],[VEHICULOS_ACCIDENTADOS]:[VEHICULOS_ACCIDENTADOS2]],"CAMPERO")</f>
        <v>1</v>
      </c>
      <c r="V952" s="36">
        <f>COUNTIF(Tabla1[[#This Row],[VEHICULOS_ACCIDENTADOS]:[VEHICULOS_ACCIDENTADOS2]],"CAMIONETA")</f>
        <v>0</v>
      </c>
      <c r="W952" s="36">
        <f>COUNTIF(Tabla1[[#This Row],[VEHICULOS_ACCIDENTADOS]:[VEHICULOS_ACCIDENTADOS2]],"MICROBUS")</f>
        <v>0</v>
      </c>
      <c r="X952" s="36">
        <f>COUNTIF(Tabla1[[#This Row],[VEHICULOS_ACCIDENTADOS]:[VEHICULOS_ACCIDENTADOS2]],"BUS")</f>
        <v>0</v>
      </c>
      <c r="Y952" s="36">
        <f>COUNTIF(Tabla1[[#This Row],[VEHICULOS_ACCIDENTADOS]:[VEHICULOS_ACCIDENTADOS2]],"BUSETA")</f>
        <v>0</v>
      </c>
      <c r="Z952" s="36">
        <f>COUNTIF(Tabla1[[#This Row],[VEHICULOS_ACCIDENTADOS]:[VEHICULOS_ACCIDENTADOS2]],"CAMION")</f>
        <v>0</v>
      </c>
      <c r="AA952" s="36">
        <f>COUNTIF(Tabla1[[#This Row],[VEHICULOS_ACCIDENTADOS]:[VEHICULOS_ACCIDENTADOS2]],"TRACTOCAMION")</f>
        <v>0</v>
      </c>
      <c r="AB952" s="36">
        <f>COUNTIF(Tabla1[[#This Row],[VEHICULOS_ACCIDENTADOS]:[VEHICULOS_ACCIDENTADOS2]],"VOLQUETA")</f>
        <v>0</v>
      </c>
      <c r="AC952" s="36">
        <f>COUNTIF(Tabla1[[#This Row],[VEHICULOS_ACCIDENTADOS]:[VEHICULOS_ACCIDENTADOS2]],"BICICLETA")</f>
        <v>0</v>
      </c>
      <c r="AD952" s="7"/>
      <c r="AE952" s="7" t="s">
        <v>472</v>
      </c>
      <c r="AF952" s="7">
        <f>COUNTIF(Tabla1[[#This Row],[GENERO_MASCULINO]:[GENERO_FEMENINO]],"MASCULINO")</f>
        <v>0</v>
      </c>
      <c r="AG952" s="36">
        <f>COUNTIF(Tabla1[[#This Row],[GENERO_MASCULINO]:[GENERO_FEMENINO]],"FEMENINO")</f>
        <v>1</v>
      </c>
      <c r="AH952" s="75"/>
      <c r="AI952" s="75"/>
      <c r="AJ952" s="75"/>
      <c r="AK952" s="75"/>
      <c r="AL952" s="75"/>
      <c r="AM952" s="9"/>
      <c r="AN952" s="75">
        <v>122</v>
      </c>
      <c r="AO952" s="36" t="str">
        <f>IFERROR(((VLOOKUP(Tabla1[[#This Row],[HIPOTESIS_1]],listas!$D$1:$E$105,2,FALSE))),"SIN INFORMACIÓN")</f>
        <v>Girar bruscamente.</v>
      </c>
      <c r="AP952" s="9"/>
      <c r="AQ952" s="36" t="str">
        <f>IFERROR(((VLOOKUP(Tabla1[[#This Row],[HIPOTESIS_2]],listas!$D$1:$E$105,2,FALSE))),"")</f>
        <v/>
      </c>
      <c r="AR952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953" spans="1:44" x14ac:dyDescent="0.25">
      <c r="A953" s="12">
        <v>189</v>
      </c>
      <c r="B953" s="7">
        <v>1</v>
      </c>
      <c r="C953" s="29">
        <v>0</v>
      </c>
      <c r="D953" s="7">
        <v>0</v>
      </c>
      <c r="E953" s="18" t="str">
        <f t="shared" si="56"/>
        <v>SOLO DAÑO</v>
      </c>
      <c r="F953" s="50" t="s">
        <v>1010</v>
      </c>
      <c r="G953" s="17">
        <v>5.3279861111111106</v>
      </c>
      <c r="H953" s="163">
        <v>-72.398002777777791</v>
      </c>
      <c r="I953" s="93" t="s">
        <v>697</v>
      </c>
      <c r="J953" s="7" t="s">
        <v>717</v>
      </c>
      <c r="K953" s="24" t="str">
        <f t="shared" si="57"/>
        <v>2022</v>
      </c>
      <c r="L953" s="24" t="str">
        <f t="shared" si="58"/>
        <v>MAYO</v>
      </c>
      <c r="M953" s="232">
        <v>44702</v>
      </c>
      <c r="N953" s="24" t="str">
        <f t="shared" si="59"/>
        <v>SÁBADO</v>
      </c>
      <c r="O953" s="175">
        <v>0.84027777777777801</v>
      </c>
      <c r="P953" s="180" t="s">
        <v>447</v>
      </c>
      <c r="Q953" s="180" t="s">
        <v>447</v>
      </c>
      <c r="R953" s="36">
        <f>COUNTIF(Tabla1[[#This Row],[VEHICULOS_ACCIDENTADOS]:[VEHICULOS_ACCIDENTADOS2]],"MOTOCICLETA")</f>
        <v>0</v>
      </c>
      <c r="S953" s="36">
        <f>COUNTIF(Tabla1[[#This Row],[VEHICULOS_ACCIDENTADOS]:[VEHICULOS_ACCIDENTADOS2]],"MOTOCARRO")</f>
        <v>0</v>
      </c>
      <c r="T953" s="36">
        <f>COUNTIF(Tabla1[[#This Row],[VEHICULOS_ACCIDENTADOS]:[VEHICULOS_ACCIDENTADOS2]],"AUTOMOVIL")</f>
        <v>2</v>
      </c>
      <c r="U953" s="36">
        <f>COUNTIF(Tabla1[[#This Row],[VEHICULOS_ACCIDENTADOS]:[VEHICULOS_ACCIDENTADOS2]],"CAMPERO")</f>
        <v>0</v>
      </c>
      <c r="V953" s="36">
        <f>COUNTIF(Tabla1[[#This Row],[VEHICULOS_ACCIDENTADOS]:[VEHICULOS_ACCIDENTADOS2]],"CAMIONETA")</f>
        <v>0</v>
      </c>
      <c r="W953" s="36">
        <f>COUNTIF(Tabla1[[#This Row],[VEHICULOS_ACCIDENTADOS]:[VEHICULOS_ACCIDENTADOS2]],"MICROBUS")</f>
        <v>0</v>
      </c>
      <c r="X953" s="36">
        <f>COUNTIF(Tabla1[[#This Row],[VEHICULOS_ACCIDENTADOS]:[VEHICULOS_ACCIDENTADOS2]],"BUS")</f>
        <v>0</v>
      </c>
      <c r="Y953" s="36">
        <f>COUNTIF(Tabla1[[#This Row],[VEHICULOS_ACCIDENTADOS]:[VEHICULOS_ACCIDENTADOS2]],"BUSETA")</f>
        <v>0</v>
      </c>
      <c r="Z953" s="36">
        <f>COUNTIF(Tabla1[[#This Row],[VEHICULOS_ACCIDENTADOS]:[VEHICULOS_ACCIDENTADOS2]],"CAMION")</f>
        <v>0</v>
      </c>
      <c r="AA953" s="36">
        <f>COUNTIF(Tabla1[[#This Row],[VEHICULOS_ACCIDENTADOS]:[VEHICULOS_ACCIDENTADOS2]],"TRACTOCAMION")</f>
        <v>0</v>
      </c>
      <c r="AB953" s="36">
        <f>COUNTIF(Tabla1[[#This Row],[VEHICULOS_ACCIDENTADOS]:[VEHICULOS_ACCIDENTADOS2]],"VOLQUETA")</f>
        <v>0</v>
      </c>
      <c r="AC953" s="36">
        <f>COUNTIF(Tabla1[[#This Row],[VEHICULOS_ACCIDENTADOS]:[VEHICULOS_ACCIDENTADOS2]],"BICICLETA")</f>
        <v>0</v>
      </c>
      <c r="AD953" s="7"/>
      <c r="AE953" s="7" t="s">
        <v>472</v>
      </c>
      <c r="AF953" s="7">
        <f>COUNTIF(Tabla1[[#This Row],[GENERO_MASCULINO]:[GENERO_FEMENINO]],"MASCULINO")</f>
        <v>0</v>
      </c>
      <c r="AG953" s="36">
        <f>COUNTIF(Tabla1[[#This Row],[GENERO_MASCULINO]:[GENERO_FEMENINO]],"FEMENINO")</f>
        <v>1</v>
      </c>
      <c r="AH953" s="73"/>
      <c r="AI953" s="73"/>
      <c r="AJ953" s="73"/>
      <c r="AK953" s="73"/>
      <c r="AL953" s="73"/>
      <c r="AM953" s="7"/>
      <c r="AN953" s="73">
        <v>157</v>
      </c>
      <c r="AO953" s="36" t="str">
        <f>IFERROR(((VLOOKUP(Tabla1[[#This Row],[HIPOTESIS_1]],listas!$D$1:$E$105,2,FALSE))),"SIN INFORMACIÓN")</f>
        <v>Otra</v>
      </c>
      <c r="AP953" s="7"/>
      <c r="AQ953" s="36" t="str">
        <f>IFERROR(((VLOOKUP(Tabla1[[#This Row],[HIPOTESIS_2]],listas!$D$1:$E$105,2,FALSE))),"")</f>
        <v/>
      </c>
      <c r="AR953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954" spans="1:44" x14ac:dyDescent="0.25">
      <c r="A954" s="12">
        <v>125</v>
      </c>
      <c r="B954" s="7">
        <v>1</v>
      </c>
      <c r="C954" s="29">
        <v>0</v>
      </c>
      <c r="D954" s="7">
        <v>0</v>
      </c>
      <c r="E954" s="18" t="str">
        <f t="shared" si="56"/>
        <v>SOLO DAÑO</v>
      </c>
      <c r="F954" s="50" t="s">
        <v>1012</v>
      </c>
      <c r="G954" s="17">
        <v>5.3345722222222216</v>
      </c>
      <c r="H954" s="163">
        <v>-72.39521388888889</v>
      </c>
      <c r="I954" s="93" t="s">
        <v>697</v>
      </c>
      <c r="J954" s="7" t="s">
        <v>717</v>
      </c>
      <c r="K954" s="24" t="str">
        <f t="shared" si="57"/>
        <v>2022</v>
      </c>
      <c r="L954" s="24" t="str">
        <f t="shared" si="58"/>
        <v>ABRIL</v>
      </c>
      <c r="M954" s="232">
        <v>44658</v>
      </c>
      <c r="N954" s="24" t="str">
        <f t="shared" si="59"/>
        <v>JUEVES</v>
      </c>
      <c r="O954" s="109">
        <v>0.47222222222222199</v>
      </c>
      <c r="P954" s="8" t="s">
        <v>447</v>
      </c>
      <c r="Q954" s="8" t="s">
        <v>445</v>
      </c>
      <c r="R954" s="36">
        <f>COUNTIF(Tabla1[[#This Row],[VEHICULOS_ACCIDENTADOS]:[VEHICULOS_ACCIDENTADOS2]],"MOTOCICLETA")</f>
        <v>0</v>
      </c>
      <c r="S954" s="36">
        <f>COUNTIF(Tabla1[[#This Row],[VEHICULOS_ACCIDENTADOS]:[VEHICULOS_ACCIDENTADOS2]],"MOTOCARRO")</f>
        <v>0</v>
      </c>
      <c r="T954" s="36">
        <f>COUNTIF(Tabla1[[#This Row],[VEHICULOS_ACCIDENTADOS]:[VEHICULOS_ACCIDENTADOS2]],"AUTOMOVIL")</f>
        <v>1</v>
      </c>
      <c r="U954" s="36">
        <f>COUNTIF(Tabla1[[#This Row],[VEHICULOS_ACCIDENTADOS]:[VEHICULOS_ACCIDENTADOS2]],"CAMPERO")</f>
        <v>0</v>
      </c>
      <c r="V954" s="36">
        <f>COUNTIF(Tabla1[[#This Row],[VEHICULOS_ACCIDENTADOS]:[VEHICULOS_ACCIDENTADOS2]],"CAMIONETA")</f>
        <v>1</v>
      </c>
      <c r="W954" s="36">
        <f>COUNTIF(Tabla1[[#This Row],[VEHICULOS_ACCIDENTADOS]:[VEHICULOS_ACCIDENTADOS2]],"MICROBUS")</f>
        <v>0</v>
      </c>
      <c r="X954" s="36">
        <f>COUNTIF(Tabla1[[#This Row],[VEHICULOS_ACCIDENTADOS]:[VEHICULOS_ACCIDENTADOS2]],"BUS")</f>
        <v>0</v>
      </c>
      <c r="Y954" s="36">
        <f>COUNTIF(Tabla1[[#This Row],[VEHICULOS_ACCIDENTADOS]:[VEHICULOS_ACCIDENTADOS2]],"BUSETA")</f>
        <v>0</v>
      </c>
      <c r="Z954" s="36">
        <f>COUNTIF(Tabla1[[#This Row],[VEHICULOS_ACCIDENTADOS]:[VEHICULOS_ACCIDENTADOS2]],"CAMION")</f>
        <v>0</v>
      </c>
      <c r="AA954" s="36">
        <f>COUNTIF(Tabla1[[#This Row],[VEHICULOS_ACCIDENTADOS]:[VEHICULOS_ACCIDENTADOS2]],"TRACTOCAMION")</f>
        <v>0</v>
      </c>
      <c r="AB954" s="36">
        <f>COUNTIF(Tabla1[[#This Row],[VEHICULOS_ACCIDENTADOS]:[VEHICULOS_ACCIDENTADOS2]],"VOLQUETA")</f>
        <v>0</v>
      </c>
      <c r="AC954" s="36">
        <f>COUNTIF(Tabla1[[#This Row],[VEHICULOS_ACCIDENTADOS]:[VEHICULOS_ACCIDENTADOS2]],"BICICLETA")</f>
        <v>0</v>
      </c>
      <c r="AD954" s="7" t="s">
        <v>471</v>
      </c>
      <c r="AE954" s="7"/>
      <c r="AF954" s="7">
        <f>COUNTIF(Tabla1[[#This Row],[GENERO_MASCULINO]:[GENERO_FEMENINO]],"MASCULINO")</f>
        <v>1</v>
      </c>
      <c r="AG954" s="36">
        <f>COUNTIF(Tabla1[[#This Row],[GENERO_MASCULINO]:[GENERO_FEMENINO]],"FEMENINO")</f>
        <v>0</v>
      </c>
      <c r="AH954" s="193"/>
      <c r="AI954" s="193"/>
      <c r="AJ954" s="89"/>
      <c r="AK954" s="193"/>
      <c r="AL954" s="193"/>
      <c r="AM954" s="32"/>
      <c r="AN954" s="193">
        <v>112</v>
      </c>
      <c r="AO954" s="36" t="str">
        <f>IFERROR(((VLOOKUP(Tabla1[[#This Row],[HIPOTESIS_1]],listas!$D$1:$E$105,2,FALSE))),"SIN INFORMACIÓN")</f>
        <v>Desobedecer señales o normas de tránsito.</v>
      </c>
      <c r="AP954" s="32"/>
      <c r="AQ954" s="36" t="str">
        <f>IFERROR(((VLOOKUP(Tabla1[[#This Row],[HIPOTESIS_2]],listas!$D$1:$E$105,2,FALSE))),"")</f>
        <v/>
      </c>
      <c r="AR954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955" spans="1:44" x14ac:dyDescent="0.25">
      <c r="A955" s="12">
        <v>162</v>
      </c>
      <c r="B955" s="7">
        <v>0</v>
      </c>
      <c r="C955" s="29">
        <v>0</v>
      </c>
      <c r="D955" s="7">
        <v>1</v>
      </c>
      <c r="E955" s="18" t="str">
        <f t="shared" si="56"/>
        <v>FALLECIDO</v>
      </c>
      <c r="F955" s="50" t="s">
        <v>375</v>
      </c>
      <c r="G955" s="17">
        <v>5.3428111111111107</v>
      </c>
      <c r="H955" s="17">
        <v>-72.410127777777788</v>
      </c>
      <c r="I955" s="93" t="s">
        <v>697</v>
      </c>
      <c r="J955" s="7" t="s">
        <v>1</v>
      </c>
      <c r="K955" s="24" t="str">
        <f t="shared" si="57"/>
        <v>2022</v>
      </c>
      <c r="L955" s="24" t="str">
        <f t="shared" si="58"/>
        <v>MAYO</v>
      </c>
      <c r="M955" s="232">
        <v>44682</v>
      </c>
      <c r="N955" s="24" t="str">
        <f t="shared" si="59"/>
        <v>DOMINGO</v>
      </c>
      <c r="O955" s="109">
        <v>0.59722222222222221</v>
      </c>
      <c r="P955" s="8" t="s">
        <v>438</v>
      </c>
      <c r="Q955" s="8"/>
      <c r="R955" s="36">
        <f>COUNTIF(Tabla1[[#This Row],[VEHICULOS_ACCIDENTADOS]:[VEHICULOS_ACCIDENTADOS2]],"MOTOCICLETA")</f>
        <v>0</v>
      </c>
      <c r="S955" s="36">
        <f>COUNTIF(Tabla1[[#This Row],[VEHICULOS_ACCIDENTADOS]:[VEHICULOS_ACCIDENTADOS2]],"MOTOCARRO")</f>
        <v>0</v>
      </c>
      <c r="T955" s="36">
        <f>COUNTIF(Tabla1[[#This Row],[VEHICULOS_ACCIDENTADOS]:[VEHICULOS_ACCIDENTADOS2]],"AUTOMOVIL")</f>
        <v>0</v>
      </c>
      <c r="U955" s="36">
        <f>COUNTIF(Tabla1[[#This Row],[VEHICULOS_ACCIDENTADOS]:[VEHICULOS_ACCIDENTADOS2]],"CAMPERO")</f>
        <v>0</v>
      </c>
      <c r="V955" s="36">
        <f>COUNTIF(Tabla1[[#This Row],[VEHICULOS_ACCIDENTADOS]:[VEHICULOS_ACCIDENTADOS2]],"CAMIONETA")</f>
        <v>0</v>
      </c>
      <c r="W955" s="36">
        <f>COUNTIF(Tabla1[[#This Row],[VEHICULOS_ACCIDENTADOS]:[VEHICULOS_ACCIDENTADOS2]],"MICROBUS")</f>
        <v>0</v>
      </c>
      <c r="X955" s="36">
        <f>COUNTIF(Tabla1[[#This Row],[VEHICULOS_ACCIDENTADOS]:[VEHICULOS_ACCIDENTADOS2]],"BUS")</f>
        <v>0</v>
      </c>
      <c r="Y955" s="36">
        <f>COUNTIF(Tabla1[[#This Row],[VEHICULOS_ACCIDENTADOS]:[VEHICULOS_ACCIDENTADOS2]],"BUSETA")</f>
        <v>0</v>
      </c>
      <c r="Z955" s="36">
        <f>COUNTIF(Tabla1[[#This Row],[VEHICULOS_ACCIDENTADOS]:[VEHICULOS_ACCIDENTADOS2]],"CAMION")</f>
        <v>0</v>
      </c>
      <c r="AA955" s="36">
        <f>COUNTIF(Tabla1[[#This Row],[VEHICULOS_ACCIDENTADOS]:[VEHICULOS_ACCIDENTADOS2]],"TRACTOCAMION")</f>
        <v>0</v>
      </c>
      <c r="AB955" s="36">
        <f>COUNTIF(Tabla1[[#This Row],[VEHICULOS_ACCIDENTADOS]:[VEHICULOS_ACCIDENTADOS2]],"VOLQUETA")</f>
        <v>0</v>
      </c>
      <c r="AC955" s="36">
        <f>COUNTIF(Tabla1[[#This Row],[VEHICULOS_ACCIDENTADOS]:[VEHICULOS_ACCIDENTADOS2]],"BICICLETA")</f>
        <v>1</v>
      </c>
      <c r="AD955" s="7" t="s">
        <v>471</v>
      </c>
      <c r="AE955" s="7"/>
      <c r="AF955" s="7">
        <f>COUNTIF(Tabla1[[#This Row],[GENERO_MASCULINO]:[GENERO_FEMENINO]],"MASCULINO")</f>
        <v>1</v>
      </c>
      <c r="AG955" s="36">
        <f>COUNTIF(Tabla1[[#This Row],[GENERO_MASCULINO]:[GENERO_FEMENINO]],"FEMENINO")</f>
        <v>0</v>
      </c>
      <c r="AH955" s="73"/>
      <c r="AI955" s="73"/>
      <c r="AJ955" s="73"/>
      <c r="AK955" s="73"/>
      <c r="AL955" s="73"/>
      <c r="AM955" s="7">
        <v>15</v>
      </c>
      <c r="AN955" s="73">
        <v>1</v>
      </c>
      <c r="AO955" s="36" t="str">
        <f>IFERROR(((VLOOKUP(Tabla1[[#This Row],[HIPOTESIS_1]],listas!$D$1:$E$105,2,FALSE))),"SIN INFORMACIÓN")</f>
        <v>SIN INFORMACIÓN</v>
      </c>
      <c r="AP955" s="7"/>
      <c r="AQ955" s="36" t="str">
        <f>IFERROR(((VLOOKUP(Tabla1[[#This Row],[HIPOTESIS_2]],listas!$D$1:$E$105,2,FALSE))),"")</f>
        <v/>
      </c>
      <c r="AR955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956" spans="1:44" x14ac:dyDescent="0.25">
      <c r="A956" s="12">
        <v>191</v>
      </c>
      <c r="B956" s="7">
        <v>1</v>
      </c>
      <c r="C956" s="29">
        <v>0</v>
      </c>
      <c r="D956" s="7">
        <v>0</v>
      </c>
      <c r="E956" s="18" t="str">
        <f t="shared" si="56"/>
        <v>SOLO DAÑO</v>
      </c>
      <c r="F956" s="264" t="s">
        <v>1014</v>
      </c>
      <c r="G956" s="17">
        <v>5.3422938888888885</v>
      </c>
      <c r="H956" s="17">
        <v>-72.40247027777778</v>
      </c>
      <c r="I956" s="93" t="s">
        <v>697</v>
      </c>
      <c r="J956" s="7" t="s">
        <v>717</v>
      </c>
      <c r="K956" s="24" t="str">
        <f t="shared" si="57"/>
        <v>2022</v>
      </c>
      <c r="L956" s="24" t="str">
        <f t="shared" si="58"/>
        <v>MAYO</v>
      </c>
      <c r="M956" s="232">
        <v>44700</v>
      </c>
      <c r="N956" s="24" t="str">
        <f t="shared" si="59"/>
        <v>JUEVES</v>
      </c>
      <c r="O956" s="175">
        <v>0.44444444444444398</v>
      </c>
      <c r="P956" s="180" t="s">
        <v>447</v>
      </c>
      <c r="Q956" s="180" t="s">
        <v>445</v>
      </c>
      <c r="R956" s="36">
        <f>COUNTIF(Tabla1[[#This Row],[VEHICULOS_ACCIDENTADOS]:[VEHICULOS_ACCIDENTADOS2]],"MOTOCICLETA")</f>
        <v>0</v>
      </c>
      <c r="S956" s="36">
        <f>COUNTIF(Tabla1[[#This Row],[VEHICULOS_ACCIDENTADOS]:[VEHICULOS_ACCIDENTADOS2]],"MOTOCARRO")</f>
        <v>0</v>
      </c>
      <c r="T956" s="36">
        <f>COUNTIF(Tabla1[[#This Row],[VEHICULOS_ACCIDENTADOS]:[VEHICULOS_ACCIDENTADOS2]],"AUTOMOVIL")</f>
        <v>1</v>
      </c>
      <c r="U956" s="36">
        <f>COUNTIF(Tabla1[[#This Row],[VEHICULOS_ACCIDENTADOS]:[VEHICULOS_ACCIDENTADOS2]],"CAMPERO")</f>
        <v>0</v>
      </c>
      <c r="V956" s="36">
        <f>COUNTIF(Tabla1[[#This Row],[VEHICULOS_ACCIDENTADOS]:[VEHICULOS_ACCIDENTADOS2]],"CAMIONETA")</f>
        <v>1</v>
      </c>
      <c r="W956" s="36">
        <f>COUNTIF(Tabla1[[#This Row],[VEHICULOS_ACCIDENTADOS]:[VEHICULOS_ACCIDENTADOS2]],"MICROBUS")</f>
        <v>0</v>
      </c>
      <c r="X956" s="36">
        <f>COUNTIF(Tabla1[[#This Row],[VEHICULOS_ACCIDENTADOS]:[VEHICULOS_ACCIDENTADOS2]],"BUS")</f>
        <v>0</v>
      </c>
      <c r="Y956" s="36">
        <f>COUNTIF(Tabla1[[#This Row],[VEHICULOS_ACCIDENTADOS]:[VEHICULOS_ACCIDENTADOS2]],"BUSETA")</f>
        <v>0</v>
      </c>
      <c r="Z956" s="36">
        <f>COUNTIF(Tabla1[[#This Row],[VEHICULOS_ACCIDENTADOS]:[VEHICULOS_ACCIDENTADOS2]],"CAMION")</f>
        <v>0</v>
      </c>
      <c r="AA956" s="36">
        <f>COUNTIF(Tabla1[[#This Row],[VEHICULOS_ACCIDENTADOS]:[VEHICULOS_ACCIDENTADOS2]],"TRACTOCAMION")</f>
        <v>0</v>
      </c>
      <c r="AB956" s="36">
        <f>COUNTIF(Tabla1[[#This Row],[VEHICULOS_ACCIDENTADOS]:[VEHICULOS_ACCIDENTADOS2]],"VOLQUETA")</f>
        <v>0</v>
      </c>
      <c r="AC956" s="36">
        <f>COUNTIF(Tabla1[[#This Row],[VEHICULOS_ACCIDENTADOS]:[VEHICULOS_ACCIDENTADOS2]],"BICICLETA")</f>
        <v>0</v>
      </c>
      <c r="AD956" s="7" t="s">
        <v>471</v>
      </c>
      <c r="AE956" s="7"/>
      <c r="AF956" s="7">
        <f>COUNTIF(Tabla1[[#This Row],[GENERO_MASCULINO]:[GENERO_FEMENINO]],"MASCULINO")</f>
        <v>1</v>
      </c>
      <c r="AG956" s="36">
        <f>COUNTIF(Tabla1[[#This Row],[GENERO_MASCULINO]:[GENERO_FEMENINO]],"FEMENINO")</f>
        <v>0</v>
      </c>
      <c r="AH956" s="73"/>
      <c r="AI956" s="73"/>
      <c r="AJ956" s="73"/>
      <c r="AK956" s="73"/>
      <c r="AL956" s="73"/>
      <c r="AM956" s="7"/>
      <c r="AN956" s="73">
        <v>134</v>
      </c>
      <c r="AO956" s="36" t="str">
        <f>IFERROR(((VLOOKUP(Tabla1[[#This Row],[HIPOTESIS_1]],listas!$D$1:$E$105,2,FALSE))),"SIN INFORMACIÓN")</f>
        <v>Reverso imprudente.</v>
      </c>
      <c r="AP956" s="7"/>
      <c r="AQ956" s="36" t="str">
        <f>IFERROR(((VLOOKUP(Tabla1[[#This Row],[HIPOTESIS_2]],listas!$D$1:$E$105,2,FALSE))),"")</f>
        <v/>
      </c>
      <c r="AR956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957" spans="1:44" x14ac:dyDescent="0.25">
      <c r="A957" s="12">
        <v>160</v>
      </c>
      <c r="B957" s="7">
        <v>1</v>
      </c>
      <c r="C957" s="29">
        <v>0</v>
      </c>
      <c r="D957" s="7">
        <v>0</v>
      </c>
      <c r="E957" s="18" t="str">
        <f t="shared" si="56"/>
        <v>SOLO DAÑO</v>
      </c>
      <c r="F957" s="50" t="s">
        <v>376</v>
      </c>
      <c r="G957" s="17">
        <v>5.3194166666666662</v>
      </c>
      <c r="H957" s="163">
        <v>-72.392711111111112</v>
      </c>
      <c r="I957" s="93" t="s">
        <v>697</v>
      </c>
      <c r="J957" s="7" t="s">
        <v>717</v>
      </c>
      <c r="K957" s="24" t="str">
        <f t="shared" si="57"/>
        <v>2022</v>
      </c>
      <c r="L957" s="24" t="str">
        <f t="shared" si="58"/>
        <v>ABRIL</v>
      </c>
      <c r="M957" s="232">
        <v>44680</v>
      </c>
      <c r="N957" s="24" t="str">
        <f t="shared" si="59"/>
        <v>VIERNES</v>
      </c>
      <c r="O957" s="109">
        <v>0.30208333333333298</v>
      </c>
      <c r="P957" s="8" t="s">
        <v>447</v>
      </c>
      <c r="Q957" s="8" t="s">
        <v>445</v>
      </c>
      <c r="R957" s="36">
        <f>COUNTIF(Tabla1[[#This Row],[VEHICULOS_ACCIDENTADOS]:[VEHICULOS_ACCIDENTADOS2]],"MOTOCICLETA")</f>
        <v>0</v>
      </c>
      <c r="S957" s="36">
        <f>COUNTIF(Tabla1[[#This Row],[VEHICULOS_ACCIDENTADOS]:[VEHICULOS_ACCIDENTADOS2]],"MOTOCARRO")</f>
        <v>0</v>
      </c>
      <c r="T957" s="36">
        <f>COUNTIF(Tabla1[[#This Row],[VEHICULOS_ACCIDENTADOS]:[VEHICULOS_ACCIDENTADOS2]],"AUTOMOVIL")</f>
        <v>1</v>
      </c>
      <c r="U957" s="36">
        <f>COUNTIF(Tabla1[[#This Row],[VEHICULOS_ACCIDENTADOS]:[VEHICULOS_ACCIDENTADOS2]],"CAMPERO")</f>
        <v>0</v>
      </c>
      <c r="V957" s="36">
        <f>COUNTIF(Tabla1[[#This Row],[VEHICULOS_ACCIDENTADOS]:[VEHICULOS_ACCIDENTADOS2]],"CAMIONETA")</f>
        <v>1</v>
      </c>
      <c r="W957" s="36">
        <f>COUNTIF(Tabla1[[#This Row],[VEHICULOS_ACCIDENTADOS]:[VEHICULOS_ACCIDENTADOS2]],"MICROBUS")</f>
        <v>0</v>
      </c>
      <c r="X957" s="36">
        <f>COUNTIF(Tabla1[[#This Row],[VEHICULOS_ACCIDENTADOS]:[VEHICULOS_ACCIDENTADOS2]],"BUS")</f>
        <v>0</v>
      </c>
      <c r="Y957" s="36">
        <f>COUNTIF(Tabla1[[#This Row],[VEHICULOS_ACCIDENTADOS]:[VEHICULOS_ACCIDENTADOS2]],"BUSETA")</f>
        <v>0</v>
      </c>
      <c r="Z957" s="36">
        <f>COUNTIF(Tabla1[[#This Row],[VEHICULOS_ACCIDENTADOS]:[VEHICULOS_ACCIDENTADOS2]],"CAMION")</f>
        <v>0</v>
      </c>
      <c r="AA957" s="36">
        <f>COUNTIF(Tabla1[[#This Row],[VEHICULOS_ACCIDENTADOS]:[VEHICULOS_ACCIDENTADOS2]],"TRACTOCAMION")</f>
        <v>0</v>
      </c>
      <c r="AB957" s="36">
        <f>COUNTIF(Tabla1[[#This Row],[VEHICULOS_ACCIDENTADOS]:[VEHICULOS_ACCIDENTADOS2]],"VOLQUETA")</f>
        <v>0</v>
      </c>
      <c r="AC957" s="36">
        <f>COUNTIF(Tabla1[[#This Row],[VEHICULOS_ACCIDENTADOS]:[VEHICULOS_ACCIDENTADOS2]],"BICICLETA")</f>
        <v>0</v>
      </c>
      <c r="AD957" s="7"/>
      <c r="AE957" s="7" t="s">
        <v>472</v>
      </c>
      <c r="AF957" s="7">
        <f>COUNTIF(Tabla1[[#This Row],[GENERO_MASCULINO]:[GENERO_FEMENINO]],"MASCULINO")</f>
        <v>0</v>
      </c>
      <c r="AG957" s="36">
        <f>COUNTIF(Tabla1[[#This Row],[GENERO_MASCULINO]:[GENERO_FEMENINO]],"FEMENINO")</f>
        <v>1</v>
      </c>
      <c r="AH957" s="73"/>
      <c r="AI957" s="73"/>
      <c r="AJ957" s="73"/>
      <c r="AK957" s="87"/>
      <c r="AL957" s="73"/>
      <c r="AM957" s="7"/>
      <c r="AN957" s="73">
        <v>132</v>
      </c>
      <c r="AO957" s="36" t="str">
        <f>IFERROR(((VLOOKUP(Tabla1[[#This Row],[HIPOTESIS_1]],listas!$D$1:$E$105,2,FALSE))),"SIN INFORMACIÓN")</f>
        <v>No respetar prelación.</v>
      </c>
      <c r="AP957" s="7"/>
      <c r="AQ957" s="36" t="str">
        <f>IFERROR(((VLOOKUP(Tabla1[[#This Row],[HIPOTESIS_2]],listas!$D$1:$E$105,2,FALSE))),"")</f>
        <v/>
      </c>
      <c r="AR957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958" spans="1:44" x14ac:dyDescent="0.25">
      <c r="A958" s="12">
        <v>397</v>
      </c>
      <c r="B958" s="7">
        <v>0</v>
      </c>
      <c r="C958" s="7">
        <v>1</v>
      </c>
      <c r="D958" s="7">
        <v>0</v>
      </c>
      <c r="E958" s="18" t="str">
        <f t="shared" si="56"/>
        <v>LESIONADO</v>
      </c>
      <c r="F958" s="7" t="s">
        <v>288</v>
      </c>
      <c r="G958" s="21">
        <v>5.3269583333333328</v>
      </c>
      <c r="H958" s="162">
        <v>-72.381819444444432</v>
      </c>
      <c r="I958" s="93" t="s">
        <v>697</v>
      </c>
      <c r="J958" s="7" t="s">
        <v>717</v>
      </c>
      <c r="K958" s="24" t="str">
        <f t="shared" si="57"/>
        <v>2023</v>
      </c>
      <c r="L958" s="24" t="str">
        <f t="shared" si="58"/>
        <v>ENERO</v>
      </c>
      <c r="M958" s="232">
        <v>44953</v>
      </c>
      <c r="N958" s="24" t="str">
        <f t="shared" si="59"/>
        <v>VIERNES</v>
      </c>
      <c r="O958" s="109">
        <v>0.1875</v>
      </c>
      <c r="P958" s="39" t="s">
        <v>447</v>
      </c>
      <c r="Q958" s="39"/>
      <c r="R958" s="36">
        <f>COUNTIF(Tabla1[[#This Row],[VEHICULOS_ACCIDENTADOS]:[VEHICULOS_ACCIDENTADOS2]],"MOTOCICLETA")</f>
        <v>0</v>
      </c>
      <c r="S958" s="36">
        <f>COUNTIF(Tabla1[[#This Row],[VEHICULOS_ACCIDENTADOS]:[VEHICULOS_ACCIDENTADOS2]],"MOTOCARRO")</f>
        <v>0</v>
      </c>
      <c r="T958" s="36">
        <f>COUNTIF(Tabla1[[#This Row],[VEHICULOS_ACCIDENTADOS]:[VEHICULOS_ACCIDENTADOS2]],"AUTOMOVIL")</f>
        <v>1</v>
      </c>
      <c r="U958" s="36">
        <f>COUNTIF(Tabla1[[#This Row],[VEHICULOS_ACCIDENTADOS]:[VEHICULOS_ACCIDENTADOS2]],"CAMPERO")</f>
        <v>0</v>
      </c>
      <c r="V958" s="36">
        <f>COUNTIF(Tabla1[[#This Row],[VEHICULOS_ACCIDENTADOS]:[VEHICULOS_ACCIDENTADOS2]],"CAMIONETA")</f>
        <v>0</v>
      </c>
      <c r="W958" s="36">
        <f>COUNTIF(Tabla1[[#This Row],[VEHICULOS_ACCIDENTADOS]:[VEHICULOS_ACCIDENTADOS2]],"MICROBUS")</f>
        <v>0</v>
      </c>
      <c r="X958" s="36">
        <f>COUNTIF(Tabla1[[#This Row],[VEHICULOS_ACCIDENTADOS]:[VEHICULOS_ACCIDENTADOS2]],"BUS")</f>
        <v>0</v>
      </c>
      <c r="Y958" s="36">
        <f>COUNTIF(Tabla1[[#This Row],[VEHICULOS_ACCIDENTADOS]:[VEHICULOS_ACCIDENTADOS2]],"BUSETA")</f>
        <v>0</v>
      </c>
      <c r="Z958" s="36">
        <f>COUNTIF(Tabla1[[#This Row],[VEHICULOS_ACCIDENTADOS]:[VEHICULOS_ACCIDENTADOS2]],"CAMION")</f>
        <v>0</v>
      </c>
      <c r="AA958" s="36">
        <f>COUNTIF(Tabla1[[#This Row],[VEHICULOS_ACCIDENTADOS]:[VEHICULOS_ACCIDENTADOS2]],"TRACTOCAMION")</f>
        <v>0</v>
      </c>
      <c r="AB958" s="36">
        <f>COUNTIF(Tabla1[[#This Row],[VEHICULOS_ACCIDENTADOS]:[VEHICULOS_ACCIDENTADOS2]],"VOLQUETA")</f>
        <v>0</v>
      </c>
      <c r="AC958" s="36">
        <f>COUNTIF(Tabla1[[#This Row],[VEHICULOS_ACCIDENTADOS]:[VEHICULOS_ACCIDENTADOS2]],"BICICLETA")</f>
        <v>0</v>
      </c>
      <c r="AD958" s="7" t="s">
        <v>471</v>
      </c>
      <c r="AE958" s="7"/>
      <c r="AF958" s="7">
        <f>COUNTIF(Tabla1[[#This Row],[GENERO_MASCULINO]:[GENERO_FEMENINO]],"MASCULINO")</f>
        <v>1</v>
      </c>
      <c r="AG958" s="36">
        <f>COUNTIF(Tabla1[[#This Row],[GENERO_MASCULINO]:[GENERO_FEMENINO]],"FEMENINO")</f>
        <v>0</v>
      </c>
      <c r="AH958" s="73">
        <v>30</v>
      </c>
      <c r="AI958" s="73"/>
      <c r="AJ958" s="73"/>
      <c r="AK958" s="73"/>
      <c r="AL958" s="73"/>
      <c r="AM958" s="7"/>
      <c r="AN958" s="73">
        <v>157</v>
      </c>
      <c r="AO958" s="36" t="str">
        <f>IFERROR(((VLOOKUP(Tabla1[[#This Row],[HIPOTESIS_1]],listas!$D$1:$E$105,2,FALSE))),"SIN INFORMACIÓN")</f>
        <v>Otra</v>
      </c>
      <c r="AP958" s="7"/>
      <c r="AQ958" s="36" t="str">
        <f>IFERROR(((VLOOKUP(Tabla1[[#This Row],[HIPOTESIS_2]],listas!$D$1:$E$105,2,FALSE))),"")</f>
        <v/>
      </c>
      <c r="AR958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959" spans="1:44" x14ac:dyDescent="0.25">
      <c r="A959" s="12">
        <v>70</v>
      </c>
      <c r="B959" s="7">
        <v>0</v>
      </c>
      <c r="C959" s="7">
        <v>2</v>
      </c>
      <c r="D959" s="7">
        <v>0</v>
      </c>
      <c r="E959" s="18" t="str">
        <f t="shared" si="56"/>
        <v>LESIONADO</v>
      </c>
      <c r="F959" s="7" t="s">
        <v>416</v>
      </c>
      <c r="G959" s="17">
        <v>5.3259333333333334</v>
      </c>
      <c r="H959" s="17">
        <v>-72.402750000000012</v>
      </c>
      <c r="I959" s="93" t="s">
        <v>697</v>
      </c>
      <c r="J959" s="7" t="s">
        <v>717</v>
      </c>
      <c r="K959" s="24" t="str">
        <f t="shared" si="57"/>
        <v>2022</v>
      </c>
      <c r="L959" s="24" t="str">
        <f t="shared" si="58"/>
        <v>MARZO</v>
      </c>
      <c r="M959" s="232">
        <v>44623</v>
      </c>
      <c r="N959" s="24" t="str">
        <f t="shared" si="59"/>
        <v>JUEVES</v>
      </c>
      <c r="O959" s="109">
        <v>0.34861111111111098</v>
      </c>
      <c r="P959" s="8" t="s">
        <v>469</v>
      </c>
      <c r="Q959" s="8" t="s">
        <v>438</v>
      </c>
      <c r="R959" s="36">
        <f>COUNTIF(Tabla1[[#This Row],[VEHICULOS_ACCIDENTADOS]:[VEHICULOS_ACCIDENTADOS2]],"MOTOCICLETA")</f>
        <v>1</v>
      </c>
      <c r="S959" s="36">
        <f>COUNTIF(Tabla1[[#This Row],[VEHICULOS_ACCIDENTADOS]:[VEHICULOS_ACCIDENTADOS2]],"MOTOCARRO")</f>
        <v>0</v>
      </c>
      <c r="T959" s="36">
        <f>COUNTIF(Tabla1[[#This Row],[VEHICULOS_ACCIDENTADOS]:[VEHICULOS_ACCIDENTADOS2]],"AUTOMOVIL")</f>
        <v>0</v>
      </c>
      <c r="U959" s="36">
        <f>COUNTIF(Tabla1[[#This Row],[VEHICULOS_ACCIDENTADOS]:[VEHICULOS_ACCIDENTADOS2]],"CAMPERO")</f>
        <v>0</v>
      </c>
      <c r="V959" s="36">
        <f>COUNTIF(Tabla1[[#This Row],[VEHICULOS_ACCIDENTADOS]:[VEHICULOS_ACCIDENTADOS2]],"CAMIONETA")</f>
        <v>0</v>
      </c>
      <c r="W959" s="36">
        <f>COUNTIF(Tabla1[[#This Row],[VEHICULOS_ACCIDENTADOS]:[VEHICULOS_ACCIDENTADOS2]],"MICROBUS")</f>
        <v>0</v>
      </c>
      <c r="X959" s="36">
        <f>COUNTIF(Tabla1[[#This Row],[VEHICULOS_ACCIDENTADOS]:[VEHICULOS_ACCIDENTADOS2]],"BUS")</f>
        <v>0</v>
      </c>
      <c r="Y959" s="36">
        <f>COUNTIF(Tabla1[[#This Row],[VEHICULOS_ACCIDENTADOS]:[VEHICULOS_ACCIDENTADOS2]],"BUSETA")</f>
        <v>0</v>
      </c>
      <c r="Z959" s="36">
        <f>COUNTIF(Tabla1[[#This Row],[VEHICULOS_ACCIDENTADOS]:[VEHICULOS_ACCIDENTADOS2]],"CAMION")</f>
        <v>0</v>
      </c>
      <c r="AA959" s="36">
        <f>COUNTIF(Tabla1[[#This Row],[VEHICULOS_ACCIDENTADOS]:[VEHICULOS_ACCIDENTADOS2]],"TRACTOCAMION")</f>
        <v>0</v>
      </c>
      <c r="AB959" s="36">
        <f>COUNTIF(Tabla1[[#This Row],[VEHICULOS_ACCIDENTADOS]:[VEHICULOS_ACCIDENTADOS2]],"VOLQUETA")</f>
        <v>0</v>
      </c>
      <c r="AC959" s="36">
        <f>COUNTIF(Tabla1[[#This Row],[VEHICULOS_ACCIDENTADOS]:[VEHICULOS_ACCIDENTADOS2]],"BICICLETA")</f>
        <v>1</v>
      </c>
      <c r="AD959" s="7" t="s">
        <v>471</v>
      </c>
      <c r="AE959" s="7"/>
      <c r="AF959" s="7">
        <f>COUNTIF(Tabla1[[#This Row],[GENERO_MASCULINO]:[GENERO_FEMENINO]],"MASCULINO")</f>
        <v>1</v>
      </c>
      <c r="AG959" s="36">
        <f>COUNTIF(Tabla1[[#This Row],[GENERO_MASCULINO]:[GENERO_FEMENINO]],"FEMENINO")</f>
        <v>0</v>
      </c>
      <c r="AH959" s="73">
        <v>47</v>
      </c>
      <c r="AI959" s="73"/>
      <c r="AJ959" s="73"/>
      <c r="AK959" s="73"/>
      <c r="AL959" s="73"/>
      <c r="AM959" s="7"/>
      <c r="AN959" s="73">
        <v>157</v>
      </c>
      <c r="AO959" s="36" t="str">
        <f>IFERROR(((VLOOKUP(Tabla1[[#This Row],[HIPOTESIS_1]],listas!$D$1:$E$105,2,FALSE))),"SIN INFORMACIÓN")</f>
        <v>Otra</v>
      </c>
      <c r="AP959" s="7"/>
      <c r="AQ959" s="36" t="str">
        <f>IFERROR(((VLOOKUP(Tabla1[[#This Row],[HIPOTESIS_2]],listas!$D$1:$E$105,2,FALSE))),"")</f>
        <v/>
      </c>
      <c r="AR959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960" spans="1:44" x14ac:dyDescent="0.25">
      <c r="A960" s="12">
        <v>396</v>
      </c>
      <c r="B960" s="7">
        <v>0</v>
      </c>
      <c r="C960" s="7">
        <v>4</v>
      </c>
      <c r="D960" s="7">
        <v>0</v>
      </c>
      <c r="E960" s="18" t="str">
        <f t="shared" si="56"/>
        <v>LESIONADO</v>
      </c>
      <c r="F960" s="7" t="s">
        <v>1103</v>
      </c>
      <c r="G960" s="21">
        <v>5.3192944444444441</v>
      </c>
      <c r="H960" s="162">
        <v>-72.389711111111112</v>
      </c>
      <c r="I960" s="93" t="s">
        <v>697</v>
      </c>
      <c r="J960" s="7" t="s">
        <v>717</v>
      </c>
      <c r="K960" s="24" t="str">
        <f t="shared" si="57"/>
        <v>2023</v>
      </c>
      <c r="L960" s="24" t="str">
        <f t="shared" si="58"/>
        <v>ENERO</v>
      </c>
      <c r="M960" s="232">
        <v>44957</v>
      </c>
      <c r="N960" s="24" t="str">
        <f t="shared" si="59"/>
        <v>MARTES</v>
      </c>
      <c r="O960" s="109">
        <v>0.28125</v>
      </c>
      <c r="P960" s="39" t="s">
        <v>447</v>
      </c>
      <c r="Q960" s="39" t="s">
        <v>445</v>
      </c>
      <c r="R960" s="36">
        <f>COUNTIF(Tabla1[[#This Row],[VEHICULOS_ACCIDENTADOS]:[VEHICULOS_ACCIDENTADOS2]],"MOTOCICLETA")</f>
        <v>0</v>
      </c>
      <c r="S960" s="36">
        <f>COUNTIF(Tabla1[[#This Row],[VEHICULOS_ACCIDENTADOS]:[VEHICULOS_ACCIDENTADOS2]],"MOTOCARRO")</f>
        <v>0</v>
      </c>
      <c r="T960" s="36">
        <f>COUNTIF(Tabla1[[#This Row],[VEHICULOS_ACCIDENTADOS]:[VEHICULOS_ACCIDENTADOS2]],"AUTOMOVIL")</f>
        <v>1</v>
      </c>
      <c r="U960" s="36">
        <f>COUNTIF(Tabla1[[#This Row],[VEHICULOS_ACCIDENTADOS]:[VEHICULOS_ACCIDENTADOS2]],"CAMPERO")</f>
        <v>0</v>
      </c>
      <c r="V960" s="36">
        <f>COUNTIF(Tabla1[[#This Row],[VEHICULOS_ACCIDENTADOS]:[VEHICULOS_ACCIDENTADOS2]],"CAMIONETA")</f>
        <v>1</v>
      </c>
      <c r="W960" s="36">
        <f>COUNTIF(Tabla1[[#This Row],[VEHICULOS_ACCIDENTADOS]:[VEHICULOS_ACCIDENTADOS2]],"MICROBUS")</f>
        <v>0</v>
      </c>
      <c r="X960" s="36">
        <f>COUNTIF(Tabla1[[#This Row],[VEHICULOS_ACCIDENTADOS]:[VEHICULOS_ACCIDENTADOS2]],"BUS")</f>
        <v>0</v>
      </c>
      <c r="Y960" s="36">
        <f>COUNTIF(Tabla1[[#This Row],[VEHICULOS_ACCIDENTADOS]:[VEHICULOS_ACCIDENTADOS2]],"BUSETA")</f>
        <v>0</v>
      </c>
      <c r="Z960" s="36">
        <f>COUNTIF(Tabla1[[#This Row],[VEHICULOS_ACCIDENTADOS]:[VEHICULOS_ACCIDENTADOS2]],"CAMION")</f>
        <v>0</v>
      </c>
      <c r="AA960" s="36">
        <f>COUNTIF(Tabla1[[#This Row],[VEHICULOS_ACCIDENTADOS]:[VEHICULOS_ACCIDENTADOS2]],"TRACTOCAMION")</f>
        <v>0</v>
      </c>
      <c r="AB960" s="36">
        <f>COUNTIF(Tabla1[[#This Row],[VEHICULOS_ACCIDENTADOS]:[VEHICULOS_ACCIDENTADOS2]],"VOLQUETA")</f>
        <v>0</v>
      </c>
      <c r="AC960" s="36">
        <f>COUNTIF(Tabla1[[#This Row],[VEHICULOS_ACCIDENTADOS]:[VEHICULOS_ACCIDENTADOS2]],"BICICLETA")</f>
        <v>0</v>
      </c>
      <c r="AD960" s="7" t="s">
        <v>471</v>
      </c>
      <c r="AE960" s="7" t="s">
        <v>472</v>
      </c>
      <c r="AF960" s="7">
        <f>COUNTIF(Tabla1[[#This Row],[GENERO_MASCULINO]:[GENERO_FEMENINO]],"MASCULINO")</f>
        <v>1</v>
      </c>
      <c r="AG960" s="36">
        <f>COUNTIF(Tabla1[[#This Row],[GENERO_MASCULINO]:[GENERO_FEMENINO]],"FEMENINO")</f>
        <v>1</v>
      </c>
      <c r="AH960" s="73">
        <v>28</v>
      </c>
      <c r="AI960" s="73">
        <v>35</v>
      </c>
      <c r="AJ960" s="87"/>
      <c r="AK960" s="73"/>
      <c r="AL960" s="73">
        <v>22</v>
      </c>
      <c r="AM960" s="7"/>
      <c r="AN960" s="73">
        <v>121</v>
      </c>
      <c r="AO960" s="36" t="str">
        <f>IFERROR(((VLOOKUP(Tabla1[[#This Row],[HIPOTESIS_1]],listas!$D$1:$E$105,2,FALSE))),"SIN INFORMACIÓN")</f>
        <v>No mantener distancia de seguridad.</v>
      </c>
      <c r="AP960" s="7"/>
      <c r="AQ960" s="36" t="str">
        <f>IFERROR(((VLOOKUP(Tabla1[[#This Row],[HIPOTESIS_2]],listas!$D$1:$E$105,2,FALSE))),"")</f>
        <v/>
      </c>
      <c r="AR960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961" spans="1:44" x14ac:dyDescent="0.25">
      <c r="A961" s="12">
        <v>645</v>
      </c>
      <c r="B961" s="16">
        <v>0</v>
      </c>
      <c r="C961" s="15">
        <v>1</v>
      </c>
      <c r="D961" s="15">
        <v>0</v>
      </c>
      <c r="E961" s="18" t="str">
        <f t="shared" si="56"/>
        <v>LESIONADO</v>
      </c>
      <c r="F961" s="15" t="s">
        <v>1103</v>
      </c>
      <c r="G961" s="21">
        <v>5.3192944444444441</v>
      </c>
      <c r="H961" s="162">
        <v>-72.389711111111112</v>
      </c>
      <c r="I961" s="93" t="s">
        <v>697</v>
      </c>
      <c r="J961" s="15" t="s">
        <v>717</v>
      </c>
      <c r="K961" s="24" t="str">
        <f t="shared" si="57"/>
        <v>2024</v>
      </c>
      <c r="L961" s="24" t="str">
        <f t="shared" si="58"/>
        <v>ENERO</v>
      </c>
      <c r="M961" s="234">
        <v>45292</v>
      </c>
      <c r="N961" s="24" t="str">
        <f t="shared" si="59"/>
        <v>LUNES</v>
      </c>
      <c r="O961" s="110">
        <v>0.30555555555555552</v>
      </c>
      <c r="P961" s="44" t="s">
        <v>469</v>
      </c>
      <c r="Q961" s="44"/>
      <c r="R961" s="36">
        <f>COUNTIF(Tabla1[[#This Row],[VEHICULOS_ACCIDENTADOS]:[VEHICULOS_ACCIDENTADOS2]],"MOTOCICLETA")</f>
        <v>1</v>
      </c>
      <c r="S961" s="36">
        <f>COUNTIF(Tabla1[[#This Row],[VEHICULOS_ACCIDENTADOS]:[VEHICULOS_ACCIDENTADOS2]],"MOTOCARRO")</f>
        <v>0</v>
      </c>
      <c r="T961" s="36">
        <f>COUNTIF(Tabla1[[#This Row],[VEHICULOS_ACCIDENTADOS]:[VEHICULOS_ACCIDENTADOS2]],"AUTOMOVIL")</f>
        <v>0</v>
      </c>
      <c r="U961" s="36">
        <f>COUNTIF(Tabla1[[#This Row],[VEHICULOS_ACCIDENTADOS]:[VEHICULOS_ACCIDENTADOS2]],"CAMPERO")</f>
        <v>0</v>
      </c>
      <c r="V961" s="36">
        <f>COUNTIF(Tabla1[[#This Row],[VEHICULOS_ACCIDENTADOS]:[VEHICULOS_ACCIDENTADOS2]],"CAMIONETA")</f>
        <v>0</v>
      </c>
      <c r="W961" s="36">
        <f>COUNTIF(Tabla1[[#This Row],[VEHICULOS_ACCIDENTADOS]:[VEHICULOS_ACCIDENTADOS2]],"MICROBUS")</f>
        <v>0</v>
      </c>
      <c r="X961" s="36">
        <f>COUNTIF(Tabla1[[#This Row],[VEHICULOS_ACCIDENTADOS]:[VEHICULOS_ACCIDENTADOS2]],"BUS")</f>
        <v>0</v>
      </c>
      <c r="Y961" s="36">
        <f>COUNTIF(Tabla1[[#This Row],[VEHICULOS_ACCIDENTADOS]:[VEHICULOS_ACCIDENTADOS2]],"BUSETA")</f>
        <v>0</v>
      </c>
      <c r="Z961" s="36">
        <f>COUNTIF(Tabla1[[#This Row],[VEHICULOS_ACCIDENTADOS]:[VEHICULOS_ACCIDENTADOS2]],"CAMION")</f>
        <v>0</v>
      </c>
      <c r="AA961" s="36">
        <f>COUNTIF(Tabla1[[#This Row],[VEHICULOS_ACCIDENTADOS]:[VEHICULOS_ACCIDENTADOS2]],"TRACTOCAMION")</f>
        <v>0</v>
      </c>
      <c r="AB961" s="36">
        <f>COUNTIF(Tabla1[[#This Row],[VEHICULOS_ACCIDENTADOS]:[VEHICULOS_ACCIDENTADOS2]],"VOLQUETA")</f>
        <v>0</v>
      </c>
      <c r="AC961" s="36">
        <f>COUNTIF(Tabla1[[#This Row],[VEHICULOS_ACCIDENTADOS]:[VEHICULOS_ACCIDENTADOS2]],"BICICLETA")</f>
        <v>0</v>
      </c>
      <c r="AD961" s="15" t="s">
        <v>471</v>
      </c>
      <c r="AE961" s="15"/>
      <c r="AF961" s="15">
        <f>COUNTIF(Tabla1[[#This Row],[GENERO_MASCULINO]:[GENERO_FEMENINO]],"MASCULINO")</f>
        <v>1</v>
      </c>
      <c r="AG961" s="36">
        <f>COUNTIF(Tabla1[[#This Row],[GENERO_MASCULINO]:[GENERO_FEMENINO]],"FEMENINO")</f>
        <v>0</v>
      </c>
      <c r="AH961" s="86">
        <v>38</v>
      </c>
      <c r="AI961" s="86"/>
      <c r="AJ961" s="86"/>
      <c r="AK961" s="86"/>
      <c r="AL961" s="86"/>
      <c r="AM961" s="15"/>
      <c r="AN961" s="86">
        <v>116</v>
      </c>
      <c r="AO961" s="36" t="str">
        <f>IFERROR(((VLOOKUP(Tabla1[[#This Row],[HIPOTESIS_1]],listas!$D$1:$E$105,2,FALSE))),"SIN INFORMACIÓN")</f>
        <v>Exceso de velocidad</v>
      </c>
      <c r="AP961" s="15"/>
      <c r="AQ961" s="36" t="str">
        <f>IFERROR(((VLOOKUP(Tabla1[[#This Row],[HIPOTESIS_2]],listas!$D$1:$E$105,2,FALSE))),"")</f>
        <v/>
      </c>
      <c r="AR961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962" spans="1:44" x14ac:dyDescent="0.25">
      <c r="A962" s="12">
        <v>532</v>
      </c>
      <c r="B962" s="7">
        <v>0</v>
      </c>
      <c r="C962" s="7">
        <v>2</v>
      </c>
      <c r="D962" s="7">
        <v>0</v>
      </c>
      <c r="E962" s="18" t="str">
        <f t="shared" ref="E962:E1025" si="60">IF(D962&gt;=1,"FALLECIDO",IF(C962&gt;=1,"LESIONADO",IF(B962&gt;=1,"SOLO DAÑO","")))</f>
        <v>LESIONADO</v>
      </c>
      <c r="F962" s="7" t="s">
        <v>1104</v>
      </c>
      <c r="G962" s="21">
        <v>5.3192944444444441</v>
      </c>
      <c r="H962" s="162">
        <v>-72.389711111111112</v>
      </c>
      <c r="I962" s="93" t="s">
        <v>697</v>
      </c>
      <c r="J962" s="7" t="s">
        <v>717</v>
      </c>
      <c r="K962" s="24" t="str">
        <f t="shared" ref="K962:K1025" si="61">UPPER(TEXT(M962,"YYYY"))</f>
        <v>2023</v>
      </c>
      <c r="L962" s="24" t="str">
        <f t="shared" ref="L962:L1025" si="62">UPPER(TEXT(M962,"MMMM"))</f>
        <v>AGOSTO</v>
      </c>
      <c r="M962" s="232">
        <v>45151</v>
      </c>
      <c r="N962" s="24" t="str">
        <f t="shared" ref="N962:N1025" si="63">UPPER(TEXT(M962,"DDDD"))</f>
        <v>DOMINGO</v>
      </c>
      <c r="O962" s="109">
        <v>0.84027777777777779</v>
      </c>
      <c r="P962" s="39" t="s">
        <v>469</v>
      </c>
      <c r="Q962" s="39" t="s">
        <v>445</v>
      </c>
      <c r="R962" s="36">
        <f>COUNTIF(Tabla1[[#This Row],[VEHICULOS_ACCIDENTADOS]:[VEHICULOS_ACCIDENTADOS2]],"MOTOCICLETA")</f>
        <v>1</v>
      </c>
      <c r="S962" s="36">
        <f>COUNTIF(Tabla1[[#This Row],[VEHICULOS_ACCIDENTADOS]:[VEHICULOS_ACCIDENTADOS2]],"MOTOCARRO")</f>
        <v>0</v>
      </c>
      <c r="T962" s="36">
        <f>COUNTIF(Tabla1[[#This Row],[VEHICULOS_ACCIDENTADOS]:[VEHICULOS_ACCIDENTADOS2]],"AUTOMOVIL")</f>
        <v>0</v>
      </c>
      <c r="U962" s="36">
        <f>COUNTIF(Tabla1[[#This Row],[VEHICULOS_ACCIDENTADOS]:[VEHICULOS_ACCIDENTADOS2]],"CAMPERO")</f>
        <v>0</v>
      </c>
      <c r="V962" s="36">
        <f>COUNTIF(Tabla1[[#This Row],[VEHICULOS_ACCIDENTADOS]:[VEHICULOS_ACCIDENTADOS2]],"CAMIONETA")</f>
        <v>1</v>
      </c>
      <c r="W962" s="36">
        <f>COUNTIF(Tabla1[[#This Row],[VEHICULOS_ACCIDENTADOS]:[VEHICULOS_ACCIDENTADOS2]],"MICROBUS")</f>
        <v>0</v>
      </c>
      <c r="X962" s="36">
        <f>COUNTIF(Tabla1[[#This Row],[VEHICULOS_ACCIDENTADOS]:[VEHICULOS_ACCIDENTADOS2]],"BUS")</f>
        <v>0</v>
      </c>
      <c r="Y962" s="36">
        <f>COUNTIF(Tabla1[[#This Row],[VEHICULOS_ACCIDENTADOS]:[VEHICULOS_ACCIDENTADOS2]],"BUSETA")</f>
        <v>0</v>
      </c>
      <c r="Z962" s="36">
        <f>COUNTIF(Tabla1[[#This Row],[VEHICULOS_ACCIDENTADOS]:[VEHICULOS_ACCIDENTADOS2]],"CAMION")</f>
        <v>0</v>
      </c>
      <c r="AA962" s="36">
        <f>COUNTIF(Tabla1[[#This Row],[VEHICULOS_ACCIDENTADOS]:[VEHICULOS_ACCIDENTADOS2]],"TRACTOCAMION")</f>
        <v>0</v>
      </c>
      <c r="AB962" s="36">
        <f>COUNTIF(Tabla1[[#This Row],[VEHICULOS_ACCIDENTADOS]:[VEHICULOS_ACCIDENTADOS2]],"VOLQUETA")</f>
        <v>0</v>
      </c>
      <c r="AC962" s="36">
        <f>COUNTIF(Tabla1[[#This Row],[VEHICULOS_ACCIDENTADOS]:[VEHICULOS_ACCIDENTADOS2]],"BICICLETA")</f>
        <v>0</v>
      </c>
      <c r="AD962" s="7" t="s">
        <v>471</v>
      </c>
      <c r="AE962" s="7"/>
      <c r="AF962" s="7">
        <f>COUNTIF(Tabla1[[#This Row],[GENERO_MASCULINO]:[GENERO_FEMENINO]],"MASCULINO")</f>
        <v>1</v>
      </c>
      <c r="AG962" s="36">
        <f>COUNTIF(Tabla1[[#This Row],[GENERO_MASCULINO]:[GENERO_FEMENINO]],"FEMENINO")</f>
        <v>0</v>
      </c>
      <c r="AH962" s="73">
        <v>55</v>
      </c>
      <c r="AI962" s="73"/>
      <c r="AJ962" s="73"/>
      <c r="AK962" s="73"/>
      <c r="AL962" s="73">
        <v>17</v>
      </c>
      <c r="AM962" s="7"/>
      <c r="AN962" s="73">
        <v>157</v>
      </c>
      <c r="AO962" s="36" t="str">
        <f>IFERROR(((VLOOKUP(Tabla1[[#This Row],[HIPOTESIS_1]],listas!$D$1:$E$105,2,FALSE))),"SIN INFORMACIÓN")</f>
        <v>Otra</v>
      </c>
      <c r="AP962" s="7"/>
      <c r="AQ962" s="36" t="str">
        <f>IFERROR(((VLOOKUP(Tabla1[[#This Row],[HIPOTESIS_2]],listas!$D$1:$E$105,2,FALSE))),"")</f>
        <v/>
      </c>
      <c r="AR962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963" spans="1:44" x14ac:dyDescent="0.25">
      <c r="A963" s="12">
        <v>947</v>
      </c>
      <c r="B963" s="16">
        <v>0</v>
      </c>
      <c r="C963" s="15">
        <v>2</v>
      </c>
      <c r="D963" s="15">
        <v>0</v>
      </c>
      <c r="E963" s="18" t="str">
        <f t="shared" si="60"/>
        <v>LESIONADO</v>
      </c>
      <c r="F963" s="15" t="s">
        <v>1104</v>
      </c>
      <c r="G963" s="20">
        <v>5.3192944444444441</v>
      </c>
      <c r="H963" s="20">
        <v>-72.389711111111112</v>
      </c>
      <c r="I963" s="93" t="s">
        <v>697</v>
      </c>
      <c r="J963" s="15" t="s">
        <v>717</v>
      </c>
      <c r="K963" s="24" t="str">
        <f t="shared" si="61"/>
        <v>2025</v>
      </c>
      <c r="L963" s="24" t="str">
        <f t="shared" si="62"/>
        <v>ABRIL</v>
      </c>
      <c r="M963" s="234">
        <v>45770</v>
      </c>
      <c r="N963" s="24" t="str">
        <f t="shared" si="63"/>
        <v>MIÉRCOLES</v>
      </c>
      <c r="O963" s="110">
        <v>0.54861111111111105</v>
      </c>
      <c r="P963" s="15" t="s">
        <v>441</v>
      </c>
      <c r="Q963" s="15" t="s">
        <v>469</v>
      </c>
      <c r="R963" s="36">
        <f>COUNTIF(Tabla1[[#This Row],[VEHICULOS_ACCIDENTADOS]:[VEHICULOS_ACCIDENTADOS2]],"MOTOCICLETA")</f>
        <v>1</v>
      </c>
      <c r="S963" s="36">
        <f>COUNTIF(Tabla1[[#This Row],[VEHICULOS_ACCIDENTADOS]:[VEHICULOS_ACCIDENTADOS2]],"MOTOCARRO")</f>
        <v>0</v>
      </c>
      <c r="T963" s="36">
        <f>COUNTIF(Tabla1[[#This Row],[VEHICULOS_ACCIDENTADOS]:[VEHICULOS_ACCIDENTADOS2]],"AUTOMOVIL")</f>
        <v>0</v>
      </c>
      <c r="U963" s="36">
        <f>COUNTIF(Tabla1[[#This Row],[VEHICULOS_ACCIDENTADOS]:[VEHICULOS_ACCIDENTADOS2]],"CAMPERO")</f>
        <v>0</v>
      </c>
      <c r="V963" s="36">
        <f>COUNTIF(Tabla1[[#This Row],[VEHICULOS_ACCIDENTADOS]:[VEHICULOS_ACCIDENTADOS2]],"CAMIONETA")</f>
        <v>0</v>
      </c>
      <c r="W963" s="36">
        <f>COUNTIF(Tabla1[[#This Row],[VEHICULOS_ACCIDENTADOS]:[VEHICULOS_ACCIDENTADOS2]],"MICROBUS")</f>
        <v>0</v>
      </c>
      <c r="X963" s="36">
        <f>COUNTIF(Tabla1[[#This Row],[VEHICULOS_ACCIDENTADOS]:[VEHICULOS_ACCIDENTADOS2]],"BUS")</f>
        <v>0</v>
      </c>
      <c r="Y963" s="36">
        <f>COUNTIF(Tabla1[[#This Row],[VEHICULOS_ACCIDENTADOS]:[VEHICULOS_ACCIDENTADOS2]],"BUSETA")</f>
        <v>0</v>
      </c>
      <c r="Z963" s="36">
        <f>COUNTIF(Tabla1[[#This Row],[VEHICULOS_ACCIDENTADOS]:[VEHICULOS_ACCIDENTADOS2]],"CAMION")</f>
        <v>1</v>
      </c>
      <c r="AA963" s="36">
        <f>COUNTIF(Tabla1[[#This Row],[VEHICULOS_ACCIDENTADOS]:[VEHICULOS_ACCIDENTADOS2]],"TRACTOCAMION")</f>
        <v>0</v>
      </c>
      <c r="AB963" s="36">
        <f>COUNTIF(Tabla1[[#This Row],[VEHICULOS_ACCIDENTADOS]:[VEHICULOS_ACCIDENTADOS2]],"VOLQUETA")</f>
        <v>0</v>
      </c>
      <c r="AC963" s="36">
        <f>COUNTIF(Tabla1[[#This Row],[VEHICULOS_ACCIDENTADOS]:[VEHICULOS_ACCIDENTADOS2]],"BICICLETA")</f>
        <v>0</v>
      </c>
      <c r="AD963" s="15" t="s">
        <v>471</v>
      </c>
      <c r="AE963" s="15" t="s">
        <v>471</v>
      </c>
      <c r="AF963" s="15">
        <f>COUNTIF(Tabla1[[#This Row],[GENERO_MASCULINO]:[GENERO_FEMENINO]],"MASCULINO")</f>
        <v>2</v>
      </c>
      <c r="AG963" s="36">
        <f>COUNTIF(Tabla1[[#This Row],[GENERO_MASCULINO]:[GENERO_FEMENINO]],"FEMENINO")</f>
        <v>0</v>
      </c>
      <c r="AH963" s="86">
        <v>45</v>
      </c>
      <c r="AI963" s="86">
        <v>18</v>
      </c>
      <c r="AJ963" s="86">
        <v>18</v>
      </c>
      <c r="AK963" s="87"/>
      <c r="AL963" s="87"/>
      <c r="AM963" s="6"/>
      <c r="AN963" s="86">
        <v>121</v>
      </c>
      <c r="AO963" s="36" t="str">
        <f>IFERROR(((VLOOKUP(Tabla1[[#This Row],[HIPOTESIS_1]],listas!$D$1:$E$105,2,FALSE))),"SIN INFORMACIÓN")</f>
        <v>No mantener distancia de seguridad.</v>
      </c>
      <c r="AP963" s="7"/>
      <c r="AQ963" s="36" t="str">
        <f>IFERROR(((VLOOKUP(Tabla1[[#This Row],[HIPOTESIS_2]],listas!$D$1:$E$105,2,FALSE))),"")</f>
        <v/>
      </c>
      <c r="AR963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964" spans="1:44" x14ac:dyDescent="0.25">
      <c r="A964" s="12">
        <v>1112</v>
      </c>
      <c r="B964" s="24">
        <v>0</v>
      </c>
      <c r="C964" s="24">
        <v>1</v>
      </c>
      <c r="D964" s="24">
        <v>0</v>
      </c>
      <c r="E964" s="24" t="str">
        <f t="shared" si="60"/>
        <v>LESIONADO</v>
      </c>
      <c r="F964" s="24" t="s">
        <v>1016</v>
      </c>
      <c r="G964" s="30">
        <v>5.3092018948984601</v>
      </c>
      <c r="H964" s="246">
        <v>-72.402942038372004</v>
      </c>
      <c r="I964" s="165" t="s">
        <v>697</v>
      </c>
      <c r="J964" s="7" t="s">
        <v>717</v>
      </c>
      <c r="K964" s="24" t="str">
        <f t="shared" si="61"/>
        <v>2025</v>
      </c>
      <c r="L964" s="24" t="str">
        <f t="shared" si="62"/>
        <v>OCTUBRE</v>
      </c>
      <c r="M964" s="232">
        <v>45934</v>
      </c>
      <c r="N964" s="24" t="str">
        <f t="shared" si="63"/>
        <v>SÁBADO</v>
      </c>
      <c r="O964" s="109">
        <v>0.84097222222222223</v>
      </c>
      <c r="P964" s="8" t="s">
        <v>469</v>
      </c>
      <c r="Q964" s="8" t="s">
        <v>441</v>
      </c>
      <c r="R964" s="36">
        <f>COUNTIF(Tabla1[[#This Row],[VEHICULOS_ACCIDENTADOS]:[VEHICULOS_ACCIDENTADOS2]],"MOTOCICLETA")</f>
        <v>1</v>
      </c>
      <c r="S964" s="36">
        <f>COUNTIF(Tabla1[[#This Row],[VEHICULOS_ACCIDENTADOS]:[VEHICULOS_ACCIDENTADOS2]],"MOTOCARRO")</f>
        <v>0</v>
      </c>
      <c r="T964" s="36">
        <f>COUNTIF(Tabla1[[#This Row],[VEHICULOS_ACCIDENTADOS]:[VEHICULOS_ACCIDENTADOS2]],"AUTOMOVIL")</f>
        <v>0</v>
      </c>
      <c r="U964" s="36">
        <f>COUNTIF(Tabla1[[#This Row],[VEHICULOS_ACCIDENTADOS]:[VEHICULOS_ACCIDENTADOS2]],"CAMPERO")</f>
        <v>0</v>
      </c>
      <c r="V964" s="36">
        <f>COUNTIF(Tabla1[[#This Row],[VEHICULOS_ACCIDENTADOS]:[VEHICULOS_ACCIDENTADOS2]],"CAMIONETA")</f>
        <v>0</v>
      </c>
      <c r="W964" s="36">
        <f>COUNTIF(Tabla1[[#This Row],[VEHICULOS_ACCIDENTADOS]:[VEHICULOS_ACCIDENTADOS2]],"MICROBUS")</f>
        <v>0</v>
      </c>
      <c r="X964" s="36">
        <f>COUNTIF(Tabla1[[#This Row],[VEHICULOS_ACCIDENTADOS]:[VEHICULOS_ACCIDENTADOS2]],"BUS")</f>
        <v>0</v>
      </c>
      <c r="Y964" s="36">
        <f>COUNTIF(Tabla1[[#This Row],[VEHICULOS_ACCIDENTADOS]:[VEHICULOS_ACCIDENTADOS2]],"BUSETA")</f>
        <v>0</v>
      </c>
      <c r="Z964" s="36">
        <f>COUNTIF(Tabla1[[#This Row],[VEHICULOS_ACCIDENTADOS]:[VEHICULOS_ACCIDENTADOS2]],"CAMION")</f>
        <v>1</v>
      </c>
      <c r="AA964" s="36">
        <f>COUNTIF(Tabla1[[#This Row],[VEHICULOS_ACCIDENTADOS]:[VEHICULOS_ACCIDENTADOS2]],"TRACTOCAMION")</f>
        <v>0</v>
      </c>
      <c r="AB964" s="36">
        <f>COUNTIF(Tabla1[[#This Row],[VEHICULOS_ACCIDENTADOS]:[VEHICULOS_ACCIDENTADOS2]],"VOLQUETA")</f>
        <v>0</v>
      </c>
      <c r="AC964" s="36">
        <f>COUNTIF(Tabla1[[#This Row],[VEHICULOS_ACCIDENTADOS]:[VEHICULOS_ACCIDENTADOS2]],"BICICLETA")</f>
        <v>0</v>
      </c>
      <c r="AD964" s="73" t="s">
        <v>471</v>
      </c>
      <c r="AE964" s="73"/>
      <c r="AF964" s="7">
        <f>COUNTIF(Tabla1[[#This Row],[GENERO_MASCULINO]:[GENERO_FEMENINO]],"MASCULINO")</f>
        <v>1</v>
      </c>
      <c r="AG964" s="36">
        <f>COUNTIF(Tabla1[[#This Row],[GENERO_MASCULINO]:[GENERO_FEMENINO]],"FEMENINO")</f>
        <v>0</v>
      </c>
      <c r="AH964" s="86">
        <v>22</v>
      </c>
      <c r="AI964" s="86">
        <v>48</v>
      </c>
      <c r="AJ964" s="86"/>
      <c r="AK964" s="87"/>
      <c r="AL964" s="87"/>
      <c r="AM964" s="6"/>
      <c r="AN964" s="73">
        <v>114</v>
      </c>
      <c r="AO964" s="59" t="str">
        <f>IFERROR(((VLOOKUP(Tabla1[[#This Row],[HIPOTESIS_1]],listas!$D$1:$E$105,2,FALSE))),"SIN INFORMACIÓN")</f>
        <v>Embriaguez aparente.</v>
      </c>
      <c r="AP964" s="7"/>
      <c r="AQ964" s="36" t="str">
        <f>IFERROR(((VLOOKUP(Tabla1[[#This Row],[HIPOTESIS_2]],listas!$D$1:$E$105,2,FALSE))),"")</f>
        <v/>
      </c>
      <c r="AR964" s="2" t="str">
        <f>IF(HOUR(Tabla1[[#This Row],[HORA_ACCIDENTE]])&lt;6,"MAÑANA",
 IF(HOUR(Tabla1[[#This Row],[HORA_ACCIDENTE]])&lt;12,"MAÑANA",
 IF(HOUR(Tabla1[[#This Row],[HORA_ACCIDENTE]])&lt;18,"TARDE","NOCHE")))</f>
        <v>NOCHE</v>
      </c>
    </row>
    <row r="965" spans="1:44" x14ac:dyDescent="0.25">
      <c r="A965" s="12">
        <v>1076</v>
      </c>
      <c r="B965" s="244">
        <v>1</v>
      </c>
      <c r="C965" s="244">
        <v>0</v>
      </c>
      <c r="D965" s="244">
        <v>0</v>
      </c>
      <c r="E965" s="24" t="str">
        <f t="shared" si="60"/>
        <v>SOLO DAÑO</v>
      </c>
      <c r="F965" s="114" t="s">
        <v>718</v>
      </c>
      <c r="G965" s="30">
        <v>5.3087224441237097</v>
      </c>
      <c r="H965" s="246">
        <v>-72.403818367914596</v>
      </c>
      <c r="I965" s="165" t="s">
        <v>697</v>
      </c>
      <c r="J965" s="7" t="s">
        <v>717</v>
      </c>
      <c r="K965" s="24" t="str">
        <f t="shared" si="61"/>
        <v>2025</v>
      </c>
      <c r="L965" s="24" t="str">
        <f t="shared" si="62"/>
        <v>SEPTIEMBRE</v>
      </c>
      <c r="M965" s="232">
        <v>45911</v>
      </c>
      <c r="N965" s="24" t="str">
        <f t="shared" si="63"/>
        <v>JUEVES</v>
      </c>
      <c r="O965" s="109">
        <v>0.13194444444444445</v>
      </c>
      <c r="P965" s="8" t="s">
        <v>447</v>
      </c>
      <c r="Q965" s="8"/>
      <c r="R965" s="36">
        <f>COUNTIF(Tabla1[[#This Row],[VEHICULOS_ACCIDENTADOS]:[VEHICULOS_ACCIDENTADOS2]],"MOTOCICLETA")</f>
        <v>0</v>
      </c>
      <c r="S965" s="36">
        <f>COUNTIF(Tabla1[[#This Row],[VEHICULOS_ACCIDENTADOS]:[VEHICULOS_ACCIDENTADOS2]],"MOTOCARRO")</f>
        <v>0</v>
      </c>
      <c r="T965" s="36">
        <f>COUNTIF(Tabla1[[#This Row],[VEHICULOS_ACCIDENTADOS]:[VEHICULOS_ACCIDENTADOS2]],"AUTOMOVIL")</f>
        <v>1</v>
      </c>
      <c r="U965" s="36">
        <f>COUNTIF(Tabla1[[#This Row],[VEHICULOS_ACCIDENTADOS]:[VEHICULOS_ACCIDENTADOS2]],"CAMPERO")</f>
        <v>0</v>
      </c>
      <c r="V965" s="36">
        <f>COUNTIF(Tabla1[[#This Row],[VEHICULOS_ACCIDENTADOS]:[VEHICULOS_ACCIDENTADOS2]],"CAMIONETA")</f>
        <v>0</v>
      </c>
      <c r="W965" s="36">
        <f>COUNTIF(Tabla1[[#This Row],[VEHICULOS_ACCIDENTADOS]:[VEHICULOS_ACCIDENTADOS2]],"MICROBUS")</f>
        <v>0</v>
      </c>
      <c r="X965" s="36">
        <f>COUNTIF(Tabla1[[#This Row],[VEHICULOS_ACCIDENTADOS]:[VEHICULOS_ACCIDENTADOS2]],"BUS")</f>
        <v>0</v>
      </c>
      <c r="Y965" s="36">
        <f>COUNTIF(Tabla1[[#This Row],[VEHICULOS_ACCIDENTADOS]:[VEHICULOS_ACCIDENTADOS2]],"BUSETA")</f>
        <v>0</v>
      </c>
      <c r="Z965" s="36">
        <f>COUNTIF(Tabla1[[#This Row],[VEHICULOS_ACCIDENTADOS]:[VEHICULOS_ACCIDENTADOS2]],"CAMION")</f>
        <v>0</v>
      </c>
      <c r="AA965" s="36">
        <f>COUNTIF(Tabla1[[#This Row],[VEHICULOS_ACCIDENTADOS]:[VEHICULOS_ACCIDENTADOS2]],"TRACTOCAMION")</f>
        <v>0</v>
      </c>
      <c r="AB965" s="36">
        <f>COUNTIF(Tabla1[[#This Row],[VEHICULOS_ACCIDENTADOS]:[VEHICULOS_ACCIDENTADOS2]],"VOLQUETA")</f>
        <v>0</v>
      </c>
      <c r="AC965" s="36">
        <f>COUNTIF(Tabla1[[#This Row],[VEHICULOS_ACCIDENTADOS]:[VEHICULOS_ACCIDENTADOS2]],"BICICLETA")</f>
        <v>0</v>
      </c>
      <c r="AD965" s="73" t="s">
        <v>471</v>
      </c>
      <c r="AE965" s="73"/>
      <c r="AF965" s="7">
        <f>COUNTIF(Tabla1[[#This Row],[GENERO_MASCULINO]:[GENERO_FEMENINO]],"MASCULINO")</f>
        <v>1</v>
      </c>
      <c r="AG965" s="36">
        <f>COUNTIF(Tabla1[[#This Row],[GENERO_MASCULINO]:[GENERO_FEMENINO]],"FEMENINO")</f>
        <v>0</v>
      </c>
      <c r="AH965" s="86"/>
      <c r="AI965" s="86"/>
      <c r="AJ965" s="86"/>
      <c r="AK965" s="87"/>
      <c r="AL965" s="87"/>
      <c r="AM965" s="6"/>
      <c r="AN965" s="73">
        <v>114</v>
      </c>
      <c r="AO965" s="59" t="str">
        <f>IFERROR(((VLOOKUP(Tabla1[[#This Row],[HIPOTESIS_1]],listas!$D$1:$E$105,2,FALSE))),"SIN INFORMACIÓN")</f>
        <v>Embriaguez aparente.</v>
      </c>
      <c r="AP965" s="7"/>
      <c r="AQ965" s="36" t="str">
        <f>IFERROR(((VLOOKUP(Tabla1[[#This Row],[HIPOTESIS_2]],listas!$D$1:$E$105,2,FALSE))),"")</f>
        <v/>
      </c>
      <c r="AR965" s="2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966" spans="1:44" x14ac:dyDescent="0.25">
      <c r="A966" s="12">
        <v>1098</v>
      </c>
      <c r="B966" s="24">
        <v>1</v>
      </c>
      <c r="C966" s="24">
        <v>0</v>
      </c>
      <c r="D966" s="24">
        <v>0</v>
      </c>
      <c r="E966" s="24" t="str">
        <f t="shared" si="60"/>
        <v>SOLO DAÑO</v>
      </c>
      <c r="F966" s="24" t="s">
        <v>1018</v>
      </c>
      <c r="G966" s="30">
        <v>5.3370951709999499</v>
      </c>
      <c r="H966" s="246">
        <v>-72.406603967998706</v>
      </c>
      <c r="I966" s="165" t="s">
        <v>697</v>
      </c>
      <c r="J966" s="7" t="s">
        <v>717</v>
      </c>
      <c r="K966" s="24" t="str">
        <f t="shared" si="61"/>
        <v>2025</v>
      </c>
      <c r="L966" s="24" t="str">
        <f t="shared" si="62"/>
        <v>SEPTIEMBRE</v>
      </c>
      <c r="M966" s="232">
        <v>45928</v>
      </c>
      <c r="N966" s="24" t="str">
        <f t="shared" si="63"/>
        <v>DOMINGO</v>
      </c>
      <c r="O966" s="109">
        <v>0.62152777777777779</v>
      </c>
      <c r="P966" s="8" t="s">
        <v>447</v>
      </c>
      <c r="Q966" s="8" t="s">
        <v>469</v>
      </c>
      <c r="R966" s="36">
        <f>COUNTIF(Tabla1[[#This Row],[VEHICULOS_ACCIDENTADOS]:[VEHICULOS_ACCIDENTADOS2]],"MOTOCICLETA")</f>
        <v>1</v>
      </c>
      <c r="S966" s="36">
        <f>COUNTIF(Tabla1[[#This Row],[VEHICULOS_ACCIDENTADOS]:[VEHICULOS_ACCIDENTADOS2]],"MOTOCARRO")</f>
        <v>0</v>
      </c>
      <c r="T966" s="36">
        <f>COUNTIF(Tabla1[[#This Row],[VEHICULOS_ACCIDENTADOS]:[VEHICULOS_ACCIDENTADOS2]],"AUTOMOVIL")</f>
        <v>1</v>
      </c>
      <c r="U966" s="36">
        <f>COUNTIF(Tabla1[[#This Row],[VEHICULOS_ACCIDENTADOS]:[VEHICULOS_ACCIDENTADOS2]],"CAMPERO")</f>
        <v>0</v>
      </c>
      <c r="V966" s="36">
        <f>COUNTIF(Tabla1[[#This Row],[VEHICULOS_ACCIDENTADOS]:[VEHICULOS_ACCIDENTADOS2]],"CAMIONETA")</f>
        <v>0</v>
      </c>
      <c r="W966" s="36">
        <f>COUNTIF(Tabla1[[#This Row],[VEHICULOS_ACCIDENTADOS]:[VEHICULOS_ACCIDENTADOS2]],"MICROBUS")</f>
        <v>0</v>
      </c>
      <c r="X966" s="36">
        <f>COUNTIF(Tabla1[[#This Row],[VEHICULOS_ACCIDENTADOS]:[VEHICULOS_ACCIDENTADOS2]],"BUS")</f>
        <v>0</v>
      </c>
      <c r="Y966" s="36">
        <f>COUNTIF(Tabla1[[#This Row],[VEHICULOS_ACCIDENTADOS]:[VEHICULOS_ACCIDENTADOS2]],"BUSETA")</f>
        <v>0</v>
      </c>
      <c r="Z966" s="36">
        <f>COUNTIF(Tabla1[[#This Row],[VEHICULOS_ACCIDENTADOS]:[VEHICULOS_ACCIDENTADOS2]],"CAMION")</f>
        <v>0</v>
      </c>
      <c r="AA966" s="36">
        <f>COUNTIF(Tabla1[[#This Row],[VEHICULOS_ACCIDENTADOS]:[VEHICULOS_ACCIDENTADOS2]],"TRACTOCAMION")</f>
        <v>0</v>
      </c>
      <c r="AB966" s="36">
        <f>COUNTIF(Tabla1[[#This Row],[VEHICULOS_ACCIDENTADOS]:[VEHICULOS_ACCIDENTADOS2]],"VOLQUETA")</f>
        <v>0</v>
      </c>
      <c r="AC966" s="36">
        <f>COUNTIF(Tabla1[[#This Row],[VEHICULOS_ACCIDENTADOS]:[VEHICULOS_ACCIDENTADOS2]],"BICICLETA")</f>
        <v>0</v>
      </c>
      <c r="AD966" s="73" t="s">
        <v>472</v>
      </c>
      <c r="AE966" s="73" t="s">
        <v>471</v>
      </c>
      <c r="AF966" s="7">
        <f>COUNTIF(Tabla1[[#This Row],[GENERO_MASCULINO]:[GENERO_FEMENINO]],"MASCULINO")</f>
        <v>1</v>
      </c>
      <c r="AG966" s="36">
        <f>COUNTIF(Tabla1[[#This Row],[GENERO_MASCULINO]:[GENERO_FEMENINO]],"FEMENINO")</f>
        <v>1</v>
      </c>
      <c r="AH966" s="86"/>
      <c r="AI966" s="86"/>
      <c r="AJ966" s="86"/>
      <c r="AK966" s="87"/>
      <c r="AL966" s="87"/>
      <c r="AM966" s="6"/>
      <c r="AN966" s="73">
        <v>139</v>
      </c>
      <c r="AO966" s="59" t="str">
        <f>IFERROR(((VLOOKUP(Tabla1[[#This Row],[HIPOTESIS_1]],listas!$D$1:$E$105,2,FALSE))),"SIN INFORMACIÓN")</f>
        <v>Impericia en el manejo.</v>
      </c>
      <c r="AP966" s="7"/>
      <c r="AQ966" s="36" t="str">
        <f>IFERROR(((VLOOKUP(Tabla1[[#This Row],[HIPOTESIS_2]],listas!$D$1:$E$105,2,FALSE))),"")</f>
        <v/>
      </c>
      <c r="AR966" s="2" t="str">
        <f>IF(HOUR(Tabla1[[#This Row],[HORA_ACCIDENTE]])&lt;6,"MAÑANA",
 IF(HOUR(Tabla1[[#This Row],[HORA_ACCIDENTE]])&lt;12,"MAÑANA",
 IF(HOUR(Tabla1[[#This Row],[HORA_ACCIDENTE]])&lt;18,"TARDE","NOCHE")))</f>
        <v>TARDE</v>
      </c>
    </row>
    <row r="967" spans="1:44" x14ac:dyDescent="0.25">
      <c r="A967" s="12">
        <v>518</v>
      </c>
      <c r="B967" s="7">
        <v>1</v>
      </c>
      <c r="C967" s="7">
        <v>0</v>
      </c>
      <c r="D967" s="7">
        <v>0</v>
      </c>
      <c r="E967" s="18" t="str">
        <f t="shared" si="60"/>
        <v>SOLO DAÑO</v>
      </c>
      <c r="F967" s="7" t="s">
        <v>222</v>
      </c>
      <c r="G967" s="21">
        <v>5.3496388888888884</v>
      </c>
      <c r="H967" s="48">
        <v>-72.394041666666666</v>
      </c>
      <c r="I967" s="93" t="s">
        <v>697</v>
      </c>
      <c r="J967" s="7" t="s">
        <v>717</v>
      </c>
      <c r="K967" s="24" t="str">
        <f t="shared" si="61"/>
        <v>2023</v>
      </c>
      <c r="L967" s="24" t="str">
        <f t="shared" si="62"/>
        <v>JULIO</v>
      </c>
      <c r="M967" s="232">
        <v>45115</v>
      </c>
      <c r="N967" s="24" t="str">
        <f t="shared" si="63"/>
        <v>SÁBADO</v>
      </c>
      <c r="O967" s="109">
        <v>0.11805555555555557</v>
      </c>
      <c r="P967" s="39" t="s">
        <v>445</v>
      </c>
      <c r="Q967" s="39"/>
      <c r="R967" s="36">
        <f>COUNTIF(Tabla1[[#This Row],[VEHICULOS_ACCIDENTADOS]:[VEHICULOS_ACCIDENTADOS2]],"MOTOCICLETA")</f>
        <v>0</v>
      </c>
      <c r="S967" s="36">
        <f>COUNTIF(Tabla1[[#This Row],[VEHICULOS_ACCIDENTADOS]:[VEHICULOS_ACCIDENTADOS2]],"MOTOCARRO")</f>
        <v>0</v>
      </c>
      <c r="T967" s="36">
        <f>COUNTIF(Tabla1[[#This Row],[VEHICULOS_ACCIDENTADOS]:[VEHICULOS_ACCIDENTADOS2]],"AUTOMOVIL")</f>
        <v>0</v>
      </c>
      <c r="U967" s="36">
        <f>COUNTIF(Tabla1[[#This Row],[VEHICULOS_ACCIDENTADOS]:[VEHICULOS_ACCIDENTADOS2]],"CAMPERO")</f>
        <v>0</v>
      </c>
      <c r="V967" s="36">
        <f>COUNTIF(Tabla1[[#This Row],[VEHICULOS_ACCIDENTADOS]:[VEHICULOS_ACCIDENTADOS2]],"CAMIONETA")</f>
        <v>1</v>
      </c>
      <c r="W967" s="36">
        <f>COUNTIF(Tabla1[[#This Row],[VEHICULOS_ACCIDENTADOS]:[VEHICULOS_ACCIDENTADOS2]],"MICROBUS")</f>
        <v>0</v>
      </c>
      <c r="X967" s="36">
        <f>COUNTIF(Tabla1[[#This Row],[VEHICULOS_ACCIDENTADOS]:[VEHICULOS_ACCIDENTADOS2]],"BUS")</f>
        <v>0</v>
      </c>
      <c r="Y967" s="36">
        <f>COUNTIF(Tabla1[[#This Row],[VEHICULOS_ACCIDENTADOS]:[VEHICULOS_ACCIDENTADOS2]],"BUSETA")</f>
        <v>0</v>
      </c>
      <c r="Z967" s="36">
        <f>COUNTIF(Tabla1[[#This Row],[VEHICULOS_ACCIDENTADOS]:[VEHICULOS_ACCIDENTADOS2]],"CAMION")</f>
        <v>0</v>
      </c>
      <c r="AA967" s="36">
        <f>COUNTIF(Tabla1[[#This Row],[VEHICULOS_ACCIDENTADOS]:[VEHICULOS_ACCIDENTADOS2]],"TRACTOCAMION")</f>
        <v>0</v>
      </c>
      <c r="AB967" s="36">
        <f>COUNTIF(Tabla1[[#This Row],[VEHICULOS_ACCIDENTADOS]:[VEHICULOS_ACCIDENTADOS2]],"VOLQUETA")</f>
        <v>0</v>
      </c>
      <c r="AC967" s="36">
        <f>COUNTIF(Tabla1[[#This Row],[VEHICULOS_ACCIDENTADOS]:[VEHICULOS_ACCIDENTADOS2]],"BICICLETA")</f>
        <v>0</v>
      </c>
      <c r="AD967" s="7" t="s">
        <v>471</v>
      </c>
      <c r="AE967" s="7"/>
      <c r="AF967" s="7">
        <f>COUNTIF(Tabla1[[#This Row],[GENERO_MASCULINO]:[GENERO_FEMENINO]],"MASCULINO")</f>
        <v>1</v>
      </c>
      <c r="AG967" s="36">
        <f>COUNTIF(Tabla1[[#This Row],[GENERO_MASCULINO]:[GENERO_FEMENINO]],"FEMENINO")</f>
        <v>0</v>
      </c>
      <c r="AH967" s="73"/>
      <c r="AI967" s="73"/>
      <c r="AJ967" s="73"/>
      <c r="AK967" s="73"/>
      <c r="AL967" s="73"/>
      <c r="AM967" s="7"/>
      <c r="AN967" s="73">
        <v>1</v>
      </c>
      <c r="AO967" s="36" t="str">
        <f>IFERROR(((VLOOKUP(Tabla1[[#This Row],[HIPOTESIS_1]],listas!$D$1:$E$105,2,FALSE))),"SIN INFORMACIÓN")</f>
        <v>SIN INFORMACIÓN</v>
      </c>
      <c r="AP967" s="7"/>
      <c r="AQ967" s="36" t="str">
        <f>IFERROR(((VLOOKUP(Tabla1[[#This Row],[HIPOTESIS_2]],listas!$D$1:$E$105,2,FALSE))),"")</f>
        <v/>
      </c>
      <c r="AR967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968" spans="1:44" x14ac:dyDescent="0.25">
      <c r="A968" s="12">
        <v>992</v>
      </c>
      <c r="B968" s="152">
        <v>0</v>
      </c>
      <c r="C968" s="47">
        <v>0</v>
      </c>
      <c r="D968" s="24">
        <v>1</v>
      </c>
      <c r="E968" s="18" t="str">
        <f t="shared" si="60"/>
        <v>FALLECIDO</v>
      </c>
      <c r="F968" s="24" t="s">
        <v>8</v>
      </c>
      <c r="G968" s="30">
        <v>5.3173579999999996</v>
      </c>
      <c r="H968" s="246">
        <v>-72.392126000000005</v>
      </c>
      <c r="I968" s="93" t="s">
        <v>697</v>
      </c>
      <c r="J968" s="7" t="s">
        <v>717</v>
      </c>
      <c r="K968" s="24" t="str">
        <f t="shared" si="61"/>
        <v>2025</v>
      </c>
      <c r="L968" s="24" t="str">
        <f t="shared" si="62"/>
        <v>JUNIO</v>
      </c>
      <c r="M968" s="236">
        <v>45823</v>
      </c>
      <c r="N968" s="24" t="str">
        <f t="shared" si="63"/>
        <v>DOMINGO</v>
      </c>
      <c r="O968" s="109">
        <v>0.75</v>
      </c>
      <c r="P968" s="8" t="s">
        <v>469</v>
      </c>
      <c r="Q968" s="8"/>
      <c r="R968" s="36">
        <f>COUNTIF(Tabla1[[#This Row],[VEHICULOS_ACCIDENTADOS]:[VEHICULOS_ACCIDENTADOS2]],"MOTOCICLETA")</f>
        <v>1</v>
      </c>
      <c r="S968" s="36">
        <f>COUNTIF(Tabla1[[#This Row],[VEHICULOS_ACCIDENTADOS]:[VEHICULOS_ACCIDENTADOS2]],"MOTOCARRO")</f>
        <v>0</v>
      </c>
      <c r="T968" s="36">
        <f>COUNTIF(Tabla1[[#This Row],[VEHICULOS_ACCIDENTADOS]:[VEHICULOS_ACCIDENTADOS2]],"AUTOMOVIL")</f>
        <v>0</v>
      </c>
      <c r="U968" s="36">
        <f>COUNTIF(Tabla1[[#This Row],[VEHICULOS_ACCIDENTADOS]:[VEHICULOS_ACCIDENTADOS2]],"CAMPERO")</f>
        <v>0</v>
      </c>
      <c r="V968" s="36">
        <f>COUNTIF(Tabla1[[#This Row],[VEHICULOS_ACCIDENTADOS]:[VEHICULOS_ACCIDENTADOS2]],"CAMIONETA")</f>
        <v>0</v>
      </c>
      <c r="W968" s="36">
        <f>COUNTIF(Tabla1[[#This Row],[VEHICULOS_ACCIDENTADOS]:[VEHICULOS_ACCIDENTADOS2]],"MICROBUS")</f>
        <v>0</v>
      </c>
      <c r="X968" s="36">
        <f>COUNTIF(Tabla1[[#This Row],[VEHICULOS_ACCIDENTADOS]:[VEHICULOS_ACCIDENTADOS2]],"BUS")</f>
        <v>0</v>
      </c>
      <c r="Y968" s="36">
        <f>COUNTIF(Tabla1[[#This Row],[VEHICULOS_ACCIDENTADOS]:[VEHICULOS_ACCIDENTADOS2]],"BUSETA")</f>
        <v>0</v>
      </c>
      <c r="Z968" s="36">
        <f>COUNTIF(Tabla1[[#This Row],[VEHICULOS_ACCIDENTADOS]:[VEHICULOS_ACCIDENTADOS2]],"CAMION")</f>
        <v>0</v>
      </c>
      <c r="AA968" s="36">
        <f>COUNTIF(Tabla1[[#This Row],[VEHICULOS_ACCIDENTADOS]:[VEHICULOS_ACCIDENTADOS2]],"TRACTOCAMION")</f>
        <v>0</v>
      </c>
      <c r="AB968" s="36">
        <f>COUNTIF(Tabla1[[#This Row],[VEHICULOS_ACCIDENTADOS]:[VEHICULOS_ACCIDENTADOS2]],"VOLQUETA")</f>
        <v>0</v>
      </c>
      <c r="AC968" s="36">
        <f>COUNTIF(Tabla1[[#This Row],[VEHICULOS_ACCIDENTADOS]:[VEHICULOS_ACCIDENTADOS2]],"BICICLETA")</f>
        <v>0</v>
      </c>
      <c r="AD968" s="7" t="s">
        <v>471</v>
      </c>
      <c r="AE968" s="7"/>
      <c r="AF968" s="7">
        <f>COUNTIF(Tabla1[[#This Row],[GENERO_MASCULINO]:[GENERO_FEMENINO]],"MASCULINO")</f>
        <v>1</v>
      </c>
      <c r="AG968" s="36">
        <f>COUNTIF(Tabla1[[#This Row],[GENERO_MASCULINO]:[GENERO_FEMENINO]],"FEMENINO")</f>
        <v>0</v>
      </c>
      <c r="AH968" s="86">
        <v>17</v>
      </c>
      <c r="AI968" s="86"/>
      <c r="AJ968" s="86"/>
      <c r="AK968" s="87"/>
      <c r="AL968" s="87"/>
      <c r="AM968" s="6"/>
      <c r="AN968" s="73">
        <v>139</v>
      </c>
      <c r="AO968" s="36" t="str">
        <f>IFERROR(((VLOOKUP(Tabla1[[#This Row],[HIPOTESIS_1]],listas!$D$1:$E$105,2,FALSE))),"SIN INFORMACIÓN")</f>
        <v>Impericia en el manejo.</v>
      </c>
      <c r="AP968" s="7"/>
      <c r="AQ968" s="36" t="str">
        <f>IFERROR(((VLOOKUP(Tabla1[[#This Row],[HIPOTESIS_2]],listas!$D$1:$E$105,2,FALSE))),"")</f>
        <v/>
      </c>
      <c r="AR968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969" spans="1:44" x14ac:dyDescent="0.25">
      <c r="A969" s="12">
        <v>712</v>
      </c>
      <c r="B969" s="7">
        <v>0</v>
      </c>
      <c r="C969" s="7">
        <v>0</v>
      </c>
      <c r="D969" s="42">
        <v>1</v>
      </c>
      <c r="E969" s="18" t="str">
        <f t="shared" si="60"/>
        <v>FALLECIDO</v>
      </c>
      <c r="F969" s="7" t="s">
        <v>142</v>
      </c>
      <c r="G969" s="21">
        <v>5.3162324999999999</v>
      </c>
      <c r="H969" s="21">
        <v>-72.422700555555565</v>
      </c>
      <c r="I969" s="93" t="s">
        <v>697</v>
      </c>
      <c r="J969" s="15" t="s">
        <v>1</v>
      </c>
      <c r="K969" s="24" t="str">
        <f t="shared" si="61"/>
        <v>2024</v>
      </c>
      <c r="L969" s="24" t="str">
        <f t="shared" si="62"/>
        <v>MAYO</v>
      </c>
      <c r="M969" s="232">
        <v>45423</v>
      </c>
      <c r="N969" s="24" t="str">
        <f t="shared" si="63"/>
        <v>SÁBADO</v>
      </c>
      <c r="O969" s="109">
        <v>0.90625</v>
      </c>
      <c r="P969" s="39" t="s">
        <v>469</v>
      </c>
      <c r="Q969" s="39"/>
      <c r="R969" s="36">
        <f>COUNTIF(Tabla1[[#This Row],[VEHICULOS_ACCIDENTADOS]:[VEHICULOS_ACCIDENTADOS2]],"MOTOCICLETA")</f>
        <v>1</v>
      </c>
      <c r="S969" s="36">
        <f>COUNTIF(Tabla1[[#This Row],[VEHICULOS_ACCIDENTADOS]:[VEHICULOS_ACCIDENTADOS2]],"MOTOCARRO")</f>
        <v>0</v>
      </c>
      <c r="T969" s="36">
        <f>COUNTIF(Tabla1[[#This Row],[VEHICULOS_ACCIDENTADOS]:[VEHICULOS_ACCIDENTADOS2]],"AUTOMOVIL")</f>
        <v>0</v>
      </c>
      <c r="U969" s="36">
        <f>COUNTIF(Tabla1[[#This Row],[VEHICULOS_ACCIDENTADOS]:[VEHICULOS_ACCIDENTADOS2]],"CAMPERO")</f>
        <v>0</v>
      </c>
      <c r="V969" s="36">
        <f>COUNTIF(Tabla1[[#This Row],[VEHICULOS_ACCIDENTADOS]:[VEHICULOS_ACCIDENTADOS2]],"CAMIONETA")</f>
        <v>0</v>
      </c>
      <c r="W969" s="36">
        <f>COUNTIF(Tabla1[[#This Row],[VEHICULOS_ACCIDENTADOS]:[VEHICULOS_ACCIDENTADOS2]],"MICROBUS")</f>
        <v>0</v>
      </c>
      <c r="X969" s="36">
        <f>COUNTIF(Tabla1[[#This Row],[VEHICULOS_ACCIDENTADOS]:[VEHICULOS_ACCIDENTADOS2]],"BUS")</f>
        <v>0</v>
      </c>
      <c r="Y969" s="36">
        <f>COUNTIF(Tabla1[[#This Row],[VEHICULOS_ACCIDENTADOS]:[VEHICULOS_ACCIDENTADOS2]],"BUSETA")</f>
        <v>0</v>
      </c>
      <c r="Z969" s="36">
        <f>COUNTIF(Tabla1[[#This Row],[VEHICULOS_ACCIDENTADOS]:[VEHICULOS_ACCIDENTADOS2]],"CAMION")</f>
        <v>0</v>
      </c>
      <c r="AA969" s="36">
        <f>COUNTIF(Tabla1[[#This Row],[VEHICULOS_ACCIDENTADOS]:[VEHICULOS_ACCIDENTADOS2]],"TRACTOCAMION")</f>
        <v>0</v>
      </c>
      <c r="AB969" s="36">
        <f>COUNTIF(Tabla1[[#This Row],[VEHICULOS_ACCIDENTADOS]:[VEHICULOS_ACCIDENTADOS2]],"VOLQUETA")</f>
        <v>0</v>
      </c>
      <c r="AC969" s="36">
        <f>COUNTIF(Tabla1[[#This Row],[VEHICULOS_ACCIDENTADOS]:[VEHICULOS_ACCIDENTADOS2]],"BICICLETA")</f>
        <v>0</v>
      </c>
      <c r="AD969" s="7"/>
      <c r="AE969" s="7" t="s">
        <v>472</v>
      </c>
      <c r="AF969" s="7">
        <f>COUNTIF(Tabla1[[#This Row],[GENERO_MASCULINO]:[GENERO_FEMENINO]],"MASCULINO")</f>
        <v>0</v>
      </c>
      <c r="AG969" s="36">
        <f>COUNTIF(Tabla1[[#This Row],[GENERO_MASCULINO]:[GENERO_FEMENINO]],"FEMENINO")</f>
        <v>1</v>
      </c>
      <c r="AH969" s="73"/>
      <c r="AI969" s="73"/>
      <c r="AJ969" s="73"/>
      <c r="AK969" s="73"/>
      <c r="AL969" s="73"/>
      <c r="AM969" s="7"/>
      <c r="AN969" s="73">
        <v>1</v>
      </c>
      <c r="AO969" s="36" t="str">
        <f>IFERROR(((VLOOKUP(Tabla1[[#This Row],[HIPOTESIS_1]],listas!$D$1:$E$105,2,FALSE))),"SIN INFORMACIÓN")</f>
        <v>SIN INFORMACIÓN</v>
      </c>
      <c r="AP969" s="7"/>
      <c r="AQ969" s="36" t="str">
        <f>IFERROR(((VLOOKUP(Tabla1[[#This Row],[HIPOTESIS_2]],listas!$D$1:$E$105,2,FALSE))),"")</f>
        <v/>
      </c>
      <c r="AR969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970" spans="1:44" x14ac:dyDescent="0.25">
      <c r="A970" s="12">
        <v>448</v>
      </c>
      <c r="B970" s="7">
        <v>0</v>
      </c>
      <c r="C970" s="7">
        <v>0</v>
      </c>
      <c r="D970" s="7">
        <v>1</v>
      </c>
      <c r="E970" s="18" t="str">
        <f t="shared" si="60"/>
        <v>FALLECIDO</v>
      </c>
      <c r="F970" s="7" t="s">
        <v>260</v>
      </c>
      <c r="G970" s="21">
        <v>5.3096555555555556</v>
      </c>
      <c r="H970" s="162">
        <v>-72.257234722222222</v>
      </c>
      <c r="I970" s="93" t="s">
        <v>697</v>
      </c>
      <c r="J970" s="7" t="s">
        <v>1</v>
      </c>
      <c r="K970" s="24" t="str">
        <f t="shared" si="61"/>
        <v>2023</v>
      </c>
      <c r="L970" s="24" t="str">
        <f t="shared" si="62"/>
        <v>ABRIL</v>
      </c>
      <c r="M970" s="232">
        <v>45018</v>
      </c>
      <c r="N970" s="24" t="str">
        <f t="shared" si="63"/>
        <v>DOMINGO</v>
      </c>
      <c r="O970" s="109">
        <v>0.72916666666666663</v>
      </c>
      <c r="P970" s="39" t="s">
        <v>469</v>
      </c>
      <c r="Q970" s="39"/>
      <c r="R970" s="36">
        <f>COUNTIF(Tabla1[[#This Row],[VEHICULOS_ACCIDENTADOS]:[VEHICULOS_ACCIDENTADOS2]],"MOTOCICLETA")</f>
        <v>1</v>
      </c>
      <c r="S970" s="36">
        <f>COUNTIF(Tabla1[[#This Row],[VEHICULOS_ACCIDENTADOS]:[VEHICULOS_ACCIDENTADOS2]],"MOTOCARRO")</f>
        <v>0</v>
      </c>
      <c r="T970" s="36">
        <f>COUNTIF(Tabla1[[#This Row],[VEHICULOS_ACCIDENTADOS]:[VEHICULOS_ACCIDENTADOS2]],"AUTOMOVIL")</f>
        <v>0</v>
      </c>
      <c r="U970" s="36">
        <f>COUNTIF(Tabla1[[#This Row],[VEHICULOS_ACCIDENTADOS]:[VEHICULOS_ACCIDENTADOS2]],"CAMPERO")</f>
        <v>0</v>
      </c>
      <c r="V970" s="36">
        <f>COUNTIF(Tabla1[[#This Row],[VEHICULOS_ACCIDENTADOS]:[VEHICULOS_ACCIDENTADOS2]],"CAMIONETA")</f>
        <v>0</v>
      </c>
      <c r="W970" s="36">
        <f>COUNTIF(Tabla1[[#This Row],[VEHICULOS_ACCIDENTADOS]:[VEHICULOS_ACCIDENTADOS2]],"MICROBUS")</f>
        <v>0</v>
      </c>
      <c r="X970" s="36">
        <f>COUNTIF(Tabla1[[#This Row],[VEHICULOS_ACCIDENTADOS]:[VEHICULOS_ACCIDENTADOS2]],"BUS")</f>
        <v>0</v>
      </c>
      <c r="Y970" s="36">
        <f>COUNTIF(Tabla1[[#This Row],[VEHICULOS_ACCIDENTADOS]:[VEHICULOS_ACCIDENTADOS2]],"BUSETA")</f>
        <v>0</v>
      </c>
      <c r="Z970" s="36">
        <f>COUNTIF(Tabla1[[#This Row],[VEHICULOS_ACCIDENTADOS]:[VEHICULOS_ACCIDENTADOS2]],"CAMION")</f>
        <v>0</v>
      </c>
      <c r="AA970" s="36">
        <f>COUNTIF(Tabla1[[#This Row],[VEHICULOS_ACCIDENTADOS]:[VEHICULOS_ACCIDENTADOS2]],"TRACTOCAMION")</f>
        <v>0</v>
      </c>
      <c r="AB970" s="36">
        <f>COUNTIF(Tabla1[[#This Row],[VEHICULOS_ACCIDENTADOS]:[VEHICULOS_ACCIDENTADOS2]],"VOLQUETA")</f>
        <v>0</v>
      </c>
      <c r="AC970" s="36">
        <f>COUNTIF(Tabla1[[#This Row],[VEHICULOS_ACCIDENTADOS]:[VEHICULOS_ACCIDENTADOS2]],"BICICLETA")</f>
        <v>0</v>
      </c>
      <c r="AD970" s="7"/>
      <c r="AE970" s="7" t="s">
        <v>472</v>
      </c>
      <c r="AF970" s="7">
        <f>COUNTIF(Tabla1[[#This Row],[GENERO_MASCULINO]:[GENERO_FEMENINO]],"MASCULINO")</f>
        <v>0</v>
      </c>
      <c r="AG970" s="36">
        <f>COUNTIF(Tabla1[[#This Row],[GENERO_MASCULINO]:[GENERO_FEMENINO]],"FEMENINO")</f>
        <v>1</v>
      </c>
      <c r="AH970" s="73"/>
      <c r="AI970" s="73"/>
      <c r="AJ970" s="73"/>
      <c r="AK970" s="73"/>
      <c r="AL970" s="73"/>
      <c r="AM970" s="7"/>
      <c r="AN970" s="73">
        <v>1</v>
      </c>
      <c r="AO970" s="36" t="str">
        <f>IFERROR(((VLOOKUP(Tabla1[[#This Row],[HIPOTESIS_1]],listas!$D$1:$E$105,2,FALSE))),"SIN INFORMACIÓN")</f>
        <v>SIN INFORMACIÓN</v>
      </c>
      <c r="AP970" s="7"/>
      <c r="AQ970" s="36" t="str">
        <f>IFERROR(((VLOOKUP(Tabla1[[#This Row],[HIPOTESIS_2]],listas!$D$1:$E$105,2,FALSE))),"")</f>
        <v/>
      </c>
      <c r="AR970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971" spans="1:44" x14ac:dyDescent="0.25">
      <c r="A971" s="12">
        <v>984</v>
      </c>
      <c r="B971" s="24">
        <v>1</v>
      </c>
      <c r="C971" s="24">
        <v>0</v>
      </c>
      <c r="D971" s="24">
        <v>0</v>
      </c>
      <c r="E971" s="18" t="str">
        <f t="shared" si="60"/>
        <v>SOLO DAÑO</v>
      </c>
      <c r="F971" s="24" t="s">
        <v>15</v>
      </c>
      <c r="G971" s="30">
        <v>5.337561</v>
      </c>
      <c r="H971" s="246">
        <v>-72.354636999999997</v>
      </c>
      <c r="I971" s="93" t="s">
        <v>697</v>
      </c>
      <c r="J971" s="7" t="s">
        <v>1</v>
      </c>
      <c r="K971" s="24" t="str">
        <f t="shared" si="61"/>
        <v>2025</v>
      </c>
      <c r="L971" s="24" t="str">
        <f t="shared" si="62"/>
        <v>JUNIO</v>
      </c>
      <c r="M971" s="237">
        <v>45817</v>
      </c>
      <c r="N971" s="24" t="str">
        <f t="shared" si="63"/>
        <v>LUNES</v>
      </c>
      <c r="O971" s="109">
        <v>0.1701388888888889</v>
      </c>
      <c r="P971" s="8" t="s">
        <v>445</v>
      </c>
      <c r="Q971" s="8"/>
      <c r="R971" s="36">
        <f>COUNTIF(Tabla1[[#This Row],[VEHICULOS_ACCIDENTADOS]:[VEHICULOS_ACCIDENTADOS2]],"MOTOCICLETA")</f>
        <v>0</v>
      </c>
      <c r="S971" s="36">
        <f>COUNTIF(Tabla1[[#This Row],[VEHICULOS_ACCIDENTADOS]:[VEHICULOS_ACCIDENTADOS2]],"MOTOCARRO")</f>
        <v>0</v>
      </c>
      <c r="T971" s="36">
        <f>COUNTIF(Tabla1[[#This Row],[VEHICULOS_ACCIDENTADOS]:[VEHICULOS_ACCIDENTADOS2]],"AUTOMOVIL")</f>
        <v>0</v>
      </c>
      <c r="U971" s="36">
        <f>COUNTIF(Tabla1[[#This Row],[VEHICULOS_ACCIDENTADOS]:[VEHICULOS_ACCIDENTADOS2]],"CAMPERO")</f>
        <v>0</v>
      </c>
      <c r="V971" s="36">
        <f>COUNTIF(Tabla1[[#This Row],[VEHICULOS_ACCIDENTADOS]:[VEHICULOS_ACCIDENTADOS2]],"CAMIONETA")</f>
        <v>1</v>
      </c>
      <c r="W971" s="36">
        <f>COUNTIF(Tabla1[[#This Row],[VEHICULOS_ACCIDENTADOS]:[VEHICULOS_ACCIDENTADOS2]],"MICROBUS")</f>
        <v>0</v>
      </c>
      <c r="X971" s="36">
        <f>COUNTIF(Tabla1[[#This Row],[VEHICULOS_ACCIDENTADOS]:[VEHICULOS_ACCIDENTADOS2]],"BUS")</f>
        <v>0</v>
      </c>
      <c r="Y971" s="36">
        <f>COUNTIF(Tabla1[[#This Row],[VEHICULOS_ACCIDENTADOS]:[VEHICULOS_ACCIDENTADOS2]],"BUSETA")</f>
        <v>0</v>
      </c>
      <c r="Z971" s="36">
        <f>COUNTIF(Tabla1[[#This Row],[VEHICULOS_ACCIDENTADOS]:[VEHICULOS_ACCIDENTADOS2]],"CAMION")</f>
        <v>0</v>
      </c>
      <c r="AA971" s="36">
        <f>COUNTIF(Tabla1[[#This Row],[VEHICULOS_ACCIDENTADOS]:[VEHICULOS_ACCIDENTADOS2]],"TRACTOCAMION")</f>
        <v>0</v>
      </c>
      <c r="AB971" s="36">
        <f>COUNTIF(Tabla1[[#This Row],[VEHICULOS_ACCIDENTADOS]:[VEHICULOS_ACCIDENTADOS2]],"VOLQUETA")</f>
        <v>0</v>
      </c>
      <c r="AC971" s="36">
        <f>COUNTIF(Tabla1[[#This Row],[VEHICULOS_ACCIDENTADOS]:[VEHICULOS_ACCIDENTADOS2]],"BICICLETA")</f>
        <v>0</v>
      </c>
      <c r="AD971" s="7" t="s">
        <v>471</v>
      </c>
      <c r="AE971" s="7"/>
      <c r="AF971" s="7">
        <f>COUNTIF(Tabla1[[#This Row],[GENERO_MASCULINO]:[GENERO_FEMENINO]],"MASCULINO")</f>
        <v>1</v>
      </c>
      <c r="AG971" s="36">
        <f>COUNTIF(Tabla1[[#This Row],[GENERO_MASCULINO]:[GENERO_FEMENINO]],"FEMENINO")</f>
        <v>0</v>
      </c>
      <c r="AH971" s="86">
        <v>44</v>
      </c>
      <c r="AI971" s="86"/>
      <c r="AJ971" s="86"/>
      <c r="AK971" s="87"/>
      <c r="AL971" s="87"/>
      <c r="AM971" s="6"/>
      <c r="AN971" s="73">
        <v>157</v>
      </c>
      <c r="AO971" s="36" t="str">
        <f>IFERROR(((VLOOKUP(Tabla1[[#This Row],[HIPOTESIS_1]],listas!$D$1:$E$105,2,FALSE))),"SIN INFORMACIÓN")</f>
        <v>Otra</v>
      </c>
      <c r="AP971" s="7"/>
      <c r="AQ971" s="36" t="str">
        <f>IFERROR(((VLOOKUP(Tabla1[[#This Row],[HIPOTESIS_2]],listas!$D$1:$E$105,2,FALSE))),"")</f>
        <v/>
      </c>
      <c r="AR971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972" spans="1:44" x14ac:dyDescent="0.25">
      <c r="A972" s="12">
        <v>995</v>
      </c>
      <c r="B972" s="24">
        <v>0</v>
      </c>
      <c r="C972" s="24">
        <v>2</v>
      </c>
      <c r="D972" s="24">
        <v>0</v>
      </c>
      <c r="E972" s="18" t="str">
        <f t="shared" si="60"/>
        <v>LESIONADO</v>
      </c>
      <c r="F972" s="24" t="s">
        <v>5</v>
      </c>
      <c r="G972" s="30">
        <v>5.3370280000000001</v>
      </c>
      <c r="H972" s="246">
        <v>-72.341572999999997</v>
      </c>
      <c r="I972" s="93" t="s">
        <v>697</v>
      </c>
      <c r="J972" s="7" t="s">
        <v>1</v>
      </c>
      <c r="K972" s="24" t="str">
        <f t="shared" si="61"/>
        <v>2025</v>
      </c>
      <c r="L972" s="24" t="str">
        <f t="shared" si="62"/>
        <v>JUNIO</v>
      </c>
      <c r="M972" s="237">
        <v>45821</v>
      </c>
      <c r="N972" s="24" t="str">
        <f t="shared" si="63"/>
        <v>VIERNES</v>
      </c>
      <c r="O972" s="109">
        <v>0.38194444444444442</v>
      </c>
      <c r="P972" s="8" t="s">
        <v>469</v>
      </c>
      <c r="Q972" s="8" t="s">
        <v>468</v>
      </c>
      <c r="R972" s="36">
        <f>COUNTIF(Tabla1[[#This Row],[VEHICULOS_ACCIDENTADOS]:[VEHICULOS_ACCIDENTADOS2]],"MOTOCICLETA")</f>
        <v>1</v>
      </c>
      <c r="S972" s="36">
        <f>COUNTIF(Tabla1[[#This Row],[VEHICULOS_ACCIDENTADOS]:[VEHICULOS_ACCIDENTADOS2]],"MOTOCARRO")</f>
        <v>1</v>
      </c>
      <c r="T972" s="36">
        <f>COUNTIF(Tabla1[[#This Row],[VEHICULOS_ACCIDENTADOS]:[VEHICULOS_ACCIDENTADOS2]],"AUTOMOVIL")</f>
        <v>0</v>
      </c>
      <c r="U972" s="36">
        <f>COUNTIF(Tabla1[[#This Row],[VEHICULOS_ACCIDENTADOS]:[VEHICULOS_ACCIDENTADOS2]],"CAMPERO")</f>
        <v>0</v>
      </c>
      <c r="V972" s="36">
        <f>COUNTIF(Tabla1[[#This Row],[VEHICULOS_ACCIDENTADOS]:[VEHICULOS_ACCIDENTADOS2]],"CAMIONETA")</f>
        <v>0</v>
      </c>
      <c r="W972" s="36">
        <f>COUNTIF(Tabla1[[#This Row],[VEHICULOS_ACCIDENTADOS]:[VEHICULOS_ACCIDENTADOS2]],"MICROBUS")</f>
        <v>0</v>
      </c>
      <c r="X972" s="36">
        <f>COUNTIF(Tabla1[[#This Row],[VEHICULOS_ACCIDENTADOS]:[VEHICULOS_ACCIDENTADOS2]],"BUS")</f>
        <v>0</v>
      </c>
      <c r="Y972" s="36">
        <f>COUNTIF(Tabla1[[#This Row],[VEHICULOS_ACCIDENTADOS]:[VEHICULOS_ACCIDENTADOS2]],"BUSETA")</f>
        <v>0</v>
      </c>
      <c r="Z972" s="36">
        <f>COUNTIF(Tabla1[[#This Row],[VEHICULOS_ACCIDENTADOS]:[VEHICULOS_ACCIDENTADOS2]],"CAMION")</f>
        <v>0</v>
      </c>
      <c r="AA972" s="36">
        <f>COUNTIF(Tabla1[[#This Row],[VEHICULOS_ACCIDENTADOS]:[VEHICULOS_ACCIDENTADOS2]],"TRACTOCAMION")</f>
        <v>0</v>
      </c>
      <c r="AB972" s="36">
        <f>COUNTIF(Tabla1[[#This Row],[VEHICULOS_ACCIDENTADOS]:[VEHICULOS_ACCIDENTADOS2]],"VOLQUETA")</f>
        <v>0</v>
      </c>
      <c r="AC972" s="36">
        <f>COUNTIF(Tabla1[[#This Row],[VEHICULOS_ACCIDENTADOS]:[VEHICULOS_ACCIDENTADOS2]],"BICICLETA")</f>
        <v>0</v>
      </c>
      <c r="AD972" s="7" t="s">
        <v>471</v>
      </c>
      <c r="AE972" s="7" t="s">
        <v>471</v>
      </c>
      <c r="AF972" s="7">
        <f>COUNTIF(Tabla1[[#This Row],[GENERO_MASCULINO]:[GENERO_FEMENINO]],"MASCULINO")</f>
        <v>2</v>
      </c>
      <c r="AG972" s="36">
        <f>COUNTIF(Tabla1[[#This Row],[GENERO_MASCULINO]:[GENERO_FEMENINO]],"FEMENINO")</f>
        <v>0</v>
      </c>
      <c r="AH972" s="86">
        <v>28</v>
      </c>
      <c r="AI972" s="86">
        <v>35</v>
      </c>
      <c r="AJ972" s="86"/>
      <c r="AK972" s="87"/>
      <c r="AL972" s="87"/>
      <c r="AM972" s="6"/>
      <c r="AN972" s="73">
        <v>139</v>
      </c>
      <c r="AO972" s="36" t="str">
        <f>IFERROR(((VLOOKUP(Tabla1[[#This Row],[HIPOTESIS_1]],listas!$D$1:$E$105,2,FALSE))),"SIN INFORMACIÓN")</f>
        <v>Impericia en el manejo.</v>
      </c>
      <c r="AP972" s="7"/>
      <c r="AQ972" s="36" t="str">
        <f>IFERROR(((VLOOKUP(Tabla1[[#This Row],[HIPOTESIS_2]],listas!$D$1:$E$105,2,FALSE))),"")</f>
        <v/>
      </c>
      <c r="AR972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973" spans="1:44" x14ac:dyDescent="0.25">
      <c r="A973" s="12">
        <v>500</v>
      </c>
      <c r="B973" s="7">
        <v>0</v>
      </c>
      <c r="C973" s="7">
        <v>1</v>
      </c>
      <c r="D973" s="7">
        <v>0</v>
      </c>
      <c r="E973" s="18" t="str">
        <f t="shared" si="60"/>
        <v>LESIONADO</v>
      </c>
      <c r="F973" s="7" t="s">
        <v>233</v>
      </c>
      <c r="G973" s="21">
        <v>5.3370155555555554</v>
      </c>
      <c r="H973" s="162">
        <v>-72.349864999999994</v>
      </c>
      <c r="I973" s="93" t="s">
        <v>697</v>
      </c>
      <c r="J973" s="7" t="s">
        <v>1</v>
      </c>
      <c r="K973" s="24" t="str">
        <f t="shared" si="61"/>
        <v>2023</v>
      </c>
      <c r="L973" s="24" t="str">
        <f t="shared" si="62"/>
        <v>JUNIO</v>
      </c>
      <c r="M973" s="232">
        <v>45084</v>
      </c>
      <c r="N973" s="24" t="str">
        <f t="shared" si="63"/>
        <v>MIÉRCOLES</v>
      </c>
      <c r="O973" s="109">
        <v>0.2638888888888889</v>
      </c>
      <c r="P973" s="39" t="s">
        <v>469</v>
      </c>
      <c r="Q973" s="39" t="s">
        <v>445</v>
      </c>
      <c r="R973" s="36">
        <f>COUNTIF(Tabla1[[#This Row],[VEHICULOS_ACCIDENTADOS]:[VEHICULOS_ACCIDENTADOS2]],"MOTOCICLETA")</f>
        <v>1</v>
      </c>
      <c r="S973" s="36">
        <f>COUNTIF(Tabla1[[#This Row],[VEHICULOS_ACCIDENTADOS]:[VEHICULOS_ACCIDENTADOS2]],"MOTOCARRO")</f>
        <v>0</v>
      </c>
      <c r="T973" s="36">
        <f>COUNTIF(Tabla1[[#This Row],[VEHICULOS_ACCIDENTADOS]:[VEHICULOS_ACCIDENTADOS2]],"AUTOMOVIL")</f>
        <v>0</v>
      </c>
      <c r="U973" s="36">
        <f>COUNTIF(Tabla1[[#This Row],[VEHICULOS_ACCIDENTADOS]:[VEHICULOS_ACCIDENTADOS2]],"CAMPERO")</f>
        <v>0</v>
      </c>
      <c r="V973" s="36">
        <f>COUNTIF(Tabla1[[#This Row],[VEHICULOS_ACCIDENTADOS]:[VEHICULOS_ACCIDENTADOS2]],"CAMIONETA")</f>
        <v>1</v>
      </c>
      <c r="W973" s="36">
        <f>COUNTIF(Tabla1[[#This Row],[VEHICULOS_ACCIDENTADOS]:[VEHICULOS_ACCIDENTADOS2]],"MICROBUS")</f>
        <v>0</v>
      </c>
      <c r="X973" s="36">
        <f>COUNTIF(Tabla1[[#This Row],[VEHICULOS_ACCIDENTADOS]:[VEHICULOS_ACCIDENTADOS2]],"BUS")</f>
        <v>0</v>
      </c>
      <c r="Y973" s="36">
        <f>COUNTIF(Tabla1[[#This Row],[VEHICULOS_ACCIDENTADOS]:[VEHICULOS_ACCIDENTADOS2]],"BUSETA")</f>
        <v>0</v>
      </c>
      <c r="Z973" s="36">
        <f>COUNTIF(Tabla1[[#This Row],[VEHICULOS_ACCIDENTADOS]:[VEHICULOS_ACCIDENTADOS2]],"CAMION")</f>
        <v>0</v>
      </c>
      <c r="AA973" s="36">
        <f>COUNTIF(Tabla1[[#This Row],[VEHICULOS_ACCIDENTADOS]:[VEHICULOS_ACCIDENTADOS2]],"TRACTOCAMION")</f>
        <v>0</v>
      </c>
      <c r="AB973" s="36">
        <f>COUNTIF(Tabla1[[#This Row],[VEHICULOS_ACCIDENTADOS]:[VEHICULOS_ACCIDENTADOS2]],"VOLQUETA")</f>
        <v>0</v>
      </c>
      <c r="AC973" s="36">
        <f>COUNTIF(Tabla1[[#This Row],[VEHICULOS_ACCIDENTADOS]:[VEHICULOS_ACCIDENTADOS2]],"BICICLETA")</f>
        <v>0</v>
      </c>
      <c r="AD973" s="7" t="s">
        <v>471</v>
      </c>
      <c r="AE973" s="7"/>
      <c r="AF973" s="7">
        <f>COUNTIF(Tabla1[[#This Row],[GENERO_MASCULINO]:[GENERO_FEMENINO]],"MASCULINO")</f>
        <v>1</v>
      </c>
      <c r="AG973" s="36">
        <f>COUNTIF(Tabla1[[#This Row],[GENERO_MASCULINO]:[GENERO_FEMENINO]],"FEMENINO")</f>
        <v>0</v>
      </c>
      <c r="AH973" s="73">
        <v>68</v>
      </c>
      <c r="AI973" s="73"/>
      <c r="AJ973" s="73"/>
      <c r="AK973" s="73"/>
      <c r="AL973" s="73"/>
      <c r="AM973" s="7"/>
      <c r="AN973" s="73">
        <v>104</v>
      </c>
      <c r="AO973" s="36" t="str">
        <f>IFERROR(((VLOOKUP(Tabla1[[#This Row],[HIPOTESIS_1]],listas!$D$1:$E$105,2,FALSE))),"SIN INFORMACIÓN")</f>
        <v>Adelantar invadiendo carril de sentido contrario.</v>
      </c>
      <c r="AP973" s="7"/>
      <c r="AQ973" s="36" t="str">
        <f>IFERROR(((VLOOKUP(Tabla1[[#This Row],[HIPOTESIS_2]],listas!$D$1:$E$105,2,FALSE))),"")</f>
        <v/>
      </c>
      <c r="AR973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974" spans="1:44" x14ac:dyDescent="0.25">
      <c r="A974" s="12">
        <v>968</v>
      </c>
      <c r="B974" s="15">
        <v>0</v>
      </c>
      <c r="C974" s="15">
        <v>0</v>
      </c>
      <c r="D974" s="19">
        <v>1</v>
      </c>
      <c r="E974" s="18" t="str">
        <f t="shared" si="60"/>
        <v>FALLECIDO</v>
      </c>
      <c r="F974" s="15" t="s">
        <v>23</v>
      </c>
      <c r="G974" s="21">
        <v>5.3205400000000003</v>
      </c>
      <c r="H974" s="162">
        <v>-72.416863000000006</v>
      </c>
      <c r="I974" s="94" t="s">
        <v>662</v>
      </c>
      <c r="J974" s="16" t="s">
        <v>1</v>
      </c>
      <c r="K974" s="24" t="str">
        <f t="shared" si="61"/>
        <v>2025</v>
      </c>
      <c r="L974" s="24" t="str">
        <f t="shared" si="62"/>
        <v>MAYO</v>
      </c>
      <c r="M974" s="234">
        <v>45794</v>
      </c>
      <c r="N974" s="24" t="str">
        <f t="shared" si="63"/>
        <v>SÁBADO</v>
      </c>
      <c r="O974" s="110">
        <v>0.5</v>
      </c>
      <c r="P974" s="8" t="s">
        <v>469</v>
      </c>
      <c r="Q974" s="8"/>
      <c r="R974" s="36">
        <f>COUNTIF(Tabla1[[#This Row],[VEHICULOS_ACCIDENTADOS]:[VEHICULOS_ACCIDENTADOS2]],"MOTOCICLETA")</f>
        <v>1</v>
      </c>
      <c r="S974" s="36">
        <f>COUNTIF(Tabla1[[#This Row],[VEHICULOS_ACCIDENTADOS]:[VEHICULOS_ACCIDENTADOS2]],"MOTOCARRO")</f>
        <v>0</v>
      </c>
      <c r="T974" s="36">
        <f>COUNTIF(Tabla1[[#This Row],[VEHICULOS_ACCIDENTADOS]:[VEHICULOS_ACCIDENTADOS2]],"AUTOMOVIL")</f>
        <v>0</v>
      </c>
      <c r="U974" s="36">
        <f>COUNTIF(Tabla1[[#This Row],[VEHICULOS_ACCIDENTADOS]:[VEHICULOS_ACCIDENTADOS2]],"CAMPERO")</f>
        <v>0</v>
      </c>
      <c r="V974" s="36">
        <f>COUNTIF(Tabla1[[#This Row],[VEHICULOS_ACCIDENTADOS]:[VEHICULOS_ACCIDENTADOS2]],"CAMIONETA")</f>
        <v>0</v>
      </c>
      <c r="W974" s="36">
        <f>COUNTIF(Tabla1[[#This Row],[VEHICULOS_ACCIDENTADOS]:[VEHICULOS_ACCIDENTADOS2]],"MICROBUS")</f>
        <v>0</v>
      </c>
      <c r="X974" s="36">
        <f>COUNTIF(Tabla1[[#This Row],[VEHICULOS_ACCIDENTADOS]:[VEHICULOS_ACCIDENTADOS2]],"BUS")</f>
        <v>0</v>
      </c>
      <c r="Y974" s="36">
        <f>COUNTIF(Tabla1[[#This Row],[VEHICULOS_ACCIDENTADOS]:[VEHICULOS_ACCIDENTADOS2]],"BUSETA")</f>
        <v>0</v>
      </c>
      <c r="Z974" s="36">
        <f>COUNTIF(Tabla1[[#This Row],[VEHICULOS_ACCIDENTADOS]:[VEHICULOS_ACCIDENTADOS2]],"CAMION")</f>
        <v>0</v>
      </c>
      <c r="AA974" s="36">
        <f>COUNTIF(Tabla1[[#This Row],[VEHICULOS_ACCIDENTADOS]:[VEHICULOS_ACCIDENTADOS2]],"TRACTOCAMION")</f>
        <v>0</v>
      </c>
      <c r="AB974" s="36">
        <f>COUNTIF(Tabla1[[#This Row],[VEHICULOS_ACCIDENTADOS]:[VEHICULOS_ACCIDENTADOS2]],"VOLQUETA")</f>
        <v>0</v>
      </c>
      <c r="AC974" s="36">
        <f>COUNTIF(Tabla1[[#This Row],[VEHICULOS_ACCIDENTADOS]:[VEHICULOS_ACCIDENTADOS2]],"BICICLETA")</f>
        <v>0</v>
      </c>
      <c r="AD974" s="7"/>
      <c r="AE974" s="7" t="s">
        <v>472</v>
      </c>
      <c r="AF974" s="7">
        <f>COUNTIF(Tabla1[[#This Row],[GENERO_MASCULINO]:[GENERO_FEMENINO]],"MASCULINO")</f>
        <v>0</v>
      </c>
      <c r="AG974" s="36">
        <f>COUNTIF(Tabla1[[#This Row],[GENERO_MASCULINO]:[GENERO_FEMENINO]],"FEMENINO")</f>
        <v>1</v>
      </c>
      <c r="AH974" s="86">
        <v>30</v>
      </c>
      <c r="AI974" s="86"/>
      <c r="AJ974" s="86"/>
      <c r="AK974" s="86"/>
      <c r="AL974" s="87"/>
      <c r="AM974" s="6"/>
      <c r="AN974" s="86">
        <v>139</v>
      </c>
      <c r="AO974" s="36" t="str">
        <f>IFERROR(((VLOOKUP(Tabla1[[#This Row],[HIPOTESIS_1]],listas!$D$1:$E$105,2,FALSE))),"SIN INFORMACIÓN")</f>
        <v>Impericia en el manejo.</v>
      </c>
      <c r="AP974" s="7"/>
      <c r="AQ974" s="36" t="str">
        <f>IFERROR(((VLOOKUP(Tabla1[[#This Row],[HIPOTESIS_2]],listas!$D$1:$E$105,2,FALSE))),"")</f>
        <v/>
      </c>
      <c r="AR974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975" spans="1:44" x14ac:dyDescent="0.25">
      <c r="A975" s="12">
        <v>913</v>
      </c>
      <c r="B975" s="7">
        <v>0</v>
      </c>
      <c r="C975" s="7">
        <v>0</v>
      </c>
      <c r="D975" s="42">
        <v>1</v>
      </c>
      <c r="E975" s="18" t="str">
        <f t="shared" si="60"/>
        <v>FALLECIDO</v>
      </c>
      <c r="F975" s="7" t="s">
        <v>55</v>
      </c>
      <c r="G975" s="37">
        <v>5.3370550000000003</v>
      </c>
      <c r="H975" s="259">
        <v>-72.337442999999993</v>
      </c>
      <c r="I975" s="94" t="s">
        <v>662</v>
      </c>
      <c r="J975" s="37" t="s">
        <v>1</v>
      </c>
      <c r="K975" s="24" t="str">
        <f t="shared" si="61"/>
        <v>2025</v>
      </c>
      <c r="L975" s="24" t="str">
        <f t="shared" si="62"/>
        <v>MARZO</v>
      </c>
      <c r="M975" s="234">
        <v>45745</v>
      </c>
      <c r="N975" s="24" t="str">
        <f t="shared" si="63"/>
        <v>SÁBADO</v>
      </c>
      <c r="O975" s="109">
        <v>0.8125</v>
      </c>
      <c r="P975" s="39" t="s">
        <v>446</v>
      </c>
      <c r="Q975" s="39" t="s">
        <v>469</v>
      </c>
      <c r="R975" s="36">
        <f>COUNTIF(Tabla1[[#This Row],[VEHICULOS_ACCIDENTADOS]:[VEHICULOS_ACCIDENTADOS2]],"MOTOCICLETA")</f>
        <v>1</v>
      </c>
      <c r="S975" s="36">
        <f>COUNTIF(Tabla1[[#This Row],[VEHICULOS_ACCIDENTADOS]:[VEHICULOS_ACCIDENTADOS2]],"MOTOCARRO")</f>
        <v>0</v>
      </c>
      <c r="T975" s="36">
        <f>COUNTIF(Tabla1[[#This Row],[VEHICULOS_ACCIDENTADOS]:[VEHICULOS_ACCIDENTADOS2]],"AUTOMOVIL")</f>
        <v>0</v>
      </c>
      <c r="U975" s="36">
        <f>COUNTIF(Tabla1[[#This Row],[VEHICULOS_ACCIDENTADOS]:[VEHICULOS_ACCIDENTADOS2]],"CAMPERO")</f>
        <v>1</v>
      </c>
      <c r="V975" s="36">
        <f>COUNTIF(Tabla1[[#This Row],[VEHICULOS_ACCIDENTADOS]:[VEHICULOS_ACCIDENTADOS2]],"CAMIONETA")</f>
        <v>0</v>
      </c>
      <c r="W975" s="36">
        <f>COUNTIF(Tabla1[[#This Row],[VEHICULOS_ACCIDENTADOS]:[VEHICULOS_ACCIDENTADOS2]],"MICROBUS")</f>
        <v>0</v>
      </c>
      <c r="X975" s="36">
        <f>COUNTIF(Tabla1[[#This Row],[VEHICULOS_ACCIDENTADOS]:[VEHICULOS_ACCIDENTADOS2]],"BUS")</f>
        <v>0</v>
      </c>
      <c r="Y975" s="36">
        <f>COUNTIF(Tabla1[[#This Row],[VEHICULOS_ACCIDENTADOS]:[VEHICULOS_ACCIDENTADOS2]],"BUSETA")</f>
        <v>0</v>
      </c>
      <c r="Z975" s="36">
        <f>COUNTIF(Tabla1[[#This Row],[VEHICULOS_ACCIDENTADOS]:[VEHICULOS_ACCIDENTADOS2]],"CAMION")</f>
        <v>0</v>
      </c>
      <c r="AA975" s="36">
        <f>COUNTIF(Tabla1[[#This Row],[VEHICULOS_ACCIDENTADOS]:[VEHICULOS_ACCIDENTADOS2]],"TRACTOCAMION")</f>
        <v>0</v>
      </c>
      <c r="AB975" s="36">
        <f>COUNTIF(Tabla1[[#This Row],[VEHICULOS_ACCIDENTADOS]:[VEHICULOS_ACCIDENTADOS2]],"VOLQUETA")</f>
        <v>0</v>
      </c>
      <c r="AC975" s="36">
        <f>COUNTIF(Tabla1[[#This Row],[VEHICULOS_ACCIDENTADOS]:[VEHICULOS_ACCIDENTADOS2]],"BICICLETA")</f>
        <v>0</v>
      </c>
      <c r="AD975" s="7" t="s">
        <v>472</v>
      </c>
      <c r="AE975" s="7" t="s">
        <v>471</v>
      </c>
      <c r="AF975" s="7">
        <f>COUNTIF(Tabla1[[#This Row],[GENERO_MASCULINO]:[GENERO_FEMENINO]],"MASCULINO")</f>
        <v>1</v>
      </c>
      <c r="AG975" s="36">
        <f>COUNTIF(Tabla1[[#This Row],[GENERO_MASCULINO]:[GENERO_FEMENINO]],"FEMENINO")</f>
        <v>1</v>
      </c>
      <c r="AH975" s="86">
        <v>67</v>
      </c>
      <c r="AI975" s="86">
        <v>40</v>
      </c>
      <c r="AJ975" s="86"/>
      <c r="AK975" s="87"/>
      <c r="AL975" s="87"/>
      <c r="AM975" s="6">
        <v>67</v>
      </c>
      <c r="AN975" s="73">
        <v>157</v>
      </c>
      <c r="AO975" s="36" t="str">
        <f>IFERROR(((VLOOKUP(Tabla1[[#This Row],[HIPOTESIS_1]],listas!$D$1:$E$105,2,FALSE))),"SIN INFORMACIÓN")</f>
        <v>Otra</v>
      </c>
      <c r="AP975" s="9"/>
      <c r="AQ975" s="36" t="str">
        <f>IFERROR(((VLOOKUP(Tabla1[[#This Row],[HIPOTESIS_2]],listas!$D$1:$E$105,2,FALSE))),"")</f>
        <v/>
      </c>
      <c r="AR975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976" spans="1:44" x14ac:dyDescent="0.25">
      <c r="A976" s="12">
        <v>426</v>
      </c>
      <c r="B976" s="7">
        <v>0</v>
      </c>
      <c r="C976" s="7">
        <v>0</v>
      </c>
      <c r="D976" s="7">
        <v>1</v>
      </c>
      <c r="E976" s="18" t="str">
        <f t="shared" si="60"/>
        <v>FALLECIDO</v>
      </c>
      <c r="F976" s="7" t="s">
        <v>273</v>
      </c>
      <c r="G976" s="21">
        <v>5.3771202777777773</v>
      </c>
      <c r="H976" s="21">
        <v>-72.363846111111101</v>
      </c>
      <c r="I976" s="94" t="s">
        <v>662</v>
      </c>
      <c r="J976" s="7" t="s">
        <v>1</v>
      </c>
      <c r="K976" s="24" t="str">
        <f t="shared" si="61"/>
        <v>2023</v>
      </c>
      <c r="L976" s="24" t="str">
        <f t="shared" si="62"/>
        <v>MARZO</v>
      </c>
      <c r="M976" s="232">
        <v>44990</v>
      </c>
      <c r="N976" s="24" t="str">
        <f t="shared" si="63"/>
        <v>DOMINGO</v>
      </c>
      <c r="O976" s="109">
        <v>0.86111111111111116</v>
      </c>
      <c r="P976" s="35" t="s">
        <v>447</v>
      </c>
      <c r="Q976" s="35"/>
      <c r="R976" s="36">
        <f>COUNTIF(Tabla1[[#This Row],[VEHICULOS_ACCIDENTADOS]:[VEHICULOS_ACCIDENTADOS2]],"MOTOCICLETA")</f>
        <v>0</v>
      </c>
      <c r="S976" s="36">
        <f>COUNTIF(Tabla1[[#This Row],[VEHICULOS_ACCIDENTADOS]:[VEHICULOS_ACCIDENTADOS2]],"MOTOCARRO")</f>
        <v>0</v>
      </c>
      <c r="T976" s="36">
        <f>COUNTIF(Tabla1[[#This Row],[VEHICULOS_ACCIDENTADOS]:[VEHICULOS_ACCIDENTADOS2]],"AUTOMOVIL")</f>
        <v>1</v>
      </c>
      <c r="U976" s="36">
        <f>COUNTIF(Tabla1[[#This Row],[VEHICULOS_ACCIDENTADOS]:[VEHICULOS_ACCIDENTADOS2]],"CAMPERO")</f>
        <v>0</v>
      </c>
      <c r="V976" s="36">
        <f>COUNTIF(Tabla1[[#This Row],[VEHICULOS_ACCIDENTADOS]:[VEHICULOS_ACCIDENTADOS2]],"CAMIONETA")</f>
        <v>0</v>
      </c>
      <c r="W976" s="36">
        <f>COUNTIF(Tabla1[[#This Row],[VEHICULOS_ACCIDENTADOS]:[VEHICULOS_ACCIDENTADOS2]],"MICROBUS")</f>
        <v>0</v>
      </c>
      <c r="X976" s="36">
        <f>COUNTIF(Tabla1[[#This Row],[VEHICULOS_ACCIDENTADOS]:[VEHICULOS_ACCIDENTADOS2]],"BUS")</f>
        <v>0</v>
      </c>
      <c r="Y976" s="36">
        <f>COUNTIF(Tabla1[[#This Row],[VEHICULOS_ACCIDENTADOS]:[VEHICULOS_ACCIDENTADOS2]],"BUSETA")</f>
        <v>0</v>
      </c>
      <c r="Z976" s="36">
        <f>COUNTIF(Tabla1[[#This Row],[VEHICULOS_ACCIDENTADOS]:[VEHICULOS_ACCIDENTADOS2]],"CAMION")</f>
        <v>0</v>
      </c>
      <c r="AA976" s="36">
        <f>COUNTIF(Tabla1[[#This Row],[VEHICULOS_ACCIDENTADOS]:[VEHICULOS_ACCIDENTADOS2]],"TRACTOCAMION")</f>
        <v>0</v>
      </c>
      <c r="AB976" s="36">
        <f>COUNTIF(Tabla1[[#This Row],[VEHICULOS_ACCIDENTADOS]:[VEHICULOS_ACCIDENTADOS2]],"VOLQUETA")</f>
        <v>0</v>
      </c>
      <c r="AC976" s="36">
        <f>COUNTIF(Tabla1[[#This Row],[VEHICULOS_ACCIDENTADOS]:[VEHICULOS_ACCIDENTADOS2]],"BICICLETA")</f>
        <v>0</v>
      </c>
      <c r="AD976" s="9" t="s">
        <v>471</v>
      </c>
      <c r="AE976" s="9"/>
      <c r="AF976" s="9">
        <f>COUNTIF(Tabla1[[#This Row],[GENERO_MASCULINO]:[GENERO_FEMENINO]],"MASCULINO")</f>
        <v>1</v>
      </c>
      <c r="AG976" s="36">
        <f>COUNTIF(Tabla1[[#This Row],[GENERO_MASCULINO]:[GENERO_FEMENINO]],"FEMENINO")</f>
        <v>0</v>
      </c>
      <c r="AH976" s="75"/>
      <c r="AI976" s="75"/>
      <c r="AJ976" s="75"/>
      <c r="AK976" s="75"/>
      <c r="AL976" s="75"/>
      <c r="AM976" s="9">
        <v>53</v>
      </c>
      <c r="AN976" s="75">
        <v>157</v>
      </c>
      <c r="AO976" s="36" t="str">
        <f>IFERROR(((VLOOKUP(Tabla1[[#This Row],[HIPOTESIS_1]],listas!$D$1:$E$105,2,FALSE))),"SIN INFORMACIÓN")</f>
        <v>Otra</v>
      </c>
      <c r="AP976" s="9"/>
      <c r="AQ976" s="36" t="str">
        <f>IFERROR(((VLOOKUP(Tabla1[[#This Row],[HIPOTESIS_2]],listas!$D$1:$E$105,2,FALSE))),"")</f>
        <v/>
      </c>
      <c r="AR976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977" spans="1:44" x14ac:dyDescent="0.25">
      <c r="A977" s="12">
        <v>478</v>
      </c>
      <c r="B977" s="7">
        <v>0</v>
      </c>
      <c r="C977" s="7">
        <v>0</v>
      </c>
      <c r="D977" s="7">
        <v>1</v>
      </c>
      <c r="E977" s="18" t="str">
        <f t="shared" si="60"/>
        <v>FALLECIDO</v>
      </c>
      <c r="F977" s="7" t="s">
        <v>246</v>
      </c>
      <c r="G977" s="21">
        <v>5.3217042000000001</v>
      </c>
      <c r="H977" s="21">
        <v>-72.415500699999996</v>
      </c>
      <c r="I977" s="94" t="s">
        <v>662</v>
      </c>
      <c r="J977" s="7" t="s">
        <v>1</v>
      </c>
      <c r="K977" s="24" t="str">
        <f t="shared" si="61"/>
        <v>2023</v>
      </c>
      <c r="L977" s="24" t="str">
        <f t="shared" si="62"/>
        <v>MAYO</v>
      </c>
      <c r="M977" s="232">
        <v>45062</v>
      </c>
      <c r="N977" s="24" t="str">
        <f t="shared" si="63"/>
        <v>MARTES</v>
      </c>
      <c r="O977" s="106">
        <v>0.17361111111111113</v>
      </c>
      <c r="P977" s="39" t="s">
        <v>469</v>
      </c>
      <c r="Q977" s="39"/>
      <c r="R977" s="36">
        <f>COUNTIF(Tabla1[[#This Row],[VEHICULOS_ACCIDENTADOS]:[VEHICULOS_ACCIDENTADOS2]],"MOTOCICLETA")</f>
        <v>1</v>
      </c>
      <c r="S977" s="36">
        <f>COUNTIF(Tabla1[[#This Row],[VEHICULOS_ACCIDENTADOS]:[VEHICULOS_ACCIDENTADOS2]],"MOTOCARRO")</f>
        <v>0</v>
      </c>
      <c r="T977" s="36">
        <f>COUNTIF(Tabla1[[#This Row],[VEHICULOS_ACCIDENTADOS]:[VEHICULOS_ACCIDENTADOS2]],"AUTOMOVIL")</f>
        <v>0</v>
      </c>
      <c r="U977" s="36">
        <f>COUNTIF(Tabla1[[#This Row],[VEHICULOS_ACCIDENTADOS]:[VEHICULOS_ACCIDENTADOS2]],"CAMPERO")</f>
        <v>0</v>
      </c>
      <c r="V977" s="36">
        <f>COUNTIF(Tabla1[[#This Row],[VEHICULOS_ACCIDENTADOS]:[VEHICULOS_ACCIDENTADOS2]],"CAMIONETA")</f>
        <v>0</v>
      </c>
      <c r="W977" s="36">
        <f>COUNTIF(Tabla1[[#This Row],[VEHICULOS_ACCIDENTADOS]:[VEHICULOS_ACCIDENTADOS2]],"MICROBUS")</f>
        <v>0</v>
      </c>
      <c r="X977" s="36">
        <f>COUNTIF(Tabla1[[#This Row],[VEHICULOS_ACCIDENTADOS]:[VEHICULOS_ACCIDENTADOS2]],"BUS")</f>
        <v>0</v>
      </c>
      <c r="Y977" s="36">
        <f>COUNTIF(Tabla1[[#This Row],[VEHICULOS_ACCIDENTADOS]:[VEHICULOS_ACCIDENTADOS2]],"BUSETA")</f>
        <v>0</v>
      </c>
      <c r="Z977" s="36">
        <f>COUNTIF(Tabla1[[#This Row],[VEHICULOS_ACCIDENTADOS]:[VEHICULOS_ACCIDENTADOS2]],"CAMION")</f>
        <v>0</v>
      </c>
      <c r="AA977" s="36">
        <f>COUNTIF(Tabla1[[#This Row],[VEHICULOS_ACCIDENTADOS]:[VEHICULOS_ACCIDENTADOS2]],"TRACTOCAMION")</f>
        <v>0</v>
      </c>
      <c r="AB977" s="36">
        <f>COUNTIF(Tabla1[[#This Row],[VEHICULOS_ACCIDENTADOS]:[VEHICULOS_ACCIDENTADOS2]],"VOLQUETA")</f>
        <v>0</v>
      </c>
      <c r="AC977" s="36">
        <f>COUNTIF(Tabla1[[#This Row],[VEHICULOS_ACCIDENTADOS]:[VEHICULOS_ACCIDENTADOS2]],"BICICLETA")</f>
        <v>0</v>
      </c>
      <c r="AD977" s="7" t="s">
        <v>471</v>
      </c>
      <c r="AE977" s="7"/>
      <c r="AF977" s="7">
        <f>COUNTIF(Tabla1[[#This Row],[GENERO_MASCULINO]:[GENERO_FEMENINO]],"MASCULINO")</f>
        <v>1</v>
      </c>
      <c r="AG977" s="36">
        <f>COUNTIF(Tabla1[[#This Row],[GENERO_MASCULINO]:[GENERO_FEMENINO]],"FEMENINO")</f>
        <v>0</v>
      </c>
      <c r="AH977" s="73"/>
      <c r="AI977" s="73"/>
      <c r="AJ977" s="73"/>
      <c r="AK977" s="73"/>
      <c r="AL977" s="73"/>
      <c r="AM977" s="7">
        <v>29</v>
      </c>
      <c r="AN977" s="73">
        <v>116</v>
      </c>
      <c r="AO977" s="36" t="str">
        <f>IFERROR(((VLOOKUP(Tabla1[[#This Row],[HIPOTESIS_1]],listas!$D$1:$E$105,2,FALSE))),"SIN INFORMACIÓN")</f>
        <v>Exceso de velocidad</v>
      </c>
      <c r="AP977" s="7"/>
      <c r="AQ977" s="36" t="str">
        <f>IFERROR(((VLOOKUP(Tabla1[[#This Row],[HIPOTESIS_2]],listas!$D$1:$E$105,2,FALSE))),"")</f>
        <v/>
      </c>
      <c r="AR977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978" spans="1:44" x14ac:dyDescent="0.25">
      <c r="A978" s="12">
        <v>388</v>
      </c>
      <c r="B978" s="7">
        <v>0</v>
      </c>
      <c r="C978" s="7">
        <v>0</v>
      </c>
      <c r="D978" s="7">
        <v>1</v>
      </c>
      <c r="E978" s="18" t="str">
        <f t="shared" si="60"/>
        <v>FALLECIDO</v>
      </c>
      <c r="F978" s="7" t="s">
        <v>1019</v>
      </c>
      <c r="G978" s="21">
        <v>5.3711272222222215</v>
      </c>
      <c r="H978" s="21">
        <v>-72.472857222222231</v>
      </c>
      <c r="I978" s="94" t="s">
        <v>662</v>
      </c>
      <c r="J978" s="7" t="s">
        <v>1</v>
      </c>
      <c r="K978" s="24" t="str">
        <f t="shared" si="61"/>
        <v>2023</v>
      </c>
      <c r="L978" s="24" t="str">
        <f t="shared" si="62"/>
        <v>ENERO</v>
      </c>
      <c r="M978" s="232">
        <v>44939</v>
      </c>
      <c r="N978" s="24" t="str">
        <f t="shared" si="63"/>
        <v>VIERNES</v>
      </c>
      <c r="O978" s="106">
        <v>0.71527777777777801</v>
      </c>
      <c r="P978" s="39" t="s">
        <v>469</v>
      </c>
      <c r="Q978" s="39"/>
      <c r="R978" s="36">
        <f>COUNTIF(Tabla1[[#This Row],[VEHICULOS_ACCIDENTADOS]:[VEHICULOS_ACCIDENTADOS2]],"MOTOCICLETA")</f>
        <v>1</v>
      </c>
      <c r="S978" s="36">
        <f>COUNTIF(Tabla1[[#This Row],[VEHICULOS_ACCIDENTADOS]:[VEHICULOS_ACCIDENTADOS2]],"MOTOCARRO")</f>
        <v>0</v>
      </c>
      <c r="T978" s="36">
        <f>COUNTIF(Tabla1[[#This Row],[VEHICULOS_ACCIDENTADOS]:[VEHICULOS_ACCIDENTADOS2]],"AUTOMOVIL")</f>
        <v>0</v>
      </c>
      <c r="U978" s="36">
        <f>COUNTIF(Tabla1[[#This Row],[VEHICULOS_ACCIDENTADOS]:[VEHICULOS_ACCIDENTADOS2]],"CAMPERO")</f>
        <v>0</v>
      </c>
      <c r="V978" s="36">
        <f>COUNTIF(Tabla1[[#This Row],[VEHICULOS_ACCIDENTADOS]:[VEHICULOS_ACCIDENTADOS2]],"CAMIONETA")</f>
        <v>0</v>
      </c>
      <c r="W978" s="36">
        <f>COUNTIF(Tabla1[[#This Row],[VEHICULOS_ACCIDENTADOS]:[VEHICULOS_ACCIDENTADOS2]],"MICROBUS")</f>
        <v>0</v>
      </c>
      <c r="X978" s="36">
        <f>COUNTIF(Tabla1[[#This Row],[VEHICULOS_ACCIDENTADOS]:[VEHICULOS_ACCIDENTADOS2]],"BUS")</f>
        <v>0</v>
      </c>
      <c r="Y978" s="36">
        <f>COUNTIF(Tabla1[[#This Row],[VEHICULOS_ACCIDENTADOS]:[VEHICULOS_ACCIDENTADOS2]],"BUSETA")</f>
        <v>0</v>
      </c>
      <c r="Z978" s="36">
        <f>COUNTIF(Tabla1[[#This Row],[VEHICULOS_ACCIDENTADOS]:[VEHICULOS_ACCIDENTADOS2]],"CAMION")</f>
        <v>0</v>
      </c>
      <c r="AA978" s="36">
        <f>COUNTIF(Tabla1[[#This Row],[VEHICULOS_ACCIDENTADOS]:[VEHICULOS_ACCIDENTADOS2]],"TRACTOCAMION")</f>
        <v>0</v>
      </c>
      <c r="AB978" s="36">
        <f>COUNTIF(Tabla1[[#This Row],[VEHICULOS_ACCIDENTADOS]:[VEHICULOS_ACCIDENTADOS2]],"VOLQUETA")</f>
        <v>0</v>
      </c>
      <c r="AC978" s="36">
        <f>COUNTIF(Tabla1[[#This Row],[VEHICULOS_ACCIDENTADOS]:[VEHICULOS_ACCIDENTADOS2]],"BICICLETA")</f>
        <v>0</v>
      </c>
      <c r="AD978" s="7" t="s">
        <v>471</v>
      </c>
      <c r="AE978" s="7"/>
      <c r="AF978" s="7">
        <f>COUNTIF(Tabla1[[#This Row],[GENERO_MASCULINO]:[GENERO_FEMENINO]],"MASCULINO")</f>
        <v>1</v>
      </c>
      <c r="AG978" s="36">
        <f>COUNTIF(Tabla1[[#This Row],[GENERO_MASCULINO]:[GENERO_FEMENINO]],"FEMENINO")</f>
        <v>0</v>
      </c>
      <c r="AH978" s="73"/>
      <c r="AI978" s="73"/>
      <c r="AJ978" s="73"/>
      <c r="AK978" s="73"/>
      <c r="AL978" s="73"/>
      <c r="AM978" s="7">
        <v>17</v>
      </c>
      <c r="AN978" s="73">
        <v>116</v>
      </c>
      <c r="AO978" s="36" t="str">
        <f>IFERROR(((VLOOKUP(Tabla1[[#This Row],[HIPOTESIS_1]],listas!$D$1:$E$105,2,FALSE))),"SIN INFORMACIÓN")</f>
        <v>Exceso de velocidad</v>
      </c>
      <c r="AP978" s="7"/>
      <c r="AQ978" s="36" t="str">
        <f>IFERROR(((VLOOKUP(Tabla1[[#This Row],[HIPOTESIS_2]],listas!$D$1:$E$105,2,FALSE))),"")</f>
        <v/>
      </c>
      <c r="AR978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979" spans="1:44" x14ac:dyDescent="0.25">
      <c r="A979" s="12">
        <v>981</v>
      </c>
      <c r="B979" s="24">
        <v>0</v>
      </c>
      <c r="C979" s="24">
        <v>0</v>
      </c>
      <c r="D979" s="24">
        <v>1</v>
      </c>
      <c r="E979" s="18" t="str">
        <f t="shared" si="60"/>
        <v>FALLECIDO</v>
      </c>
      <c r="F979" s="24" t="s">
        <v>711</v>
      </c>
      <c r="G979" s="30">
        <v>5.4047179999999999</v>
      </c>
      <c r="H979" s="30">
        <v>-72.320577</v>
      </c>
      <c r="I979" s="94" t="s">
        <v>662</v>
      </c>
      <c r="J979" s="7" t="s">
        <v>1</v>
      </c>
      <c r="K979" s="24" t="str">
        <f t="shared" si="61"/>
        <v>2025</v>
      </c>
      <c r="L979" s="24" t="str">
        <f t="shared" si="62"/>
        <v>JUNIO</v>
      </c>
      <c r="M979" s="236">
        <v>45815</v>
      </c>
      <c r="N979" s="24" t="str">
        <f t="shared" si="63"/>
        <v>SÁBADO</v>
      </c>
      <c r="O979" s="106">
        <v>0.22222222222222221</v>
      </c>
      <c r="P979" s="8" t="s">
        <v>469</v>
      </c>
      <c r="Q979" s="8"/>
      <c r="R979" s="36">
        <f>COUNTIF(Tabla1[[#This Row],[VEHICULOS_ACCIDENTADOS]:[VEHICULOS_ACCIDENTADOS2]],"MOTOCICLETA")</f>
        <v>1</v>
      </c>
      <c r="S979" s="36">
        <f>COUNTIF(Tabla1[[#This Row],[VEHICULOS_ACCIDENTADOS]:[VEHICULOS_ACCIDENTADOS2]],"MOTOCARRO")</f>
        <v>0</v>
      </c>
      <c r="T979" s="36">
        <f>COUNTIF(Tabla1[[#This Row],[VEHICULOS_ACCIDENTADOS]:[VEHICULOS_ACCIDENTADOS2]],"AUTOMOVIL")</f>
        <v>0</v>
      </c>
      <c r="U979" s="36">
        <f>COUNTIF(Tabla1[[#This Row],[VEHICULOS_ACCIDENTADOS]:[VEHICULOS_ACCIDENTADOS2]],"CAMPERO")</f>
        <v>0</v>
      </c>
      <c r="V979" s="36">
        <f>COUNTIF(Tabla1[[#This Row],[VEHICULOS_ACCIDENTADOS]:[VEHICULOS_ACCIDENTADOS2]],"CAMIONETA")</f>
        <v>0</v>
      </c>
      <c r="W979" s="36">
        <f>COUNTIF(Tabla1[[#This Row],[VEHICULOS_ACCIDENTADOS]:[VEHICULOS_ACCIDENTADOS2]],"MICROBUS")</f>
        <v>0</v>
      </c>
      <c r="X979" s="36">
        <f>COUNTIF(Tabla1[[#This Row],[VEHICULOS_ACCIDENTADOS]:[VEHICULOS_ACCIDENTADOS2]],"BUS")</f>
        <v>0</v>
      </c>
      <c r="Y979" s="36">
        <f>COUNTIF(Tabla1[[#This Row],[VEHICULOS_ACCIDENTADOS]:[VEHICULOS_ACCIDENTADOS2]],"BUSETA")</f>
        <v>0</v>
      </c>
      <c r="Z979" s="36">
        <f>COUNTIF(Tabla1[[#This Row],[VEHICULOS_ACCIDENTADOS]:[VEHICULOS_ACCIDENTADOS2]],"CAMION")</f>
        <v>0</v>
      </c>
      <c r="AA979" s="36">
        <f>COUNTIF(Tabla1[[#This Row],[VEHICULOS_ACCIDENTADOS]:[VEHICULOS_ACCIDENTADOS2]],"TRACTOCAMION")</f>
        <v>0</v>
      </c>
      <c r="AB979" s="36">
        <f>COUNTIF(Tabla1[[#This Row],[VEHICULOS_ACCIDENTADOS]:[VEHICULOS_ACCIDENTADOS2]],"VOLQUETA")</f>
        <v>0</v>
      </c>
      <c r="AC979" s="36">
        <f>COUNTIF(Tabla1[[#This Row],[VEHICULOS_ACCIDENTADOS]:[VEHICULOS_ACCIDENTADOS2]],"BICICLETA")</f>
        <v>0</v>
      </c>
      <c r="AD979" s="7" t="s">
        <v>471</v>
      </c>
      <c r="AE979" s="7"/>
      <c r="AF979" s="7">
        <f>COUNTIF(Tabla1[[#This Row],[GENERO_MASCULINO]:[GENERO_FEMENINO]],"MASCULINO")</f>
        <v>1</v>
      </c>
      <c r="AG979" s="36">
        <f>COUNTIF(Tabla1[[#This Row],[GENERO_MASCULINO]:[GENERO_FEMENINO]],"FEMENINO")</f>
        <v>0</v>
      </c>
      <c r="AH979" s="86">
        <v>25</v>
      </c>
      <c r="AI979" s="86"/>
      <c r="AJ979" s="86"/>
      <c r="AK979" s="87"/>
      <c r="AL979" s="87"/>
      <c r="AM979" s="6"/>
      <c r="AN979" s="73">
        <v>139</v>
      </c>
      <c r="AO979" s="36" t="str">
        <f>IFERROR(((VLOOKUP(Tabla1[[#This Row],[HIPOTESIS_1]],listas!$D$1:$E$105,2,FALSE))),"SIN INFORMACIÓN")</f>
        <v>Impericia en el manejo.</v>
      </c>
      <c r="AP979" s="7"/>
      <c r="AQ979" s="36" t="str">
        <f>IFERROR(((VLOOKUP(Tabla1[[#This Row],[HIPOTESIS_2]],listas!$D$1:$E$105,2,FALSE))),"")</f>
        <v/>
      </c>
      <c r="AR979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980" spans="1:44" x14ac:dyDescent="0.25">
      <c r="A980" s="12">
        <v>497</v>
      </c>
      <c r="B980" s="7">
        <v>0</v>
      </c>
      <c r="C980" s="7">
        <v>2</v>
      </c>
      <c r="D980" s="7">
        <v>0</v>
      </c>
      <c r="E980" s="18" t="str">
        <f t="shared" si="60"/>
        <v>LESIONADO</v>
      </c>
      <c r="F980" s="7" t="s">
        <v>235</v>
      </c>
      <c r="G980" s="21">
        <v>5.4528530555555559</v>
      </c>
      <c r="H980" s="21">
        <v>-72.456541666666666</v>
      </c>
      <c r="I980" s="93" t="s">
        <v>697</v>
      </c>
      <c r="J980" s="7" t="s">
        <v>717</v>
      </c>
      <c r="K980" s="24" t="str">
        <f t="shared" si="61"/>
        <v>2023</v>
      </c>
      <c r="L980" s="24" t="str">
        <f t="shared" si="62"/>
        <v>JUNIO</v>
      </c>
      <c r="M980" s="232">
        <v>45081</v>
      </c>
      <c r="N980" s="24" t="str">
        <f t="shared" si="63"/>
        <v>DOMINGO</v>
      </c>
      <c r="O980" s="106">
        <v>0.28472222222222221</v>
      </c>
      <c r="P980" s="39" t="s">
        <v>469</v>
      </c>
      <c r="Q980" s="39" t="s">
        <v>469</v>
      </c>
      <c r="R980" s="36">
        <f>COUNTIF(Tabla1[[#This Row],[VEHICULOS_ACCIDENTADOS]:[VEHICULOS_ACCIDENTADOS2]],"MOTOCICLETA")</f>
        <v>2</v>
      </c>
      <c r="S980" s="36">
        <f>COUNTIF(Tabla1[[#This Row],[VEHICULOS_ACCIDENTADOS]:[VEHICULOS_ACCIDENTADOS2]],"MOTOCARRO")</f>
        <v>0</v>
      </c>
      <c r="T980" s="36">
        <f>COUNTIF(Tabla1[[#This Row],[VEHICULOS_ACCIDENTADOS]:[VEHICULOS_ACCIDENTADOS2]],"AUTOMOVIL")</f>
        <v>0</v>
      </c>
      <c r="U980" s="36">
        <f>COUNTIF(Tabla1[[#This Row],[VEHICULOS_ACCIDENTADOS]:[VEHICULOS_ACCIDENTADOS2]],"CAMPERO")</f>
        <v>0</v>
      </c>
      <c r="V980" s="36">
        <f>COUNTIF(Tabla1[[#This Row],[VEHICULOS_ACCIDENTADOS]:[VEHICULOS_ACCIDENTADOS2]],"CAMIONETA")</f>
        <v>0</v>
      </c>
      <c r="W980" s="36">
        <f>COUNTIF(Tabla1[[#This Row],[VEHICULOS_ACCIDENTADOS]:[VEHICULOS_ACCIDENTADOS2]],"MICROBUS")</f>
        <v>0</v>
      </c>
      <c r="X980" s="36">
        <f>COUNTIF(Tabla1[[#This Row],[VEHICULOS_ACCIDENTADOS]:[VEHICULOS_ACCIDENTADOS2]],"BUS")</f>
        <v>0</v>
      </c>
      <c r="Y980" s="36">
        <f>COUNTIF(Tabla1[[#This Row],[VEHICULOS_ACCIDENTADOS]:[VEHICULOS_ACCIDENTADOS2]],"BUSETA")</f>
        <v>0</v>
      </c>
      <c r="Z980" s="36">
        <f>COUNTIF(Tabla1[[#This Row],[VEHICULOS_ACCIDENTADOS]:[VEHICULOS_ACCIDENTADOS2]],"CAMION")</f>
        <v>0</v>
      </c>
      <c r="AA980" s="36">
        <f>COUNTIF(Tabla1[[#This Row],[VEHICULOS_ACCIDENTADOS]:[VEHICULOS_ACCIDENTADOS2]],"TRACTOCAMION")</f>
        <v>0</v>
      </c>
      <c r="AB980" s="36">
        <f>COUNTIF(Tabla1[[#This Row],[VEHICULOS_ACCIDENTADOS]:[VEHICULOS_ACCIDENTADOS2]],"VOLQUETA")</f>
        <v>0</v>
      </c>
      <c r="AC980" s="36">
        <f>COUNTIF(Tabla1[[#This Row],[VEHICULOS_ACCIDENTADOS]:[VEHICULOS_ACCIDENTADOS2]],"BICICLETA")</f>
        <v>0</v>
      </c>
      <c r="AD980" s="7" t="s">
        <v>471</v>
      </c>
      <c r="AE980" s="7" t="s">
        <v>472</v>
      </c>
      <c r="AF980" s="7">
        <f>COUNTIF(Tabla1[[#This Row],[GENERO_MASCULINO]:[GENERO_FEMENINO]],"MASCULINO")</f>
        <v>1</v>
      </c>
      <c r="AG980" s="36">
        <f>COUNTIF(Tabla1[[#This Row],[GENERO_MASCULINO]:[GENERO_FEMENINO]],"FEMENINO")</f>
        <v>1</v>
      </c>
      <c r="AH980" s="73">
        <v>30</v>
      </c>
      <c r="AI980" s="73">
        <v>30</v>
      </c>
      <c r="AJ980" s="73"/>
      <c r="AK980" s="73"/>
      <c r="AL980" s="73"/>
      <c r="AM980" s="7"/>
      <c r="AN980" s="73">
        <v>115</v>
      </c>
      <c r="AO980" s="36" t="str">
        <f>IFERROR(((VLOOKUP(Tabla1[[#This Row],[HIPOTESIS_1]],listas!$D$1:$E$105,2,FALSE))),"SIN INFORMACIÓN")</f>
        <v>Embriaguez o Sustancias alucinogenas</v>
      </c>
      <c r="AP980" s="7"/>
      <c r="AQ980" s="36" t="str">
        <f>IFERROR(((VLOOKUP(Tabla1[[#This Row],[HIPOTESIS_2]],listas!$D$1:$E$105,2,FALSE))),"")</f>
        <v/>
      </c>
      <c r="AR980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981" spans="1:44" x14ac:dyDescent="0.25">
      <c r="A981" s="12">
        <v>893</v>
      </c>
      <c r="B981" s="42">
        <v>0</v>
      </c>
      <c r="C981" s="143">
        <v>0</v>
      </c>
      <c r="D981" s="19">
        <v>2</v>
      </c>
      <c r="E981" s="18" t="str">
        <f t="shared" si="60"/>
        <v>FALLECIDO</v>
      </c>
      <c r="F981" s="19" t="s">
        <v>705</v>
      </c>
      <c r="G981" s="45">
        <v>5.4104710000000003</v>
      </c>
      <c r="H981" s="45">
        <v>-72.306315999999995</v>
      </c>
      <c r="I981" s="166" t="s">
        <v>662</v>
      </c>
      <c r="J981" s="45" t="s">
        <v>1</v>
      </c>
      <c r="K981" s="24" t="str">
        <f t="shared" si="61"/>
        <v>2025</v>
      </c>
      <c r="L981" s="24" t="str">
        <f t="shared" si="62"/>
        <v>MARZO</v>
      </c>
      <c r="M981" s="235">
        <v>45724</v>
      </c>
      <c r="N981" s="24" t="str">
        <f t="shared" si="63"/>
        <v>SÁBADO</v>
      </c>
      <c r="O981" s="108">
        <v>0.2638888888888889</v>
      </c>
      <c r="P981" s="95" t="s">
        <v>447</v>
      </c>
      <c r="Q981" s="95"/>
      <c r="R981" s="36">
        <f>COUNTIF(Tabla1[[#This Row],[VEHICULOS_ACCIDENTADOS]:[VEHICULOS_ACCIDENTADOS2]],"MOTOCICLETA")</f>
        <v>0</v>
      </c>
      <c r="S981" s="36">
        <f>COUNTIF(Tabla1[[#This Row],[VEHICULOS_ACCIDENTADOS]:[VEHICULOS_ACCIDENTADOS2]],"MOTOCARRO")</f>
        <v>0</v>
      </c>
      <c r="T981" s="36">
        <f>COUNTIF(Tabla1[[#This Row],[VEHICULOS_ACCIDENTADOS]:[VEHICULOS_ACCIDENTADOS2]],"AUTOMOVIL")</f>
        <v>1</v>
      </c>
      <c r="U981" s="36">
        <f>COUNTIF(Tabla1[[#This Row],[VEHICULOS_ACCIDENTADOS]:[VEHICULOS_ACCIDENTADOS2]],"CAMPERO")</f>
        <v>0</v>
      </c>
      <c r="V981" s="36">
        <f>COUNTIF(Tabla1[[#This Row],[VEHICULOS_ACCIDENTADOS]:[VEHICULOS_ACCIDENTADOS2]],"CAMIONETA")</f>
        <v>0</v>
      </c>
      <c r="W981" s="36">
        <f>COUNTIF(Tabla1[[#This Row],[VEHICULOS_ACCIDENTADOS]:[VEHICULOS_ACCIDENTADOS2]],"MICROBUS")</f>
        <v>0</v>
      </c>
      <c r="X981" s="36">
        <f>COUNTIF(Tabla1[[#This Row],[VEHICULOS_ACCIDENTADOS]:[VEHICULOS_ACCIDENTADOS2]],"BUS")</f>
        <v>0</v>
      </c>
      <c r="Y981" s="36">
        <f>COUNTIF(Tabla1[[#This Row],[VEHICULOS_ACCIDENTADOS]:[VEHICULOS_ACCIDENTADOS2]],"BUSETA")</f>
        <v>0</v>
      </c>
      <c r="Z981" s="36">
        <f>COUNTIF(Tabla1[[#This Row],[VEHICULOS_ACCIDENTADOS]:[VEHICULOS_ACCIDENTADOS2]],"CAMION")</f>
        <v>0</v>
      </c>
      <c r="AA981" s="36">
        <f>COUNTIF(Tabla1[[#This Row],[VEHICULOS_ACCIDENTADOS]:[VEHICULOS_ACCIDENTADOS2]],"TRACTOCAMION")</f>
        <v>0</v>
      </c>
      <c r="AB981" s="36">
        <f>COUNTIF(Tabla1[[#This Row],[VEHICULOS_ACCIDENTADOS]:[VEHICULOS_ACCIDENTADOS2]],"VOLQUETA")</f>
        <v>0</v>
      </c>
      <c r="AC981" s="36">
        <f>COUNTIF(Tabla1[[#This Row],[VEHICULOS_ACCIDENTADOS]:[VEHICULOS_ACCIDENTADOS2]],"BICICLETA")</f>
        <v>0</v>
      </c>
      <c r="AD981" s="7" t="s">
        <v>471</v>
      </c>
      <c r="AE981" s="7" t="s">
        <v>472</v>
      </c>
      <c r="AF981" s="7">
        <f>COUNTIF(Tabla1[[#This Row],[GENERO_MASCULINO]:[GENERO_FEMENINO]],"MASCULINO")</f>
        <v>1</v>
      </c>
      <c r="AG981" s="36">
        <f>COUNTIF(Tabla1[[#This Row],[GENERO_MASCULINO]:[GENERO_FEMENINO]],"FEMENINO")</f>
        <v>1</v>
      </c>
      <c r="AH981" s="86">
        <v>37</v>
      </c>
      <c r="AI981" s="86">
        <v>26</v>
      </c>
      <c r="AJ981" s="86"/>
      <c r="AK981" s="86"/>
      <c r="AL981" s="86"/>
      <c r="AM981" s="15"/>
      <c r="AN981" s="86">
        <v>139</v>
      </c>
      <c r="AO981" s="36" t="str">
        <f>IFERROR(((VLOOKUP(Tabla1[[#This Row],[HIPOTESIS_1]],listas!$D$1:$E$105,2,FALSE))),"SIN INFORMACIÓN")</f>
        <v>Impericia en el manejo.</v>
      </c>
      <c r="AP981" s="15"/>
      <c r="AQ981" s="36" t="str">
        <f>IFERROR(((VLOOKUP(Tabla1[[#This Row],[HIPOTESIS_2]],listas!$D$1:$E$105,2,FALSE))),"")</f>
        <v/>
      </c>
      <c r="AR981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982" spans="1:44" x14ac:dyDescent="0.25">
      <c r="A982" s="12">
        <v>852</v>
      </c>
      <c r="B982" s="16">
        <v>0</v>
      </c>
      <c r="C982" s="15">
        <v>2</v>
      </c>
      <c r="D982" s="15">
        <v>0</v>
      </c>
      <c r="E982" s="18" t="str">
        <f t="shared" si="60"/>
        <v>LESIONADO</v>
      </c>
      <c r="F982" s="15" t="s">
        <v>85</v>
      </c>
      <c r="G982" s="21">
        <v>5.3523490000000002</v>
      </c>
      <c r="H982" s="21">
        <v>-72.268598999999995</v>
      </c>
      <c r="I982" s="93" t="s">
        <v>697</v>
      </c>
      <c r="J982" s="21" t="s">
        <v>1</v>
      </c>
      <c r="K982" s="24" t="str">
        <f t="shared" si="61"/>
        <v>2025</v>
      </c>
      <c r="L982" s="24" t="str">
        <f t="shared" si="62"/>
        <v>ENERO</v>
      </c>
      <c r="M982" s="234">
        <v>45659</v>
      </c>
      <c r="N982" s="24" t="str">
        <f t="shared" si="63"/>
        <v>JUEVES</v>
      </c>
      <c r="O982" s="108">
        <v>0.57638888888888895</v>
      </c>
      <c r="P982" s="44" t="s">
        <v>447</v>
      </c>
      <c r="Q982" s="44" t="s">
        <v>469</v>
      </c>
      <c r="R982" s="36">
        <f>COUNTIF(Tabla1[[#This Row],[VEHICULOS_ACCIDENTADOS]:[VEHICULOS_ACCIDENTADOS2]],"MOTOCICLETA")</f>
        <v>1</v>
      </c>
      <c r="S982" s="36">
        <f>COUNTIF(Tabla1[[#This Row],[VEHICULOS_ACCIDENTADOS]:[VEHICULOS_ACCIDENTADOS2]],"MOTOCARRO")</f>
        <v>0</v>
      </c>
      <c r="T982" s="36">
        <f>COUNTIF(Tabla1[[#This Row],[VEHICULOS_ACCIDENTADOS]:[VEHICULOS_ACCIDENTADOS2]],"AUTOMOVIL")</f>
        <v>1</v>
      </c>
      <c r="U982" s="36">
        <f>COUNTIF(Tabla1[[#This Row],[VEHICULOS_ACCIDENTADOS]:[VEHICULOS_ACCIDENTADOS2]],"CAMPERO")</f>
        <v>0</v>
      </c>
      <c r="V982" s="36">
        <f>COUNTIF(Tabla1[[#This Row],[VEHICULOS_ACCIDENTADOS]:[VEHICULOS_ACCIDENTADOS2]],"CAMIONETA")</f>
        <v>0</v>
      </c>
      <c r="W982" s="36">
        <f>COUNTIF(Tabla1[[#This Row],[VEHICULOS_ACCIDENTADOS]:[VEHICULOS_ACCIDENTADOS2]],"MICROBUS")</f>
        <v>0</v>
      </c>
      <c r="X982" s="36">
        <f>COUNTIF(Tabla1[[#This Row],[VEHICULOS_ACCIDENTADOS]:[VEHICULOS_ACCIDENTADOS2]],"BUS")</f>
        <v>0</v>
      </c>
      <c r="Y982" s="36">
        <f>COUNTIF(Tabla1[[#This Row],[VEHICULOS_ACCIDENTADOS]:[VEHICULOS_ACCIDENTADOS2]],"BUSETA")</f>
        <v>0</v>
      </c>
      <c r="Z982" s="36">
        <f>COUNTIF(Tabla1[[#This Row],[VEHICULOS_ACCIDENTADOS]:[VEHICULOS_ACCIDENTADOS2]],"CAMION")</f>
        <v>0</v>
      </c>
      <c r="AA982" s="36">
        <f>COUNTIF(Tabla1[[#This Row],[VEHICULOS_ACCIDENTADOS]:[VEHICULOS_ACCIDENTADOS2]],"TRACTOCAMION")</f>
        <v>0</v>
      </c>
      <c r="AB982" s="36">
        <f>COUNTIF(Tabla1[[#This Row],[VEHICULOS_ACCIDENTADOS]:[VEHICULOS_ACCIDENTADOS2]],"VOLQUETA")</f>
        <v>0</v>
      </c>
      <c r="AC982" s="36">
        <f>COUNTIF(Tabla1[[#This Row],[VEHICULOS_ACCIDENTADOS]:[VEHICULOS_ACCIDENTADOS2]],"BICICLETA")</f>
        <v>0</v>
      </c>
      <c r="AD982" s="15" t="s">
        <v>471</v>
      </c>
      <c r="AE982" s="15" t="s">
        <v>471</v>
      </c>
      <c r="AF982" s="15">
        <f>COUNTIF(Tabla1[[#This Row],[GENERO_MASCULINO]:[GENERO_FEMENINO]],"MASCULINO")</f>
        <v>2</v>
      </c>
      <c r="AG982" s="36">
        <f>COUNTIF(Tabla1[[#This Row],[GENERO_MASCULINO]:[GENERO_FEMENINO]],"FEMENINO")</f>
        <v>0</v>
      </c>
      <c r="AH982" s="86">
        <v>45</v>
      </c>
      <c r="AI982" s="86"/>
      <c r="AJ982" s="86">
        <v>28</v>
      </c>
      <c r="AK982" s="86"/>
      <c r="AL982" s="86"/>
      <c r="AM982" s="15"/>
      <c r="AN982" s="86">
        <v>139</v>
      </c>
      <c r="AO982" s="36" t="str">
        <f>IFERROR(((VLOOKUP(Tabla1[[#This Row],[HIPOTESIS_1]],listas!$D$1:$E$105,2,FALSE))),"SIN INFORMACIÓN")</f>
        <v>Impericia en el manejo.</v>
      </c>
      <c r="AP982" s="15"/>
      <c r="AQ982" s="36" t="str">
        <f>IFERROR(((VLOOKUP(Tabla1[[#This Row],[HIPOTESIS_2]],listas!$D$1:$E$105,2,FALSE))),"")</f>
        <v/>
      </c>
      <c r="AR982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983" spans="1:44" x14ac:dyDescent="0.25">
      <c r="A983" s="12">
        <v>928</v>
      </c>
      <c r="B983" s="16">
        <v>0</v>
      </c>
      <c r="C983" s="15">
        <v>1</v>
      </c>
      <c r="D983" s="15">
        <v>0</v>
      </c>
      <c r="E983" s="18" t="str">
        <f t="shared" si="60"/>
        <v>LESIONADO</v>
      </c>
      <c r="F983" s="15" t="s">
        <v>709</v>
      </c>
      <c r="G983" s="25">
        <v>5.3369119999999999</v>
      </c>
      <c r="H983" s="25">
        <v>-72.331635000000006</v>
      </c>
      <c r="I983" s="93" t="s">
        <v>697</v>
      </c>
      <c r="J983" s="15" t="s">
        <v>1</v>
      </c>
      <c r="K983" s="24" t="str">
        <f t="shared" si="61"/>
        <v>2025</v>
      </c>
      <c r="L983" s="24" t="str">
        <f t="shared" si="62"/>
        <v>ABRIL</v>
      </c>
      <c r="M983" s="234">
        <v>45750</v>
      </c>
      <c r="N983" s="24" t="str">
        <f t="shared" si="63"/>
        <v>JUEVES</v>
      </c>
      <c r="O983" s="108">
        <v>0.92013888888888884</v>
      </c>
      <c r="P983" s="15" t="s">
        <v>445</v>
      </c>
      <c r="Q983" s="15" t="s">
        <v>469</v>
      </c>
      <c r="R983" s="36">
        <f>COUNTIF(Tabla1[[#This Row],[VEHICULOS_ACCIDENTADOS]:[VEHICULOS_ACCIDENTADOS2]],"MOTOCICLETA")</f>
        <v>1</v>
      </c>
      <c r="S983" s="36">
        <f>COUNTIF(Tabla1[[#This Row],[VEHICULOS_ACCIDENTADOS]:[VEHICULOS_ACCIDENTADOS2]],"MOTOCARRO")</f>
        <v>0</v>
      </c>
      <c r="T983" s="36">
        <f>COUNTIF(Tabla1[[#This Row],[VEHICULOS_ACCIDENTADOS]:[VEHICULOS_ACCIDENTADOS2]],"AUTOMOVIL")</f>
        <v>0</v>
      </c>
      <c r="U983" s="36">
        <f>COUNTIF(Tabla1[[#This Row],[VEHICULOS_ACCIDENTADOS]:[VEHICULOS_ACCIDENTADOS2]],"CAMPERO")</f>
        <v>0</v>
      </c>
      <c r="V983" s="36">
        <f>COUNTIF(Tabla1[[#This Row],[VEHICULOS_ACCIDENTADOS]:[VEHICULOS_ACCIDENTADOS2]],"CAMIONETA")</f>
        <v>1</v>
      </c>
      <c r="W983" s="36">
        <f>COUNTIF(Tabla1[[#This Row],[VEHICULOS_ACCIDENTADOS]:[VEHICULOS_ACCIDENTADOS2]],"MICROBUS")</f>
        <v>0</v>
      </c>
      <c r="X983" s="36">
        <f>COUNTIF(Tabla1[[#This Row],[VEHICULOS_ACCIDENTADOS]:[VEHICULOS_ACCIDENTADOS2]],"BUS")</f>
        <v>0</v>
      </c>
      <c r="Y983" s="36">
        <f>COUNTIF(Tabla1[[#This Row],[VEHICULOS_ACCIDENTADOS]:[VEHICULOS_ACCIDENTADOS2]],"BUSETA")</f>
        <v>0</v>
      </c>
      <c r="Z983" s="36">
        <f>COUNTIF(Tabla1[[#This Row],[VEHICULOS_ACCIDENTADOS]:[VEHICULOS_ACCIDENTADOS2]],"CAMION")</f>
        <v>0</v>
      </c>
      <c r="AA983" s="36">
        <f>COUNTIF(Tabla1[[#This Row],[VEHICULOS_ACCIDENTADOS]:[VEHICULOS_ACCIDENTADOS2]],"TRACTOCAMION")</f>
        <v>0</v>
      </c>
      <c r="AB983" s="36">
        <f>COUNTIF(Tabla1[[#This Row],[VEHICULOS_ACCIDENTADOS]:[VEHICULOS_ACCIDENTADOS2]],"VOLQUETA")</f>
        <v>0</v>
      </c>
      <c r="AC983" s="36">
        <f>COUNTIF(Tabla1[[#This Row],[VEHICULOS_ACCIDENTADOS]:[VEHICULOS_ACCIDENTADOS2]],"BICICLETA")</f>
        <v>0</v>
      </c>
      <c r="AD983" s="15" t="s">
        <v>471</v>
      </c>
      <c r="AE983" s="15" t="s">
        <v>471</v>
      </c>
      <c r="AF983" s="15">
        <f>COUNTIF(Tabla1[[#This Row],[GENERO_MASCULINO]:[GENERO_FEMENINO]],"MASCULINO")</f>
        <v>2</v>
      </c>
      <c r="AG983" s="36">
        <f>COUNTIF(Tabla1[[#This Row],[GENERO_MASCULINO]:[GENERO_FEMENINO]],"FEMENINO")</f>
        <v>0</v>
      </c>
      <c r="AH983" s="86">
        <v>43</v>
      </c>
      <c r="AI983" s="86">
        <v>43</v>
      </c>
      <c r="AJ983" s="86"/>
      <c r="AK983" s="87"/>
      <c r="AL983" s="87"/>
      <c r="AM983" s="6"/>
      <c r="AN983" s="86">
        <v>157</v>
      </c>
      <c r="AO983" s="36" t="str">
        <f>IFERROR(((VLOOKUP(Tabla1[[#This Row],[HIPOTESIS_1]],listas!$D$1:$E$105,2,FALSE))),"SIN INFORMACIÓN")</f>
        <v>Otra</v>
      </c>
      <c r="AP983" s="7"/>
      <c r="AQ983" s="36" t="str">
        <f>IFERROR(((VLOOKUP(Tabla1[[#This Row],[HIPOTESIS_2]],listas!$D$1:$E$105,2,FALSE))),"")</f>
        <v/>
      </c>
      <c r="AR983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984" spans="1:44" x14ac:dyDescent="0.25">
      <c r="A984" s="12">
        <v>167</v>
      </c>
      <c r="B984" s="7">
        <v>0</v>
      </c>
      <c r="C984" s="7">
        <v>0</v>
      </c>
      <c r="D984" s="7">
        <v>1</v>
      </c>
      <c r="E984" s="18" t="str">
        <f t="shared" si="60"/>
        <v>FALLECIDO</v>
      </c>
      <c r="F984" s="7" t="s">
        <v>374</v>
      </c>
      <c r="G984" s="17">
        <v>5.2949027777777777</v>
      </c>
      <c r="H984" s="17">
        <v>-72.402358333333339</v>
      </c>
      <c r="I984" s="93" t="s">
        <v>697</v>
      </c>
      <c r="J984" s="7" t="s">
        <v>1</v>
      </c>
      <c r="K984" s="24" t="str">
        <f t="shared" si="61"/>
        <v>2022</v>
      </c>
      <c r="L984" s="24" t="str">
        <f t="shared" si="62"/>
        <v>MAYO</v>
      </c>
      <c r="M984" s="232">
        <v>44682</v>
      </c>
      <c r="N984" s="24" t="str">
        <f t="shared" si="63"/>
        <v>DOMINGO</v>
      </c>
      <c r="O984" s="106">
        <v>0.4375</v>
      </c>
      <c r="P984" s="8" t="s">
        <v>469</v>
      </c>
      <c r="Q984" s="8"/>
      <c r="R984" s="36">
        <f>COUNTIF(Tabla1[[#This Row],[VEHICULOS_ACCIDENTADOS]:[VEHICULOS_ACCIDENTADOS2]],"MOTOCICLETA")</f>
        <v>1</v>
      </c>
      <c r="S984" s="36">
        <f>COUNTIF(Tabla1[[#This Row],[VEHICULOS_ACCIDENTADOS]:[VEHICULOS_ACCIDENTADOS2]],"MOTOCARRO")</f>
        <v>0</v>
      </c>
      <c r="T984" s="36">
        <f>COUNTIF(Tabla1[[#This Row],[VEHICULOS_ACCIDENTADOS]:[VEHICULOS_ACCIDENTADOS2]],"AUTOMOVIL")</f>
        <v>0</v>
      </c>
      <c r="U984" s="36">
        <f>COUNTIF(Tabla1[[#This Row],[VEHICULOS_ACCIDENTADOS]:[VEHICULOS_ACCIDENTADOS2]],"CAMPERO")</f>
        <v>0</v>
      </c>
      <c r="V984" s="36">
        <f>COUNTIF(Tabla1[[#This Row],[VEHICULOS_ACCIDENTADOS]:[VEHICULOS_ACCIDENTADOS2]],"CAMIONETA")</f>
        <v>0</v>
      </c>
      <c r="W984" s="36">
        <f>COUNTIF(Tabla1[[#This Row],[VEHICULOS_ACCIDENTADOS]:[VEHICULOS_ACCIDENTADOS2]],"MICROBUS")</f>
        <v>0</v>
      </c>
      <c r="X984" s="36">
        <f>COUNTIF(Tabla1[[#This Row],[VEHICULOS_ACCIDENTADOS]:[VEHICULOS_ACCIDENTADOS2]],"BUS")</f>
        <v>0</v>
      </c>
      <c r="Y984" s="36">
        <f>COUNTIF(Tabla1[[#This Row],[VEHICULOS_ACCIDENTADOS]:[VEHICULOS_ACCIDENTADOS2]],"BUSETA")</f>
        <v>0</v>
      </c>
      <c r="Z984" s="36">
        <f>COUNTIF(Tabla1[[#This Row],[VEHICULOS_ACCIDENTADOS]:[VEHICULOS_ACCIDENTADOS2]],"CAMION")</f>
        <v>0</v>
      </c>
      <c r="AA984" s="36">
        <f>COUNTIF(Tabla1[[#This Row],[VEHICULOS_ACCIDENTADOS]:[VEHICULOS_ACCIDENTADOS2]],"TRACTOCAMION")</f>
        <v>0</v>
      </c>
      <c r="AB984" s="36">
        <f>COUNTIF(Tabla1[[#This Row],[VEHICULOS_ACCIDENTADOS]:[VEHICULOS_ACCIDENTADOS2]],"VOLQUETA")</f>
        <v>0</v>
      </c>
      <c r="AC984" s="36">
        <f>COUNTIF(Tabla1[[#This Row],[VEHICULOS_ACCIDENTADOS]:[VEHICULOS_ACCIDENTADOS2]],"BICICLETA")</f>
        <v>0</v>
      </c>
      <c r="AD984" s="7" t="s">
        <v>471</v>
      </c>
      <c r="AE984" s="7"/>
      <c r="AF984" s="7">
        <f>COUNTIF(Tabla1[[#This Row],[GENERO_MASCULINO]:[GENERO_FEMENINO]],"MASCULINO")</f>
        <v>1</v>
      </c>
      <c r="AG984" s="36">
        <f>COUNTIF(Tabla1[[#This Row],[GENERO_MASCULINO]:[GENERO_FEMENINO]],"FEMENINO")</f>
        <v>0</v>
      </c>
      <c r="AH984" s="73"/>
      <c r="AI984" s="73"/>
      <c r="AJ984" s="73"/>
      <c r="AK984" s="73"/>
      <c r="AL984" s="73"/>
      <c r="AM984" s="7">
        <v>41</v>
      </c>
      <c r="AN984" s="73">
        <v>157</v>
      </c>
      <c r="AO984" s="36" t="str">
        <f>IFERROR(((VLOOKUP(Tabla1[[#This Row],[HIPOTESIS_1]],listas!$D$1:$E$105,2,FALSE))),"SIN INFORMACIÓN")</f>
        <v>Otra</v>
      </c>
      <c r="AP984" s="7"/>
      <c r="AQ984" s="36" t="str">
        <f>IFERROR(((VLOOKUP(Tabla1[[#This Row],[HIPOTESIS_2]],listas!$D$1:$E$105,2,FALSE))),"")</f>
        <v/>
      </c>
      <c r="AR984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985" spans="1:44" x14ac:dyDescent="0.25">
      <c r="A985" s="12">
        <v>638</v>
      </c>
      <c r="B985" s="7">
        <v>0</v>
      </c>
      <c r="C985" s="7">
        <v>0</v>
      </c>
      <c r="D985" s="7">
        <v>1</v>
      </c>
      <c r="E985" s="18" t="str">
        <f t="shared" si="60"/>
        <v>FALLECIDO</v>
      </c>
      <c r="F985" s="7" t="s">
        <v>173</v>
      </c>
      <c r="G985" s="21">
        <v>5.4454527777777777</v>
      </c>
      <c r="H985" s="21">
        <v>-72.317720277777781</v>
      </c>
      <c r="I985" s="93" t="s">
        <v>697</v>
      </c>
      <c r="J985" s="7" t="s">
        <v>717</v>
      </c>
      <c r="K985" s="24" t="str">
        <f t="shared" si="61"/>
        <v>2023</v>
      </c>
      <c r="L985" s="24" t="str">
        <f t="shared" si="62"/>
        <v>DICIEMBRE</v>
      </c>
      <c r="M985" s="232">
        <v>45282</v>
      </c>
      <c r="N985" s="24" t="str">
        <f t="shared" si="63"/>
        <v>VIERNES</v>
      </c>
      <c r="O985" s="106">
        <v>0.8125</v>
      </c>
      <c r="P985" s="39" t="s">
        <v>441</v>
      </c>
      <c r="Q985" s="39"/>
      <c r="R985" s="36">
        <f>COUNTIF(Tabla1[[#This Row],[VEHICULOS_ACCIDENTADOS]:[VEHICULOS_ACCIDENTADOS2]],"MOTOCICLETA")</f>
        <v>0</v>
      </c>
      <c r="S985" s="36">
        <f>COUNTIF(Tabla1[[#This Row],[VEHICULOS_ACCIDENTADOS]:[VEHICULOS_ACCIDENTADOS2]],"MOTOCARRO")</f>
        <v>0</v>
      </c>
      <c r="T985" s="36">
        <f>COUNTIF(Tabla1[[#This Row],[VEHICULOS_ACCIDENTADOS]:[VEHICULOS_ACCIDENTADOS2]],"AUTOMOVIL")</f>
        <v>0</v>
      </c>
      <c r="U985" s="36">
        <f>COUNTIF(Tabla1[[#This Row],[VEHICULOS_ACCIDENTADOS]:[VEHICULOS_ACCIDENTADOS2]],"CAMPERO")</f>
        <v>0</v>
      </c>
      <c r="V985" s="36">
        <f>COUNTIF(Tabla1[[#This Row],[VEHICULOS_ACCIDENTADOS]:[VEHICULOS_ACCIDENTADOS2]],"CAMIONETA")</f>
        <v>0</v>
      </c>
      <c r="W985" s="36">
        <f>COUNTIF(Tabla1[[#This Row],[VEHICULOS_ACCIDENTADOS]:[VEHICULOS_ACCIDENTADOS2]],"MICROBUS")</f>
        <v>0</v>
      </c>
      <c r="X985" s="36">
        <f>COUNTIF(Tabla1[[#This Row],[VEHICULOS_ACCIDENTADOS]:[VEHICULOS_ACCIDENTADOS2]],"BUS")</f>
        <v>0</v>
      </c>
      <c r="Y985" s="36">
        <f>COUNTIF(Tabla1[[#This Row],[VEHICULOS_ACCIDENTADOS]:[VEHICULOS_ACCIDENTADOS2]],"BUSETA")</f>
        <v>0</v>
      </c>
      <c r="Z985" s="36">
        <f>COUNTIF(Tabla1[[#This Row],[VEHICULOS_ACCIDENTADOS]:[VEHICULOS_ACCIDENTADOS2]],"CAMION")</f>
        <v>1</v>
      </c>
      <c r="AA985" s="36">
        <f>COUNTIF(Tabla1[[#This Row],[VEHICULOS_ACCIDENTADOS]:[VEHICULOS_ACCIDENTADOS2]],"TRACTOCAMION")</f>
        <v>0</v>
      </c>
      <c r="AB985" s="36">
        <f>COUNTIF(Tabla1[[#This Row],[VEHICULOS_ACCIDENTADOS]:[VEHICULOS_ACCIDENTADOS2]],"VOLQUETA")</f>
        <v>0</v>
      </c>
      <c r="AC985" s="36">
        <f>COUNTIF(Tabla1[[#This Row],[VEHICULOS_ACCIDENTADOS]:[VEHICULOS_ACCIDENTADOS2]],"BICICLETA")</f>
        <v>0</v>
      </c>
      <c r="AD985" s="7" t="s">
        <v>471</v>
      </c>
      <c r="AE985" s="7"/>
      <c r="AF985" s="7">
        <f>COUNTIF(Tabla1[[#This Row],[GENERO_MASCULINO]:[GENERO_FEMENINO]],"MASCULINO")</f>
        <v>1</v>
      </c>
      <c r="AG985" s="36">
        <f>COUNTIF(Tabla1[[#This Row],[GENERO_MASCULINO]:[GENERO_FEMENINO]],"FEMENINO")</f>
        <v>0</v>
      </c>
      <c r="AH985" s="73"/>
      <c r="AI985" s="73"/>
      <c r="AJ985" s="73"/>
      <c r="AK985" s="73"/>
      <c r="AL985" s="73"/>
      <c r="AM985" s="7">
        <v>69</v>
      </c>
      <c r="AN985" s="73">
        <v>157</v>
      </c>
      <c r="AO985" s="36" t="str">
        <f>IFERROR(((VLOOKUP(Tabla1[[#This Row],[HIPOTESIS_1]],listas!$D$1:$E$105,2,FALSE))),"SIN INFORMACIÓN")</f>
        <v>Otra</v>
      </c>
      <c r="AP985" s="7"/>
      <c r="AQ985" s="36" t="str">
        <f>IFERROR(((VLOOKUP(Tabla1[[#This Row],[HIPOTESIS_2]],listas!$D$1:$E$105,2,FALSE))),"")</f>
        <v/>
      </c>
      <c r="AR985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986" spans="1:44" x14ac:dyDescent="0.25">
      <c r="A986" s="12">
        <v>441</v>
      </c>
      <c r="B986" s="7">
        <v>0</v>
      </c>
      <c r="C986" s="7">
        <v>0</v>
      </c>
      <c r="D986" s="7">
        <v>1</v>
      </c>
      <c r="E986" s="18" t="str">
        <f t="shared" si="60"/>
        <v>FALLECIDO</v>
      </c>
      <c r="F986" s="7" t="s">
        <v>263</v>
      </c>
      <c r="G986" s="21">
        <v>5.4732144444444444</v>
      </c>
      <c r="H986" s="21">
        <v>-72.250083611111108</v>
      </c>
      <c r="I986" s="94" t="s">
        <v>662</v>
      </c>
      <c r="J986" s="7" t="s">
        <v>1</v>
      </c>
      <c r="K986" s="24" t="str">
        <f t="shared" si="61"/>
        <v>2023</v>
      </c>
      <c r="L986" s="24" t="str">
        <f t="shared" si="62"/>
        <v>MARZO</v>
      </c>
      <c r="M986" s="232">
        <v>45004</v>
      </c>
      <c r="N986" s="24" t="str">
        <f t="shared" si="63"/>
        <v>DOMINGO</v>
      </c>
      <c r="O986" s="174">
        <v>5.1388888888888887E-2</v>
      </c>
      <c r="P986" s="39" t="s">
        <v>469</v>
      </c>
      <c r="Q986" s="39"/>
      <c r="R986" s="36">
        <f>COUNTIF(Tabla1[[#This Row],[VEHICULOS_ACCIDENTADOS]:[VEHICULOS_ACCIDENTADOS2]],"MOTOCICLETA")</f>
        <v>1</v>
      </c>
      <c r="S986" s="36">
        <f>COUNTIF(Tabla1[[#This Row],[VEHICULOS_ACCIDENTADOS]:[VEHICULOS_ACCIDENTADOS2]],"MOTOCARRO")</f>
        <v>0</v>
      </c>
      <c r="T986" s="36">
        <f>COUNTIF(Tabla1[[#This Row],[VEHICULOS_ACCIDENTADOS]:[VEHICULOS_ACCIDENTADOS2]],"AUTOMOVIL")</f>
        <v>0</v>
      </c>
      <c r="U986" s="36">
        <f>COUNTIF(Tabla1[[#This Row],[VEHICULOS_ACCIDENTADOS]:[VEHICULOS_ACCIDENTADOS2]],"CAMPERO")</f>
        <v>0</v>
      </c>
      <c r="V986" s="36">
        <f>COUNTIF(Tabla1[[#This Row],[VEHICULOS_ACCIDENTADOS]:[VEHICULOS_ACCIDENTADOS2]],"CAMIONETA")</f>
        <v>0</v>
      </c>
      <c r="W986" s="36">
        <f>COUNTIF(Tabla1[[#This Row],[VEHICULOS_ACCIDENTADOS]:[VEHICULOS_ACCIDENTADOS2]],"MICROBUS")</f>
        <v>0</v>
      </c>
      <c r="X986" s="36">
        <f>COUNTIF(Tabla1[[#This Row],[VEHICULOS_ACCIDENTADOS]:[VEHICULOS_ACCIDENTADOS2]],"BUS")</f>
        <v>0</v>
      </c>
      <c r="Y986" s="36">
        <f>COUNTIF(Tabla1[[#This Row],[VEHICULOS_ACCIDENTADOS]:[VEHICULOS_ACCIDENTADOS2]],"BUSETA")</f>
        <v>0</v>
      </c>
      <c r="Z986" s="36">
        <f>COUNTIF(Tabla1[[#This Row],[VEHICULOS_ACCIDENTADOS]:[VEHICULOS_ACCIDENTADOS2]],"CAMION")</f>
        <v>0</v>
      </c>
      <c r="AA986" s="36">
        <f>COUNTIF(Tabla1[[#This Row],[VEHICULOS_ACCIDENTADOS]:[VEHICULOS_ACCIDENTADOS2]],"TRACTOCAMION")</f>
        <v>0</v>
      </c>
      <c r="AB986" s="36">
        <f>COUNTIF(Tabla1[[#This Row],[VEHICULOS_ACCIDENTADOS]:[VEHICULOS_ACCIDENTADOS2]],"VOLQUETA")</f>
        <v>0</v>
      </c>
      <c r="AC986" s="36">
        <f>COUNTIF(Tabla1[[#This Row],[VEHICULOS_ACCIDENTADOS]:[VEHICULOS_ACCIDENTADOS2]],"BICICLETA")</f>
        <v>0</v>
      </c>
      <c r="AD986" s="7"/>
      <c r="AE986" s="7" t="s">
        <v>472</v>
      </c>
      <c r="AF986" s="7">
        <f>COUNTIF(Tabla1[[#This Row],[GENERO_MASCULINO]:[GENERO_FEMENINO]],"MASCULINO")</f>
        <v>0</v>
      </c>
      <c r="AG986" s="36">
        <f>COUNTIF(Tabla1[[#This Row],[GENERO_MASCULINO]:[GENERO_FEMENINO]],"FEMENINO")</f>
        <v>1</v>
      </c>
      <c r="AH986" s="73"/>
      <c r="AI986" s="73"/>
      <c r="AJ986" s="73"/>
      <c r="AK986" s="73"/>
      <c r="AL986" s="73"/>
      <c r="AM986" s="7"/>
      <c r="AN986" s="73">
        <v>1</v>
      </c>
      <c r="AO986" s="36" t="str">
        <f>IFERROR(((VLOOKUP(Tabla1[[#This Row],[HIPOTESIS_1]],listas!$D$1:$E$105,2,FALSE))),"SIN INFORMACIÓN")</f>
        <v>SIN INFORMACIÓN</v>
      </c>
      <c r="AP986" s="7"/>
      <c r="AQ986" s="36" t="str">
        <f>IFERROR(((VLOOKUP(Tabla1[[#This Row],[HIPOTESIS_2]],listas!$D$1:$E$105,2,FALSE))),"")</f>
        <v/>
      </c>
      <c r="AR986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987" spans="1:44" x14ac:dyDescent="0.25">
      <c r="A987" s="12">
        <v>1068</v>
      </c>
      <c r="B987" s="24">
        <v>0</v>
      </c>
      <c r="C987" s="24">
        <v>0</v>
      </c>
      <c r="D987" s="24">
        <v>1</v>
      </c>
      <c r="E987" s="24" t="str">
        <f t="shared" si="60"/>
        <v>FALLECIDO</v>
      </c>
      <c r="F987" s="114" t="s">
        <v>702</v>
      </c>
      <c r="G987" s="161">
        <v>5.2424153899999997</v>
      </c>
      <c r="H987" s="20">
        <v>-72.391473559999994</v>
      </c>
      <c r="I987" s="165" t="s">
        <v>697</v>
      </c>
      <c r="J987" s="7" t="s">
        <v>1</v>
      </c>
      <c r="K987" s="24" t="str">
        <f t="shared" si="61"/>
        <v>2025</v>
      </c>
      <c r="L987" s="24" t="str">
        <f t="shared" si="62"/>
        <v>SEPTIEMBRE</v>
      </c>
      <c r="M987" s="232">
        <v>45911</v>
      </c>
      <c r="N987" s="24" t="str">
        <f t="shared" si="63"/>
        <v>JUEVES</v>
      </c>
      <c r="O987" s="106">
        <v>0.40416666666666667</v>
      </c>
      <c r="P987" s="8" t="s">
        <v>469</v>
      </c>
      <c r="Q987" s="8"/>
      <c r="R987" s="36">
        <f>COUNTIF(Tabla1[[#This Row],[VEHICULOS_ACCIDENTADOS]:[VEHICULOS_ACCIDENTADOS2]],"MOTOCICLETA")</f>
        <v>1</v>
      </c>
      <c r="S987" s="36">
        <f>COUNTIF(Tabla1[[#This Row],[VEHICULOS_ACCIDENTADOS]:[VEHICULOS_ACCIDENTADOS2]],"MOTOCARRO")</f>
        <v>0</v>
      </c>
      <c r="T987" s="36">
        <f>COUNTIF(Tabla1[[#This Row],[VEHICULOS_ACCIDENTADOS]:[VEHICULOS_ACCIDENTADOS2]],"AUTOMOVIL")</f>
        <v>0</v>
      </c>
      <c r="U987" s="36">
        <f>COUNTIF(Tabla1[[#This Row],[VEHICULOS_ACCIDENTADOS]:[VEHICULOS_ACCIDENTADOS2]],"CAMPERO")</f>
        <v>0</v>
      </c>
      <c r="V987" s="36">
        <f>COUNTIF(Tabla1[[#This Row],[VEHICULOS_ACCIDENTADOS]:[VEHICULOS_ACCIDENTADOS2]],"CAMIONETA")</f>
        <v>0</v>
      </c>
      <c r="W987" s="36">
        <f>COUNTIF(Tabla1[[#This Row],[VEHICULOS_ACCIDENTADOS]:[VEHICULOS_ACCIDENTADOS2]],"MICROBUS")</f>
        <v>0</v>
      </c>
      <c r="X987" s="36">
        <f>COUNTIF(Tabla1[[#This Row],[VEHICULOS_ACCIDENTADOS]:[VEHICULOS_ACCIDENTADOS2]],"BUS")</f>
        <v>0</v>
      </c>
      <c r="Y987" s="36">
        <f>COUNTIF(Tabla1[[#This Row],[VEHICULOS_ACCIDENTADOS]:[VEHICULOS_ACCIDENTADOS2]],"BUSETA")</f>
        <v>0</v>
      </c>
      <c r="Z987" s="36">
        <f>COUNTIF(Tabla1[[#This Row],[VEHICULOS_ACCIDENTADOS]:[VEHICULOS_ACCIDENTADOS2]],"CAMION")</f>
        <v>0</v>
      </c>
      <c r="AA987" s="36">
        <f>COUNTIF(Tabla1[[#This Row],[VEHICULOS_ACCIDENTADOS]:[VEHICULOS_ACCIDENTADOS2]],"TRACTOCAMION")</f>
        <v>0</v>
      </c>
      <c r="AB987" s="36">
        <f>COUNTIF(Tabla1[[#This Row],[VEHICULOS_ACCIDENTADOS]:[VEHICULOS_ACCIDENTADOS2]],"VOLQUETA")</f>
        <v>0</v>
      </c>
      <c r="AC987" s="36">
        <f>COUNTIF(Tabla1[[#This Row],[VEHICULOS_ACCIDENTADOS]:[VEHICULOS_ACCIDENTADOS2]],"BICICLETA")</f>
        <v>0</v>
      </c>
      <c r="AD987" s="73" t="s">
        <v>471</v>
      </c>
      <c r="AE987" s="73"/>
      <c r="AF987" s="7">
        <f>COUNTIF(Tabla1[[#This Row],[GENERO_MASCULINO]:[GENERO_FEMENINO]],"MASCULINO")</f>
        <v>1</v>
      </c>
      <c r="AG987" s="36">
        <f>COUNTIF(Tabla1[[#This Row],[GENERO_MASCULINO]:[GENERO_FEMENINO]],"FEMENINO")</f>
        <v>0</v>
      </c>
      <c r="AH987" s="86"/>
      <c r="AI987" s="86"/>
      <c r="AJ987" s="86"/>
      <c r="AK987" s="87"/>
      <c r="AL987" s="87"/>
      <c r="AM987" s="6"/>
      <c r="AN987" s="73">
        <v>157</v>
      </c>
      <c r="AO987" s="59" t="str">
        <f>IFERROR(((VLOOKUP(Tabla1[[#This Row],[HIPOTESIS_1]],listas!$D$1:$E$105,2,FALSE))),"SIN INFORMACIÓN")</f>
        <v>Otra</v>
      </c>
      <c r="AP987" s="7"/>
      <c r="AQ987" s="36" t="str">
        <f>IFERROR(((VLOOKUP(Tabla1[[#This Row],[HIPOTESIS_2]],listas!$D$1:$E$105,2,FALSE))),"")</f>
        <v/>
      </c>
      <c r="AR987" s="2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988" spans="1:44" x14ac:dyDescent="0.25">
      <c r="A988" s="12">
        <v>539</v>
      </c>
      <c r="B988" s="7">
        <v>0</v>
      </c>
      <c r="C988" s="7">
        <v>0</v>
      </c>
      <c r="D988" s="7">
        <v>1</v>
      </c>
      <c r="E988" s="18" t="str">
        <f t="shared" si="60"/>
        <v>FALLECIDO</v>
      </c>
      <c r="F988" s="7" t="s">
        <v>214</v>
      </c>
      <c r="G988" s="21">
        <v>5.1266286111111103</v>
      </c>
      <c r="H988" s="21">
        <v>-72.179981111111118</v>
      </c>
      <c r="I988" s="94" t="s">
        <v>662</v>
      </c>
      <c r="J988" s="7" t="s">
        <v>1</v>
      </c>
      <c r="K988" s="24" t="str">
        <f t="shared" si="61"/>
        <v>2023</v>
      </c>
      <c r="L988" s="24" t="str">
        <f t="shared" si="62"/>
        <v>AGOSTO</v>
      </c>
      <c r="M988" s="232">
        <v>45162</v>
      </c>
      <c r="N988" s="24" t="str">
        <f t="shared" si="63"/>
        <v>JUEVES</v>
      </c>
      <c r="O988" s="106">
        <v>0.52083333333333337</v>
      </c>
      <c r="P988" s="39" t="s">
        <v>469</v>
      </c>
      <c r="Q988" s="39" t="s">
        <v>445</v>
      </c>
      <c r="R988" s="36">
        <f>COUNTIF(Tabla1[[#This Row],[VEHICULOS_ACCIDENTADOS]:[VEHICULOS_ACCIDENTADOS2]],"MOTOCICLETA")</f>
        <v>1</v>
      </c>
      <c r="S988" s="36">
        <f>COUNTIF(Tabla1[[#This Row],[VEHICULOS_ACCIDENTADOS]:[VEHICULOS_ACCIDENTADOS2]],"MOTOCARRO")</f>
        <v>0</v>
      </c>
      <c r="T988" s="36">
        <f>COUNTIF(Tabla1[[#This Row],[VEHICULOS_ACCIDENTADOS]:[VEHICULOS_ACCIDENTADOS2]],"AUTOMOVIL")</f>
        <v>0</v>
      </c>
      <c r="U988" s="36">
        <f>COUNTIF(Tabla1[[#This Row],[VEHICULOS_ACCIDENTADOS]:[VEHICULOS_ACCIDENTADOS2]],"CAMPERO")</f>
        <v>0</v>
      </c>
      <c r="V988" s="36">
        <f>COUNTIF(Tabla1[[#This Row],[VEHICULOS_ACCIDENTADOS]:[VEHICULOS_ACCIDENTADOS2]],"CAMIONETA")</f>
        <v>1</v>
      </c>
      <c r="W988" s="36">
        <f>COUNTIF(Tabla1[[#This Row],[VEHICULOS_ACCIDENTADOS]:[VEHICULOS_ACCIDENTADOS2]],"MICROBUS")</f>
        <v>0</v>
      </c>
      <c r="X988" s="36">
        <f>COUNTIF(Tabla1[[#This Row],[VEHICULOS_ACCIDENTADOS]:[VEHICULOS_ACCIDENTADOS2]],"BUS")</f>
        <v>0</v>
      </c>
      <c r="Y988" s="36">
        <f>COUNTIF(Tabla1[[#This Row],[VEHICULOS_ACCIDENTADOS]:[VEHICULOS_ACCIDENTADOS2]],"BUSETA")</f>
        <v>0</v>
      </c>
      <c r="Z988" s="36">
        <f>COUNTIF(Tabla1[[#This Row],[VEHICULOS_ACCIDENTADOS]:[VEHICULOS_ACCIDENTADOS2]],"CAMION")</f>
        <v>0</v>
      </c>
      <c r="AA988" s="36">
        <f>COUNTIF(Tabla1[[#This Row],[VEHICULOS_ACCIDENTADOS]:[VEHICULOS_ACCIDENTADOS2]],"TRACTOCAMION")</f>
        <v>0</v>
      </c>
      <c r="AB988" s="36">
        <f>COUNTIF(Tabla1[[#This Row],[VEHICULOS_ACCIDENTADOS]:[VEHICULOS_ACCIDENTADOS2]],"VOLQUETA")</f>
        <v>0</v>
      </c>
      <c r="AC988" s="36">
        <f>COUNTIF(Tabla1[[#This Row],[VEHICULOS_ACCIDENTADOS]:[VEHICULOS_ACCIDENTADOS2]],"BICICLETA")</f>
        <v>0</v>
      </c>
      <c r="AD988" s="7" t="s">
        <v>471</v>
      </c>
      <c r="AE988" s="7"/>
      <c r="AF988" s="7">
        <f>COUNTIF(Tabla1[[#This Row],[GENERO_MASCULINO]:[GENERO_FEMENINO]],"MASCULINO")</f>
        <v>1</v>
      </c>
      <c r="AG988" s="36">
        <f>COUNTIF(Tabla1[[#This Row],[GENERO_MASCULINO]:[GENERO_FEMENINO]],"FEMENINO")</f>
        <v>0</v>
      </c>
      <c r="AH988" s="73"/>
      <c r="AI988" s="73"/>
      <c r="AJ988" s="73"/>
      <c r="AK988" s="73"/>
      <c r="AL988" s="73"/>
      <c r="AM988" s="7">
        <v>33</v>
      </c>
      <c r="AN988" s="73">
        <v>114</v>
      </c>
      <c r="AO988" s="36" t="str">
        <f>IFERROR(((VLOOKUP(Tabla1[[#This Row],[HIPOTESIS_1]],listas!$D$1:$E$105,2,FALSE))),"SIN INFORMACIÓN")</f>
        <v>Embriaguez aparente.</v>
      </c>
      <c r="AP988" s="7"/>
      <c r="AQ988" s="36" t="str">
        <f>IFERROR(((VLOOKUP(Tabla1[[#This Row],[HIPOTESIS_2]],listas!$D$1:$E$105,2,FALSE))),"")</f>
        <v/>
      </c>
      <c r="AR988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989" spans="1:44" x14ac:dyDescent="0.25">
      <c r="A989" s="12">
        <v>865</v>
      </c>
      <c r="B989" s="15">
        <v>1</v>
      </c>
      <c r="C989" s="15">
        <v>0</v>
      </c>
      <c r="D989" s="15">
        <v>0</v>
      </c>
      <c r="E989" s="18" t="str">
        <f t="shared" si="60"/>
        <v>SOLO DAÑO</v>
      </c>
      <c r="F989" s="15" t="s">
        <v>76</v>
      </c>
      <c r="G989" s="21">
        <v>5.2500280000000004</v>
      </c>
      <c r="H989" s="21">
        <v>-72.395154000000005</v>
      </c>
      <c r="I989" s="93" t="s">
        <v>697</v>
      </c>
      <c r="J989" s="21" t="s">
        <v>1</v>
      </c>
      <c r="K989" s="24" t="str">
        <f t="shared" si="61"/>
        <v>2025</v>
      </c>
      <c r="L989" s="24" t="str">
        <f t="shared" si="62"/>
        <v>ENERO</v>
      </c>
      <c r="M989" s="234">
        <v>45688</v>
      </c>
      <c r="N989" s="24" t="str">
        <f t="shared" si="63"/>
        <v>VIERNES</v>
      </c>
      <c r="O989" s="108">
        <v>0.95486111111111116</v>
      </c>
      <c r="P989" s="44" t="s">
        <v>447</v>
      </c>
      <c r="Q989" s="44"/>
      <c r="R989" s="36">
        <f>COUNTIF(Tabla1[[#This Row],[VEHICULOS_ACCIDENTADOS]:[VEHICULOS_ACCIDENTADOS2]],"MOTOCICLETA")</f>
        <v>0</v>
      </c>
      <c r="S989" s="36">
        <f>COUNTIF(Tabla1[[#This Row],[VEHICULOS_ACCIDENTADOS]:[VEHICULOS_ACCIDENTADOS2]],"MOTOCARRO")</f>
        <v>0</v>
      </c>
      <c r="T989" s="36">
        <f>COUNTIF(Tabla1[[#This Row],[VEHICULOS_ACCIDENTADOS]:[VEHICULOS_ACCIDENTADOS2]],"AUTOMOVIL")</f>
        <v>1</v>
      </c>
      <c r="U989" s="36">
        <f>COUNTIF(Tabla1[[#This Row],[VEHICULOS_ACCIDENTADOS]:[VEHICULOS_ACCIDENTADOS2]],"CAMPERO")</f>
        <v>0</v>
      </c>
      <c r="V989" s="36">
        <f>COUNTIF(Tabla1[[#This Row],[VEHICULOS_ACCIDENTADOS]:[VEHICULOS_ACCIDENTADOS2]],"CAMIONETA")</f>
        <v>0</v>
      </c>
      <c r="W989" s="36">
        <f>COUNTIF(Tabla1[[#This Row],[VEHICULOS_ACCIDENTADOS]:[VEHICULOS_ACCIDENTADOS2]],"MICROBUS")</f>
        <v>0</v>
      </c>
      <c r="X989" s="36">
        <f>COUNTIF(Tabla1[[#This Row],[VEHICULOS_ACCIDENTADOS]:[VEHICULOS_ACCIDENTADOS2]],"BUS")</f>
        <v>0</v>
      </c>
      <c r="Y989" s="36">
        <f>COUNTIF(Tabla1[[#This Row],[VEHICULOS_ACCIDENTADOS]:[VEHICULOS_ACCIDENTADOS2]],"BUSETA")</f>
        <v>0</v>
      </c>
      <c r="Z989" s="36">
        <f>COUNTIF(Tabla1[[#This Row],[VEHICULOS_ACCIDENTADOS]:[VEHICULOS_ACCIDENTADOS2]],"CAMION")</f>
        <v>0</v>
      </c>
      <c r="AA989" s="36">
        <f>COUNTIF(Tabla1[[#This Row],[VEHICULOS_ACCIDENTADOS]:[VEHICULOS_ACCIDENTADOS2]],"TRACTOCAMION")</f>
        <v>0</v>
      </c>
      <c r="AB989" s="36">
        <f>COUNTIF(Tabla1[[#This Row],[VEHICULOS_ACCIDENTADOS]:[VEHICULOS_ACCIDENTADOS2]],"VOLQUETA")</f>
        <v>0</v>
      </c>
      <c r="AC989" s="36">
        <f>COUNTIF(Tabla1[[#This Row],[VEHICULOS_ACCIDENTADOS]:[VEHICULOS_ACCIDENTADOS2]],"BICICLETA")</f>
        <v>0</v>
      </c>
      <c r="AD989" s="15" t="s">
        <v>471</v>
      </c>
      <c r="AE989" s="15"/>
      <c r="AF989" s="15">
        <f>COUNTIF(Tabla1[[#This Row],[GENERO_MASCULINO]:[GENERO_FEMENINO]],"MASCULINO")</f>
        <v>1</v>
      </c>
      <c r="AG989" s="36">
        <f>COUNTIF(Tabla1[[#This Row],[GENERO_MASCULINO]:[GENERO_FEMENINO]],"FEMENINO")</f>
        <v>0</v>
      </c>
      <c r="AH989" s="86">
        <v>44</v>
      </c>
      <c r="AI989" s="86"/>
      <c r="AJ989" s="86"/>
      <c r="AK989" s="86"/>
      <c r="AL989" s="86"/>
      <c r="AM989" s="15"/>
      <c r="AN989" s="86">
        <v>157</v>
      </c>
      <c r="AO989" s="36" t="str">
        <f>IFERROR(((VLOOKUP(Tabla1[[#This Row],[HIPOTESIS_1]],listas!$D$1:$E$105,2,FALSE))),"SIN INFORMACIÓN")</f>
        <v>Otra</v>
      </c>
      <c r="AP989" s="15"/>
      <c r="AQ989" s="36" t="str">
        <f>IFERROR(((VLOOKUP(Tabla1[[#This Row],[HIPOTESIS_2]],listas!$D$1:$E$105,2,FALSE))),"")</f>
        <v/>
      </c>
      <c r="AR989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990" spans="1:44" x14ac:dyDescent="0.25">
      <c r="A990" s="12">
        <v>787</v>
      </c>
      <c r="B990" s="7">
        <v>0</v>
      </c>
      <c r="C990" s="15">
        <v>0</v>
      </c>
      <c r="D990" s="19">
        <v>1</v>
      </c>
      <c r="E990" s="18" t="str">
        <f t="shared" si="60"/>
        <v>FALLECIDO</v>
      </c>
      <c r="F990" s="15" t="s">
        <v>109</v>
      </c>
      <c r="G990" s="21">
        <v>5.2608702000000003</v>
      </c>
      <c r="H990" s="21">
        <v>-72.481724400000004</v>
      </c>
      <c r="I990" s="94" t="s">
        <v>662</v>
      </c>
      <c r="J990" s="7" t="s">
        <v>1</v>
      </c>
      <c r="K990" s="24" t="str">
        <f t="shared" si="61"/>
        <v>2024</v>
      </c>
      <c r="L990" s="24" t="str">
        <f t="shared" si="62"/>
        <v>OCTUBRE</v>
      </c>
      <c r="M990" s="234">
        <v>45569</v>
      </c>
      <c r="N990" s="24" t="str">
        <f t="shared" si="63"/>
        <v>VIERNES</v>
      </c>
      <c r="O990" s="108">
        <v>0.62361111111111112</v>
      </c>
      <c r="P990" s="95" t="s">
        <v>469</v>
      </c>
      <c r="Q990" s="95" t="s">
        <v>469</v>
      </c>
      <c r="R990" s="36">
        <f>COUNTIF(Tabla1[[#This Row],[VEHICULOS_ACCIDENTADOS]:[VEHICULOS_ACCIDENTADOS2]],"MOTOCICLETA")</f>
        <v>2</v>
      </c>
      <c r="S990" s="36">
        <f>COUNTIF(Tabla1[[#This Row],[VEHICULOS_ACCIDENTADOS]:[VEHICULOS_ACCIDENTADOS2]],"MOTOCARRO")</f>
        <v>0</v>
      </c>
      <c r="T990" s="36">
        <f>COUNTIF(Tabla1[[#This Row],[VEHICULOS_ACCIDENTADOS]:[VEHICULOS_ACCIDENTADOS2]],"AUTOMOVIL")</f>
        <v>0</v>
      </c>
      <c r="U990" s="36">
        <f>COUNTIF(Tabla1[[#This Row],[VEHICULOS_ACCIDENTADOS]:[VEHICULOS_ACCIDENTADOS2]],"CAMPERO")</f>
        <v>0</v>
      </c>
      <c r="V990" s="36">
        <f>COUNTIF(Tabla1[[#This Row],[VEHICULOS_ACCIDENTADOS]:[VEHICULOS_ACCIDENTADOS2]],"CAMIONETA")</f>
        <v>0</v>
      </c>
      <c r="W990" s="36">
        <f>COUNTIF(Tabla1[[#This Row],[VEHICULOS_ACCIDENTADOS]:[VEHICULOS_ACCIDENTADOS2]],"MICROBUS")</f>
        <v>0</v>
      </c>
      <c r="X990" s="36">
        <f>COUNTIF(Tabla1[[#This Row],[VEHICULOS_ACCIDENTADOS]:[VEHICULOS_ACCIDENTADOS2]],"BUS")</f>
        <v>0</v>
      </c>
      <c r="Y990" s="36">
        <f>COUNTIF(Tabla1[[#This Row],[VEHICULOS_ACCIDENTADOS]:[VEHICULOS_ACCIDENTADOS2]],"BUSETA")</f>
        <v>0</v>
      </c>
      <c r="Z990" s="36">
        <f>COUNTIF(Tabla1[[#This Row],[VEHICULOS_ACCIDENTADOS]:[VEHICULOS_ACCIDENTADOS2]],"CAMION")</f>
        <v>0</v>
      </c>
      <c r="AA990" s="36">
        <f>COUNTIF(Tabla1[[#This Row],[VEHICULOS_ACCIDENTADOS]:[VEHICULOS_ACCIDENTADOS2]],"TRACTOCAMION")</f>
        <v>0</v>
      </c>
      <c r="AB990" s="36">
        <f>COUNTIF(Tabla1[[#This Row],[VEHICULOS_ACCIDENTADOS]:[VEHICULOS_ACCIDENTADOS2]],"VOLQUETA")</f>
        <v>0</v>
      </c>
      <c r="AC990" s="36">
        <f>COUNTIF(Tabla1[[#This Row],[VEHICULOS_ACCIDENTADOS]:[VEHICULOS_ACCIDENTADOS2]],"BICICLETA")</f>
        <v>0</v>
      </c>
      <c r="AD990" s="7" t="s">
        <v>471</v>
      </c>
      <c r="AE990" s="7" t="s">
        <v>472</v>
      </c>
      <c r="AF990" s="7">
        <f>COUNTIF(Tabla1[[#This Row],[GENERO_MASCULINO]:[GENERO_FEMENINO]],"MASCULINO")</f>
        <v>1</v>
      </c>
      <c r="AG990" s="36">
        <f>COUNTIF(Tabla1[[#This Row],[GENERO_MASCULINO]:[GENERO_FEMENINO]],"FEMENINO")</f>
        <v>1</v>
      </c>
      <c r="AH990" s="86"/>
      <c r="AI990" s="86"/>
      <c r="AJ990" s="86"/>
      <c r="AK990" s="86"/>
      <c r="AL990" s="86"/>
      <c r="AM990" s="15"/>
      <c r="AN990" s="86">
        <v>1</v>
      </c>
      <c r="AO990" s="36" t="str">
        <f>IFERROR(((VLOOKUP(Tabla1[[#This Row],[HIPOTESIS_1]],listas!$D$1:$E$105,2,FALSE))),"SIN INFORMACIÓN")</f>
        <v>SIN INFORMACIÓN</v>
      </c>
      <c r="AP990" s="15"/>
      <c r="AQ990" s="36" t="str">
        <f>IFERROR(((VLOOKUP(Tabla1[[#This Row],[HIPOTESIS_2]],listas!$D$1:$E$105,2,FALSE))),"")</f>
        <v/>
      </c>
      <c r="AR990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991" spans="1:44" x14ac:dyDescent="0.25">
      <c r="A991" s="12">
        <v>110</v>
      </c>
      <c r="B991" s="7">
        <v>0</v>
      </c>
      <c r="C991" s="7">
        <v>2</v>
      </c>
      <c r="D991" s="7">
        <v>0</v>
      </c>
      <c r="E991" s="18" t="str">
        <f t="shared" si="60"/>
        <v>LESIONADO</v>
      </c>
      <c r="F991" s="7" t="s">
        <v>399</v>
      </c>
      <c r="G991" s="17">
        <v>5.3423241666666668</v>
      </c>
      <c r="H991" s="17">
        <v>-72.412918611111124</v>
      </c>
      <c r="I991" s="93" t="s">
        <v>697</v>
      </c>
      <c r="J991" s="7" t="s">
        <v>1</v>
      </c>
      <c r="K991" s="24" t="str">
        <f t="shared" si="61"/>
        <v>2022</v>
      </c>
      <c r="L991" s="24" t="str">
        <f t="shared" si="62"/>
        <v>MARZO</v>
      </c>
      <c r="M991" s="232">
        <v>44651</v>
      </c>
      <c r="N991" s="24" t="str">
        <f t="shared" si="63"/>
        <v>JUEVES</v>
      </c>
      <c r="O991" s="106">
        <v>0.53472222222222199</v>
      </c>
      <c r="P991" s="8" t="s">
        <v>469</v>
      </c>
      <c r="Q991" s="8" t="s">
        <v>469</v>
      </c>
      <c r="R991" s="36">
        <f>COUNTIF(Tabla1[[#This Row],[VEHICULOS_ACCIDENTADOS]:[VEHICULOS_ACCIDENTADOS2]],"MOTOCICLETA")</f>
        <v>2</v>
      </c>
      <c r="S991" s="36">
        <f>COUNTIF(Tabla1[[#This Row],[VEHICULOS_ACCIDENTADOS]:[VEHICULOS_ACCIDENTADOS2]],"MOTOCARRO")</f>
        <v>0</v>
      </c>
      <c r="T991" s="36">
        <f>COUNTIF(Tabla1[[#This Row],[VEHICULOS_ACCIDENTADOS]:[VEHICULOS_ACCIDENTADOS2]],"AUTOMOVIL")</f>
        <v>0</v>
      </c>
      <c r="U991" s="36">
        <f>COUNTIF(Tabla1[[#This Row],[VEHICULOS_ACCIDENTADOS]:[VEHICULOS_ACCIDENTADOS2]],"CAMPERO")</f>
        <v>0</v>
      </c>
      <c r="V991" s="36">
        <f>COUNTIF(Tabla1[[#This Row],[VEHICULOS_ACCIDENTADOS]:[VEHICULOS_ACCIDENTADOS2]],"CAMIONETA")</f>
        <v>0</v>
      </c>
      <c r="W991" s="36">
        <f>COUNTIF(Tabla1[[#This Row],[VEHICULOS_ACCIDENTADOS]:[VEHICULOS_ACCIDENTADOS2]],"MICROBUS")</f>
        <v>0</v>
      </c>
      <c r="X991" s="36">
        <f>COUNTIF(Tabla1[[#This Row],[VEHICULOS_ACCIDENTADOS]:[VEHICULOS_ACCIDENTADOS2]],"BUS")</f>
        <v>0</v>
      </c>
      <c r="Y991" s="36">
        <f>COUNTIF(Tabla1[[#This Row],[VEHICULOS_ACCIDENTADOS]:[VEHICULOS_ACCIDENTADOS2]],"BUSETA")</f>
        <v>0</v>
      </c>
      <c r="Z991" s="36">
        <f>COUNTIF(Tabla1[[#This Row],[VEHICULOS_ACCIDENTADOS]:[VEHICULOS_ACCIDENTADOS2]],"CAMION")</f>
        <v>0</v>
      </c>
      <c r="AA991" s="36">
        <f>COUNTIF(Tabla1[[#This Row],[VEHICULOS_ACCIDENTADOS]:[VEHICULOS_ACCIDENTADOS2]],"TRACTOCAMION")</f>
        <v>0</v>
      </c>
      <c r="AB991" s="36">
        <f>COUNTIF(Tabla1[[#This Row],[VEHICULOS_ACCIDENTADOS]:[VEHICULOS_ACCIDENTADOS2]],"VOLQUETA")</f>
        <v>0</v>
      </c>
      <c r="AC991" s="36">
        <f>COUNTIF(Tabla1[[#This Row],[VEHICULOS_ACCIDENTADOS]:[VEHICULOS_ACCIDENTADOS2]],"BICICLETA")</f>
        <v>0</v>
      </c>
      <c r="AD991" s="7" t="s">
        <v>471</v>
      </c>
      <c r="AE991" s="7"/>
      <c r="AF991" s="7">
        <f>COUNTIF(Tabla1[[#This Row],[GENERO_MASCULINO]:[GENERO_FEMENINO]],"MASCULINO")</f>
        <v>1</v>
      </c>
      <c r="AG991" s="36">
        <f>COUNTIF(Tabla1[[#This Row],[GENERO_MASCULINO]:[GENERO_FEMENINO]],"FEMENINO")</f>
        <v>0</v>
      </c>
      <c r="AH991" s="73">
        <v>24</v>
      </c>
      <c r="AI991" s="73">
        <v>17</v>
      </c>
      <c r="AJ991" s="87"/>
      <c r="AK991" s="73"/>
      <c r="AL991" s="73"/>
      <c r="AM991" s="7"/>
      <c r="AN991" s="73">
        <v>121</v>
      </c>
      <c r="AO991" s="36" t="str">
        <f>IFERROR(((VLOOKUP(Tabla1[[#This Row],[HIPOTESIS_1]],listas!$D$1:$E$105,2,FALSE))),"SIN INFORMACIÓN")</f>
        <v>No mantener distancia de seguridad.</v>
      </c>
      <c r="AP991" s="7"/>
      <c r="AQ991" s="36" t="str">
        <f>IFERROR(((VLOOKUP(Tabla1[[#This Row],[HIPOTESIS_2]],listas!$D$1:$E$105,2,FALSE))),"")</f>
        <v/>
      </c>
      <c r="AR991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992" spans="1:44" x14ac:dyDescent="0.25">
      <c r="A992" s="12">
        <v>245</v>
      </c>
      <c r="B992" s="7">
        <v>1</v>
      </c>
      <c r="C992" s="7">
        <v>0</v>
      </c>
      <c r="D992" s="7">
        <v>0</v>
      </c>
      <c r="E992" s="18" t="str">
        <f t="shared" si="60"/>
        <v>SOLO DAÑO</v>
      </c>
      <c r="F992" s="156" t="s">
        <v>343</v>
      </c>
      <c r="G992" s="17">
        <v>5.3383905555555549</v>
      </c>
      <c r="H992" s="17">
        <v>-72.356616388888881</v>
      </c>
      <c r="I992" s="93" t="s">
        <v>697</v>
      </c>
      <c r="J992" s="7" t="s">
        <v>1</v>
      </c>
      <c r="K992" s="24" t="str">
        <f t="shared" si="61"/>
        <v>2022</v>
      </c>
      <c r="L992" s="24" t="str">
        <f t="shared" si="62"/>
        <v>JULIO</v>
      </c>
      <c r="M992" s="232">
        <v>44751</v>
      </c>
      <c r="N992" s="24" t="str">
        <f t="shared" si="63"/>
        <v>SÁBADO</v>
      </c>
      <c r="O992" s="174">
        <v>0.61805555555555602</v>
      </c>
      <c r="P992" s="180" t="s">
        <v>469</v>
      </c>
      <c r="Q992" s="180" t="s">
        <v>445</v>
      </c>
      <c r="R992" s="36">
        <f>COUNTIF(Tabla1[[#This Row],[VEHICULOS_ACCIDENTADOS]:[VEHICULOS_ACCIDENTADOS2]],"MOTOCICLETA")</f>
        <v>1</v>
      </c>
      <c r="S992" s="36">
        <f>COUNTIF(Tabla1[[#This Row],[VEHICULOS_ACCIDENTADOS]:[VEHICULOS_ACCIDENTADOS2]],"MOTOCARRO")</f>
        <v>0</v>
      </c>
      <c r="T992" s="36">
        <f>COUNTIF(Tabla1[[#This Row],[VEHICULOS_ACCIDENTADOS]:[VEHICULOS_ACCIDENTADOS2]],"AUTOMOVIL")</f>
        <v>0</v>
      </c>
      <c r="U992" s="36">
        <f>COUNTIF(Tabla1[[#This Row],[VEHICULOS_ACCIDENTADOS]:[VEHICULOS_ACCIDENTADOS2]],"CAMPERO")</f>
        <v>0</v>
      </c>
      <c r="V992" s="36">
        <f>COUNTIF(Tabla1[[#This Row],[VEHICULOS_ACCIDENTADOS]:[VEHICULOS_ACCIDENTADOS2]],"CAMIONETA")</f>
        <v>1</v>
      </c>
      <c r="W992" s="36">
        <f>COUNTIF(Tabla1[[#This Row],[VEHICULOS_ACCIDENTADOS]:[VEHICULOS_ACCIDENTADOS2]],"MICROBUS")</f>
        <v>0</v>
      </c>
      <c r="X992" s="36">
        <f>COUNTIF(Tabla1[[#This Row],[VEHICULOS_ACCIDENTADOS]:[VEHICULOS_ACCIDENTADOS2]],"BUS")</f>
        <v>0</v>
      </c>
      <c r="Y992" s="36">
        <f>COUNTIF(Tabla1[[#This Row],[VEHICULOS_ACCIDENTADOS]:[VEHICULOS_ACCIDENTADOS2]],"BUSETA")</f>
        <v>0</v>
      </c>
      <c r="Z992" s="36">
        <f>COUNTIF(Tabla1[[#This Row],[VEHICULOS_ACCIDENTADOS]:[VEHICULOS_ACCIDENTADOS2]],"CAMION")</f>
        <v>0</v>
      </c>
      <c r="AA992" s="36">
        <f>COUNTIF(Tabla1[[#This Row],[VEHICULOS_ACCIDENTADOS]:[VEHICULOS_ACCIDENTADOS2]],"TRACTOCAMION")</f>
        <v>0</v>
      </c>
      <c r="AB992" s="36">
        <f>COUNTIF(Tabla1[[#This Row],[VEHICULOS_ACCIDENTADOS]:[VEHICULOS_ACCIDENTADOS2]],"VOLQUETA")</f>
        <v>0</v>
      </c>
      <c r="AC992" s="36">
        <f>COUNTIF(Tabla1[[#This Row],[VEHICULOS_ACCIDENTADOS]:[VEHICULOS_ACCIDENTADOS2]],"BICICLETA")</f>
        <v>0</v>
      </c>
      <c r="AD992" s="7"/>
      <c r="AE992" s="7" t="s">
        <v>472</v>
      </c>
      <c r="AF992" s="7">
        <f>COUNTIF(Tabla1[[#This Row],[GENERO_MASCULINO]:[GENERO_FEMENINO]],"MASCULINO")</f>
        <v>0</v>
      </c>
      <c r="AG992" s="36">
        <f>COUNTIF(Tabla1[[#This Row],[GENERO_MASCULINO]:[GENERO_FEMENINO]],"FEMENINO")</f>
        <v>1</v>
      </c>
      <c r="AH992" s="73"/>
      <c r="AI992" s="73"/>
      <c r="AJ992" s="87"/>
      <c r="AK992" s="73"/>
      <c r="AL992" s="73"/>
      <c r="AM992" s="7"/>
      <c r="AN992" s="73">
        <v>121</v>
      </c>
      <c r="AO992" s="36" t="str">
        <f>IFERROR(((VLOOKUP(Tabla1[[#This Row],[HIPOTESIS_1]],listas!$D$1:$E$105,2,FALSE))),"SIN INFORMACIÓN")</f>
        <v>No mantener distancia de seguridad.</v>
      </c>
      <c r="AP992" s="7"/>
      <c r="AQ992" s="36" t="str">
        <f>IFERROR(((VLOOKUP(Tabla1[[#This Row],[HIPOTESIS_2]],listas!$D$1:$E$105,2,FALSE))),"")</f>
        <v/>
      </c>
      <c r="AR992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993" spans="1:44" x14ac:dyDescent="0.25">
      <c r="A993" s="12">
        <v>491</v>
      </c>
      <c r="B993" s="7">
        <v>1</v>
      </c>
      <c r="C993" s="7">
        <v>0</v>
      </c>
      <c r="D993" s="7">
        <v>0</v>
      </c>
      <c r="E993" s="18" t="str">
        <f t="shared" si="60"/>
        <v>SOLO DAÑO</v>
      </c>
      <c r="F993" s="7" t="s">
        <v>788</v>
      </c>
      <c r="G993" s="21">
        <v>5.3511733333333327</v>
      </c>
      <c r="H993" s="21">
        <v>-72.372736944444441</v>
      </c>
      <c r="I993" s="93" t="s">
        <v>697</v>
      </c>
      <c r="J993" s="7" t="s">
        <v>1</v>
      </c>
      <c r="K993" s="24" t="str">
        <f t="shared" si="61"/>
        <v>2023</v>
      </c>
      <c r="L993" s="24" t="str">
        <f t="shared" si="62"/>
        <v>MAYO</v>
      </c>
      <c r="M993" s="232">
        <v>45071</v>
      </c>
      <c r="N993" s="24" t="str">
        <f t="shared" si="63"/>
        <v>JUEVES</v>
      </c>
      <c r="O993" s="106">
        <v>0.95833333333333337</v>
      </c>
      <c r="P993" s="39" t="s">
        <v>445</v>
      </c>
      <c r="Q993" s="39" t="s">
        <v>441</v>
      </c>
      <c r="R993" s="36">
        <f>COUNTIF(Tabla1[[#This Row],[VEHICULOS_ACCIDENTADOS]:[VEHICULOS_ACCIDENTADOS2]],"MOTOCICLETA")</f>
        <v>0</v>
      </c>
      <c r="S993" s="36">
        <f>COUNTIF(Tabla1[[#This Row],[VEHICULOS_ACCIDENTADOS]:[VEHICULOS_ACCIDENTADOS2]],"MOTOCARRO")</f>
        <v>0</v>
      </c>
      <c r="T993" s="36">
        <f>COUNTIF(Tabla1[[#This Row],[VEHICULOS_ACCIDENTADOS]:[VEHICULOS_ACCIDENTADOS2]],"AUTOMOVIL")</f>
        <v>0</v>
      </c>
      <c r="U993" s="36">
        <f>COUNTIF(Tabla1[[#This Row],[VEHICULOS_ACCIDENTADOS]:[VEHICULOS_ACCIDENTADOS2]],"CAMPERO")</f>
        <v>0</v>
      </c>
      <c r="V993" s="36">
        <f>COUNTIF(Tabla1[[#This Row],[VEHICULOS_ACCIDENTADOS]:[VEHICULOS_ACCIDENTADOS2]],"CAMIONETA")</f>
        <v>1</v>
      </c>
      <c r="W993" s="36">
        <f>COUNTIF(Tabla1[[#This Row],[VEHICULOS_ACCIDENTADOS]:[VEHICULOS_ACCIDENTADOS2]],"MICROBUS")</f>
        <v>0</v>
      </c>
      <c r="X993" s="36">
        <f>COUNTIF(Tabla1[[#This Row],[VEHICULOS_ACCIDENTADOS]:[VEHICULOS_ACCIDENTADOS2]],"BUS")</f>
        <v>0</v>
      </c>
      <c r="Y993" s="36">
        <f>COUNTIF(Tabla1[[#This Row],[VEHICULOS_ACCIDENTADOS]:[VEHICULOS_ACCIDENTADOS2]],"BUSETA")</f>
        <v>0</v>
      </c>
      <c r="Z993" s="36">
        <f>COUNTIF(Tabla1[[#This Row],[VEHICULOS_ACCIDENTADOS]:[VEHICULOS_ACCIDENTADOS2]],"CAMION")</f>
        <v>1</v>
      </c>
      <c r="AA993" s="36">
        <f>COUNTIF(Tabla1[[#This Row],[VEHICULOS_ACCIDENTADOS]:[VEHICULOS_ACCIDENTADOS2]],"TRACTOCAMION")</f>
        <v>0</v>
      </c>
      <c r="AB993" s="36">
        <f>COUNTIF(Tabla1[[#This Row],[VEHICULOS_ACCIDENTADOS]:[VEHICULOS_ACCIDENTADOS2]],"VOLQUETA")</f>
        <v>0</v>
      </c>
      <c r="AC993" s="36">
        <f>COUNTIF(Tabla1[[#This Row],[VEHICULOS_ACCIDENTADOS]:[VEHICULOS_ACCIDENTADOS2]],"BICICLETA")</f>
        <v>0</v>
      </c>
      <c r="AD993" s="7"/>
      <c r="AE993" s="7" t="s">
        <v>472</v>
      </c>
      <c r="AF993" s="7">
        <f>COUNTIF(Tabla1[[#This Row],[GENERO_MASCULINO]:[GENERO_FEMENINO]],"MASCULINO")</f>
        <v>0</v>
      </c>
      <c r="AG993" s="36">
        <f>COUNTIF(Tabla1[[#This Row],[GENERO_MASCULINO]:[GENERO_FEMENINO]],"FEMENINO")</f>
        <v>1</v>
      </c>
      <c r="AH993" s="73"/>
      <c r="AI993" s="73"/>
      <c r="AJ993" s="87"/>
      <c r="AK993" s="73"/>
      <c r="AL993" s="73"/>
      <c r="AM993" s="7"/>
      <c r="AN993" s="73">
        <v>304</v>
      </c>
      <c r="AO993" s="36" t="str">
        <f>IFERROR(((VLOOKUP(Tabla1[[#This Row],[HIPOTESIS_1]],listas!$D$1:$E$105,2,FALSE))),"SIN INFORMACIÓN")</f>
        <v>Superficie húmeda.</v>
      </c>
      <c r="AP993" s="7"/>
      <c r="AQ993" s="36" t="str">
        <f>IFERROR(((VLOOKUP(Tabla1[[#This Row],[HIPOTESIS_2]],listas!$D$1:$E$105,2,FALSE))),"")</f>
        <v/>
      </c>
      <c r="AR993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994" spans="1:44" x14ac:dyDescent="0.25">
      <c r="A994" s="12">
        <v>279</v>
      </c>
      <c r="B994" s="7">
        <v>0</v>
      </c>
      <c r="C994" s="7">
        <v>1</v>
      </c>
      <c r="D994" s="7">
        <v>0</v>
      </c>
      <c r="E994" s="18" t="str">
        <f t="shared" si="60"/>
        <v>LESIONADO</v>
      </c>
      <c r="F994" s="156" t="s">
        <v>328</v>
      </c>
      <c r="G994" s="17">
        <v>5.3229138888888885</v>
      </c>
      <c r="H994" s="17">
        <v>-72.414462222222227</v>
      </c>
      <c r="I994" s="93" t="s">
        <v>697</v>
      </c>
      <c r="J994" s="7" t="s">
        <v>717</v>
      </c>
      <c r="K994" s="24" t="str">
        <f t="shared" si="61"/>
        <v>2022</v>
      </c>
      <c r="L994" s="24" t="str">
        <f t="shared" si="62"/>
        <v>AGOSTO</v>
      </c>
      <c r="M994" s="232">
        <v>44785</v>
      </c>
      <c r="N994" s="24" t="str">
        <f t="shared" si="63"/>
        <v>VIERNES</v>
      </c>
      <c r="O994" s="174">
        <v>0.75694444444444442</v>
      </c>
      <c r="P994" s="180" t="s">
        <v>469</v>
      </c>
      <c r="Q994" s="180" t="s">
        <v>445</v>
      </c>
      <c r="R994" s="36">
        <f>COUNTIF(Tabla1[[#This Row],[VEHICULOS_ACCIDENTADOS]:[VEHICULOS_ACCIDENTADOS2]],"MOTOCICLETA")</f>
        <v>1</v>
      </c>
      <c r="S994" s="36">
        <f>COUNTIF(Tabla1[[#This Row],[VEHICULOS_ACCIDENTADOS]:[VEHICULOS_ACCIDENTADOS2]],"MOTOCARRO")</f>
        <v>0</v>
      </c>
      <c r="T994" s="36">
        <f>COUNTIF(Tabla1[[#This Row],[VEHICULOS_ACCIDENTADOS]:[VEHICULOS_ACCIDENTADOS2]],"AUTOMOVIL")</f>
        <v>0</v>
      </c>
      <c r="U994" s="36">
        <f>COUNTIF(Tabla1[[#This Row],[VEHICULOS_ACCIDENTADOS]:[VEHICULOS_ACCIDENTADOS2]],"CAMPERO")</f>
        <v>0</v>
      </c>
      <c r="V994" s="36">
        <f>COUNTIF(Tabla1[[#This Row],[VEHICULOS_ACCIDENTADOS]:[VEHICULOS_ACCIDENTADOS2]],"CAMIONETA")</f>
        <v>1</v>
      </c>
      <c r="W994" s="36">
        <f>COUNTIF(Tabla1[[#This Row],[VEHICULOS_ACCIDENTADOS]:[VEHICULOS_ACCIDENTADOS2]],"MICROBUS")</f>
        <v>0</v>
      </c>
      <c r="X994" s="36">
        <f>COUNTIF(Tabla1[[#This Row],[VEHICULOS_ACCIDENTADOS]:[VEHICULOS_ACCIDENTADOS2]],"BUS")</f>
        <v>0</v>
      </c>
      <c r="Y994" s="36">
        <f>COUNTIF(Tabla1[[#This Row],[VEHICULOS_ACCIDENTADOS]:[VEHICULOS_ACCIDENTADOS2]],"BUSETA")</f>
        <v>0</v>
      </c>
      <c r="Z994" s="36">
        <f>COUNTIF(Tabla1[[#This Row],[VEHICULOS_ACCIDENTADOS]:[VEHICULOS_ACCIDENTADOS2]],"CAMION")</f>
        <v>0</v>
      </c>
      <c r="AA994" s="36">
        <f>COUNTIF(Tabla1[[#This Row],[VEHICULOS_ACCIDENTADOS]:[VEHICULOS_ACCIDENTADOS2]],"TRACTOCAMION")</f>
        <v>0</v>
      </c>
      <c r="AB994" s="36">
        <f>COUNTIF(Tabla1[[#This Row],[VEHICULOS_ACCIDENTADOS]:[VEHICULOS_ACCIDENTADOS2]],"VOLQUETA")</f>
        <v>0</v>
      </c>
      <c r="AC994" s="36">
        <f>COUNTIF(Tabla1[[#This Row],[VEHICULOS_ACCIDENTADOS]:[VEHICULOS_ACCIDENTADOS2]],"BICICLETA")</f>
        <v>0</v>
      </c>
      <c r="AD994" s="7"/>
      <c r="AE994" s="7" t="s">
        <v>472</v>
      </c>
      <c r="AF994" s="7">
        <f>COUNTIF(Tabla1[[#This Row],[GENERO_MASCULINO]:[GENERO_FEMENINO]],"MASCULINO")</f>
        <v>0</v>
      </c>
      <c r="AG994" s="36">
        <f>COUNTIF(Tabla1[[#This Row],[GENERO_MASCULINO]:[GENERO_FEMENINO]],"FEMENINO")</f>
        <v>1</v>
      </c>
      <c r="AH994" s="73">
        <v>31</v>
      </c>
      <c r="AI994" s="73"/>
      <c r="AJ994" s="73"/>
      <c r="AK994" s="73"/>
      <c r="AL994" s="73"/>
      <c r="AM994" s="7"/>
      <c r="AN994" s="73">
        <v>157</v>
      </c>
      <c r="AO994" s="36" t="str">
        <f>IFERROR(((VLOOKUP(Tabla1[[#This Row],[HIPOTESIS_1]],listas!$D$1:$E$105,2,FALSE))),"SIN INFORMACIÓN")</f>
        <v>Otra</v>
      </c>
      <c r="AP994" s="7"/>
      <c r="AQ994" s="36" t="str">
        <f>IFERROR(((VLOOKUP(Tabla1[[#This Row],[HIPOTESIS_2]],listas!$D$1:$E$105,2,FALSE))),"")</f>
        <v/>
      </c>
      <c r="AR994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995" spans="1:44" ht="15" x14ac:dyDescent="0.25">
      <c r="A995" s="12">
        <v>77</v>
      </c>
      <c r="B995" s="7">
        <v>0</v>
      </c>
      <c r="C995" s="7">
        <v>0</v>
      </c>
      <c r="D995" s="7">
        <v>1</v>
      </c>
      <c r="E995" s="18" t="str">
        <f t="shared" si="60"/>
        <v>FALLECIDO</v>
      </c>
      <c r="F995" s="157" t="s">
        <v>412</v>
      </c>
      <c r="G995" s="17">
        <v>5.3269861111111112</v>
      </c>
      <c r="H995" s="17">
        <v>-72.411683333333343</v>
      </c>
      <c r="I995" s="93" t="s">
        <v>662</v>
      </c>
      <c r="J995" s="7" t="s">
        <v>1</v>
      </c>
      <c r="K995" s="24" t="str">
        <f t="shared" si="61"/>
        <v>2022</v>
      </c>
      <c r="L995" s="24" t="str">
        <f t="shared" si="62"/>
        <v>MARZO</v>
      </c>
      <c r="M995" s="232">
        <v>44628</v>
      </c>
      <c r="N995" s="24" t="str">
        <f t="shared" si="63"/>
        <v>MARTES</v>
      </c>
      <c r="O995" s="106">
        <v>0.84027777777777779</v>
      </c>
      <c r="P995" s="8" t="s">
        <v>469</v>
      </c>
      <c r="Q995" s="8" t="s">
        <v>445</v>
      </c>
      <c r="R995" s="36">
        <f>COUNTIF(Tabla1[[#This Row],[VEHICULOS_ACCIDENTADOS]:[VEHICULOS_ACCIDENTADOS2]],"MOTOCICLETA")</f>
        <v>1</v>
      </c>
      <c r="S995" s="36">
        <f>COUNTIF(Tabla1[[#This Row],[VEHICULOS_ACCIDENTADOS]:[VEHICULOS_ACCIDENTADOS2]],"MOTOCARRO")</f>
        <v>0</v>
      </c>
      <c r="T995" s="36">
        <f>COUNTIF(Tabla1[[#This Row],[VEHICULOS_ACCIDENTADOS]:[VEHICULOS_ACCIDENTADOS2]],"AUTOMOVIL")</f>
        <v>0</v>
      </c>
      <c r="U995" s="36">
        <f>COUNTIF(Tabla1[[#This Row],[VEHICULOS_ACCIDENTADOS]:[VEHICULOS_ACCIDENTADOS2]],"CAMPERO")</f>
        <v>0</v>
      </c>
      <c r="V995" s="36">
        <f>COUNTIF(Tabla1[[#This Row],[VEHICULOS_ACCIDENTADOS]:[VEHICULOS_ACCIDENTADOS2]],"CAMIONETA")</f>
        <v>1</v>
      </c>
      <c r="W995" s="36">
        <f>COUNTIF(Tabla1[[#This Row],[VEHICULOS_ACCIDENTADOS]:[VEHICULOS_ACCIDENTADOS2]],"MICROBUS")</f>
        <v>0</v>
      </c>
      <c r="X995" s="36">
        <f>COUNTIF(Tabla1[[#This Row],[VEHICULOS_ACCIDENTADOS]:[VEHICULOS_ACCIDENTADOS2]],"BUS")</f>
        <v>0</v>
      </c>
      <c r="Y995" s="36">
        <f>COUNTIF(Tabla1[[#This Row],[VEHICULOS_ACCIDENTADOS]:[VEHICULOS_ACCIDENTADOS2]],"BUSETA")</f>
        <v>0</v>
      </c>
      <c r="Z995" s="36">
        <f>COUNTIF(Tabla1[[#This Row],[VEHICULOS_ACCIDENTADOS]:[VEHICULOS_ACCIDENTADOS2]],"CAMION")</f>
        <v>0</v>
      </c>
      <c r="AA995" s="36">
        <f>COUNTIF(Tabla1[[#This Row],[VEHICULOS_ACCIDENTADOS]:[VEHICULOS_ACCIDENTADOS2]],"TRACTOCAMION")</f>
        <v>0</v>
      </c>
      <c r="AB995" s="36">
        <f>COUNTIF(Tabla1[[#This Row],[VEHICULOS_ACCIDENTADOS]:[VEHICULOS_ACCIDENTADOS2]],"VOLQUETA")</f>
        <v>0</v>
      </c>
      <c r="AC995" s="36">
        <f>COUNTIF(Tabla1[[#This Row],[VEHICULOS_ACCIDENTADOS]:[VEHICULOS_ACCIDENTADOS2]],"BICICLETA")</f>
        <v>0</v>
      </c>
      <c r="AD995" s="7"/>
      <c r="AE995" s="7" t="s">
        <v>472</v>
      </c>
      <c r="AF995" s="7">
        <f>COUNTIF(Tabla1[[#This Row],[GENERO_MASCULINO]:[GENERO_FEMENINO]],"MASCULINO")</f>
        <v>0</v>
      </c>
      <c r="AG995" s="36">
        <f>COUNTIF(Tabla1[[#This Row],[GENERO_MASCULINO]:[GENERO_FEMENINO]],"FEMENINO")</f>
        <v>1</v>
      </c>
      <c r="AH995" s="73">
        <v>29</v>
      </c>
      <c r="AI995" s="73">
        <v>0</v>
      </c>
      <c r="AJ995" s="73"/>
      <c r="AK995" s="73"/>
      <c r="AL995" s="73"/>
      <c r="AM995" s="7"/>
      <c r="AN995" s="73">
        <v>99</v>
      </c>
      <c r="AO995" s="36" t="str">
        <f>IFERROR(((VLOOKUP(Tabla1[[#This Row],[HIPOTESIS_1]],listas!$D$1:$E$105,2,FALSE))),"SIN INFORMACIÓN")</f>
        <v>No hacer uso de señales reflectivas o luminosas.</v>
      </c>
      <c r="AP995" s="7"/>
      <c r="AQ995" s="36" t="str">
        <f>IFERROR(((VLOOKUP(Tabla1[[#This Row],[HIPOTESIS_2]],listas!$D$1:$E$105,2,FALSE))),"")</f>
        <v/>
      </c>
      <c r="AR995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996" spans="1:44" x14ac:dyDescent="0.25">
      <c r="A996" s="12">
        <v>616</v>
      </c>
      <c r="B996" s="32">
        <v>0</v>
      </c>
      <c r="C996" s="32">
        <v>2</v>
      </c>
      <c r="D996" s="32">
        <v>0</v>
      </c>
      <c r="E996" s="18" t="str">
        <f t="shared" si="60"/>
        <v>LESIONADO</v>
      </c>
      <c r="F996" s="7" t="s">
        <v>742</v>
      </c>
      <c r="G996" s="21">
        <v>5.358750555555555</v>
      </c>
      <c r="H996" s="21">
        <v>-72.408608888888892</v>
      </c>
      <c r="I996" s="93" t="s">
        <v>697</v>
      </c>
      <c r="J996" s="7" t="s">
        <v>1</v>
      </c>
      <c r="K996" s="24" t="str">
        <f t="shared" si="61"/>
        <v>2023</v>
      </c>
      <c r="L996" s="24" t="str">
        <f t="shared" si="62"/>
        <v>NOVIEMBRE</v>
      </c>
      <c r="M996" s="232">
        <v>45250</v>
      </c>
      <c r="N996" s="24" t="str">
        <f t="shared" si="63"/>
        <v>LUNES</v>
      </c>
      <c r="O996" s="108">
        <v>0.78472222222222221</v>
      </c>
      <c r="P996" s="215" t="s">
        <v>469</v>
      </c>
      <c r="Q996" s="215" t="s">
        <v>469</v>
      </c>
      <c r="R996" s="36">
        <f>COUNTIF(Tabla1[[#This Row],[VEHICULOS_ACCIDENTADOS]:[VEHICULOS_ACCIDENTADOS2]],"MOTOCICLETA")</f>
        <v>2</v>
      </c>
      <c r="S996" s="36">
        <f>COUNTIF(Tabla1[[#This Row],[VEHICULOS_ACCIDENTADOS]:[VEHICULOS_ACCIDENTADOS2]],"MOTOCARRO")</f>
        <v>0</v>
      </c>
      <c r="T996" s="36">
        <f>COUNTIF(Tabla1[[#This Row],[VEHICULOS_ACCIDENTADOS]:[VEHICULOS_ACCIDENTADOS2]],"AUTOMOVIL")</f>
        <v>0</v>
      </c>
      <c r="U996" s="36">
        <f>COUNTIF(Tabla1[[#This Row],[VEHICULOS_ACCIDENTADOS]:[VEHICULOS_ACCIDENTADOS2]],"CAMPERO")</f>
        <v>0</v>
      </c>
      <c r="V996" s="36">
        <f>COUNTIF(Tabla1[[#This Row],[VEHICULOS_ACCIDENTADOS]:[VEHICULOS_ACCIDENTADOS2]],"CAMIONETA")</f>
        <v>0</v>
      </c>
      <c r="W996" s="36">
        <f>COUNTIF(Tabla1[[#This Row],[VEHICULOS_ACCIDENTADOS]:[VEHICULOS_ACCIDENTADOS2]],"MICROBUS")</f>
        <v>0</v>
      </c>
      <c r="X996" s="36">
        <f>COUNTIF(Tabla1[[#This Row],[VEHICULOS_ACCIDENTADOS]:[VEHICULOS_ACCIDENTADOS2]],"BUS")</f>
        <v>0</v>
      </c>
      <c r="Y996" s="36">
        <f>COUNTIF(Tabla1[[#This Row],[VEHICULOS_ACCIDENTADOS]:[VEHICULOS_ACCIDENTADOS2]],"BUSETA")</f>
        <v>0</v>
      </c>
      <c r="Z996" s="36">
        <f>COUNTIF(Tabla1[[#This Row],[VEHICULOS_ACCIDENTADOS]:[VEHICULOS_ACCIDENTADOS2]],"CAMION")</f>
        <v>0</v>
      </c>
      <c r="AA996" s="36">
        <f>COUNTIF(Tabla1[[#This Row],[VEHICULOS_ACCIDENTADOS]:[VEHICULOS_ACCIDENTADOS2]],"TRACTOCAMION")</f>
        <v>0</v>
      </c>
      <c r="AB996" s="36">
        <f>COUNTIF(Tabla1[[#This Row],[VEHICULOS_ACCIDENTADOS]:[VEHICULOS_ACCIDENTADOS2]],"VOLQUETA")</f>
        <v>0</v>
      </c>
      <c r="AC996" s="36">
        <f>COUNTIF(Tabla1[[#This Row],[VEHICULOS_ACCIDENTADOS]:[VEHICULOS_ACCIDENTADOS2]],"BICICLETA")</f>
        <v>0</v>
      </c>
      <c r="AD996" s="7" t="s">
        <v>471</v>
      </c>
      <c r="AE996" s="7"/>
      <c r="AF996" s="7">
        <f>COUNTIF(Tabla1[[#This Row],[GENERO_MASCULINO]:[GENERO_FEMENINO]],"MASCULINO")</f>
        <v>1</v>
      </c>
      <c r="AG996" s="36">
        <f>COUNTIF(Tabla1[[#This Row],[GENERO_MASCULINO]:[GENERO_FEMENINO]],"FEMENINO")</f>
        <v>0</v>
      </c>
      <c r="AH996" s="193">
        <v>42</v>
      </c>
      <c r="AI996" s="193">
        <v>28</v>
      </c>
      <c r="AJ996" s="193"/>
      <c r="AK996" s="193"/>
      <c r="AL996" s="193"/>
      <c r="AM996" s="32"/>
      <c r="AN996" s="193">
        <v>99</v>
      </c>
      <c r="AO996" s="36" t="str">
        <f>IFERROR(((VLOOKUP(Tabla1[[#This Row],[HIPOTESIS_1]],listas!$D$1:$E$105,2,FALSE))),"SIN INFORMACIÓN")</f>
        <v>No hacer uso de señales reflectivas o luminosas.</v>
      </c>
      <c r="AP996" s="32"/>
      <c r="AQ996" s="36" t="str">
        <f>IFERROR(((VLOOKUP(Tabla1[[#This Row],[HIPOTESIS_2]],listas!$D$1:$E$105,2,FALSE))),"")</f>
        <v/>
      </c>
      <c r="AR996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997" spans="1:44" ht="15" x14ac:dyDescent="0.25">
      <c r="A997" s="12">
        <v>88</v>
      </c>
      <c r="B997" s="7">
        <v>1</v>
      </c>
      <c r="C997" s="7">
        <v>0</v>
      </c>
      <c r="D997" s="7">
        <v>0</v>
      </c>
      <c r="E997" s="18" t="str">
        <f t="shared" si="60"/>
        <v>SOLO DAÑO</v>
      </c>
      <c r="F997" s="157" t="s">
        <v>407</v>
      </c>
      <c r="G997" s="17">
        <v>5.3225208333333329</v>
      </c>
      <c r="H997" s="17">
        <v>-72.414977222222234</v>
      </c>
      <c r="I997" s="93" t="s">
        <v>697</v>
      </c>
      <c r="J997" s="7" t="s">
        <v>1</v>
      </c>
      <c r="K997" s="24" t="str">
        <f t="shared" si="61"/>
        <v>2022</v>
      </c>
      <c r="L997" s="24" t="str">
        <f t="shared" si="62"/>
        <v>MARZO</v>
      </c>
      <c r="M997" s="232">
        <v>44637</v>
      </c>
      <c r="N997" s="24" t="str">
        <f t="shared" si="63"/>
        <v>JUEVES</v>
      </c>
      <c r="O997" s="106">
        <v>0.90277777777777801</v>
      </c>
      <c r="P997" s="8" t="s">
        <v>447</v>
      </c>
      <c r="Q997" s="8" t="s">
        <v>440</v>
      </c>
      <c r="R997" s="36">
        <f>COUNTIF(Tabla1[[#This Row],[VEHICULOS_ACCIDENTADOS]:[VEHICULOS_ACCIDENTADOS2]],"MOTOCICLETA")</f>
        <v>0</v>
      </c>
      <c r="S997" s="36">
        <f>COUNTIF(Tabla1[[#This Row],[VEHICULOS_ACCIDENTADOS]:[VEHICULOS_ACCIDENTADOS2]],"MOTOCARRO")</f>
        <v>0</v>
      </c>
      <c r="T997" s="36">
        <f>COUNTIF(Tabla1[[#This Row],[VEHICULOS_ACCIDENTADOS]:[VEHICULOS_ACCIDENTADOS2]],"AUTOMOVIL")</f>
        <v>1</v>
      </c>
      <c r="U997" s="36">
        <f>COUNTIF(Tabla1[[#This Row],[VEHICULOS_ACCIDENTADOS]:[VEHICULOS_ACCIDENTADOS2]],"CAMPERO")</f>
        <v>0</v>
      </c>
      <c r="V997" s="36">
        <f>COUNTIF(Tabla1[[#This Row],[VEHICULOS_ACCIDENTADOS]:[VEHICULOS_ACCIDENTADOS2]],"CAMIONETA")</f>
        <v>0</v>
      </c>
      <c r="W997" s="36">
        <f>COUNTIF(Tabla1[[#This Row],[VEHICULOS_ACCIDENTADOS]:[VEHICULOS_ACCIDENTADOS2]],"MICROBUS")</f>
        <v>0</v>
      </c>
      <c r="X997" s="36">
        <f>COUNTIF(Tabla1[[#This Row],[VEHICULOS_ACCIDENTADOS]:[VEHICULOS_ACCIDENTADOS2]],"BUS")</f>
        <v>0</v>
      </c>
      <c r="Y997" s="36">
        <f>COUNTIF(Tabla1[[#This Row],[VEHICULOS_ACCIDENTADOS]:[VEHICULOS_ACCIDENTADOS2]],"BUSETA")</f>
        <v>0</v>
      </c>
      <c r="Z997" s="36">
        <f>COUNTIF(Tabla1[[#This Row],[VEHICULOS_ACCIDENTADOS]:[VEHICULOS_ACCIDENTADOS2]],"CAMION")</f>
        <v>0</v>
      </c>
      <c r="AA997" s="36">
        <f>COUNTIF(Tabla1[[#This Row],[VEHICULOS_ACCIDENTADOS]:[VEHICULOS_ACCIDENTADOS2]],"TRACTOCAMION")</f>
        <v>1</v>
      </c>
      <c r="AB997" s="36">
        <f>COUNTIF(Tabla1[[#This Row],[VEHICULOS_ACCIDENTADOS]:[VEHICULOS_ACCIDENTADOS2]],"VOLQUETA")</f>
        <v>0</v>
      </c>
      <c r="AC997" s="36">
        <f>COUNTIF(Tabla1[[#This Row],[VEHICULOS_ACCIDENTADOS]:[VEHICULOS_ACCIDENTADOS2]],"BICICLETA")</f>
        <v>0</v>
      </c>
      <c r="AD997" s="7" t="s">
        <v>471</v>
      </c>
      <c r="AE997" s="7"/>
      <c r="AF997" s="7">
        <f>COUNTIF(Tabla1[[#This Row],[GENERO_MASCULINO]:[GENERO_FEMENINO]],"MASCULINO")</f>
        <v>1</v>
      </c>
      <c r="AG997" s="36">
        <f>COUNTIF(Tabla1[[#This Row],[GENERO_MASCULINO]:[GENERO_FEMENINO]],"FEMENINO")</f>
        <v>0</v>
      </c>
      <c r="AH997" s="73"/>
      <c r="AI997" s="73"/>
      <c r="AJ997" s="73"/>
      <c r="AK997" s="73"/>
      <c r="AL997" s="73"/>
      <c r="AM997" s="7"/>
      <c r="AN997" s="73">
        <v>121</v>
      </c>
      <c r="AO997" s="36" t="str">
        <f>IFERROR(((VLOOKUP(Tabla1[[#This Row],[HIPOTESIS_1]],listas!$D$1:$E$105,2,FALSE))),"SIN INFORMACIÓN")</f>
        <v>No mantener distancia de seguridad.</v>
      </c>
      <c r="AP997" s="7"/>
      <c r="AQ997" s="36" t="str">
        <f>IFERROR(((VLOOKUP(Tabla1[[#This Row],[HIPOTESIS_2]],listas!$D$1:$E$105,2,FALSE))),"")</f>
        <v/>
      </c>
      <c r="AR997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998" spans="1:44" x14ac:dyDescent="0.25">
      <c r="A998" s="12">
        <v>27</v>
      </c>
      <c r="B998" s="7">
        <v>1</v>
      </c>
      <c r="C998" s="7">
        <v>0</v>
      </c>
      <c r="D998" s="7">
        <v>0</v>
      </c>
      <c r="E998" s="18" t="str">
        <f t="shared" si="60"/>
        <v>SOLO DAÑO</v>
      </c>
      <c r="F998" s="7" t="s">
        <v>429</v>
      </c>
      <c r="G998" s="17">
        <v>5.3462333333333332</v>
      </c>
      <c r="H998" s="17">
        <v>-72.316913888888891</v>
      </c>
      <c r="I998" s="93" t="s">
        <v>697</v>
      </c>
      <c r="J998" s="7" t="s">
        <v>1</v>
      </c>
      <c r="K998" s="24" t="str">
        <f t="shared" si="61"/>
        <v>2022</v>
      </c>
      <c r="L998" s="24" t="str">
        <f t="shared" si="62"/>
        <v>ENERO</v>
      </c>
      <c r="M998" s="232">
        <v>44583</v>
      </c>
      <c r="N998" s="24" t="str">
        <f t="shared" si="63"/>
        <v>SÁBADO</v>
      </c>
      <c r="O998" s="106">
        <v>0.52777777777777801</v>
      </c>
      <c r="P998" s="8" t="s">
        <v>447</v>
      </c>
      <c r="Q998" s="8"/>
      <c r="R998" s="36">
        <f>COUNTIF(Tabla1[[#This Row],[VEHICULOS_ACCIDENTADOS]:[VEHICULOS_ACCIDENTADOS2]],"MOTOCICLETA")</f>
        <v>0</v>
      </c>
      <c r="S998" s="36">
        <f>COUNTIF(Tabla1[[#This Row],[VEHICULOS_ACCIDENTADOS]:[VEHICULOS_ACCIDENTADOS2]],"MOTOCARRO")</f>
        <v>0</v>
      </c>
      <c r="T998" s="36">
        <f>COUNTIF(Tabla1[[#This Row],[VEHICULOS_ACCIDENTADOS]:[VEHICULOS_ACCIDENTADOS2]],"AUTOMOVIL")</f>
        <v>1</v>
      </c>
      <c r="U998" s="36">
        <f>COUNTIF(Tabla1[[#This Row],[VEHICULOS_ACCIDENTADOS]:[VEHICULOS_ACCIDENTADOS2]],"CAMPERO")</f>
        <v>0</v>
      </c>
      <c r="V998" s="36">
        <f>COUNTIF(Tabla1[[#This Row],[VEHICULOS_ACCIDENTADOS]:[VEHICULOS_ACCIDENTADOS2]],"CAMIONETA")</f>
        <v>0</v>
      </c>
      <c r="W998" s="36">
        <f>COUNTIF(Tabla1[[#This Row],[VEHICULOS_ACCIDENTADOS]:[VEHICULOS_ACCIDENTADOS2]],"MICROBUS")</f>
        <v>0</v>
      </c>
      <c r="X998" s="36">
        <f>COUNTIF(Tabla1[[#This Row],[VEHICULOS_ACCIDENTADOS]:[VEHICULOS_ACCIDENTADOS2]],"BUS")</f>
        <v>0</v>
      </c>
      <c r="Y998" s="36">
        <f>COUNTIF(Tabla1[[#This Row],[VEHICULOS_ACCIDENTADOS]:[VEHICULOS_ACCIDENTADOS2]],"BUSETA")</f>
        <v>0</v>
      </c>
      <c r="Z998" s="36">
        <f>COUNTIF(Tabla1[[#This Row],[VEHICULOS_ACCIDENTADOS]:[VEHICULOS_ACCIDENTADOS2]],"CAMION")</f>
        <v>0</v>
      </c>
      <c r="AA998" s="36">
        <f>COUNTIF(Tabla1[[#This Row],[VEHICULOS_ACCIDENTADOS]:[VEHICULOS_ACCIDENTADOS2]],"TRACTOCAMION")</f>
        <v>0</v>
      </c>
      <c r="AB998" s="36">
        <f>COUNTIF(Tabla1[[#This Row],[VEHICULOS_ACCIDENTADOS]:[VEHICULOS_ACCIDENTADOS2]],"VOLQUETA")</f>
        <v>0</v>
      </c>
      <c r="AC998" s="36">
        <f>COUNTIF(Tabla1[[#This Row],[VEHICULOS_ACCIDENTADOS]:[VEHICULOS_ACCIDENTADOS2]],"BICICLETA")</f>
        <v>0</v>
      </c>
      <c r="AD998" s="7" t="s">
        <v>471</v>
      </c>
      <c r="AE998" s="7"/>
      <c r="AF998" s="7">
        <f>COUNTIF(Tabla1[[#This Row],[GENERO_MASCULINO]:[GENERO_FEMENINO]],"MASCULINO")</f>
        <v>1</v>
      </c>
      <c r="AG998" s="36">
        <f>COUNTIF(Tabla1[[#This Row],[GENERO_MASCULINO]:[GENERO_FEMENINO]],"FEMENINO")</f>
        <v>0</v>
      </c>
      <c r="AH998" s="73"/>
      <c r="AI998" s="73"/>
      <c r="AJ998" s="73"/>
      <c r="AK998" s="73"/>
      <c r="AL998" s="73"/>
      <c r="AM998" s="7"/>
      <c r="AN998" s="73">
        <v>211</v>
      </c>
      <c r="AO998" s="36" t="str">
        <f>IFERROR(((VLOOKUP(Tabla1[[#This Row],[HIPOTESIS_1]],listas!$D$1:$E$105,2,FALSE))),"SIN INFORMACIÓN")</f>
        <v>Fallas en el sistema eléctrico.</v>
      </c>
      <c r="AP998" s="7"/>
      <c r="AQ998" s="36" t="str">
        <f>IFERROR(((VLOOKUP(Tabla1[[#This Row],[HIPOTESIS_2]],listas!$D$1:$E$105,2,FALSE))),"")</f>
        <v/>
      </c>
      <c r="AR998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999" spans="1:44" x14ac:dyDescent="0.25">
      <c r="A999" s="12">
        <v>773</v>
      </c>
      <c r="B999" s="15">
        <v>0</v>
      </c>
      <c r="C999" s="15">
        <v>0</v>
      </c>
      <c r="D999" s="19">
        <v>1</v>
      </c>
      <c r="E999" s="18" t="str">
        <f t="shared" si="60"/>
        <v>FALLECIDO</v>
      </c>
      <c r="F999" s="15" t="s">
        <v>785</v>
      </c>
      <c r="G999" s="21">
        <v>5.2392905555555558</v>
      </c>
      <c r="H999" s="21">
        <v>-72.390162777777789</v>
      </c>
      <c r="I999" s="93" t="s">
        <v>697</v>
      </c>
      <c r="J999" s="15" t="s">
        <v>1</v>
      </c>
      <c r="K999" s="24" t="str">
        <f t="shared" si="61"/>
        <v>2024</v>
      </c>
      <c r="L999" s="24" t="str">
        <f t="shared" si="62"/>
        <v>AGOSTO</v>
      </c>
      <c r="M999" s="234">
        <v>45534</v>
      </c>
      <c r="N999" s="24" t="str">
        <f t="shared" si="63"/>
        <v>VIERNES</v>
      </c>
      <c r="O999" s="108">
        <v>0.10416666666666667</v>
      </c>
      <c r="P999" s="44" t="s">
        <v>469</v>
      </c>
      <c r="Q999" s="44" t="s">
        <v>469</v>
      </c>
      <c r="R999" s="36">
        <f>COUNTIF(Tabla1[[#This Row],[VEHICULOS_ACCIDENTADOS]:[VEHICULOS_ACCIDENTADOS2]],"MOTOCICLETA")</f>
        <v>2</v>
      </c>
      <c r="S999" s="36">
        <f>COUNTIF(Tabla1[[#This Row],[VEHICULOS_ACCIDENTADOS]:[VEHICULOS_ACCIDENTADOS2]],"MOTOCARRO")</f>
        <v>0</v>
      </c>
      <c r="T999" s="36">
        <f>COUNTIF(Tabla1[[#This Row],[VEHICULOS_ACCIDENTADOS]:[VEHICULOS_ACCIDENTADOS2]],"AUTOMOVIL")</f>
        <v>0</v>
      </c>
      <c r="U999" s="36">
        <f>COUNTIF(Tabla1[[#This Row],[VEHICULOS_ACCIDENTADOS]:[VEHICULOS_ACCIDENTADOS2]],"CAMPERO")</f>
        <v>0</v>
      </c>
      <c r="V999" s="36">
        <f>COUNTIF(Tabla1[[#This Row],[VEHICULOS_ACCIDENTADOS]:[VEHICULOS_ACCIDENTADOS2]],"CAMIONETA")</f>
        <v>0</v>
      </c>
      <c r="W999" s="36">
        <f>COUNTIF(Tabla1[[#This Row],[VEHICULOS_ACCIDENTADOS]:[VEHICULOS_ACCIDENTADOS2]],"MICROBUS")</f>
        <v>0</v>
      </c>
      <c r="X999" s="36">
        <f>COUNTIF(Tabla1[[#This Row],[VEHICULOS_ACCIDENTADOS]:[VEHICULOS_ACCIDENTADOS2]],"BUS")</f>
        <v>0</v>
      </c>
      <c r="Y999" s="36">
        <f>COUNTIF(Tabla1[[#This Row],[VEHICULOS_ACCIDENTADOS]:[VEHICULOS_ACCIDENTADOS2]],"BUSETA")</f>
        <v>0</v>
      </c>
      <c r="Z999" s="36">
        <f>COUNTIF(Tabla1[[#This Row],[VEHICULOS_ACCIDENTADOS]:[VEHICULOS_ACCIDENTADOS2]],"CAMION")</f>
        <v>0</v>
      </c>
      <c r="AA999" s="36">
        <f>COUNTIF(Tabla1[[#This Row],[VEHICULOS_ACCIDENTADOS]:[VEHICULOS_ACCIDENTADOS2]],"TRACTOCAMION")</f>
        <v>0</v>
      </c>
      <c r="AB999" s="36">
        <f>COUNTIF(Tabla1[[#This Row],[VEHICULOS_ACCIDENTADOS]:[VEHICULOS_ACCIDENTADOS2]],"VOLQUETA")</f>
        <v>0</v>
      </c>
      <c r="AC999" s="36">
        <f>COUNTIF(Tabla1[[#This Row],[VEHICULOS_ACCIDENTADOS]:[VEHICULOS_ACCIDENTADOS2]],"BICICLETA")</f>
        <v>0</v>
      </c>
      <c r="AD999" s="15" t="s">
        <v>471</v>
      </c>
      <c r="AE999" s="15"/>
      <c r="AF999" s="15">
        <f>COUNTIF(Tabla1[[#This Row],[GENERO_MASCULINO]:[GENERO_FEMENINO]],"MASCULINO")</f>
        <v>1</v>
      </c>
      <c r="AG999" s="36">
        <f>COUNTIF(Tabla1[[#This Row],[GENERO_MASCULINO]:[GENERO_FEMENINO]],"FEMENINO")</f>
        <v>0</v>
      </c>
      <c r="AH999" s="86"/>
      <c r="AI999" s="86"/>
      <c r="AJ999" s="86"/>
      <c r="AK999" s="86"/>
      <c r="AL999" s="86"/>
      <c r="AM999" s="15">
        <v>43</v>
      </c>
      <c r="AN999" s="86">
        <v>157</v>
      </c>
      <c r="AO999" s="36" t="str">
        <f>IFERROR(((VLOOKUP(Tabla1[[#This Row],[HIPOTESIS_1]],listas!$D$1:$E$105,2,FALSE))),"SIN INFORMACIÓN")</f>
        <v>Otra</v>
      </c>
      <c r="AP999" s="15"/>
      <c r="AQ999" s="36" t="str">
        <f>IFERROR(((VLOOKUP(Tabla1[[#This Row],[HIPOTESIS_2]],listas!$D$1:$E$105,2,FALSE))),"")</f>
        <v/>
      </c>
      <c r="AR999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000" spans="1:44" x14ac:dyDescent="0.25">
      <c r="A1000" s="12">
        <v>409</v>
      </c>
      <c r="B1000" s="7">
        <v>0</v>
      </c>
      <c r="C1000" s="7">
        <v>1</v>
      </c>
      <c r="D1000" s="7">
        <v>0</v>
      </c>
      <c r="E1000" s="18" t="str">
        <f t="shared" si="60"/>
        <v>LESIONADO</v>
      </c>
      <c r="F1000" s="7" t="s">
        <v>745</v>
      </c>
      <c r="G1000" s="21">
        <v>5.2482761111111111</v>
      </c>
      <c r="H1000" s="21">
        <v>-72.394051388888897</v>
      </c>
      <c r="I1000" s="93" t="s">
        <v>697</v>
      </c>
      <c r="J1000" s="7" t="s">
        <v>717</v>
      </c>
      <c r="K1000" s="24" t="str">
        <f t="shared" si="61"/>
        <v>2023</v>
      </c>
      <c r="L1000" s="24" t="str">
        <f t="shared" si="62"/>
        <v>FEBRERO</v>
      </c>
      <c r="M1000" s="232">
        <v>44975</v>
      </c>
      <c r="N1000" s="24" t="str">
        <f t="shared" si="63"/>
        <v>SÁBADO</v>
      </c>
      <c r="O1000" s="106">
        <v>0.47916666666666702</v>
      </c>
      <c r="P1000" s="39" t="s">
        <v>469</v>
      </c>
      <c r="Q1000" s="39" t="s">
        <v>441</v>
      </c>
      <c r="R1000" s="36">
        <f>COUNTIF(Tabla1[[#This Row],[VEHICULOS_ACCIDENTADOS]:[VEHICULOS_ACCIDENTADOS2]],"MOTOCICLETA")</f>
        <v>1</v>
      </c>
      <c r="S1000" s="36">
        <f>COUNTIF(Tabla1[[#This Row],[VEHICULOS_ACCIDENTADOS]:[VEHICULOS_ACCIDENTADOS2]],"MOTOCARRO")</f>
        <v>0</v>
      </c>
      <c r="T1000" s="36">
        <f>COUNTIF(Tabla1[[#This Row],[VEHICULOS_ACCIDENTADOS]:[VEHICULOS_ACCIDENTADOS2]],"AUTOMOVIL")</f>
        <v>0</v>
      </c>
      <c r="U1000" s="36">
        <f>COUNTIF(Tabla1[[#This Row],[VEHICULOS_ACCIDENTADOS]:[VEHICULOS_ACCIDENTADOS2]],"CAMPERO")</f>
        <v>0</v>
      </c>
      <c r="V1000" s="36">
        <f>COUNTIF(Tabla1[[#This Row],[VEHICULOS_ACCIDENTADOS]:[VEHICULOS_ACCIDENTADOS2]],"CAMIONETA")</f>
        <v>0</v>
      </c>
      <c r="W1000" s="36">
        <f>COUNTIF(Tabla1[[#This Row],[VEHICULOS_ACCIDENTADOS]:[VEHICULOS_ACCIDENTADOS2]],"MICROBUS")</f>
        <v>0</v>
      </c>
      <c r="X1000" s="36">
        <f>COUNTIF(Tabla1[[#This Row],[VEHICULOS_ACCIDENTADOS]:[VEHICULOS_ACCIDENTADOS2]],"BUS")</f>
        <v>0</v>
      </c>
      <c r="Y1000" s="36">
        <f>COUNTIF(Tabla1[[#This Row],[VEHICULOS_ACCIDENTADOS]:[VEHICULOS_ACCIDENTADOS2]],"BUSETA")</f>
        <v>0</v>
      </c>
      <c r="Z1000" s="36">
        <f>COUNTIF(Tabla1[[#This Row],[VEHICULOS_ACCIDENTADOS]:[VEHICULOS_ACCIDENTADOS2]],"CAMION")</f>
        <v>1</v>
      </c>
      <c r="AA1000" s="36">
        <f>COUNTIF(Tabla1[[#This Row],[VEHICULOS_ACCIDENTADOS]:[VEHICULOS_ACCIDENTADOS2]],"TRACTOCAMION")</f>
        <v>0</v>
      </c>
      <c r="AB1000" s="36">
        <f>COUNTIF(Tabla1[[#This Row],[VEHICULOS_ACCIDENTADOS]:[VEHICULOS_ACCIDENTADOS2]],"VOLQUETA")</f>
        <v>0</v>
      </c>
      <c r="AC1000" s="36">
        <f>COUNTIF(Tabla1[[#This Row],[VEHICULOS_ACCIDENTADOS]:[VEHICULOS_ACCIDENTADOS2]],"BICICLETA")</f>
        <v>0</v>
      </c>
      <c r="AD1000" s="7" t="s">
        <v>471</v>
      </c>
      <c r="AE1000" s="7"/>
      <c r="AF1000" s="7">
        <f>COUNTIF(Tabla1[[#This Row],[GENERO_MASCULINO]:[GENERO_FEMENINO]],"MASCULINO")</f>
        <v>1</v>
      </c>
      <c r="AG1000" s="36">
        <f>COUNTIF(Tabla1[[#This Row],[GENERO_MASCULINO]:[GENERO_FEMENINO]],"FEMENINO")</f>
        <v>0</v>
      </c>
      <c r="AH1000" s="73">
        <v>26</v>
      </c>
      <c r="AI1000" s="73"/>
      <c r="AJ1000" s="73"/>
      <c r="AK1000" s="73"/>
      <c r="AL1000" s="73"/>
      <c r="AM1000" s="7"/>
      <c r="AN1000" s="73">
        <v>104</v>
      </c>
      <c r="AO1000" s="36" t="str">
        <f>IFERROR(((VLOOKUP(Tabla1[[#This Row],[HIPOTESIS_1]],listas!$D$1:$E$105,2,FALSE))),"SIN INFORMACIÓN")</f>
        <v>Adelantar invadiendo carril de sentido contrario.</v>
      </c>
      <c r="AP1000" s="7"/>
      <c r="AQ1000" s="36" t="str">
        <f>IFERROR(((VLOOKUP(Tabla1[[#This Row],[HIPOTESIS_2]],listas!$D$1:$E$105,2,FALSE))),"")</f>
        <v/>
      </c>
      <c r="AR1000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001" spans="1:44" x14ac:dyDescent="0.25">
      <c r="A1001" s="12">
        <v>256</v>
      </c>
      <c r="B1001" s="7">
        <v>1</v>
      </c>
      <c r="C1001" s="7">
        <v>0</v>
      </c>
      <c r="D1001" s="7">
        <v>0</v>
      </c>
      <c r="E1001" s="18" t="str">
        <f t="shared" si="60"/>
        <v>SOLO DAÑO</v>
      </c>
      <c r="F1001" s="156" t="s">
        <v>325</v>
      </c>
      <c r="G1001" s="17">
        <v>5.321669</v>
      </c>
      <c r="H1001" s="17">
        <v>-72.415500399999999</v>
      </c>
      <c r="I1001" s="93" t="s">
        <v>697</v>
      </c>
      <c r="J1001" s="7" t="s">
        <v>1</v>
      </c>
      <c r="K1001" s="24" t="str">
        <f t="shared" si="61"/>
        <v>2022</v>
      </c>
      <c r="L1001" s="24" t="str">
        <f t="shared" si="62"/>
        <v>JULIO</v>
      </c>
      <c r="M1001" s="232">
        <v>44761</v>
      </c>
      <c r="N1001" s="24" t="str">
        <f t="shared" si="63"/>
        <v>MARTES</v>
      </c>
      <c r="O1001" s="174">
        <v>0.64236111111111105</v>
      </c>
      <c r="P1001" s="180" t="s">
        <v>447</v>
      </c>
      <c r="Q1001" s="180" t="s">
        <v>447</v>
      </c>
      <c r="R1001" s="36">
        <f>COUNTIF(Tabla1[[#This Row],[VEHICULOS_ACCIDENTADOS]:[VEHICULOS_ACCIDENTADOS2]],"MOTOCICLETA")</f>
        <v>0</v>
      </c>
      <c r="S1001" s="36">
        <f>COUNTIF(Tabla1[[#This Row],[VEHICULOS_ACCIDENTADOS]:[VEHICULOS_ACCIDENTADOS2]],"MOTOCARRO")</f>
        <v>0</v>
      </c>
      <c r="T1001" s="36">
        <f>COUNTIF(Tabla1[[#This Row],[VEHICULOS_ACCIDENTADOS]:[VEHICULOS_ACCIDENTADOS2]],"AUTOMOVIL")</f>
        <v>2</v>
      </c>
      <c r="U1001" s="36">
        <f>COUNTIF(Tabla1[[#This Row],[VEHICULOS_ACCIDENTADOS]:[VEHICULOS_ACCIDENTADOS2]],"CAMPERO")</f>
        <v>0</v>
      </c>
      <c r="V1001" s="36">
        <f>COUNTIF(Tabla1[[#This Row],[VEHICULOS_ACCIDENTADOS]:[VEHICULOS_ACCIDENTADOS2]],"CAMIONETA")</f>
        <v>0</v>
      </c>
      <c r="W1001" s="36">
        <f>COUNTIF(Tabla1[[#This Row],[VEHICULOS_ACCIDENTADOS]:[VEHICULOS_ACCIDENTADOS2]],"MICROBUS")</f>
        <v>0</v>
      </c>
      <c r="X1001" s="36">
        <f>COUNTIF(Tabla1[[#This Row],[VEHICULOS_ACCIDENTADOS]:[VEHICULOS_ACCIDENTADOS2]],"BUS")</f>
        <v>0</v>
      </c>
      <c r="Y1001" s="36">
        <f>COUNTIF(Tabla1[[#This Row],[VEHICULOS_ACCIDENTADOS]:[VEHICULOS_ACCIDENTADOS2]],"BUSETA")</f>
        <v>0</v>
      </c>
      <c r="Z1001" s="36">
        <f>COUNTIF(Tabla1[[#This Row],[VEHICULOS_ACCIDENTADOS]:[VEHICULOS_ACCIDENTADOS2]],"CAMION")</f>
        <v>0</v>
      </c>
      <c r="AA1001" s="36">
        <f>COUNTIF(Tabla1[[#This Row],[VEHICULOS_ACCIDENTADOS]:[VEHICULOS_ACCIDENTADOS2]],"TRACTOCAMION")</f>
        <v>0</v>
      </c>
      <c r="AB1001" s="36">
        <f>COUNTIF(Tabla1[[#This Row],[VEHICULOS_ACCIDENTADOS]:[VEHICULOS_ACCIDENTADOS2]],"VOLQUETA")</f>
        <v>0</v>
      </c>
      <c r="AC1001" s="36">
        <f>COUNTIF(Tabla1[[#This Row],[VEHICULOS_ACCIDENTADOS]:[VEHICULOS_ACCIDENTADOS2]],"BICICLETA")</f>
        <v>0</v>
      </c>
      <c r="AD1001" s="7" t="s">
        <v>471</v>
      </c>
      <c r="AE1001" s="7"/>
      <c r="AF1001" s="7">
        <f>COUNTIF(Tabla1[[#This Row],[GENERO_MASCULINO]:[GENERO_FEMENINO]],"MASCULINO")</f>
        <v>1</v>
      </c>
      <c r="AG1001" s="36">
        <f>COUNTIF(Tabla1[[#This Row],[GENERO_MASCULINO]:[GENERO_FEMENINO]],"FEMENINO")</f>
        <v>0</v>
      </c>
      <c r="AH1001" s="73"/>
      <c r="AI1001" s="73"/>
      <c r="AJ1001" s="87"/>
      <c r="AK1001" s="73"/>
      <c r="AL1001" s="73"/>
      <c r="AM1001" s="7"/>
      <c r="AN1001" s="73">
        <v>121</v>
      </c>
      <c r="AO1001" s="36" t="str">
        <f>IFERROR(((VLOOKUP(Tabla1[[#This Row],[HIPOTESIS_1]],listas!$D$1:$E$105,2,FALSE))),"SIN INFORMACIÓN")</f>
        <v>No mantener distancia de seguridad.</v>
      </c>
      <c r="AP1001" s="7"/>
      <c r="AQ1001" s="36" t="str">
        <f>IFERROR(((VLOOKUP(Tabla1[[#This Row],[HIPOTESIS_2]],listas!$D$1:$E$105,2,FALSE))),"")</f>
        <v/>
      </c>
      <c r="AR1001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002" spans="1:44" x14ac:dyDescent="0.25">
      <c r="A1002" s="12">
        <v>246</v>
      </c>
      <c r="B1002" s="7">
        <v>0</v>
      </c>
      <c r="C1002" s="7">
        <v>1</v>
      </c>
      <c r="D1002" s="7">
        <v>0</v>
      </c>
      <c r="E1002" s="18" t="str">
        <f t="shared" si="60"/>
        <v>LESIONADO</v>
      </c>
      <c r="F1002" s="156" t="s">
        <v>342</v>
      </c>
      <c r="G1002" s="17">
        <v>5.2555555555555555</v>
      </c>
      <c r="H1002" s="17">
        <v>-72.486707777777781</v>
      </c>
      <c r="I1002" s="93" t="s">
        <v>697</v>
      </c>
      <c r="J1002" s="7" t="s">
        <v>1</v>
      </c>
      <c r="K1002" s="24" t="str">
        <f t="shared" si="61"/>
        <v>2022</v>
      </c>
      <c r="L1002" s="24" t="str">
        <f t="shared" si="62"/>
        <v>JULIO</v>
      </c>
      <c r="M1002" s="232">
        <v>44750</v>
      </c>
      <c r="N1002" s="24" t="str">
        <f t="shared" si="63"/>
        <v>VIERNES</v>
      </c>
      <c r="O1002" s="174">
        <v>0.51388888888888895</v>
      </c>
      <c r="P1002" s="180" t="s">
        <v>469</v>
      </c>
      <c r="Q1002" s="180" t="s">
        <v>440</v>
      </c>
      <c r="R1002" s="36">
        <f>COUNTIF(Tabla1[[#This Row],[VEHICULOS_ACCIDENTADOS]:[VEHICULOS_ACCIDENTADOS2]],"MOTOCICLETA")</f>
        <v>1</v>
      </c>
      <c r="S1002" s="36">
        <f>COUNTIF(Tabla1[[#This Row],[VEHICULOS_ACCIDENTADOS]:[VEHICULOS_ACCIDENTADOS2]],"MOTOCARRO")</f>
        <v>0</v>
      </c>
      <c r="T1002" s="36">
        <f>COUNTIF(Tabla1[[#This Row],[VEHICULOS_ACCIDENTADOS]:[VEHICULOS_ACCIDENTADOS2]],"AUTOMOVIL")</f>
        <v>0</v>
      </c>
      <c r="U1002" s="36">
        <f>COUNTIF(Tabla1[[#This Row],[VEHICULOS_ACCIDENTADOS]:[VEHICULOS_ACCIDENTADOS2]],"CAMPERO")</f>
        <v>0</v>
      </c>
      <c r="V1002" s="36">
        <f>COUNTIF(Tabla1[[#This Row],[VEHICULOS_ACCIDENTADOS]:[VEHICULOS_ACCIDENTADOS2]],"CAMIONETA")</f>
        <v>0</v>
      </c>
      <c r="W1002" s="36">
        <f>COUNTIF(Tabla1[[#This Row],[VEHICULOS_ACCIDENTADOS]:[VEHICULOS_ACCIDENTADOS2]],"MICROBUS")</f>
        <v>0</v>
      </c>
      <c r="X1002" s="36">
        <f>COUNTIF(Tabla1[[#This Row],[VEHICULOS_ACCIDENTADOS]:[VEHICULOS_ACCIDENTADOS2]],"BUS")</f>
        <v>0</v>
      </c>
      <c r="Y1002" s="36">
        <f>COUNTIF(Tabla1[[#This Row],[VEHICULOS_ACCIDENTADOS]:[VEHICULOS_ACCIDENTADOS2]],"BUSETA")</f>
        <v>0</v>
      </c>
      <c r="Z1002" s="36">
        <f>COUNTIF(Tabla1[[#This Row],[VEHICULOS_ACCIDENTADOS]:[VEHICULOS_ACCIDENTADOS2]],"CAMION")</f>
        <v>0</v>
      </c>
      <c r="AA1002" s="36">
        <f>COUNTIF(Tabla1[[#This Row],[VEHICULOS_ACCIDENTADOS]:[VEHICULOS_ACCIDENTADOS2]],"TRACTOCAMION")</f>
        <v>1</v>
      </c>
      <c r="AB1002" s="36">
        <f>COUNTIF(Tabla1[[#This Row],[VEHICULOS_ACCIDENTADOS]:[VEHICULOS_ACCIDENTADOS2]],"VOLQUETA")</f>
        <v>0</v>
      </c>
      <c r="AC1002" s="36">
        <f>COUNTIF(Tabla1[[#This Row],[VEHICULOS_ACCIDENTADOS]:[VEHICULOS_ACCIDENTADOS2]],"BICICLETA")</f>
        <v>0</v>
      </c>
      <c r="AD1002" s="7"/>
      <c r="AE1002" s="7" t="s">
        <v>472</v>
      </c>
      <c r="AF1002" s="7">
        <f>COUNTIF(Tabla1[[#This Row],[GENERO_MASCULINO]:[GENERO_FEMENINO]],"MASCULINO")</f>
        <v>0</v>
      </c>
      <c r="AG1002" s="36">
        <f>COUNTIF(Tabla1[[#This Row],[GENERO_MASCULINO]:[GENERO_FEMENINO]],"FEMENINO")</f>
        <v>1</v>
      </c>
      <c r="AH1002" s="73">
        <v>56</v>
      </c>
      <c r="AI1002" s="73"/>
      <c r="AJ1002" s="87"/>
      <c r="AK1002" s="73"/>
      <c r="AL1002" s="73"/>
      <c r="AM1002" s="7"/>
      <c r="AN1002" s="73">
        <v>102</v>
      </c>
      <c r="AO1002" s="36" t="str">
        <f>IFERROR(((VLOOKUP(Tabla1[[#This Row],[HIPOTESIS_1]],listas!$D$1:$E$105,2,FALSE))),"SIN INFORMACIÓN")</f>
        <v>Adelantar por la derecha.</v>
      </c>
      <c r="AP1002" s="7"/>
      <c r="AQ1002" s="36" t="str">
        <f>IFERROR(((VLOOKUP(Tabla1[[#This Row],[HIPOTESIS_2]],listas!$D$1:$E$105,2,FALSE))),"")</f>
        <v/>
      </c>
      <c r="AR1002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003" spans="1:44" x14ac:dyDescent="0.25">
      <c r="A1003" s="12">
        <v>406</v>
      </c>
      <c r="B1003" s="7">
        <v>0</v>
      </c>
      <c r="C1003" s="7">
        <v>1</v>
      </c>
      <c r="D1003" s="7">
        <v>0</v>
      </c>
      <c r="E1003" s="18" t="str">
        <f t="shared" si="60"/>
        <v>LESIONADO</v>
      </c>
      <c r="F1003" s="7" t="s">
        <v>744</v>
      </c>
      <c r="G1003" s="21">
        <v>5.3304410000000004</v>
      </c>
      <c r="H1003" s="21">
        <v>-72.409929300000002</v>
      </c>
      <c r="I1003" s="93" t="s">
        <v>697</v>
      </c>
      <c r="J1003" s="7" t="s">
        <v>1</v>
      </c>
      <c r="K1003" s="24" t="str">
        <f t="shared" si="61"/>
        <v>2023</v>
      </c>
      <c r="L1003" s="24" t="str">
        <f t="shared" si="62"/>
        <v>FEBRERO</v>
      </c>
      <c r="M1003" s="232">
        <v>44969</v>
      </c>
      <c r="N1003" s="24" t="str">
        <f t="shared" si="63"/>
        <v>DOMINGO</v>
      </c>
      <c r="O1003" s="106">
        <v>0.95138888888888884</v>
      </c>
      <c r="P1003" s="39" t="s">
        <v>469</v>
      </c>
      <c r="Q1003" s="39" t="s">
        <v>469</v>
      </c>
      <c r="R1003" s="36">
        <f>COUNTIF(Tabla1[[#This Row],[VEHICULOS_ACCIDENTADOS]:[VEHICULOS_ACCIDENTADOS2]],"MOTOCICLETA")</f>
        <v>2</v>
      </c>
      <c r="S1003" s="36">
        <f>COUNTIF(Tabla1[[#This Row],[VEHICULOS_ACCIDENTADOS]:[VEHICULOS_ACCIDENTADOS2]],"MOTOCARRO")</f>
        <v>0</v>
      </c>
      <c r="T1003" s="36">
        <f>COUNTIF(Tabla1[[#This Row],[VEHICULOS_ACCIDENTADOS]:[VEHICULOS_ACCIDENTADOS2]],"AUTOMOVIL")</f>
        <v>0</v>
      </c>
      <c r="U1003" s="36">
        <f>COUNTIF(Tabla1[[#This Row],[VEHICULOS_ACCIDENTADOS]:[VEHICULOS_ACCIDENTADOS2]],"CAMPERO")</f>
        <v>0</v>
      </c>
      <c r="V1003" s="36">
        <f>COUNTIF(Tabla1[[#This Row],[VEHICULOS_ACCIDENTADOS]:[VEHICULOS_ACCIDENTADOS2]],"CAMIONETA")</f>
        <v>0</v>
      </c>
      <c r="W1003" s="36">
        <f>COUNTIF(Tabla1[[#This Row],[VEHICULOS_ACCIDENTADOS]:[VEHICULOS_ACCIDENTADOS2]],"MICROBUS")</f>
        <v>0</v>
      </c>
      <c r="X1003" s="36">
        <f>COUNTIF(Tabla1[[#This Row],[VEHICULOS_ACCIDENTADOS]:[VEHICULOS_ACCIDENTADOS2]],"BUS")</f>
        <v>0</v>
      </c>
      <c r="Y1003" s="36">
        <f>COUNTIF(Tabla1[[#This Row],[VEHICULOS_ACCIDENTADOS]:[VEHICULOS_ACCIDENTADOS2]],"BUSETA")</f>
        <v>0</v>
      </c>
      <c r="Z1003" s="36">
        <f>COUNTIF(Tabla1[[#This Row],[VEHICULOS_ACCIDENTADOS]:[VEHICULOS_ACCIDENTADOS2]],"CAMION")</f>
        <v>0</v>
      </c>
      <c r="AA1003" s="36">
        <f>COUNTIF(Tabla1[[#This Row],[VEHICULOS_ACCIDENTADOS]:[VEHICULOS_ACCIDENTADOS2]],"TRACTOCAMION")</f>
        <v>0</v>
      </c>
      <c r="AB1003" s="36">
        <f>COUNTIF(Tabla1[[#This Row],[VEHICULOS_ACCIDENTADOS]:[VEHICULOS_ACCIDENTADOS2]],"VOLQUETA")</f>
        <v>0</v>
      </c>
      <c r="AC1003" s="36">
        <f>COUNTIF(Tabla1[[#This Row],[VEHICULOS_ACCIDENTADOS]:[VEHICULOS_ACCIDENTADOS2]],"BICICLETA")</f>
        <v>0</v>
      </c>
      <c r="AD1003" s="7" t="s">
        <v>471</v>
      </c>
      <c r="AE1003" s="7"/>
      <c r="AF1003" s="7">
        <f>COUNTIF(Tabla1[[#This Row],[GENERO_MASCULINO]:[GENERO_FEMENINO]],"MASCULINO")</f>
        <v>1</v>
      </c>
      <c r="AG1003" s="36">
        <f>COUNTIF(Tabla1[[#This Row],[GENERO_MASCULINO]:[GENERO_FEMENINO]],"FEMENINO")</f>
        <v>0</v>
      </c>
      <c r="AH1003" s="73">
        <v>50</v>
      </c>
      <c r="AI1003" s="73">
        <v>24</v>
      </c>
      <c r="AJ1003" s="73"/>
      <c r="AK1003" s="73"/>
      <c r="AL1003" s="73"/>
      <c r="AM1003" s="7"/>
      <c r="AN1003" s="73">
        <v>104</v>
      </c>
      <c r="AO1003" s="36" t="str">
        <f>IFERROR(((VLOOKUP(Tabla1[[#This Row],[HIPOTESIS_1]],listas!$D$1:$E$105,2,FALSE))),"SIN INFORMACIÓN")</f>
        <v>Adelantar invadiendo carril de sentido contrario.</v>
      </c>
      <c r="AP1003" s="7"/>
      <c r="AQ1003" s="36" t="str">
        <f>IFERROR(((VLOOKUP(Tabla1[[#This Row],[HIPOTESIS_2]],listas!$D$1:$E$105,2,FALSE))),"")</f>
        <v/>
      </c>
      <c r="AR1003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004" spans="1:44" x14ac:dyDescent="0.25">
      <c r="A1004" s="12">
        <v>301</v>
      </c>
      <c r="B1004" s="7">
        <v>1</v>
      </c>
      <c r="C1004" s="7">
        <v>0</v>
      </c>
      <c r="D1004" s="7">
        <v>0</v>
      </c>
      <c r="E1004" s="18" t="str">
        <f t="shared" si="60"/>
        <v>SOLO DAÑO</v>
      </c>
      <c r="F1004" s="156" t="s">
        <v>324</v>
      </c>
      <c r="G1004" s="17">
        <v>5.3386699999999996</v>
      </c>
      <c r="H1004" s="17">
        <v>-72.406081599999993</v>
      </c>
      <c r="I1004" s="93" t="s">
        <v>697</v>
      </c>
      <c r="J1004" s="7" t="s">
        <v>1</v>
      </c>
      <c r="K1004" s="24" t="str">
        <f t="shared" si="61"/>
        <v>2022</v>
      </c>
      <c r="L1004" s="24" t="str">
        <f t="shared" si="62"/>
        <v>SEPTIEMBRE</v>
      </c>
      <c r="M1004" s="232">
        <v>44811</v>
      </c>
      <c r="N1004" s="24" t="str">
        <f t="shared" si="63"/>
        <v>MIÉRCOLES</v>
      </c>
      <c r="O1004" s="174">
        <v>0.17708333333333301</v>
      </c>
      <c r="P1004" s="180" t="s">
        <v>447</v>
      </c>
      <c r="Q1004" s="180" t="s">
        <v>441</v>
      </c>
      <c r="R1004" s="36">
        <f>COUNTIF(Tabla1[[#This Row],[VEHICULOS_ACCIDENTADOS]:[VEHICULOS_ACCIDENTADOS2]],"MOTOCICLETA")</f>
        <v>0</v>
      </c>
      <c r="S1004" s="36">
        <f>COUNTIF(Tabla1[[#This Row],[VEHICULOS_ACCIDENTADOS]:[VEHICULOS_ACCIDENTADOS2]],"MOTOCARRO")</f>
        <v>0</v>
      </c>
      <c r="T1004" s="36">
        <f>COUNTIF(Tabla1[[#This Row],[VEHICULOS_ACCIDENTADOS]:[VEHICULOS_ACCIDENTADOS2]],"AUTOMOVIL")</f>
        <v>1</v>
      </c>
      <c r="U1004" s="36">
        <f>COUNTIF(Tabla1[[#This Row],[VEHICULOS_ACCIDENTADOS]:[VEHICULOS_ACCIDENTADOS2]],"CAMPERO")</f>
        <v>0</v>
      </c>
      <c r="V1004" s="36">
        <f>COUNTIF(Tabla1[[#This Row],[VEHICULOS_ACCIDENTADOS]:[VEHICULOS_ACCIDENTADOS2]],"CAMIONETA")</f>
        <v>0</v>
      </c>
      <c r="W1004" s="36">
        <f>COUNTIF(Tabla1[[#This Row],[VEHICULOS_ACCIDENTADOS]:[VEHICULOS_ACCIDENTADOS2]],"MICROBUS")</f>
        <v>0</v>
      </c>
      <c r="X1004" s="36">
        <f>COUNTIF(Tabla1[[#This Row],[VEHICULOS_ACCIDENTADOS]:[VEHICULOS_ACCIDENTADOS2]],"BUS")</f>
        <v>0</v>
      </c>
      <c r="Y1004" s="36">
        <f>COUNTIF(Tabla1[[#This Row],[VEHICULOS_ACCIDENTADOS]:[VEHICULOS_ACCIDENTADOS2]],"BUSETA")</f>
        <v>0</v>
      </c>
      <c r="Z1004" s="36">
        <f>COUNTIF(Tabla1[[#This Row],[VEHICULOS_ACCIDENTADOS]:[VEHICULOS_ACCIDENTADOS2]],"CAMION")</f>
        <v>1</v>
      </c>
      <c r="AA1004" s="36">
        <f>COUNTIF(Tabla1[[#This Row],[VEHICULOS_ACCIDENTADOS]:[VEHICULOS_ACCIDENTADOS2]],"TRACTOCAMION")</f>
        <v>0</v>
      </c>
      <c r="AB1004" s="36">
        <f>COUNTIF(Tabla1[[#This Row],[VEHICULOS_ACCIDENTADOS]:[VEHICULOS_ACCIDENTADOS2]],"VOLQUETA")</f>
        <v>0</v>
      </c>
      <c r="AC1004" s="36">
        <f>COUNTIF(Tabla1[[#This Row],[VEHICULOS_ACCIDENTADOS]:[VEHICULOS_ACCIDENTADOS2]],"BICICLETA")</f>
        <v>0</v>
      </c>
      <c r="AD1004" s="7"/>
      <c r="AE1004" s="7" t="s">
        <v>472</v>
      </c>
      <c r="AF1004" s="7">
        <f>COUNTIF(Tabla1[[#This Row],[GENERO_MASCULINO]:[GENERO_FEMENINO]],"MASCULINO")</f>
        <v>0</v>
      </c>
      <c r="AG1004" s="36">
        <f>COUNTIF(Tabla1[[#This Row],[GENERO_MASCULINO]:[GENERO_FEMENINO]],"FEMENINO")</f>
        <v>1</v>
      </c>
      <c r="AH1004" s="73"/>
      <c r="AI1004" s="73"/>
      <c r="AJ1004" s="87"/>
      <c r="AK1004" s="73"/>
      <c r="AL1004" s="73"/>
      <c r="AM1004" s="7"/>
      <c r="AN1004" s="73">
        <v>110</v>
      </c>
      <c r="AO1004" s="36" t="str">
        <f>IFERROR(((VLOOKUP(Tabla1[[#This Row],[HIPOTESIS_1]],listas!$D$1:$E$105,2,FALSE))),"SIN INFORMACIÓN")</f>
        <v>Exceso en horas de conducción.</v>
      </c>
      <c r="AP1004" s="7"/>
      <c r="AQ1004" s="36" t="str">
        <f>IFERROR(((VLOOKUP(Tabla1[[#This Row],[HIPOTESIS_2]],listas!$D$1:$E$105,2,FALSE))),"")</f>
        <v/>
      </c>
      <c r="AR1004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005" spans="1:44" x14ac:dyDescent="0.25">
      <c r="A1005" s="12">
        <v>576</v>
      </c>
      <c r="B1005" s="7">
        <v>0</v>
      </c>
      <c r="C1005" s="7">
        <v>1</v>
      </c>
      <c r="D1005" s="7">
        <v>0</v>
      </c>
      <c r="E1005" s="18" t="str">
        <f t="shared" si="60"/>
        <v>LESIONADO</v>
      </c>
      <c r="F1005" s="7" t="s">
        <v>781</v>
      </c>
      <c r="G1005" s="21">
        <v>5.4410725000000006</v>
      </c>
      <c r="H1005" s="21">
        <v>-72.449205000000006</v>
      </c>
      <c r="I1005" s="93" t="s">
        <v>697</v>
      </c>
      <c r="J1005" s="7" t="s">
        <v>1</v>
      </c>
      <c r="K1005" s="24" t="str">
        <f t="shared" si="61"/>
        <v>2023</v>
      </c>
      <c r="L1005" s="24" t="str">
        <f t="shared" si="62"/>
        <v>OCTUBRE</v>
      </c>
      <c r="M1005" s="232">
        <v>45214</v>
      </c>
      <c r="N1005" s="24" t="str">
        <f t="shared" si="63"/>
        <v>DOMINGO</v>
      </c>
      <c r="O1005" s="106">
        <v>0.82638888888888884</v>
      </c>
      <c r="P1005" s="39" t="s">
        <v>469</v>
      </c>
      <c r="Q1005" s="39" t="s">
        <v>447</v>
      </c>
      <c r="R1005" s="36">
        <f>COUNTIF(Tabla1[[#This Row],[VEHICULOS_ACCIDENTADOS]:[VEHICULOS_ACCIDENTADOS2]],"MOTOCICLETA")</f>
        <v>1</v>
      </c>
      <c r="S1005" s="36">
        <f>COUNTIF(Tabla1[[#This Row],[VEHICULOS_ACCIDENTADOS]:[VEHICULOS_ACCIDENTADOS2]],"MOTOCARRO")</f>
        <v>0</v>
      </c>
      <c r="T1005" s="36">
        <f>COUNTIF(Tabla1[[#This Row],[VEHICULOS_ACCIDENTADOS]:[VEHICULOS_ACCIDENTADOS2]],"AUTOMOVIL")</f>
        <v>1</v>
      </c>
      <c r="U1005" s="36">
        <f>COUNTIF(Tabla1[[#This Row],[VEHICULOS_ACCIDENTADOS]:[VEHICULOS_ACCIDENTADOS2]],"CAMPERO")</f>
        <v>0</v>
      </c>
      <c r="V1005" s="36">
        <f>COUNTIF(Tabla1[[#This Row],[VEHICULOS_ACCIDENTADOS]:[VEHICULOS_ACCIDENTADOS2]],"CAMIONETA")</f>
        <v>0</v>
      </c>
      <c r="W1005" s="36">
        <f>COUNTIF(Tabla1[[#This Row],[VEHICULOS_ACCIDENTADOS]:[VEHICULOS_ACCIDENTADOS2]],"MICROBUS")</f>
        <v>0</v>
      </c>
      <c r="X1005" s="36">
        <f>COUNTIF(Tabla1[[#This Row],[VEHICULOS_ACCIDENTADOS]:[VEHICULOS_ACCIDENTADOS2]],"BUS")</f>
        <v>0</v>
      </c>
      <c r="Y1005" s="36">
        <f>COUNTIF(Tabla1[[#This Row],[VEHICULOS_ACCIDENTADOS]:[VEHICULOS_ACCIDENTADOS2]],"BUSETA")</f>
        <v>0</v>
      </c>
      <c r="Z1005" s="36">
        <f>COUNTIF(Tabla1[[#This Row],[VEHICULOS_ACCIDENTADOS]:[VEHICULOS_ACCIDENTADOS2]],"CAMION")</f>
        <v>0</v>
      </c>
      <c r="AA1005" s="36">
        <f>COUNTIF(Tabla1[[#This Row],[VEHICULOS_ACCIDENTADOS]:[VEHICULOS_ACCIDENTADOS2]],"TRACTOCAMION")</f>
        <v>0</v>
      </c>
      <c r="AB1005" s="36">
        <f>COUNTIF(Tabla1[[#This Row],[VEHICULOS_ACCIDENTADOS]:[VEHICULOS_ACCIDENTADOS2]],"VOLQUETA")</f>
        <v>0</v>
      </c>
      <c r="AC1005" s="36">
        <f>COUNTIF(Tabla1[[#This Row],[VEHICULOS_ACCIDENTADOS]:[VEHICULOS_ACCIDENTADOS2]],"BICICLETA")</f>
        <v>0</v>
      </c>
      <c r="AD1005" s="7"/>
      <c r="AE1005" s="7" t="s">
        <v>472</v>
      </c>
      <c r="AF1005" s="7">
        <f>COUNTIF(Tabla1[[#This Row],[GENERO_MASCULINO]:[GENERO_FEMENINO]],"MASCULINO")</f>
        <v>0</v>
      </c>
      <c r="AG1005" s="36">
        <f>COUNTIF(Tabla1[[#This Row],[GENERO_MASCULINO]:[GENERO_FEMENINO]],"FEMENINO")</f>
        <v>1</v>
      </c>
      <c r="AH1005" s="73">
        <v>30</v>
      </c>
      <c r="AI1005" s="73"/>
      <c r="AJ1005" s="73"/>
      <c r="AK1005" s="73"/>
      <c r="AL1005" s="73"/>
      <c r="AM1005" s="7"/>
      <c r="AN1005" s="73">
        <v>157</v>
      </c>
      <c r="AO1005" s="36" t="str">
        <f>IFERROR(((VLOOKUP(Tabla1[[#This Row],[HIPOTESIS_1]],listas!$D$1:$E$105,2,FALSE))),"SIN INFORMACIÓN")</f>
        <v>Otra</v>
      </c>
      <c r="AP1005" s="7"/>
      <c r="AQ1005" s="36" t="str">
        <f>IFERROR(((VLOOKUP(Tabla1[[#This Row],[HIPOTESIS_2]],listas!$D$1:$E$105,2,FALSE))),"")</f>
        <v/>
      </c>
      <c r="AR1005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006" spans="1:44" ht="15" x14ac:dyDescent="0.25">
      <c r="A1006" s="12">
        <v>47</v>
      </c>
      <c r="B1006" s="9">
        <v>0</v>
      </c>
      <c r="C1006" s="9">
        <v>4</v>
      </c>
      <c r="D1006" s="9">
        <v>0</v>
      </c>
      <c r="E1006" s="18" t="str">
        <f t="shared" si="60"/>
        <v>LESIONADO</v>
      </c>
      <c r="F1006" s="251" t="s">
        <v>423</v>
      </c>
      <c r="G1006" s="159">
        <v>5.3642249999999994</v>
      </c>
      <c r="H1006" s="159">
        <v>-72.300008333333324</v>
      </c>
      <c r="I1006" s="93" t="s">
        <v>697</v>
      </c>
      <c r="J1006" s="9" t="s">
        <v>717</v>
      </c>
      <c r="K1006" s="76" t="str">
        <f t="shared" si="61"/>
        <v>2022</v>
      </c>
      <c r="L1006" s="76" t="str">
        <f t="shared" si="62"/>
        <v>FEBRERO</v>
      </c>
      <c r="M1006" s="239">
        <v>44603</v>
      </c>
      <c r="N1006" s="76" t="str">
        <f t="shared" si="63"/>
        <v>VIERNES</v>
      </c>
      <c r="O1006" s="111">
        <v>0.31944444444444398</v>
      </c>
      <c r="P1006" s="11" t="s">
        <v>447</v>
      </c>
      <c r="Q1006" s="11"/>
      <c r="R1006" s="36">
        <f>COUNTIF(Tabla1[[#This Row],[VEHICULOS_ACCIDENTADOS]:[VEHICULOS_ACCIDENTADOS2]],"MOTOCICLETA")</f>
        <v>0</v>
      </c>
      <c r="S1006" s="36">
        <f>COUNTIF(Tabla1[[#This Row],[VEHICULOS_ACCIDENTADOS]:[VEHICULOS_ACCIDENTADOS2]],"MOTOCARRO")</f>
        <v>0</v>
      </c>
      <c r="T1006" s="36">
        <f>COUNTIF(Tabla1[[#This Row],[VEHICULOS_ACCIDENTADOS]:[VEHICULOS_ACCIDENTADOS2]],"AUTOMOVIL")</f>
        <v>1</v>
      </c>
      <c r="U1006" s="36">
        <f>COUNTIF(Tabla1[[#This Row],[VEHICULOS_ACCIDENTADOS]:[VEHICULOS_ACCIDENTADOS2]],"CAMPERO")</f>
        <v>0</v>
      </c>
      <c r="V1006" s="36">
        <f>COUNTIF(Tabla1[[#This Row],[VEHICULOS_ACCIDENTADOS]:[VEHICULOS_ACCIDENTADOS2]],"CAMIONETA")</f>
        <v>0</v>
      </c>
      <c r="W1006" s="36">
        <f>COUNTIF(Tabla1[[#This Row],[VEHICULOS_ACCIDENTADOS]:[VEHICULOS_ACCIDENTADOS2]],"MICROBUS")</f>
        <v>0</v>
      </c>
      <c r="X1006" s="36">
        <f>COUNTIF(Tabla1[[#This Row],[VEHICULOS_ACCIDENTADOS]:[VEHICULOS_ACCIDENTADOS2]],"BUS")</f>
        <v>0</v>
      </c>
      <c r="Y1006" s="36">
        <f>COUNTIF(Tabla1[[#This Row],[VEHICULOS_ACCIDENTADOS]:[VEHICULOS_ACCIDENTADOS2]],"BUSETA")</f>
        <v>0</v>
      </c>
      <c r="Z1006" s="36">
        <f>COUNTIF(Tabla1[[#This Row],[VEHICULOS_ACCIDENTADOS]:[VEHICULOS_ACCIDENTADOS2]],"CAMION")</f>
        <v>0</v>
      </c>
      <c r="AA1006" s="36">
        <f>COUNTIF(Tabla1[[#This Row],[VEHICULOS_ACCIDENTADOS]:[VEHICULOS_ACCIDENTADOS2]],"TRACTOCAMION")</f>
        <v>0</v>
      </c>
      <c r="AB1006" s="36">
        <f>COUNTIF(Tabla1[[#This Row],[VEHICULOS_ACCIDENTADOS]:[VEHICULOS_ACCIDENTADOS2]],"VOLQUETA")</f>
        <v>0</v>
      </c>
      <c r="AC1006" s="36">
        <f>COUNTIF(Tabla1[[#This Row],[VEHICULOS_ACCIDENTADOS]:[VEHICULOS_ACCIDENTADOS2]],"BICICLETA")</f>
        <v>0</v>
      </c>
      <c r="AD1006" s="9" t="s">
        <v>471</v>
      </c>
      <c r="AE1006" s="9" t="s">
        <v>472</v>
      </c>
      <c r="AF1006" s="9">
        <f>COUNTIF(Tabla1[[#This Row],[GENERO_MASCULINO]:[GENERO_FEMENINO]],"MASCULINO")</f>
        <v>1</v>
      </c>
      <c r="AG1006" s="36">
        <f>COUNTIF(Tabla1[[#This Row],[GENERO_MASCULINO]:[GENERO_FEMENINO]],"FEMENINO")</f>
        <v>1</v>
      </c>
      <c r="AH1006" s="75">
        <v>26</v>
      </c>
      <c r="AI1006" s="75"/>
      <c r="AJ1006" s="91"/>
      <c r="AK1006" s="75"/>
      <c r="AL1006" s="75">
        <v>21</v>
      </c>
      <c r="AM1006" s="9"/>
      <c r="AN1006" s="75">
        <v>115</v>
      </c>
      <c r="AO1006" s="36" t="str">
        <f>IFERROR(((VLOOKUP(Tabla1[[#This Row],[HIPOTESIS_1]],listas!$D$1:$E$105,2,FALSE))),"SIN INFORMACIÓN")</f>
        <v>Embriaguez o Sustancias alucinogenas</v>
      </c>
      <c r="AP1006" s="9"/>
      <c r="AQ1006" s="36" t="str">
        <f>IFERROR(((VLOOKUP(Tabla1[[#This Row],[HIPOTESIS_2]],listas!$D$1:$E$105,2,FALSE))),"")</f>
        <v/>
      </c>
      <c r="AR1006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007" spans="1:44" x14ac:dyDescent="0.25">
      <c r="A1007" s="12">
        <v>716</v>
      </c>
      <c r="B1007" s="7">
        <v>0</v>
      </c>
      <c r="C1007" s="7">
        <v>1</v>
      </c>
      <c r="D1007" s="42">
        <v>1</v>
      </c>
      <c r="E1007" s="18" t="str">
        <f t="shared" si="60"/>
        <v>FALLECIDO</v>
      </c>
      <c r="F1007" s="7" t="s">
        <v>772</v>
      </c>
      <c r="G1007" s="21">
        <v>5.3116908333333335</v>
      </c>
      <c r="H1007" s="21">
        <v>-72.262290833333338</v>
      </c>
      <c r="I1007" s="93" t="s">
        <v>697</v>
      </c>
      <c r="J1007" s="15" t="s">
        <v>1</v>
      </c>
      <c r="K1007" s="76" t="str">
        <f t="shared" si="61"/>
        <v>2024</v>
      </c>
      <c r="L1007" s="24" t="str">
        <f t="shared" si="62"/>
        <v>MAYO</v>
      </c>
      <c r="M1007" s="232">
        <v>45431</v>
      </c>
      <c r="N1007" s="24" t="str">
        <f t="shared" si="63"/>
        <v>DOMINGO</v>
      </c>
      <c r="O1007" s="106">
        <v>0.85</v>
      </c>
      <c r="P1007" s="39" t="s">
        <v>469</v>
      </c>
      <c r="Q1007" s="39"/>
      <c r="R1007" s="36">
        <f>COUNTIF(Tabla1[[#This Row],[VEHICULOS_ACCIDENTADOS]:[VEHICULOS_ACCIDENTADOS2]],"MOTOCICLETA")</f>
        <v>1</v>
      </c>
      <c r="S1007" s="36">
        <f>COUNTIF(Tabla1[[#This Row],[VEHICULOS_ACCIDENTADOS]:[VEHICULOS_ACCIDENTADOS2]],"MOTOCARRO")</f>
        <v>0</v>
      </c>
      <c r="T1007" s="36">
        <f>COUNTIF(Tabla1[[#This Row],[VEHICULOS_ACCIDENTADOS]:[VEHICULOS_ACCIDENTADOS2]],"AUTOMOVIL")</f>
        <v>0</v>
      </c>
      <c r="U1007" s="36">
        <f>COUNTIF(Tabla1[[#This Row],[VEHICULOS_ACCIDENTADOS]:[VEHICULOS_ACCIDENTADOS2]],"CAMPERO")</f>
        <v>0</v>
      </c>
      <c r="V1007" s="36">
        <f>COUNTIF(Tabla1[[#This Row],[VEHICULOS_ACCIDENTADOS]:[VEHICULOS_ACCIDENTADOS2]],"CAMIONETA")</f>
        <v>0</v>
      </c>
      <c r="W1007" s="36">
        <f>COUNTIF(Tabla1[[#This Row],[VEHICULOS_ACCIDENTADOS]:[VEHICULOS_ACCIDENTADOS2]],"MICROBUS")</f>
        <v>0</v>
      </c>
      <c r="X1007" s="36">
        <f>COUNTIF(Tabla1[[#This Row],[VEHICULOS_ACCIDENTADOS]:[VEHICULOS_ACCIDENTADOS2]],"BUS")</f>
        <v>0</v>
      </c>
      <c r="Y1007" s="36">
        <f>COUNTIF(Tabla1[[#This Row],[VEHICULOS_ACCIDENTADOS]:[VEHICULOS_ACCIDENTADOS2]],"BUSETA")</f>
        <v>0</v>
      </c>
      <c r="Z1007" s="36">
        <f>COUNTIF(Tabla1[[#This Row],[VEHICULOS_ACCIDENTADOS]:[VEHICULOS_ACCIDENTADOS2]],"CAMION")</f>
        <v>0</v>
      </c>
      <c r="AA1007" s="36">
        <f>COUNTIF(Tabla1[[#This Row],[VEHICULOS_ACCIDENTADOS]:[VEHICULOS_ACCIDENTADOS2]],"TRACTOCAMION")</f>
        <v>0</v>
      </c>
      <c r="AB1007" s="36">
        <f>COUNTIF(Tabla1[[#This Row],[VEHICULOS_ACCIDENTADOS]:[VEHICULOS_ACCIDENTADOS2]],"VOLQUETA")</f>
        <v>0</v>
      </c>
      <c r="AC1007" s="36">
        <f>COUNTIF(Tabla1[[#This Row],[VEHICULOS_ACCIDENTADOS]:[VEHICULOS_ACCIDENTADOS2]],"BICICLETA")</f>
        <v>0</v>
      </c>
      <c r="AD1007" s="7" t="s">
        <v>471</v>
      </c>
      <c r="AE1007" s="7"/>
      <c r="AF1007" s="7">
        <f>COUNTIF(Tabla1[[#This Row],[GENERO_MASCULINO]:[GENERO_FEMENINO]],"MASCULINO")</f>
        <v>1</v>
      </c>
      <c r="AG1007" s="36">
        <f>COUNTIF(Tabla1[[#This Row],[GENERO_MASCULINO]:[GENERO_FEMENINO]],"FEMENINO")</f>
        <v>0</v>
      </c>
      <c r="AH1007" s="73"/>
      <c r="AI1007" s="73">
        <v>48</v>
      </c>
      <c r="AJ1007" s="73"/>
      <c r="AK1007" s="73"/>
      <c r="AL1007" s="73"/>
      <c r="AM1007" s="7">
        <v>21</v>
      </c>
      <c r="AN1007" s="73">
        <v>139</v>
      </c>
      <c r="AO1007" s="36" t="str">
        <f>IFERROR(((VLOOKUP(Tabla1[[#This Row],[HIPOTESIS_1]],listas!$D$1:$E$105,2,FALSE))),"SIN INFORMACIÓN")</f>
        <v>Impericia en el manejo.</v>
      </c>
      <c r="AP1007" s="7"/>
      <c r="AQ1007" s="36" t="str">
        <f>IFERROR(((VLOOKUP(Tabla1[[#This Row],[HIPOTESIS_2]],listas!$D$1:$E$105,2,FALSE))),"")</f>
        <v/>
      </c>
      <c r="AR1007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008" spans="1:44" x14ac:dyDescent="0.25">
      <c r="A1008" s="12">
        <v>618</v>
      </c>
      <c r="B1008" s="7">
        <v>0</v>
      </c>
      <c r="C1008" s="7">
        <v>1</v>
      </c>
      <c r="D1008" s="7">
        <v>0</v>
      </c>
      <c r="E1008" s="18" t="str">
        <f t="shared" si="60"/>
        <v>LESIONADO</v>
      </c>
      <c r="F1008" s="7" t="s">
        <v>761</v>
      </c>
      <c r="G1008" s="21">
        <v>5.3098749999999999</v>
      </c>
      <c r="H1008" s="21">
        <v>-72.257718055555557</v>
      </c>
      <c r="I1008" s="17" t="s">
        <v>697</v>
      </c>
      <c r="J1008" s="7" t="s">
        <v>1</v>
      </c>
      <c r="K1008" s="24" t="str">
        <f t="shared" si="61"/>
        <v>2023</v>
      </c>
      <c r="L1008" s="24" t="str">
        <f t="shared" si="62"/>
        <v>NOVIEMBRE</v>
      </c>
      <c r="M1008" s="232">
        <v>45242</v>
      </c>
      <c r="N1008" s="24" t="str">
        <f t="shared" si="63"/>
        <v>DOMINGO</v>
      </c>
      <c r="O1008" s="106">
        <v>0.67708333333333337</v>
      </c>
      <c r="P1008" s="39" t="s">
        <v>469</v>
      </c>
      <c r="Q1008" s="39" t="s">
        <v>445</v>
      </c>
      <c r="R1008" s="36">
        <f>COUNTIF(Tabla1[[#This Row],[VEHICULOS_ACCIDENTADOS]:[VEHICULOS_ACCIDENTADOS2]],"MOTOCICLETA")</f>
        <v>1</v>
      </c>
      <c r="S1008" s="36">
        <f>COUNTIF(Tabla1[[#This Row],[VEHICULOS_ACCIDENTADOS]:[VEHICULOS_ACCIDENTADOS2]],"MOTOCARRO")</f>
        <v>0</v>
      </c>
      <c r="T1008" s="36">
        <f>COUNTIF(Tabla1[[#This Row],[VEHICULOS_ACCIDENTADOS]:[VEHICULOS_ACCIDENTADOS2]],"AUTOMOVIL")</f>
        <v>0</v>
      </c>
      <c r="U1008" s="36">
        <f>COUNTIF(Tabla1[[#This Row],[VEHICULOS_ACCIDENTADOS]:[VEHICULOS_ACCIDENTADOS2]],"CAMPERO")</f>
        <v>0</v>
      </c>
      <c r="V1008" s="36">
        <f>COUNTIF(Tabla1[[#This Row],[VEHICULOS_ACCIDENTADOS]:[VEHICULOS_ACCIDENTADOS2]],"CAMIONETA")</f>
        <v>1</v>
      </c>
      <c r="W1008" s="36">
        <f>COUNTIF(Tabla1[[#This Row],[VEHICULOS_ACCIDENTADOS]:[VEHICULOS_ACCIDENTADOS2]],"MICROBUS")</f>
        <v>0</v>
      </c>
      <c r="X1008" s="36">
        <f>COUNTIF(Tabla1[[#This Row],[VEHICULOS_ACCIDENTADOS]:[VEHICULOS_ACCIDENTADOS2]],"BUS")</f>
        <v>0</v>
      </c>
      <c r="Y1008" s="36">
        <f>COUNTIF(Tabla1[[#This Row],[VEHICULOS_ACCIDENTADOS]:[VEHICULOS_ACCIDENTADOS2]],"BUSETA")</f>
        <v>0</v>
      </c>
      <c r="Z1008" s="36">
        <f>COUNTIF(Tabla1[[#This Row],[VEHICULOS_ACCIDENTADOS]:[VEHICULOS_ACCIDENTADOS2]],"CAMION")</f>
        <v>0</v>
      </c>
      <c r="AA1008" s="36">
        <f>COUNTIF(Tabla1[[#This Row],[VEHICULOS_ACCIDENTADOS]:[VEHICULOS_ACCIDENTADOS2]],"TRACTOCAMION")</f>
        <v>0</v>
      </c>
      <c r="AB1008" s="36">
        <f>COUNTIF(Tabla1[[#This Row],[VEHICULOS_ACCIDENTADOS]:[VEHICULOS_ACCIDENTADOS2]],"VOLQUETA")</f>
        <v>0</v>
      </c>
      <c r="AC1008" s="36">
        <f>COUNTIF(Tabla1[[#This Row],[VEHICULOS_ACCIDENTADOS]:[VEHICULOS_ACCIDENTADOS2]],"BICICLETA")</f>
        <v>0</v>
      </c>
      <c r="AD1008" s="7" t="s">
        <v>471</v>
      </c>
      <c r="AE1008" s="7"/>
      <c r="AF1008" s="7">
        <f>COUNTIF(Tabla1[[#This Row],[GENERO_MASCULINO]:[GENERO_FEMENINO]],"MASCULINO")</f>
        <v>1</v>
      </c>
      <c r="AG1008" s="36">
        <f>COUNTIF(Tabla1[[#This Row],[GENERO_MASCULINO]:[GENERO_FEMENINO]],"FEMENINO")</f>
        <v>0</v>
      </c>
      <c r="AH1008" s="73">
        <v>20</v>
      </c>
      <c r="AI1008" s="73"/>
      <c r="AJ1008" s="87"/>
      <c r="AK1008" s="73"/>
      <c r="AL1008" s="73"/>
      <c r="AM1008" s="7"/>
      <c r="AN1008" s="73">
        <v>116</v>
      </c>
      <c r="AO1008" s="7" t="str">
        <f>IFERROR(((VLOOKUP(Tabla1[[#This Row],[HIPOTESIS_1]],listas!$D$1:$E$105,2,FALSE))),"SIN INFORMACIÓN")</f>
        <v>Exceso de velocidad</v>
      </c>
      <c r="AP1008" s="7"/>
      <c r="AQ1008" s="36" t="str">
        <f>IFERROR(((VLOOKUP(Tabla1[[#This Row],[HIPOTESIS_2]],listas!$D$1:$E$105,2,FALSE))),"")</f>
        <v/>
      </c>
      <c r="AR1008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009" spans="1:44" ht="15" x14ac:dyDescent="0.25">
      <c r="A1009" s="12">
        <v>94</v>
      </c>
      <c r="B1009" s="7">
        <v>1</v>
      </c>
      <c r="C1009" s="7">
        <v>0</v>
      </c>
      <c r="D1009" s="7">
        <v>0</v>
      </c>
      <c r="E1009" s="18" t="str">
        <f t="shared" si="60"/>
        <v>SOLO DAÑO</v>
      </c>
      <c r="F1009" s="157" t="s">
        <v>403</v>
      </c>
      <c r="G1009" s="17">
        <v>5.3194111111111111</v>
      </c>
      <c r="H1009" s="17">
        <v>-72.386997222222234</v>
      </c>
      <c r="I1009" s="93" t="s">
        <v>697</v>
      </c>
      <c r="J1009" s="7" t="s">
        <v>1</v>
      </c>
      <c r="K1009" s="76" t="str">
        <f t="shared" si="61"/>
        <v>2022</v>
      </c>
      <c r="L1009" s="24" t="str">
        <f t="shared" si="62"/>
        <v>MARZO</v>
      </c>
      <c r="M1009" s="232">
        <v>44639</v>
      </c>
      <c r="N1009" s="24" t="str">
        <f t="shared" si="63"/>
        <v>SÁBADO</v>
      </c>
      <c r="O1009" s="106">
        <v>0.9375</v>
      </c>
      <c r="P1009" s="8" t="s">
        <v>440</v>
      </c>
      <c r="Q1009" s="8" t="s">
        <v>439</v>
      </c>
      <c r="R1009" s="36">
        <f>COUNTIF(Tabla1[[#This Row],[VEHICULOS_ACCIDENTADOS]:[VEHICULOS_ACCIDENTADOS2]],"MOTOCICLETA")</f>
        <v>0</v>
      </c>
      <c r="S1009" s="36">
        <f>COUNTIF(Tabla1[[#This Row],[VEHICULOS_ACCIDENTADOS]:[VEHICULOS_ACCIDENTADOS2]],"MOTOCARRO")</f>
        <v>0</v>
      </c>
      <c r="T1009" s="36">
        <f>COUNTIF(Tabla1[[#This Row],[VEHICULOS_ACCIDENTADOS]:[VEHICULOS_ACCIDENTADOS2]],"AUTOMOVIL")</f>
        <v>0</v>
      </c>
      <c r="U1009" s="36">
        <f>COUNTIF(Tabla1[[#This Row],[VEHICULOS_ACCIDENTADOS]:[VEHICULOS_ACCIDENTADOS2]],"CAMPERO")</f>
        <v>0</v>
      </c>
      <c r="V1009" s="36">
        <f>COUNTIF(Tabla1[[#This Row],[VEHICULOS_ACCIDENTADOS]:[VEHICULOS_ACCIDENTADOS2]],"CAMIONETA")</f>
        <v>0</v>
      </c>
      <c r="W1009" s="36">
        <f>COUNTIF(Tabla1[[#This Row],[VEHICULOS_ACCIDENTADOS]:[VEHICULOS_ACCIDENTADOS2]],"MICROBUS")</f>
        <v>0</v>
      </c>
      <c r="X1009" s="36">
        <f>COUNTIF(Tabla1[[#This Row],[VEHICULOS_ACCIDENTADOS]:[VEHICULOS_ACCIDENTADOS2]],"BUS")</f>
        <v>0</v>
      </c>
      <c r="Y1009" s="36">
        <f>COUNTIF(Tabla1[[#This Row],[VEHICULOS_ACCIDENTADOS]:[VEHICULOS_ACCIDENTADOS2]],"BUSETA")</f>
        <v>0</v>
      </c>
      <c r="Z1009" s="36">
        <f>COUNTIF(Tabla1[[#This Row],[VEHICULOS_ACCIDENTADOS]:[VEHICULOS_ACCIDENTADOS2]],"CAMION")</f>
        <v>0</v>
      </c>
      <c r="AA1009" s="36">
        <f>COUNTIF(Tabla1[[#This Row],[VEHICULOS_ACCIDENTADOS]:[VEHICULOS_ACCIDENTADOS2]],"TRACTOCAMION")</f>
        <v>1</v>
      </c>
      <c r="AB1009" s="36">
        <f>COUNTIF(Tabla1[[#This Row],[VEHICULOS_ACCIDENTADOS]:[VEHICULOS_ACCIDENTADOS2]],"VOLQUETA")</f>
        <v>1</v>
      </c>
      <c r="AC1009" s="36">
        <f>COUNTIF(Tabla1[[#This Row],[VEHICULOS_ACCIDENTADOS]:[VEHICULOS_ACCIDENTADOS2]],"BICICLETA")</f>
        <v>0</v>
      </c>
      <c r="AD1009" s="7" t="s">
        <v>471</v>
      </c>
      <c r="AE1009" s="7"/>
      <c r="AF1009" s="7">
        <f>COUNTIF(Tabla1[[#This Row],[GENERO_MASCULINO]:[GENERO_FEMENINO]],"MASCULINO")</f>
        <v>1</v>
      </c>
      <c r="AG1009" s="36">
        <f>COUNTIF(Tabla1[[#This Row],[GENERO_MASCULINO]:[GENERO_FEMENINO]],"FEMENINO")</f>
        <v>0</v>
      </c>
      <c r="AH1009" s="73"/>
      <c r="AI1009" s="73"/>
      <c r="AJ1009" s="73"/>
      <c r="AK1009" s="73"/>
      <c r="AL1009" s="73"/>
      <c r="AM1009" s="7"/>
      <c r="AN1009" s="73">
        <v>104</v>
      </c>
      <c r="AO1009" s="36" t="str">
        <f>IFERROR(((VLOOKUP(Tabla1[[#This Row],[HIPOTESIS_1]],listas!$D$1:$E$105,2,FALSE))),"SIN INFORMACIÓN")</f>
        <v>Adelantar invadiendo carril de sentido contrario.</v>
      </c>
      <c r="AP1009" s="7"/>
      <c r="AQ1009" s="36" t="str">
        <f>IFERROR(((VLOOKUP(Tabla1[[#This Row],[HIPOTESIS_2]],listas!$D$1:$E$105,2,FALSE))),"")</f>
        <v/>
      </c>
      <c r="AR1009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010" spans="1:44" s="5" customFormat="1" x14ac:dyDescent="0.25">
      <c r="A1010" s="12">
        <v>11</v>
      </c>
      <c r="B1010" s="7">
        <v>0</v>
      </c>
      <c r="C1010" s="7">
        <v>2</v>
      </c>
      <c r="D1010" s="7">
        <v>0</v>
      </c>
      <c r="E1010" s="18" t="str">
        <f t="shared" si="60"/>
        <v>LESIONADO</v>
      </c>
      <c r="F1010" s="156" t="s">
        <v>435</v>
      </c>
      <c r="G1010" s="17">
        <v>5.2125886111111113</v>
      </c>
      <c r="H1010" s="17">
        <v>-72.381484999999998</v>
      </c>
      <c r="I1010" s="93" t="s">
        <v>697</v>
      </c>
      <c r="J1010" s="7" t="s">
        <v>1</v>
      </c>
      <c r="K1010" s="76" t="str">
        <f t="shared" si="61"/>
        <v>2022</v>
      </c>
      <c r="L1010" s="24" t="str">
        <f t="shared" si="62"/>
        <v>ENERO</v>
      </c>
      <c r="M1010" s="232">
        <v>44577</v>
      </c>
      <c r="N1010" s="24" t="str">
        <f t="shared" si="63"/>
        <v>DOMINGO</v>
      </c>
      <c r="O1010" s="106">
        <v>3.125E-2</v>
      </c>
      <c r="P1010" s="8" t="s">
        <v>469</v>
      </c>
      <c r="Q1010" s="8"/>
      <c r="R1010" s="36">
        <f>COUNTIF(Tabla1[[#This Row],[VEHICULOS_ACCIDENTADOS]:[VEHICULOS_ACCIDENTADOS2]],"MOTOCICLETA")</f>
        <v>1</v>
      </c>
      <c r="S1010" s="36">
        <f>COUNTIF(Tabla1[[#This Row],[VEHICULOS_ACCIDENTADOS]:[VEHICULOS_ACCIDENTADOS2]],"MOTOCARRO")</f>
        <v>0</v>
      </c>
      <c r="T1010" s="36">
        <f>COUNTIF(Tabla1[[#This Row],[VEHICULOS_ACCIDENTADOS]:[VEHICULOS_ACCIDENTADOS2]],"AUTOMOVIL")</f>
        <v>0</v>
      </c>
      <c r="U1010" s="36">
        <f>COUNTIF(Tabla1[[#This Row],[VEHICULOS_ACCIDENTADOS]:[VEHICULOS_ACCIDENTADOS2]],"CAMPERO")</f>
        <v>0</v>
      </c>
      <c r="V1010" s="36">
        <f>COUNTIF(Tabla1[[#This Row],[VEHICULOS_ACCIDENTADOS]:[VEHICULOS_ACCIDENTADOS2]],"CAMIONETA")</f>
        <v>0</v>
      </c>
      <c r="W1010" s="36">
        <f>COUNTIF(Tabla1[[#This Row],[VEHICULOS_ACCIDENTADOS]:[VEHICULOS_ACCIDENTADOS2]],"MICROBUS")</f>
        <v>0</v>
      </c>
      <c r="X1010" s="36">
        <f>COUNTIF(Tabla1[[#This Row],[VEHICULOS_ACCIDENTADOS]:[VEHICULOS_ACCIDENTADOS2]],"BUS")</f>
        <v>0</v>
      </c>
      <c r="Y1010" s="36">
        <f>COUNTIF(Tabla1[[#This Row],[VEHICULOS_ACCIDENTADOS]:[VEHICULOS_ACCIDENTADOS2]],"BUSETA")</f>
        <v>0</v>
      </c>
      <c r="Z1010" s="36">
        <f>COUNTIF(Tabla1[[#This Row],[VEHICULOS_ACCIDENTADOS]:[VEHICULOS_ACCIDENTADOS2]],"CAMION")</f>
        <v>0</v>
      </c>
      <c r="AA1010" s="36">
        <f>COUNTIF(Tabla1[[#This Row],[VEHICULOS_ACCIDENTADOS]:[VEHICULOS_ACCIDENTADOS2]],"TRACTOCAMION")</f>
        <v>0</v>
      </c>
      <c r="AB1010" s="36">
        <f>COUNTIF(Tabla1[[#This Row],[VEHICULOS_ACCIDENTADOS]:[VEHICULOS_ACCIDENTADOS2]],"VOLQUETA")</f>
        <v>0</v>
      </c>
      <c r="AC1010" s="36">
        <f>COUNTIF(Tabla1[[#This Row],[VEHICULOS_ACCIDENTADOS]:[VEHICULOS_ACCIDENTADOS2]],"BICICLETA")</f>
        <v>0</v>
      </c>
      <c r="AD1010" s="7" t="s">
        <v>471</v>
      </c>
      <c r="AE1010" s="7" t="s">
        <v>472</v>
      </c>
      <c r="AF1010" s="7">
        <f>COUNTIF(Tabla1[[#This Row],[GENERO_MASCULINO]:[GENERO_FEMENINO]],"MASCULINO")</f>
        <v>1</v>
      </c>
      <c r="AG1010" s="36">
        <f>COUNTIF(Tabla1[[#This Row],[GENERO_MASCULINO]:[GENERO_FEMENINO]],"FEMENINO")</f>
        <v>1</v>
      </c>
      <c r="AH1010" s="73">
        <v>20</v>
      </c>
      <c r="AI1010" s="73">
        <v>19</v>
      </c>
      <c r="AJ1010" s="73"/>
      <c r="AK1010" s="73"/>
      <c r="AL1010" s="73"/>
      <c r="AM1010" s="7"/>
      <c r="AN1010" s="73">
        <v>157</v>
      </c>
      <c r="AO1010" s="36" t="str">
        <f>IFERROR(((VLOOKUP(Tabla1[[#This Row],[HIPOTESIS_1]],listas!$D$1:$E$105,2,FALSE))),"SIN INFORMACIÓN")</f>
        <v>Otra</v>
      </c>
      <c r="AP1010" s="7"/>
      <c r="AQ1010" s="36" t="str">
        <f>IFERROR(((VLOOKUP(Tabla1[[#This Row],[HIPOTESIS_2]],listas!$D$1:$E$105,2,FALSE))),"")</f>
        <v/>
      </c>
      <c r="AR1010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011" spans="1:44" s="5" customFormat="1" x14ac:dyDescent="0.25">
      <c r="A1011" s="12">
        <v>277</v>
      </c>
      <c r="B1011" s="7">
        <v>0</v>
      </c>
      <c r="C1011" s="7">
        <v>0</v>
      </c>
      <c r="D1011" s="7">
        <v>1</v>
      </c>
      <c r="E1011" s="18" t="str">
        <f t="shared" si="60"/>
        <v>FALLECIDO</v>
      </c>
      <c r="F1011" s="156" t="s">
        <v>329</v>
      </c>
      <c r="G1011" s="17">
        <v>5.284558333333333</v>
      </c>
      <c r="H1011" s="17">
        <v>-72.401191666666676</v>
      </c>
      <c r="I1011" s="93" t="s">
        <v>697</v>
      </c>
      <c r="J1011" s="7" t="s">
        <v>1</v>
      </c>
      <c r="K1011" s="76" t="str">
        <f t="shared" si="61"/>
        <v>2022</v>
      </c>
      <c r="L1011" s="24" t="str">
        <f t="shared" si="62"/>
        <v>AGOSTO</v>
      </c>
      <c r="M1011" s="232">
        <v>44785</v>
      </c>
      <c r="N1011" s="24" t="str">
        <f t="shared" si="63"/>
        <v>VIERNES</v>
      </c>
      <c r="O1011" s="174">
        <v>0.51736111111111116</v>
      </c>
      <c r="P1011" s="180" t="s">
        <v>469</v>
      </c>
      <c r="Q1011" s="180" t="s">
        <v>469</v>
      </c>
      <c r="R1011" s="36">
        <f>COUNTIF(Tabla1[[#This Row],[VEHICULOS_ACCIDENTADOS]:[VEHICULOS_ACCIDENTADOS2]],"MOTOCICLETA")</f>
        <v>2</v>
      </c>
      <c r="S1011" s="36">
        <f>COUNTIF(Tabla1[[#This Row],[VEHICULOS_ACCIDENTADOS]:[VEHICULOS_ACCIDENTADOS2]],"MOTOCARRO")</f>
        <v>0</v>
      </c>
      <c r="T1011" s="36">
        <f>COUNTIF(Tabla1[[#This Row],[VEHICULOS_ACCIDENTADOS]:[VEHICULOS_ACCIDENTADOS2]],"AUTOMOVIL")</f>
        <v>0</v>
      </c>
      <c r="U1011" s="36">
        <f>COUNTIF(Tabla1[[#This Row],[VEHICULOS_ACCIDENTADOS]:[VEHICULOS_ACCIDENTADOS2]],"CAMPERO")</f>
        <v>0</v>
      </c>
      <c r="V1011" s="36">
        <f>COUNTIF(Tabla1[[#This Row],[VEHICULOS_ACCIDENTADOS]:[VEHICULOS_ACCIDENTADOS2]],"CAMIONETA")</f>
        <v>0</v>
      </c>
      <c r="W1011" s="36">
        <f>COUNTIF(Tabla1[[#This Row],[VEHICULOS_ACCIDENTADOS]:[VEHICULOS_ACCIDENTADOS2]],"MICROBUS")</f>
        <v>0</v>
      </c>
      <c r="X1011" s="36">
        <f>COUNTIF(Tabla1[[#This Row],[VEHICULOS_ACCIDENTADOS]:[VEHICULOS_ACCIDENTADOS2]],"BUS")</f>
        <v>0</v>
      </c>
      <c r="Y1011" s="36">
        <f>COUNTIF(Tabla1[[#This Row],[VEHICULOS_ACCIDENTADOS]:[VEHICULOS_ACCIDENTADOS2]],"BUSETA")</f>
        <v>0</v>
      </c>
      <c r="Z1011" s="36">
        <f>COUNTIF(Tabla1[[#This Row],[VEHICULOS_ACCIDENTADOS]:[VEHICULOS_ACCIDENTADOS2]],"CAMION")</f>
        <v>0</v>
      </c>
      <c r="AA1011" s="36">
        <f>COUNTIF(Tabla1[[#This Row],[VEHICULOS_ACCIDENTADOS]:[VEHICULOS_ACCIDENTADOS2]],"TRACTOCAMION")</f>
        <v>0</v>
      </c>
      <c r="AB1011" s="36">
        <f>COUNTIF(Tabla1[[#This Row],[VEHICULOS_ACCIDENTADOS]:[VEHICULOS_ACCIDENTADOS2]],"VOLQUETA")</f>
        <v>0</v>
      </c>
      <c r="AC1011" s="36">
        <f>COUNTIF(Tabla1[[#This Row],[VEHICULOS_ACCIDENTADOS]:[VEHICULOS_ACCIDENTADOS2]],"BICICLETA")</f>
        <v>0</v>
      </c>
      <c r="AD1011" s="7"/>
      <c r="AE1011" s="7" t="s">
        <v>472</v>
      </c>
      <c r="AF1011" s="7">
        <f>COUNTIF(Tabla1[[#This Row],[GENERO_MASCULINO]:[GENERO_FEMENINO]],"MASCULINO")</f>
        <v>0</v>
      </c>
      <c r="AG1011" s="36">
        <f>COUNTIF(Tabla1[[#This Row],[GENERO_MASCULINO]:[GENERO_FEMENINO]],"FEMENINO")</f>
        <v>1</v>
      </c>
      <c r="AH1011" s="73"/>
      <c r="AI1011" s="73"/>
      <c r="AJ1011" s="73"/>
      <c r="AK1011" s="73"/>
      <c r="AL1011" s="73"/>
      <c r="AM1011" s="7">
        <v>66</v>
      </c>
      <c r="AN1011" s="193">
        <v>1</v>
      </c>
      <c r="AO1011" s="36" t="str">
        <f>IFERROR(((VLOOKUP(Tabla1[[#This Row],[HIPOTESIS_1]],listas!$D$1:$E$105,2,FALSE))),"SIN INFORMACIÓN")</f>
        <v>SIN INFORMACIÓN</v>
      </c>
      <c r="AP1011" s="7"/>
      <c r="AQ1011" s="36" t="str">
        <f>IFERROR(((VLOOKUP(Tabla1[[#This Row],[HIPOTESIS_2]],listas!$D$1:$E$105,2,FALSE))),"")</f>
        <v/>
      </c>
      <c r="AR1011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012" spans="1:44" s="5" customFormat="1" x14ac:dyDescent="0.25">
      <c r="A1012" s="12">
        <v>285</v>
      </c>
      <c r="B1012" s="7">
        <v>0</v>
      </c>
      <c r="C1012" s="7">
        <v>1</v>
      </c>
      <c r="D1012" s="7">
        <v>0</v>
      </c>
      <c r="E1012" s="18" t="str">
        <f t="shared" si="60"/>
        <v>LESIONADO</v>
      </c>
      <c r="F1012" s="156" t="s">
        <v>326</v>
      </c>
      <c r="G1012" s="17">
        <v>5.2991302777777776</v>
      </c>
      <c r="H1012" s="17">
        <v>-72.217984722222226</v>
      </c>
      <c r="I1012" s="93" t="s">
        <v>697</v>
      </c>
      <c r="J1012" s="7" t="s">
        <v>1</v>
      </c>
      <c r="K1012" s="76" t="str">
        <f t="shared" si="61"/>
        <v>2022</v>
      </c>
      <c r="L1012" s="24" t="str">
        <f t="shared" si="62"/>
        <v>AGOSTO</v>
      </c>
      <c r="M1012" s="232">
        <v>44793</v>
      </c>
      <c r="N1012" s="24" t="str">
        <f t="shared" si="63"/>
        <v>SÁBADO</v>
      </c>
      <c r="O1012" s="174">
        <v>0.32638888888888901</v>
      </c>
      <c r="P1012" s="180" t="s">
        <v>445</v>
      </c>
      <c r="Q1012" s="180" t="s">
        <v>438</v>
      </c>
      <c r="R1012" s="36">
        <f>COUNTIF(Tabla1[[#This Row],[VEHICULOS_ACCIDENTADOS]:[VEHICULOS_ACCIDENTADOS2]],"MOTOCICLETA")</f>
        <v>0</v>
      </c>
      <c r="S1012" s="36">
        <f>COUNTIF(Tabla1[[#This Row],[VEHICULOS_ACCIDENTADOS]:[VEHICULOS_ACCIDENTADOS2]],"MOTOCARRO")</f>
        <v>0</v>
      </c>
      <c r="T1012" s="36">
        <f>COUNTIF(Tabla1[[#This Row],[VEHICULOS_ACCIDENTADOS]:[VEHICULOS_ACCIDENTADOS2]],"AUTOMOVIL")</f>
        <v>0</v>
      </c>
      <c r="U1012" s="36">
        <f>COUNTIF(Tabla1[[#This Row],[VEHICULOS_ACCIDENTADOS]:[VEHICULOS_ACCIDENTADOS2]],"CAMPERO")</f>
        <v>0</v>
      </c>
      <c r="V1012" s="36">
        <f>COUNTIF(Tabla1[[#This Row],[VEHICULOS_ACCIDENTADOS]:[VEHICULOS_ACCIDENTADOS2]],"CAMIONETA")</f>
        <v>1</v>
      </c>
      <c r="W1012" s="36">
        <f>COUNTIF(Tabla1[[#This Row],[VEHICULOS_ACCIDENTADOS]:[VEHICULOS_ACCIDENTADOS2]],"MICROBUS")</f>
        <v>0</v>
      </c>
      <c r="X1012" s="36">
        <f>COUNTIF(Tabla1[[#This Row],[VEHICULOS_ACCIDENTADOS]:[VEHICULOS_ACCIDENTADOS2]],"BUS")</f>
        <v>0</v>
      </c>
      <c r="Y1012" s="36">
        <f>COUNTIF(Tabla1[[#This Row],[VEHICULOS_ACCIDENTADOS]:[VEHICULOS_ACCIDENTADOS2]],"BUSETA")</f>
        <v>0</v>
      </c>
      <c r="Z1012" s="36">
        <f>COUNTIF(Tabla1[[#This Row],[VEHICULOS_ACCIDENTADOS]:[VEHICULOS_ACCIDENTADOS2]],"CAMION")</f>
        <v>0</v>
      </c>
      <c r="AA1012" s="36">
        <f>COUNTIF(Tabla1[[#This Row],[VEHICULOS_ACCIDENTADOS]:[VEHICULOS_ACCIDENTADOS2]],"TRACTOCAMION")</f>
        <v>0</v>
      </c>
      <c r="AB1012" s="36">
        <f>COUNTIF(Tabla1[[#This Row],[VEHICULOS_ACCIDENTADOS]:[VEHICULOS_ACCIDENTADOS2]],"VOLQUETA")</f>
        <v>0</v>
      </c>
      <c r="AC1012" s="36">
        <f>COUNTIF(Tabla1[[#This Row],[VEHICULOS_ACCIDENTADOS]:[VEHICULOS_ACCIDENTADOS2]],"BICICLETA")</f>
        <v>1</v>
      </c>
      <c r="AD1012" s="7" t="s">
        <v>471</v>
      </c>
      <c r="AE1012" s="7"/>
      <c r="AF1012" s="7">
        <f>COUNTIF(Tabla1[[#This Row],[GENERO_MASCULINO]:[GENERO_FEMENINO]],"MASCULINO")</f>
        <v>1</v>
      </c>
      <c r="AG1012" s="36">
        <f>COUNTIF(Tabla1[[#This Row],[GENERO_MASCULINO]:[GENERO_FEMENINO]],"FEMENINO")</f>
        <v>0</v>
      </c>
      <c r="AH1012" s="73">
        <v>51</v>
      </c>
      <c r="AI1012" s="73"/>
      <c r="AJ1012" s="73"/>
      <c r="AK1012" s="73"/>
      <c r="AL1012" s="73"/>
      <c r="AM1012" s="7"/>
      <c r="AN1012" s="73">
        <v>157</v>
      </c>
      <c r="AO1012" s="36" t="str">
        <f>IFERROR(((VLOOKUP(Tabla1[[#This Row],[HIPOTESIS_1]],listas!$D$1:$E$105,2,FALSE))),"SIN INFORMACIÓN")</f>
        <v>Otra</v>
      </c>
      <c r="AP1012" s="7"/>
      <c r="AQ1012" s="36" t="str">
        <f>IFERROR(((VLOOKUP(Tabla1[[#This Row],[HIPOTESIS_2]],listas!$D$1:$E$105,2,FALSE))),"")</f>
        <v/>
      </c>
      <c r="AR1012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013" spans="1:44" s="5" customFormat="1" x14ac:dyDescent="0.25">
      <c r="A1013" s="12">
        <v>1021</v>
      </c>
      <c r="B1013" s="24">
        <v>0</v>
      </c>
      <c r="C1013" s="24">
        <v>0</v>
      </c>
      <c r="D1013" s="24">
        <v>1</v>
      </c>
      <c r="E1013" s="18" t="str">
        <f t="shared" si="60"/>
        <v>FALLECIDO</v>
      </c>
      <c r="F1013" s="24" t="s">
        <v>776</v>
      </c>
      <c r="G1013" s="30">
        <v>5.2988770000000001</v>
      </c>
      <c r="H1013" s="30">
        <v>-72.217347799999999</v>
      </c>
      <c r="I1013" s="93" t="s">
        <v>697</v>
      </c>
      <c r="J1013" s="7" t="s">
        <v>1</v>
      </c>
      <c r="K1013" s="76" t="str">
        <f t="shared" si="61"/>
        <v>2025</v>
      </c>
      <c r="L1013" s="24" t="str">
        <f t="shared" si="62"/>
        <v>JULIO</v>
      </c>
      <c r="M1013" s="232">
        <v>45864</v>
      </c>
      <c r="N1013" s="24" t="str">
        <f t="shared" si="63"/>
        <v>SÁBADO</v>
      </c>
      <c r="O1013" s="106">
        <v>0.97916666666666663</v>
      </c>
      <c r="P1013" s="8" t="s">
        <v>469</v>
      </c>
      <c r="Q1013" s="8" t="s">
        <v>445</v>
      </c>
      <c r="R1013" s="36">
        <f>COUNTIF(Tabla1[[#This Row],[VEHICULOS_ACCIDENTADOS]:[VEHICULOS_ACCIDENTADOS2]],"MOTOCICLETA")</f>
        <v>1</v>
      </c>
      <c r="S1013" s="36">
        <f>COUNTIF(Tabla1[[#This Row],[VEHICULOS_ACCIDENTADOS]:[VEHICULOS_ACCIDENTADOS2]],"MOTOCARRO")</f>
        <v>0</v>
      </c>
      <c r="T1013" s="36">
        <f>COUNTIF(Tabla1[[#This Row],[VEHICULOS_ACCIDENTADOS]:[VEHICULOS_ACCIDENTADOS2]],"AUTOMOVIL")</f>
        <v>0</v>
      </c>
      <c r="U1013" s="36">
        <f>COUNTIF(Tabla1[[#This Row],[VEHICULOS_ACCIDENTADOS]:[VEHICULOS_ACCIDENTADOS2]],"CAMPERO")</f>
        <v>0</v>
      </c>
      <c r="V1013" s="36">
        <f>COUNTIF(Tabla1[[#This Row],[VEHICULOS_ACCIDENTADOS]:[VEHICULOS_ACCIDENTADOS2]],"CAMIONETA")</f>
        <v>1</v>
      </c>
      <c r="W1013" s="36">
        <f>COUNTIF(Tabla1[[#This Row],[VEHICULOS_ACCIDENTADOS]:[VEHICULOS_ACCIDENTADOS2]],"MICROBUS")</f>
        <v>0</v>
      </c>
      <c r="X1013" s="36">
        <f>COUNTIF(Tabla1[[#This Row],[VEHICULOS_ACCIDENTADOS]:[VEHICULOS_ACCIDENTADOS2]],"BUS")</f>
        <v>0</v>
      </c>
      <c r="Y1013" s="36">
        <f>COUNTIF(Tabla1[[#This Row],[VEHICULOS_ACCIDENTADOS]:[VEHICULOS_ACCIDENTADOS2]],"BUSETA")</f>
        <v>0</v>
      </c>
      <c r="Z1013" s="36">
        <f>COUNTIF(Tabla1[[#This Row],[VEHICULOS_ACCIDENTADOS]:[VEHICULOS_ACCIDENTADOS2]],"CAMION")</f>
        <v>0</v>
      </c>
      <c r="AA1013" s="36">
        <f>COUNTIF(Tabla1[[#This Row],[VEHICULOS_ACCIDENTADOS]:[VEHICULOS_ACCIDENTADOS2]],"TRACTOCAMION")</f>
        <v>0</v>
      </c>
      <c r="AB1013" s="36">
        <f>COUNTIF(Tabla1[[#This Row],[VEHICULOS_ACCIDENTADOS]:[VEHICULOS_ACCIDENTADOS2]],"VOLQUETA")</f>
        <v>0</v>
      </c>
      <c r="AC1013" s="36">
        <f>COUNTIF(Tabla1[[#This Row],[VEHICULOS_ACCIDENTADOS]:[VEHICULOS_ACCIDENTADOS2]],"BICICLETA")</f>
        <v>0</v>
      </c>
      <c r="AD1013" s="7" t="s">
        <v>471</v>
      </c>
      <c r="AE1013" s="7" t="s">
        <v>472</v>
      </c>
      <c r="AF1013" s="7">
        <f>COUNTIF(Tabla1[[#This Row],[GENERO_MASCULINO]:[GENERO_FEMENINO]],"MASCULINO")</f>
        <v>1</v>
      </c>
      <c r="AG1013" s="36">
        <f>COUNTIF(Tabla1[[#This Row],[GENERO_MASCULINO]:[GENERO_FEMENINO]],"FEMENINO")</f>
        <v>1</v>
      </c>
      <c r="AH1013" s="86">
        <v>34</v>
      </c>
      <c r="AI1013" s="86">
        <v>23</v>
      </c>
      <c r="AJ1013" s="86"/>
      <c r="AK1013" s="87"/>
      <c r="AL1013" s="87"/>
      <c r="AM1013" s="6"/>
      <c r="AN1013" s="73">
        <v>139</v>
      </c>
      <c r="AO1013" s="36" t="str">
        <f>IFERROR(((VLOOKUP(Tabla1[[#This Row],[HIPOTESIS_1]],listas!$D$1:$E$105,2,FALSE))),"SIN INFORMACIÓN")</f>
        <v>Impericia en el manejo.</v>
      </c>
      <c r="AP1013" s="7"/>
      <c r="AQ1013" s="36" t="str">
        <f>IFERROR(((VLOOKUP(Tabla1[[#This Row],[HIPOTESIS_2]],listas!$D$1:$E$105,2,FALSE))),"")</f>
        <v/>
      </c>
      <c r="AR1013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014" spans="1:44" s="5" customFormat="1" x14ac:dyDescent="0.25">
      <c r="A1014" s="12">
        <v>208</v>
      </c>
      <c r="B1014" s="7">
        <v>0</v>
      </c>
      <c r="C1014" s="7">
        <v>2</v>
      </c>
      <c r="D1014" s="7">
        <v>0</v>
      </c>
      <c r="E1014" s="18" t="str">
        <f t="shared" si="60"/>
        <v>LESIONADO</v>
      </c>
      <c r="F1014" s="156" t="s">
        <v>357</v>
      </c>
      <c r="G1014" s="17">
        <v>5.3611849999999999</v>
      </c>
      <c r="H1014" s="17">
        <v>-72.287068000000005</v>
      </c>
      <c r="I1014" s="93" t="s">
        <v>697</v>
      </c>
      <c r="J1014" s="7" t="s">
        <v>1</v>
      </c>
      <c r="K1014" s="76" t="str">
        <f t="shared" si="61"/>
        <v>2022</v>
      </c>
      <c r="L1014" s="24" t="str">
        <f t="shared" si="62"/>
        <v>JUNIO</v>
      </c>
      <c r="M1014" s="232">
        <v>44720</v>
      </c>
      <c r="N1014" s="24" t="str">
        <f t="shared" si="63"/>
        <v>MIÉRCOLES</v>
      </c>
      <c r="O1014" s="174">
        <v>0.5625</v>
      </c>
      <c r="P1014" s="180" t="s">
        <v>469</v>
      </c>
      <c r="Q1014" s="180" t="s">
        <v>441</v>
      </c>
      <c r="R1014" s="36">
        <f>COUNTIF(Tabla1[[#This Row],[VEHICULOS_ACCIDENTADOS]:[VEHICULOS_ACCIDENTADOS2]],"MOTOCICLETA")</f>
        <v>1</v>
      </c>
      <c r="S1014" s="36">
        <f>COUNTIF(Tabla1[[#This Row],[VEHICULOS_ACCIDENTADOS]:[VEHICULOS_ACCIDENTADOS2]],"MOTOCARRO")</f>
        <v>0</v>
      </c>
      <c r="T1014" s="36">
        <f>COUNTIF(Tabla1[[#This Row],[VEHICULOS_ACCIDENTADOS]:[VEHICULOS_ACCIDENTADOS2]],"AUTOMOVIL")</f>
        <v>0</v>
      </c>
      <c r="U1014" s="36">
        <f>COUNTIF(Tabla1[[#This Row],[VEHICULOS_ACCIDENTADOS]:[VEHICULOS_ACCIDENTADOS2]],"CAMPERO")</f>
        <v>0</v>
      </c>
      <c r="V1014" s="36">
        <f>COUNTIF(Tabla1[[#This Row],[VEHICULOS_ACCIDENTADOS]:[VEHICULOS_ACCIDENTADOS2]],"CAMIONETA")</f>
        <v>0</v>
      </c>
      <c r="W1014" s="36">
        <f>COUNTIF(Tabla1[[#This Row],[VEHICULOS_ACCIDENTADOS]:[VEHICULOS_ACCIDENTADOS2]],"MICROBUS")</f>
        <v>0</v>
      </c>
      <c r="X1014" s="36">
        <f>COUNTIF(Tabla1[[#This Row],[VEHICULOS_ACCIDENTADOS]:[VEHICULOS_ACCIDENTADOS2]],"BUS")</f>
        <v>0</v>
      </c>
      <c r="Y1014" s="36">
        <f>COUNTIF(Tabla1[[#This Row],[VEHICULOS_ACCIDENTADOS]:[VEHICULOS_ACCIDENTADOS2]],"BUSETA")</f>
        <v>0</v>
      </c>
      <c r="Z1014" s="36">
        <f>COUNTIF(Tabla1[[#This Row],[VEHICULOS_ACCIDENTADOS]:[VEHICULOS_ACCIDENTADOS2]],"CAMION")</f>
        <v>1</v>
      </c>
      <c r="AA1014" s="36">
        <f>COUNTIF(Tabla1[[#This Row],[VEHICULOS_ACCIDENTADOS]:[VEHICULOS_ACCIDENTADOS2]],"TRACTOCAMION")</f>
        <v>0</v>
      </c>
      <c r="AB1014" s="36">
        <f>COUNTIF(Tabla1[[#This Row],[VEHICULOS_ACCIDENTADOS]:[VEHICULOS_ACCIDENTADOS2]],"VOLQUETA")</f>
        <v>0</v>
      </c>
      <c r="AC1014" s="36">
        <f>COUNTIF(Tabla1[[#This Row],[VEHICULOS_ACCIDENTADOS]:[VEHICULOS_ACCIDENTADOS2]],"BICICLETA")</f>
        <v>0</v>
      </c>
      <c r="AD1014" s="7" t="s">
        <v>471</v>
      </c>
      <c r="AE1014" s="7"/>
      <c r="AF1014" s="7">
        <f>COUNTIF(Tabla1[[#This Row],[GENERO_MASCULINO]:[GENERO_FEMENINO]],"MASCULINO")</f>
        <v>1</v>
      </c>
      <c r="AG1014" s="36">
        <f>COUNTIF(Tabla1[[#This Row],[GENERO_MASCULINO]:[GENERO_FEMENINO]],"FEMENINO")</f>
        <v>0</v>
      </c>
      <c r="AH1014" s="73">
        <v>15</v>
      </c>
      <c r="AI1014" s="73"/>
      <c r="AJ1014" s="73"/>
      <c r="AK1014" s="73"/>
      <c r="AL1014" s="73">
        <v>12</v>
      </c>
      <c r="AM1014" s="7"/>
      <c r="AN1014" s="73">
        <v>139</v>
      </c>
      <c r="AO1014" s="36" t="str">
        <f>IFERROR(((VLOOKUP(Tabla1[[#This Row],[HIPOTESIS_1]],listas!$D$1:$E$105,2,FALSE))),"SIN INFORMACIÓN")</f>
        <v>Impericia en el manejo.</v>
      </c>
      <c r="AP1014" s="7"/>
      <c r="AQ1014" s="36" t="str">
        <f>IFERROR(((VLOOKUP(Tabla1[[#This Row],[HIPOTESIS_2]],listas!$D$1:$E$105,2,FALSE))),"")</f>
        <v/>
      </c>
      <c r="AR1014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015" spans="1:44" s="5" customFormat="1" x14ac:dyDescent="0.25">
      <c r="A1015" s="12">
        <v>337</v>
      </c>
      <c r="B1015" s="7">
        <v>0</v>
      </c>
      <c r="C1015" s="7">
        <v>0</v>
      </c>
      <c r="D1015" s="7">
        <v>1</v>
      </c>
      <c r="E1015" s="18" t="str">
        <f t="shared" si="60"/>
        <v>FALLECIDO</v>
      </c>
      <c r="F1015" s="156" t="s">
        <v>789</v>
      </c>
      <c r="G1015" s="17">
        <v>5.1851409999999998</v>
      </c>
      <c r="H1015" s="17">
        <v>-72.286740300000005</v>
      </c>
      <c r="I1015" s="93" t="s">
        <v>697</v>
      </c>
      <c r="J1015" s="7" t="s">
        <v>1</v>
      </c>
      <c r="K1015" s="76" t="str">
        <f t="shared" si="61"/>
        <v>2022</v>
      </c>
      <c r="L1015" s="24" t="str">
        <f t="shared" si="62"/>
        <v>OCTUBRE</v>
      </c>
      <c r="M1015" s="232">
        <v>44855</v>
      </c>
      <c r="N1015" s="24" t="str">
        <f t="shared" si="63"/>
        <v>VIERNES</v>
      </c>
      <c r="O1015" s="174">
        <v>0.90833333333333299</v>
      </c>
      <c r="P1015" s="180" t="s">
        <v>469</v>
      </c>
      <c r="Q1015" s="180"/>
      <c r="R1015" s="36">
        <f>COUNTIF(Tabla1[[#This Row],[VEHICULOS_ACCIDENTADOS]:[VEHICULOS_ACCIDENTADOS2]],"MOTOCICLETA")</f>
        <v>1</v>
      </c>
      <c r="S1015" s="36">
        <f>COUNTIF(Tabla1[[#This Row],[VEHICULOS_ACCIDENTADOS]:[VEHICULOS_ACCIDENTADOS2]],"MOTOCARRO")</f>
        <v>0</v>
      </c>
      <c r="T1015" s="36">
        <f>COUNTIF(Tabla1[[#This Row],[VEHICULOS_ACCIDENTADOS]:[VEHICULOS_ACCIDENTADOS2]],"AUTOMOVIL")</f>
        <v>0</v>
      </c>
      <c r="U1015" s="36">
        <f>COUNTIF(Tabla1[[#This Row],[VEHICULOS_ACCIDENTADOS]:[VEHICULOS_ACCIDENTADOS2]],"CAMPERO")</f>
        <v>0</v>
      </c>
      <c r="V1015" s="36">
        <f>COUNTIF(Tabla1[[#This Row],[VEHICULOS_ACCIDENTADOS]:[VEHICULOS_ACCIDENTADOS2]],"CAMIONETA")</f>
        <v>0</v>
      </c>
      <c r="W1015" s="36">
        <f>COUNTIF(Tabla1[[#This Row],[VEHICULOS_ACCIDENTADOS]:[VEHICULOS_ACCIDENTADOS2]],"MICROBUS")</f>
        <v>0</v>
      </c>
      <c r="X1015" s="36">
        <f>COUNTIF(Tabla1[[#This Row],[VEHICULOS_ACCIDENTADOS]:[VEHICULOS_ACCIDENTADOS2]],"BUS")</f>
        <v>0</v>
      </c>
      <c r="Y1015" s="36">
        <f>COUNTIF(Tabla1[[#This Row],[VEHICULOS_ACCIDENTADOS]:[VEHICULOS_ACCIDENTADOS2]],"BUSETA")</f>
        <v>0</v>
      </c>
      <c r="Z1015" s="36">
        <f>COUNTIF(Tabla1[[#This Row],[VEHICULOS_ACCIDENTADOS]:[VEHICULOS_ACCIDENTADOS2]],"CAMION")</f>
        <v>0</v>
      </c>
      <c r="AA1015" s="36">
        <f>COUNTIF(Tabla1[[#This Row],[VEHICULOS_ACCIDENTADOS]:[VEHICULOS_ACCIDENTADOS2]],"TRACTOCAMION")</f>
        <v>0</v>
      </c>
      <c r="AB1015" s="36">
        <f>COUNTIF(Tabla1[[#This Row],[VEHICULOS_ACCIDENTADOS]:[VEHICULOS_ACCIDENTADOS2]],"VOLQUETA")</f>
        <v>0</v>
      </c>
      <c r="AC1015" s="36">
        <f>COUNTIF(Tabla1[[#This Row],[VEHICULOS_ACCIDENTADOS]:[VEHICULOS_ACCIDENTADOS2]],"BICICLETA")</f>
        <v>0</v>
      </c>
      <c r="AD1015" s="7" t="s">
        <v>471</v>
      </c>
      <c r="AE1015" s="7"/>
      <c r="AF1015" s="7">
        <f>COUNTIF(Tabla1[[#This Row],[GENERO_MASCULINO]:[GENERO_FEMENINO]],"MASCULINO")</f>
        <v>1</v>
      </c>
      <c r="AG1015" s="36">
        <f>COUNTIF(Tabla1[[#This Row],[GENERO_MASCULINO]:[GENERO_FEMENINO]],"FEMENINO")</f>
        <v>0</v>
      </c>
      <c r="AH1015" s="73"/>
      <c r="AI1015" s="73"/>
      <c r="AJ1015" s="73"/>
      <c r="AK1015" s="73"/>
      <c r="AL1015" s="73"/>
      <c r="AM1015" s="7">
        <v>37</v>
      </c>
      <c r="AN1015" s="73">
        <v>1</v>
      </c>
      <c r="AO1015" s="36" t="str">
        <f>IFERROR(((VLOOKUP(Tabla1[[#This Row],[HIPOTESIS_1]],listas!$D$1:$E$105,2,FALSE))),"SIN INFORMACIÓN")</f>
        <v>SIN INFORMACIÓN</v>
      </c>
      <c r="AP1015" s="7"/>
      <c r="AQ1015" s="36" t="str">
        <f>IFERROR(((VLOOKUP(Tabla1[[#This Row],[HIPOTESIS_2]],listas!$D$1:$E$105,2,FALSE))),"")</f>
        <v/>
      </c>
      <c r="AR1015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016" spans="1:44" s="5" customFormat="1" x14ac:dyDescent="0.25">
      <c r="A1016" s="12">
        <v>1033</v>
      </c>
      <c r="B1016" s="24">
        <v>0</v>
      </c>
      <c r="C1016" s="24">
        <v>2</v>
      </c>
      <c r="D1016" s="24">
        <v>0</v>
      </c>
      <c r="E1016" s="18" t="str">
        <f t="shared" si="60"/>
        <v>LESIONADO</v>
      </c>
      <c r="F1016" s="24" t="s">
        <v>765</v>
      </c>
      <c r="G1016" s="30">
        <v>5.3370499999999996</v>
      </c>
      <c r="H1016" s="30">
        <v>-72.347070000000002</v>
      </c>
      <c r="I1016" s="93" t="s">
        <v>697</v>
      </c>
      <c r="J1016" s="7" t="s">
        <v>1</v>
      </c>
      <c r="K1016" s="76" t="str">
        <f t="shared" si="61"/>
        <v>2025</v>
      </c>
      <c r="L1016" s="24" t="str">
        <f t="shared" si="62"/>
        <v>AGOSTO</v>
      </c>
      <c r="M1016" s="232">
        <v>45872</v>
      </c>
      <c r="N1016" s="24" t="str">
        <f t="shared" si="63"/>
        <v>DOMINGO</v>
      </c>
      <c r="O1016" s="106">
        <v>0.68055555555555547</v>
      </c>
      <c r="P1016" s="8" t="s">
        <v>469</v>
      </c>
      <c r="Q1016" s="8" t="s">
        <v>469</v>
      </c>
      <c r="R1016" s="36">
        <f>COUNTIF(Tabla1[[#This Row],[VEHICULOS_ACCIDENTADOS]:[VEHICULOS_ACCIDENTADOS2]],"MOTOCICLETA")</f>
        <v>2</v>
      </c>
      <c r="S1016" s="36">
        <f>COUNTIF(Tabla1[[#This Row],[VEHICULOS_ACCIDENTADOS]:[VEHICULOS_ACCIDENTADOS2]],"MOTOCARRO")</f>
        <v>0</v>
      </c>
      <c r="T1016" s="36">
        <f>COUNTIF(Tabla1[[#This Row],[VEHICULOS_ACCIDENTADOS]:[VEHICULOS_ACCIDENTADOS2]],"AUTOMOVIL")</f>
        <v>0</v>
      </c>
      <c r="U1016" s="36">
        <f>COUNTIF(Tabla1[[#This Row],[VEHICULOS_ACCIDENTADOS]:[VEHICULOS_ACCIDENTADOS2]],"CAMPERO")</f>
        <v>0</v>
      </c>
      <c r="V1016" s="36">
        <f>COUNTIF(Tabla1[[#This Row],[VEHICULOS_ACCIDENTADOS]:[VEHICULOS_ACCIDENTADOS2]],"CAMIONETA")</f>
        <v>0</v>
      </c>
      <c r="W1016" s="36">
        <f>COUNTIF(Tabla1[[#This Row],[VEHICULOS_ACCIDENTADOS]:[VEHICULOS_ACCIDENTADOS2]],"MICROBUS")</f>
        <v>0</v>
      </c>
      <c r="X1016" s="36">
        <f>COUNTIF(Tabla1[[#This Row],[VEHICULOS_ACCIDENTADOS]:[VEHICULOS_ACCIDENTADOS2]],"BUS")</f>
        <v>0</v>
      </c>
      <c r="Y1016" s="36">
        <f>COUNTIF(Tabla1[[#This Row],[VEHICULOS_ACCIDENTADOS]:[VEHICULOS_ACCIDENTADOS2]],"BUSETA")</f>
        <v>0</v>
      </c>
      <c r="Z1016" s="36">
        <f>COUNTIF(Tabla1[[#This Row],[VEHICULOS_ACCIDENTADOS]:[VEHICULOS_ACCIDENTADOS2]],"CAMION")</f>
        <v>0</v>
      </c>
      <c r="AA1016" s="36">
        <f>COUNTIF(Tabla1[[#This Row],[VEHICULOS_ACCIDENTADOS]:[VEHICULOS_ACCIDENTADOS2]],"TRACTOCAMION")</f>
        <v>0</v>
      </c>
      <c r="AB1016" s="36">
        <f>COUNTIF(Tabla1[[#This Row],[VEHICULOS_ACCIDENTADOS]:[VEHICULOS_ACCIDENTADOS2]],"VOLQUETA")</f>
        <v>0</v>
      </c>
      <c r="AC1016" s="36">
        <f>COUNTIF(Tabla1[[#This Row],[VEHICULOS_ACCIDENTADOS]:[VEHICULOS_ACCIDENTADOS2]],"BICICLETA")</f>
        <v>0</v>
      </c>
      <c r="AD1016" s="73" t="s">
        <v>471</v>
      </c>
      <c r="AE1016" s="73" t="s">
        <v>471</v>
      </c>
      <c r="AF1016" s="7">
        <f>COUNTIF(Tabla1[[#This Row],[GENERO_MASCULINO]:[GENERO_FEMENINO]],"MASCULINO")</f>
        <v>2</v>
      </c>
      <c r="AG1016" s="36">
        <f>COUNTIF(Tabla1[[#This Row],[GENERO_MASCULINO]:[GENERO_FEMENINO]],"FEMENINO")</f>
        <v>0</v>
      </c>
      <c r="AH1016" s="86">
        <v>55</v>
      </c>
      <c r="AI1016" s="86">
        <v>47</v>
      </c>
      <c r="AJ1016" s="86"/>
      <c r="AK1016" s="87"/>
      <c r="AL1016" s="87"/>
      <c r="AM1016" s="6"/>
      <c r="AN1016" s="73">
        <v>127</v>
      </c>
      <c r="AO1016" s="59" t="str">
        <f>IFERROR(((VLOOKUP(Tabla1[[#This Row],[HIPOTESIS_1]],listas!$D$1:$E$105,2,FALSE))),"SIN INFORMACIÓN")</f>
        <v>Transitar en contravía.</v>
      </c>
      <c r="AP1016" s="7"/>
      <c r="AQ1016" s="36" t="str">
        <f>IFERROR(((VLOOKUP(Tabla1[[#This Row],[HIPOTESIS_2]],listas!$D$1:$E$105,2,FALSE))),"")</f>
        <v/>
      </c>
      <c r="AR1016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017" spans="1:44" s="5" customFormat="1" x14ac:dyDescent="0.25">
      <c r="A1017" s="12">
        <v>725</v>
      </c>
      <c r="B1017" s="16">
        <v>0</v>
      </c>
      <c r="C1017" s="7">
        <v>1</v>
      </c>
      <c r="D1017" s="7">
        <v>0</v>
      </c>
      <c r="E1017" s="18" t="str">
        <f t="shared" si="60"/>
        <v>LESIONADO</v>
      </c>
      <c r="F1017" s="7" t="s">
        <v>763</v>
      </c>
      <c r="G1017" s="21">
        <v>5.317396111111111</v>
      </c>
      <c r="H1017" s="21">
        <v>-72.420268611111112</v>
      </c>
      <c r="I1017" s="93" t="s">
        <v>697</v>
      </c>
      <c r="J1017" s="15" t="s">
        <v>1</v>
      </c>
      <c r="K1017" s="76" t="str">
        <f t="shared" si="61"/>
        <v>2024</v>
      </c>
      <c r="L1017" s="24" t="str">
        <f t="shared" si="62"/>
        <v>JUNIO</v>
      </c>
      <c r="M1017" s="232">
        <v>45446</v>
      </c>
      <c r="N1017" s="24" t="str">
        <f t="shared" si="63"/>
        <v>LUNES</v>
      </c>
      <c r="O1017" s="106">
        <v>0.79861111111111116</v>
      </c>
      <c r="P1017" s="39" t="s">
        <v>469</v>
      </c>
      <c r="Q1017" s="39" t="s">
        <v>447</v>
      </c>
      <c r="R1017" s="36">
        <f>COUNTIF(Tabla1[[#This Row],[VEHICULOS_ACCIDENTADOS]:[VEHICULOS_ACCIDENTADOS2]],"MOTOCICLETA")</f>
        <v>1</v>
      </c>
      <c r="S1017" s="36">
        <f>COUNTIF(Tabla1[[#This Row],[VEHICULOS_ACCIDENTADOS]:[VEHICULOS_ACCIDENTADOS2]],"MOTOCARRO")</f>
        <v>0</v>
      </c>
      <c r="T1017" s="36">
        <f>COUNTIF(Tabla1[[#This Row],[VEHICULOS_ACCIDENTADOS]:[VEHICULOS_ACCIDENTADOS2]],"AUTOMOVIL")</f>
        <v>1</v>
      </c>
      <c r="U1017" s="36">
        <f>COUNTIF(Tabla1[[#This Row],[VEHICULOS_ACCIDENTADOS]:[VEHICULOS_ACCIDENTADOS2]],"CAMPERO")</f>
        <v>0</v>
      </c>
      <c r="V1017" s="36">
        <f>COUNTIF(Tabla1[[#This Row],[VEHICULOS_ACCIDENTADOS]:[VEHICULOS_ACCIDENTADOS2]],"CAMIONETA")</f>
        <v>0</v>
      </c>
      <c r="W1017" s="36">
        <f>COUNTIF(Tabla1[[#This Row],[VEHICULOS_ACCIDENTADOS]:[VEHICULOS_ACCIDENTADOS2]],"MICROBUS")</f>
        <v>0</v>
      </c>
      <c r="X1017" s="36">
        <f>COUNTIF(Tabla1[[#This Row],[VEHICULOS_ACCIDENTADOS]:[VEHICULOS_ACCIDENTADOS2]],"BUS")</f>
        <v>0</v>
      </c>
      <c r="Y1017" s="36">
        <f>COUNTIF(Tabla1[[#This Row],[VEHICULOS_ACCIDENTADOS]:[VEHICULOS_ACCIDENTADOS2]],"BUSETA")</f>
        <v>0</v>
      </c>
      <c r="Z1017" s="36">
        <f>COUNTIF(Tabla1[[#This Row],[VEHICULOS_ACCIDENTADOS]:[VEHICULOS_ACCIDENTADOS2]],"CAMION")</f>
        <v>0</v>
      </c>
      <c r="AA1017" s="36">
        <f>COUNTIF(Tabla1[[#This Row],[VEHICULOS_ACCIDENTADOS]:[VEHICULOS_ACCIDENTADOS2]],"TRACTOCAMION")</f>
        <v>0</v>
      </c>
      <c r="AB1017" s="36">
        <f>COUNTIF(Tabla1[[#This Row],[VEHICULOS_ACCIDENTADOS]:[VEHICULOS_ACCIDENTADOS2]],"VOLQUETA")</f>
        <v>0</v>
      </c>
      <c r="AC1017" s="36">
        <f>COUNTIF(Tabla1[[#This Row],[VEHICULOS_ACCIDENTADOS]:[VEHICULOS_ACCIDENTADOS2]],"BICICLETA")</f>
        <v>0</v>
      </c>
      <c r="AD1017" s="7" t="s">
        <v>471</v>
      </c>
      <c r="AE1017" s="7"/>
      <c r="AF1017" s="7">
        <f>COUNTIF(Tabla1[[#This Row],[GENERO_MASCULINO]:[GENERO_FEMENINO]],"MASCULINO")</f>
        <v>1</v>
      </c>
      <c r="AG1017" s="36">
        <f>COUNTIF(Tabla1[[#This Row],[GENERO_MASCULINO]:[GENERO_FEMENINO]],"FEMENINO")</f>
        <v>0</v>
      </c>
      <c r="AH1017" s="73">
        <v>23</v>
      </c>
      <c r="AI1017" s="73"/>
      <c r="AJ1017" s="73"/>
      <c r="AK1017" s="73"/>
      <c r="AL1017" s="73"/>
      <c r="AM1017" s="7"/>
      <c r="AN1017" s="73">
        <v>121</v>
      </c>
      <c r="AO1017" s="36" t="str">
        <f>IFERROR(((VLOOKUP(Tabla1[[#This Row],[HIPOTESIS_1]],listas!$D$1:$E$105,2,FALSE))),"SIN INFORMACIÓN")</f>
        <v>No mantener distancia de seguridad.</v>
      </c>
      <c r="AP1017" s="7"/>
      <c r="AQ1017" s="36" t="str">
        <f>IFERROR(((VLOOKUP(Tabla1[[#This Row],[HIPOTESIS_2]],listas!$D$1:$E$105,2,FALSE))),"")</f>
        <v/>
      </c>
      <c r="AR1017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018" spans="1:44" s="5" customFormat="1" x14ac:dyDescent="0.25">
      <c r="A1018" s="12">
        <v>772</v>
      </c>
      <c r="B1018" s="16">
        <v>0</v>
      </c>
      <c r="C1018" s="15">
        <v>3</v>
      </c>
      <c r="D1018" s="15">
        <v>0</v>
      </c>
      <c r="E1018" s="18" t="str">
        <f t="shared" si="60"/>
        <v>LESIONADO</v>
      </c>
      <c r="F1018" s="15" t="s">
        <v>748</v>
      </c>
      <c r="G1018" s="21">
        <v>5.3370361111111109</v>
      </c>
      <c r="H1018" s="21">
        <v>-72.347808333333333</v>
      </c>
      <c r="I1018" s="93" t="s">
        <v>697</v>
      </c>
      <c r="J1018" s="15" t="s">
        <v>1</v>
      </c>
      <c r="K1018" s="76" t="str">
        <f t="shared" si="61"/>
        <v>2024</v>
      </c>
      <c r="L1018" s="24" t="str">
        <f t="shared" si="62"/>
        <v>AGOSTO</v>
      </c>
      <c r="M1018" s="234">
        <v>45533</v>
      </c>
      <c r="N1018" s="24" t="str">
        <f t="shared" si="63"/>
        <v>JUEVES</v>
      </c>
      <c r="O1018" s="108">
        <v>0.79166666666666663</v>
      </c>
      <c r="P1018" s="44" t="s">
        <v>469</v>
      </c>
      <c r="Q1018" s="44" t="s">
        <v>469</v>
      </c>
      <c r="R1018" s="36">
        <f>COUNTIF(Tabla1[[#This Row],[VEHICULOS_ACCIDENTADOS]:[VEHICULOS_ACCIDENTADOS2]],"MOTOCICLETA")</f>
        <v>2</v>
      </c>
      <c r="S1018" s="36">
        <f>COUNTIF(Tabla1[[#This Row],[VEHICULOS_ACCIDENTADOS]:[VEHICULOS_ACCIDENTADOS2]],"MOTOCARRO")</f>
        <v>0</v>
      </c>
      <c r="T1018" s="36">
        <f>COUNTIF(Tabla1[[#This Row],[VEHICULOS_ACCIDENTADOS]:[VEHICULOS_ACCIDENTADOS2]],"AUTOMOVIL")</f>
        <v>0</v>
      </c>
      <c r="U1018" s="36">
        <f>COUNTIF(Tabla1[[#This Row],[VEHICULOS_ACCIDENTADOS]:[VEHICULOS_ACCIDENTADOS2]],"CAMPERO")</f>
        <v>0</v>
      </c>
      <c r="V1018" s="36">
        <f>COUNTIF(Tabla1[[#This Row],[VEHICULOS_ACCIDENTADOS]:[VEHICULOS_ACCIDENTADOS2]],"CAMIONETA")</f>
        <v>0</v>
      </c>
      <c r="W1018" s="36">
        <f>COUNTIF(Tabla1[[#This Row],[VEHICULOS_ACCIDENTADOS]:[VEHICULOS_ACCIDENTADOS2]],"MICROBUS")</f>
        <v>0</v>
      </c>
      <c r="X1018" s="36">
        <f>COUNTIF(Tabla1[[#This Row],[VEHICULOS_ACCIDENTADOS]:[VEHICULOS_ACCIDENTADOS2]],"BUS")</f>
        <v>0</v>
      </c>
      <c r="Y1018" s="36">
        <f>COUNTIF(Tabla1[[#This Row],[VEHICULOS_ACCIDENTADOS]:[VEHICULOS_ACCIDENTADOS2]],"BUSETA")</f>
        <v>0</v>
      </c>
      <c r="Z1018" s="36">
        <f>COUNTIF(Tabla1[[#This Row],[VEHICULOS_ACCIDENTADOS]:[VEHICULOS_ACCIDENTADOS2]],"CAMION")</f>
        <v>0</v>
      </c>
      <c r="AA1018" s="36">
        <f>COUNTIF(Tabla1[[#This Row],[VEHICULOS_ACCIDENTADOS]:[VEHICULOS_ACCIDENTADOS2]],"TRACTOCAMION")</f>
        <v>0</v>
      </c>
      <c r="AB1018" s="36">
        <f>COUNTIF(Tabla1[[#This Row],[VEHICULOS_ACCIDENTADOS]:[VEHICULOS_ACCIDENTADOS2]],"VOLQUETA")</f>
        <v>0</v>
      </c>
      <c r="AC1018" s="36">
        <f>COUNTIF(Tabla1[[#This Row],[VEHICULOS_ACCIDENTADOS]:[VEHICULOS_ACCIDENTADOS2]],"BICICLETA")</f>
        <v>0</v>
      </c>
      <c r="AD1018" s="15" t="s">
        <v>471</v>
      </c>
      <c r="AE1018" s="15"/>
      <c r="AF1018" s="15">
        <f>COUNTIF(Tabla1[[#This Row],[GENERO_MASCULINO]:[GENERO_FEMENINO]],"MASCULINO")</f>
        <v>1</v>
      </c>
      <c r="AG1018" s="36">
        <f>COUNTIF(Tabla1[[#This Row],[GENERO_MASCULINO]:[GENERO_FEMENINO]],"FEMENINO")</f>
        <v>0</v>
      </c>
      <c r="AH1018" s="86">
        <v>23</v>
      </c>
      <c r="AI1018" s="86">
        <v>55</v>
      </c>
      <c r="AJ1018" s="86">
        <v>14</v>
      </c>
      <c r="AK1018" s="86"/>
      <c r="AL1018" s="86"/>
      <c r="AM1018" s="15"/>
      <c r="AN1018" s="86">
        <v>112</v>
      </c>
      <c r="AO1018" s="36" t="str">
        <f>IFERROR(((VLOOKUP(Tabla1[[#This Row],[HIPOTESIS_1]],listas!$D$1:$E$105,2,FALSE))),"SIN INFORMACIÓN")</f>
        <v>Desobedecer señales o normas de tránsito.</v>
      </c>
      <c r="AP1018" s="15"/>
      <c r="AQ1018" s="36" t="str">
        <f>IFERROR(((VLOOKUP(Tabla1[[#This Row],[HIPOTESIS_2]],listas!$D$1:$E$105,2,FALSE))),"")</f>
        <v/>
      </c>
      <c r="AR1018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019" spans="1:44" s="5" customFormat="1" ht="15" x14ac:dyDescent="0.25">
      <c r="A1019" s="12">
        <v>76</v>
      </c>
      <c r="B1019" s="7">
        <v>0</v>
      </c>
      <c r="C1019" s="7">
        <v>5</v>
      </c>
      <c r="D1019" s="7">
        <v>0</v>
      </c>
      <c r="E1019" s="18" t="str">
        <f t="shared" si="60"/>
        <v>LESIONADO</v>
      </c>
      <c r="F1019" s="157" t="s">
        <v>413</v>
      </c>
      <c r="G1019" s="17">
        <v>5.3370305555555548</v>
      </c>
      <c r="H1019" s="17">
        <v>-72.344124999999991</v>
      </c>
      <c r="I1019" s="93" t="s">
        <v>697</v>
      </c>
      <c r="J1019" s="7" t="s">
        <v>1</v>
      </c>
      <c r="K1019" s="76" t="str">
        <f t="shared" si="61"/>
        <v>2022</v>
      </c>
      <c r="L1019" s="24" t="str">
        <f t="shared" si="62"/>
        <v>MARZO</v>
      </c>
      <c r="M1019" s="232">
        <v>44626</v>
      </c>
      <c r="N1019" s="24" t="str">
        <f t="shared" si="63"/>
        <v>DOMINGO</v>
      </c>
      <c r="O1019" s="106">
        <v>0.5</v>
      </c>
      <c r="P1019" s="8" t="s">
        <v>469</v>
      </c>
      <c r="Q1019" s="8"/>
      <c r="R1019" s="36">
        <f>COUNTIF(Tabla1[[#This Row],[VEHICULOS_ACCIDENTADOS]:[VEHICULOS_ACCIDENTADOS2]],"MOTOCICLETA")</f>
        <v>1</v>
      </c>
      <c r="S1019" s="36">
        <f>COUNTIF(Tabla1[[#This Row],[VEHICULOS_ACCIDENTADOS]:[VEHICULOS_ACCIDENTADOS2]],"MOTOCARRO")</f>
        <v>0</v>
      </c>
      <c r="T1019" s="36">
        <f>COUNTIF(Tabla1[[#This Row],[VEHICULOS_ACCIDENTADOS]:[VEHICULOS_ACCIDENTADOS2]],"AUTOMOVIL")</f>
        <v>0</v>
      </c>
      <c r="U1019" s="36">
        <f>COUNTIF(Tabla1[[#This Row],[VEHICULOS_ACCIDENTADOS]:[VEHICULOS_ACCIDENTADOS2]],"CAMPERO")</f>
        <v>0</v>
      </c>
      <c r="V1019" s="36">
        <f>COUNTIF(Tabla1[[#This Row],[VEHICULOS_ACCIDENTADOS]:[VEHICULOS_ACCIDENTADOS2]],"CAMIONETA")</f>
        <v>0</v>
      </c>
      <c r="W1019" s="36">
        <f>COUNTIF(Tabla1[[#This Row],[VEHICULOS_ACCIDENTADOS]:[VEHICULOS_ACCIDENTADOS2]],"MICROBUS")</f>
        <v>0</v>
      </c>
      <c r="X1019" s="36">
        <f>COUNTIF(Tabla1[[#This Row],[VEHICULOS_ACCIDENTADOS]:[VEHICULOS_ACCIDENTADOS2]],"BUS")</f>
        <v>0</v>
      </c>
      <c r="Y1019" s="36">
        <f>COUNTIF(Tabla1[[#This Row],[VEHICULOS_ACCIDENTADOS]:[VEHICULOS_ACCIDENTADOS2]],"BUSETA")</f>
        <v>0</v>
      </c>
      <c r="Z1019" s="36">
        <f>COUNTIF(Tabla1[[#This Row],[VEHICULOS_ACCIDENTADOS]:[VEHICULOS_ACCIDENTADOS2]],"CAMION")</f>
        <v>0</v>
      </c>
      <c r="AA1019" s="36">
        <f>COUNTIF(Tabla1[[#This Row],[VEHICULOS_ACCIDENTADOS]:[VEHICULOS_ACCIDENTADOS2]],"TRACTOCAMION")</f>
        <v>0</v>
      </c>
      <c r="AB1019" s="36">
        <f>COUNTIF(Tabla1[[#This Row],[VEHICULOS_ACCIDENTADOS]:[VEHICULOS_ACCIDENTADOS2]],"VOLQUETA")</f>
        <v>0</v>
      </c>
      <c r="AC1019" s="36">
        <f>COUNTIF(Tabla1[[#This Row],[VEHICULOS_ACCIDENTADOS]:[VEHICULOS_ACCIDENTADOS2]],"BICICLETA")</f>
        <v>0</v>
      </c>
      <c r="AD1019" s="7" t="s">
        <v>471</v>
      </c>
      <c r="AE1019" s="7" t="s">
        <v>472</v>
      </c>
      <c r="AF1019" s="7">
        <f>COUNTIF(Tabla1[[#This Row],[GENERO_MASCULINO]:[GENERO_FEMENINO]],"MASCULINO")</f>
        <v>1</v>
      </c>
      <c r="AG1019" s="36">
        <f>COUNTIF(Tabla1[[#This Row],[GENERO_MASCULINO]:[GENERO_FEMENINO]],"FEMENINO")</f>
        <v>1</v>
      </c>
      <c r="AH1019" s="73">
        <v>24</v>
      </c>
      <c r="AI1019" s="73">
        <v>52</v>
      </c>
      <c r="AJ1019" s="73"/>
      <c r="AK1019" s="73"/>
      <c r="AL1019" s="73">
        <v>14</v>
      </c>
      <c r="AM1019" s="7"/>
      <c r="AN1019" s="73">
        <v>157</v>
      </c>
      <c r="AO1019" s="36" t="str">
        <f>IFERROR(((VLOOKUP(Tabla1[[#This Row],[HIPOTESIS_1]],listas!$D$1:$E$105,2,FALSE))),"SIN INFORMACIÓN")</f>
        <v>Otra</v>
      </c>
      <c r="AP1019" s="7"/>
      <c r="AQ1019" s="36" t="str">
        <f>IFERROR(((VLOOKUP(Tabla1[[#This Row],[HIPOTESIS_2]],listas!$D$1:$E$105,2,FALSE))),"")</f>
        <v/>
      </c>
      <c r="AR1019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020" spans="1:44" s="5" customFormat="1" x14ac:dyDescent="0.25">
      <c r="A1020" s="12">
        <v>237</v>
      </c>
      <c r="B1020" s="7">
        <v>0</v>
      </c>
      <c r="C1020" s="7">
        <v>4</v>
      </c>
      <c r="D1020" s="7">
        <v>1</v>
      </c>
      <c r="E1020" s="18" t="str">
        <f t="shared" si="60"/>
        <v>FALLECIDO</v>
      </c>
      <c r="F1020" s="156" t="s">
        <v>347</v>
      </c>
      <c r="G1020" s="17">
        <v>5.1910947222222221</v>
      </c>
      <c r="H1020" s="17">
        <v>-72.317379722222213</v>
      </c>
      <c r="I1020" s="93" t="s">
        <v>697</v>
      </c>
      <c r="J1020" s="7" t="s">
        <v>1</v>
      </c>
      <c r="K1020" s="76" t="str">
        <f t="shared" si="61"/>
        <v>2022</v>
      </c>
      <c r="L1020" s="24" t="str">
        <f t="shared" si="62"/>
        <v>JULIO</v>
      </c>
      <c r="M1020" s="232">
        <v>44745</v>
      </c>
      <c r="N1020" s="24" t="str">
        <f t="shared" si="63"/>
        <v>DOMINGO</v>
      </c>
      <c r="O1020" s="174">
        <v>0.22916666666666699</v>
      </c>
      <c r="P1020" s="180" t="s">
        <v>445</v>
      </c>
      <c r="Q1020" s="180"/>
      <c r="R1020" s="36">
        <f>COUNTIF(Tabla1[[#This Row],[VEHICULOS_ACCIDENTADOS]:[VEHICULOS_ACCIDENTADOS2]],"MOTOCICLETA")</f>
        <v>0</v>
      </c>
      <c r="S1020" s="36">
        <f>COUNTIF(Tabla1[[#This Row],[VEHICULOS_ACCIDENTADOS]:[VEHICULOS_ACCIDENTADOS2]],"MOTOCARRO")</f>
        <v>0</v>
      </c>
      <c r="T1020" s="36">
        <f>COUNTIF(Tabla1[[#This Row],[VEHICULOS_ACCIDENTADOS]:[VEHICULOS_ACCIDENTADOS2]],"AUTOMOVIL")</f>
        <v>0</v>
      </c>
      <c r="U1020" s="36">
        <f>COUNTIF(Tabla1[[#This Row],[VEHICULOS_ACCIDENTADOS]:[VEHICULOS_ACCIDENTADOS2]],"CAMPERO")</f>
        <v>0</v>
      </c>
      <c r="V1020" s="36">
        <f>COUNTIF(Tabla1[[#This Row],[VEHICULOS_ACCIDENTADOS]:[VEHICULOS_ACCIDENTADOS2]],"CAMIONETA")</f>
        <v>1</v>
      </c>
      <c r="W1020" s="36">
        <f>COUNTIF(Tabla1[[#This Row],[VEHICULOS_ACCIDENTADOS]:[VEHICULOS_ACCIDENTADOS2]],"MICROBUS")</f>
        <v>0</v>
      </c>
      <c r="X1020" s="36">
        <f>COUNTIF(Tabla1[[#This Row],[VEHICULOS_ACCIDENTADOS]:[VEHICULOS_ACCIDENTADOS2]],"BUS")</f>
        <v>0</v>
      </c>
      <c r="Y1020" s="36">
        <f>COUNTIF(Tabla1[[#This Row],[VEHICULOS_ACCIDENTADOS]:[VEHICULOS_ACCIDENTADOS2]],"BUSETA")</f>
        <v>0</v>
      </c>
      <c r="Z1020" s="36">
        <f>COUNTIF(Tabla1[[#This Row],[VEHICULOS_ACCIDENTADOS]:[VEHICULOS_ACCIDENTADOS2]],"CAMION")</f>
        <v>0</v>
      </c>
      <c r="AA1020" s="36">
        <f>COUNTIF(Tabla1[[#This Row],[VEHICULOS_ACCIDENTADOS]:[VEHICULOS_ACCIDENTADOS2]],"TRACTOCAMION")</f>
        <v>0</v>
      </c>
      <c r="AB1020" s="36">
        <f>COUNTIF(Tabla1[[#This Row],[VEHICULOS_ACCIDENTADOS]:[VEHICULOS_ACCIDENTADOS2]],"VOLQUETA")</f>
        <v>0</v>
      </c>
      <c r="AC1020" s="36">
        <f>COUNTIF(Tabla1[[#This Row],[VEHICULOS_ACCIDENTADOS]:[VEHICULOS_ACCIDENTADOS2]],"BICICLETA")</f>
        <v>0</v>
      </c>
      <c r="AD1020" s="7" t="s">
        <v>471</v>
      </c>
      <c r="AE1020" s="7"/>
      <c r="AF1020" s="7">
        <f>COUNTIF(Tabla1[[#This Row],[GENERO_MASCULINO]:[GENERO_FEMENINO]],"MASCULINO")</f>
        <v>1</v>
      </c>
      <c r="AG1020" s="36">
        <f>COUNTIF(Tabla1[[#This Row],[GENERO_MASCULINO]:[GENERO_FEMENINO]],"FEMENINO")</f>
        <v>0</v>
      </c>
      <c r="AH1020" s="73">
        <v>23</v>
      </c>
      <c r="AI1020" s="73"/>
      <c r="AJ1020" s="87">
        <v>25</v>
      </c>
      <c r="AK1020" s="73"/>
      <c r="AL1020" s="73"/>
      <c r="AM1020" s="7">
        <v>42</v>
      </c>
      <c r="AN1020" s="73">
        <v>157</v>
      </c>
      <c r="AO1020" s="36" t="str">
        <f>IFERROR(((VLOOKUP(Tabla1[[#This Row],[HIPOTESIS_1]],listas!$D$1:$E$105,2,FALSE))),"SIN INFORMACIÓN")</f>
        <v>Otra</v>
      </c>
      <c r="AP1020" s="7"/>
      <c r="AQ1020" s="36" t="str">
        <f>IFERROR(((VLOOKUP(Tabla1[[#This Row],[HIPOTESIS_2]],listas!$D$1:$E$105,2,FALSE))),"")</f>
        <v/>
      </c>
      <c r="AR1020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021" spans="1:44" s="5" customFormat="1" x14ac:dyDescent="0.25">
      <c r="A1021" s="12">
        <v>529</v>
      </c>
      <c r="B1021" s="7">
        <v>0</v>
      </c>
      <c r="C1021" s="7">
        <v>1</v>
      </c>
      <c r="D1021" s="7">
        <v>1</v>
      </c>
      <c r="E1021" s="18" t="str">
        <f t="shared" si="60"/>
        <v>FALLECIDO</v>
      </c>
      <c r="F1021" s="7" t="s">
        <v>780</v>
      </c>
      <c r="G1021" s="21">
        <v>5.3410788888888883</v>
      </c>
      <c r="H1021" s="21">
        <v>-72.196267222222232</v>
      </c>
      <c r="I1021" s="93" t="s">
        <v>697</v>
      </c>
      <c r="J1021" s="7" t="s">
        <v>1</v>
      </c>
      <c r="K1021" s="76" t="str">
        <f t="shared" si="61"/>
        <v>2023</v>
      </c>
      <c r="L1021" s="24" t="str">
        <f t="shared" si="62"/>
        <v>AGOSTO</v>
      </c>
      <c r="M1021" s="232">
        <v>45152</v>
      </c>
      <c r="N1021" s="24" t="str">
        <f t="shared" si="63"/>
        <v>LUNES</v>
      </c>
      <c r="O1021" s="106">
        <v>0.47222222222222227</v>
      </c>
      <c r="P1021" s="39" t="s">
        <v>469</v>
      </c>
      <c r="Q1021" s="39" t="s">
        <v>441</v>
      </c>
      <c r="R1021" s="36">
        <f>COUNTIF(Tabla1[[#This Row],[VEHICULOS_ACCIDENTADOS]:[VEHICULOS_ACCIDENTADOS2]],"MOTOCICLETA")</f>
        <v>1</v>
      </c>
      <c r="S1021" s="36">
        <f>COUNTIF(Tabla1[[#This Row],[VEHICULOS_ACCIDENTADOS]:[VEHICULOS_ACCIDENTADOS2]],"MOTOCARRO")</f>
        <v>0</v>
      </c>
      <c r="T1021" s="36">
        <f>COUNTIF(Tabla1[[#This Row],[VEHICULOS_ACCIDENTADOS]:[VEHICULOS_ACCIDENTADOS2]],"AUTOMOVIL")</f>
        <v>0</v>
      </c>
      <c r="U1021" s="36">
        <f>COUNTIF(Tabla1[[#This Row],[VEHICULOS_ACCIDENTADOS]:[VEHICULOS_ACCIDENTADOS2]],"CAMPERO")</f>
        <v>0</v>
      </c>
      <c r="V1021" s="36">
        <f>COUNTIF(Tabla1[[#This Row],[VEHICULOS_ACCIDENTADOS]:[VEHICULOS_ACCIDENTADOS2]],"CAMIONETA")</f>
        <v>0</v>
      </c>
      <c r="W1021" s="36">
        <f>COUNTIF(Tabla1[[#This Row],[VEHICULOS_ACCIDENTADOS]:[VEHICULOS_ACCIDENTADOS2]],"MICROBUS")</f>
        <v>0</v>
      </c>
      <c r="X1021" s="36">
        <f>COUNTIF(Tabla1[[#This Row],[VEHICULOS_ACCIDENTADOS]:[VEHICULOS_ACCIDENTADOS2]],"BUS")</f>
        <v>0</v>
      </c>
      <c r="Y1021" s="36">
        <f>COUNTIF(Tabla1[[#This Row],[VEHICULOS_ACCIDENTADOS]:[VEHICULOS_ACCIDENTADOS2]],"BUSETA")</f>
        <v>0</v>
      </c>
      <c r="Z1021" s="36">
        <f>COUNTIF(Tabla1[[#This Row],[VEHICULOS_ACCIDENTADOS]:[VEHICULOS_ACCIDENTADOS2]],"CAMION")</f>
        <v>1</v>
      </c>
      <c r="AA1021" s="36">
        <f>COUNTIF(Tabla1[[#This Row],[VEHICULOS_ACCIDENTADOS]:[VEHICULOS_ACCIDENTADOS2]],"TRACTOCAMION")</f>
        <v>0</v>
      </c>
      <c r="AB1021" s="36">
        <f>COUNTIF(Tabla1[[#This Row],[VEHICULOS_ACCIDENTADOS]:[VEHICULOS_ACCIDENTADOS2]],"VOLQUETA")</f>
        <v>0</v>
      </c>
      <c r="AC1021" s="36">
        <f>COUNTIF(Tabla1[[#This Row],[VEHICULOS_ACCIDENTADOS]:[VEHICULOS_ACCIDENTADOS2]],"BICICLETA")</f>
        <v>0</v>
      </c>
      <c r="AD1021" s="7" t="s">
        <v>471</v>
      </c>
      <c r="AE1021" s="7"/>
      <c r="AF1021" s="7">
        <f>COUNTIF(Tabla1[[#This Row],[GENERO_MASCULINO]:[GENERO_FEMENINO]],"MASCULINO")</f>
        <v>1</v>
      </c>
      <c r="AG1021" s="36">
        <f>COUNTIF(Tabla1[[#This Row],[GENERO_MASCULINO]:[GENERO_FEMENINO]],"FEMENINO")</f>
        <v>0</v>
      </c>
      <c r="AH1021" s="73"/>
      <c r="AI1021" s="73"/>
      <c r="AJ1021" s="73"/>
      <c r="AK1021" s="73"/>
      <c r="AL1021" s="73">
        <v>25</v>
      </c>
      <c r="AM1021" s="7">
        <v>30</v>
      </c>
      <c r="AN1021" s="73">
        <v>157</v>
      </c>
      <c r="AO1021" s="36" t="str">
        <f>IFERROR(((VLOOKUP(Tabla1[[#This Row],[HIPOTESIS_1]],listas!$D$1:$E$105,2,FALSE))),"SIN INFORMACIÓN")</f>
        <v>Otra</v>
      </c>
      <c r="AP1021" s="7"/>
      <c r="AQ1021" s="36" t="str">
        <f>IFERROR(((VLOOKUP(Tabla1[[#This Row],[HIPOTESIS_2]],listas!$D$1:$E$105,2,FALSE))),"")</f>
        <v/>
      </c>
      <c r="AR1021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022" spans="1:44" s="5" customFormat="1" x14ac:dyDescent="0.25">
      <c r="A1022" s="12">
        <v>523</v>
      </c>
      <c r="B1022" s="7">
        <v>0</v>
      </c>
      <c r="C1022" s="7">
        <v>2</v>
      </c>
      <c r="D1022" s="7">
        <v>0</v>
      </c>
      <c r="E1022" s="18" t="str">
        <f t="shared" si="60"/>
        <v>LESIONADO</v>
      </c>
      <c r="F1022" s="7" t="s">
        <v>779</v>
      </c>
      <c r="G1022" s="21">
        <v>5.3557600000000001</v>
      </c>
      <c r="H1022" s="21">
        <v>-72.229031000000006</v>
      </c>
      <c r="I1022" s="93" t="s">
        <v>697</v>
      </c>
      <c r="J1022" s="7" t="s">
        <v>717</v>
      </c>
      <c r="K1022" s="76" t="str">
        <f t="shared" si="61"/>
        <v>2023</v>
      </c>
      <c r="L1022" s="24" t="str">
        <f t="shared" si="62"/>
        <v>JULIO</v>
      </c>
      <c r="M1022" s="232">
        <v>45129</v>
      </c>
      <c r="N1022" s="24" t="str">
        <f t="shared" si="63"/>
        <v>SÁBADO</v>
      </c>
      <c r="O1022" s="106">
        <v>0.69444444444444453</v>
      </c>
      <c r="P1022" s="39" t="s">
        <v>469</v>
      </c>
      <c r="Q1022" s="39"/>
      <c r="R1022" s="36">
        <f>COUNTIF(Tabla1[[#This Row],[VEHICULOS_ACCIDENTADOS]:[VEHICULOS_ACCIDENTADOS2]],"MOTOCICLETA")</f>
        <v>1</v>
      </c>
      <c r="S1022" s="36">
        <f>COUNTIF(Tabla1[[#This Row],[VEHICULOS_ACCIDENTADOS]:[VEHICULOS_ACCIDENTADOS2]],"MOTOCARRO")</f>
        <v>0</v>
      </c>
      <c r="T1022" s="36">
        <f>COUNTIF(Tabla1[[#This Row],[VEHICULOS_ACCIDENTADOS]:[VEHICULOS_ACCIDENTADOS2]],"AUTOMOVIL")</f>
        <v>0</v>
      </c>
      <c r="U1022" s="36">
        <f>COUNTIF(Tabla1[[#This Row],[VEHICULOS_ACCIDENTADOS]:[VEHICULOS_ACCIDENTADOS2]],"CAMPERO")</f>
        <v>0</v>
      </c>
      <c r="V1022" s="36">
        <f>COUNTIF(Tabla1[[#This Row],[VEHICULOS_ACCIDENTADOS]:[VEHICULOS_ACCIDENTADOS2]],"CAMIONETA")</f>
        <v>0</v>
      </c>
      <c r="W1022" s="36">
        <f>COUNTIF(Tabla1[[#This Row],[VEHICULOS_ACCIDENTADOS]:[VEHICULOS_ACCIDENTADOS2]],"MICROBUS")</f>
        <v>0</v>
      </c>
      <c r="X1022" s="36">
        <f>COUNTIF(Tabla1[[#This Row],[VEHICULOS_ACCIDENTADOS]:[VEHICULOS_ACCIDENTADOS2]],"BUS")</f>
        <v>0</v>
      </c>
      <c r="Y1022" s="36">
        <f>COUNTIF(Tabla1[[#This Row],[VEHICULOS_ACCIDENTADOS]:[VEHICULOS_ACCIDENTADOS2]],"BUSETA")</f>
        <v>0</v>
      </c>
      <c r="Z1022" s="36">
        <f>COUNTIF(Tabla1[[#This Row],[VEHICULOS_ACCIDENTADOS]:[VEHICULOS_ACCIDENTADOS2]],"CAMION")</f>
        <v>0</v>
      </c>
      <c r="AA1022" s="36">
        <f>COUNTIF(Tabla1[[#This Row],[VEHICULOS_ACCIDENTADOS]:[VEHICULOS_ACCIDENTADOS2]],"TRACTOCAMION")</f>
        <v>0</v>
      </c>
      <c r="AB1022" s="36">
        <f>COUNTIF(Tabla1[[#This Row],[VEHICULOS_ACCIDENTADOS]:[VEHICULOS_ACCIDENTADOS2]],"VOLQUETA")</f>
        <v>0</v>
      </c>
      <c r="AC1022" s="36">
        <f>COUNTIF(Tabla1[[#This Row],[VEHICULOS_ACCIDENTADOS]:[VEHICULOS_ACCIDENTADOS2]],"BICICLETA")</f>
        <v>0</v>
      </c>
      <c r="AD1022" s="7" t="s">
        <v>471</v>
      </c>
      <c r="AE1022" s="7"/>
      <c r="AF1022" s="7">
        <f>COUNTIF(Tabla1[[#This Row],[GENERO_MASCULINO]:[GENERO_FEMENINO]],"MASCULINO")</f>
        <v>1</v>
      </c>
      <c r="AG1022" s="36">
        <f>COUNTIF(Tabla1[[#This Row],[GENERO_MASCULINO]:[GENERO_FEMENINO]],"FEMENINO")</f>
        <v>0</v>
      </c>
      <c r="AH1022" s="73">
        <v>22</v>
      </c>
      <c r="AI1022" s="73"/>
      <c r="AJ1022" s="73"/>
      <c r="AK1022" s="73"/>
      <c r="AL1022" s="73">
        <v>21</v>
      </c>
      <c r="AM1022" s="7"/>
      <c r="AN1022" s="73">
        <v>157</v>
      </c>
      <c r="AO1022" s="36" t="str">
        <f>IFERROR(((VLOOKUP(Tabla1[[#This Row],[HIPOTESIS_1]],listas!$D$1:$E$105,2,FALSE))),"SIN INFORMACIÓN")</f>
        <v>Otra</v>
      </c>
      <c r="AP1022" s="7"/>
      <c r="AQ1022" s="36" t="str">
        <f>IFERROR(((VLOOKUP(Tabla1[[#This Row],[HIPOTESIS_2]],listas!$D$1:$E$105,2,FALSE))),"")</f>
        <v/>
      </c>
      <c r="AR1022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023" spans="1:44" s="5" customFormat="1" x14ac:dyDescent="0.25">
      <c r="A1023" s="12">
        <v>676</v>
      </c>
      <c r="B1023" s="15">
        <v>0</v>
      </c>
      <c r="C1023" s="15">
        <v>0</v>
      </c>
      <c r="D1023" s="19">
        <v>1</v>
      </c>
      <c r="E1023" s="18" t="str">
        <f t="shared" si="60"/>
        <v>FALLECIDO</v>
      </c>
      <c r="F1023" s="15" t="s">
        <v>751</v>
      </c>
      <c r="G1023" s="21">
        <v>5.3248741666666666</v>
      </c>
      <c r="H1023" s="21">
        <v>-72.185778333333332</v>
      </c>
      <c r="I1023" s="93" t="s">
        <v>697</v>
      </c>
      <c r="J1023" s="15" t="s">
        <v>1</v>
      </c>
      <c r="K1023" s="76" t="str">
        <f t="shared" si="61"/>
        <v>2024</v>
      </c>
      <c r="L1023" s="24" t="str">
        <f t="shared" si="62"/>
        <v>MARZO</v>
      </c>
      <c r="M1023" s="234">
        <v>45360</v>
      </c>
      <c r="N1023" s="24" t="str">
        <f t="shared" si="63"/>
        <v>SÁBADO</v>
      </c>
      <c r="O1023" s="108">
        <v>0.94444444444444453</v>
      </c>
      <c r="P1023" s="44" t="s">
        <v>469</v>
      </c>
      <c r="Q1023" s="44"/>
      <c r="R1023" s="36">
        <f>COUNTIF(Tabla1[[#This Row],[VEHICULOS_ACCIDENTADOS]:[VEHICULOS_ACCIDENTADOS2]],"MOTOCICLETA")</f>
        <v>1</v>
      </c>
      <c r="S1023" s="36">
        <f>COUNTIF(Tabla1[[#This Row],[VEHICULOS_ACCIDENTADOS]:[VEHICULOS_ACCIDENTADOS2]],"MOTOCARRO")</f>
        <v>0</v>
      </c>
      <c r="T1023" s="36">
        <f>COUNTIF(Tabla1[[#This Row],[VEHICULOS_ACCIDENTADOS]:[VEHICULOS_ACCIDENTADOS2]],"AUTOMOVIL")</f>
        <v>0</v>
      </c>
      <c r="U1023" s="36">
        <f>COUNTIF(Tabla1[[#This Row],[VEHICULOS_ACCIDENTADOS]:[VEHICULOS_ACCIDENTADOS2]],"CAMPERO")</f>
        <v>0</v>
      </c>
      <c r="V1023" s="36">
        <f>COUNTIF(Tabla1[[#This Row],[VEHICULOS_ACCIDENTADOS]:[VEHICULOS_ACCIDENTADOS2]],"CAMIONETA")</f>
        <v>0</v>
      </c>
      <c r="W1023" s="36">
        <f>COUNTIF(Tabla1[[#This Row],[VEHICULOS_ACCIDENTADOS]:[VEHICULOS_ACCIDENTADOS2]],"MICROBUS")</f>
        <v>0</v>
      </c>
      <c r="X1023" s="36">
        <f>COUNTIF(Tabla1[[#This Row],[VEHICULOS_ACCIDENTADOS]:[VEHICULOS_ACCIDENTADOS2]],"BUS")</f>
        <v>0</v>
      </c>
      <c r="Y1023" s="36">
        <f>COUNTIF(Tabla1[[#This Row],[VEHICULOS_ACCIDENTADOS]:[VEHICULOS_ACCIDENTADOS2]],"BUSETA")</f>
        <v>0</v>
      </c>
      <c r="Z1023" s="36">
        <f>COUNTIF(Tabla1[[#This Row],[VEHICULOS_ACCIDENTADOS]:[VEHICULOS_ACCIDENTADOS2]],"CAMION")</f>
        <v>0</v>
      </c>
      <c r="AA1023" s="36">
        <f>COUNTIF(Tabla1[[#This Row],[VEHICULOS_ACCIDENTADOS]:[VEHICULOS_ACCIDENTADOS2]],"TRACTOCAMION")</f>
        <v>0</v>
      </c>
      <c r="AB1023" s="36">
        <f>COUNTIF(Tabla1[[#This Row],[VEHICULOS_ACCIDENTADOS]:[VEHICULOS_ACCIDENTADOS2]],"VOLQUETA")</f>
        <v>0</v>
      </c>
      <c r="AC1023" s="36">
        <f>COUNTIF(Tabla1[[#This Row],[VEHICULOS_ACCIDENTADOS]:[VEHICULOS_ACCIDENTADOS2]],"BICICLETA")</f>
        <v>0</v>
      </c>
      <c r="AD1023" s="15" t="s">
        <v>471</v>
      </c>
      <c r="AE1023" s="15"/>
      <c r="AF1023" s="15">
        <f>COUNTIF(Tabla1[[#This Row],[GENERO_MASCULINO]:[GENERO_FEMENINO]],"MASCULINO")</f>
        <v>1</v>
      </c>
      <c r="AG1023" s="36">
        <f>COUNTIF(Tabla1[[#This Row],[GENERO_MASCULINO]:[GENERO_FEMENINO]],"FEMENINO")</f>
        <v>0</v>
      </c>
      <c r="AH1023" s="86">
        <v>50</v>
      </c>
      <c r="AI1023" s="86"/>
      <c r="AJ1023" s="86"/>
      <c r="AK1023" s="86"/>
      <c r="AL1023" s="86"/>
      <c r="AM1023" s="15"/>
      <c r="AN1023" s="86">
        <v>114</v>
      </c>
      <c r="AO1023" s="36" t="str">
        <f>IFERROR(((VLOOKUP(Tabla1[[#This Row],[HIPOTESIS_1]],listas!$D$1:$E$105,2,FALSE))),"SIN INFORMACIÓN")</f>
        <v>Embriaguez aparente.</v>
      </c>
      <c r="AP1023" s="15"/>
      <c r="AQ1023" s="36" t="str">
        <f>IFERROR(((VLOOKUP(Tabla1[[#This Row],[HIPOTESIS_2]],listas!$D$1:$E$105,2,FALSE))),"")</f>
        <v/>
      </c>
      <c r="AR1023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024" spans="1:44" s="5" customFormat="1" x14ac:dyDescent="0.25">
      <c r="A1024" s="12">
        <v>584</v>
      </c>
      <c r="B1024" s="7">
        <v>0</v>
      </c>
      <c r="C1024" s="7">
        <v>2</v>
      </c>
      <c r="D1024" s="7">
        <v>0</v>
      </c>
      <c r="E1024" s="18" t="str">
        <f t="shared" si="60"/>
        <v>LESIONADO</v>
      </c>
      <c r="F1024" s="7" t="s">
        <v>764</v>
      </c>
      <c r="G1024" s="21">
        <v>5.3365211111111108</v>
      </c>
      <c r="H1024" s="21">
        <v>-72.333086111111101</v>
      </c>
      <c r="I1024" s="93" t="s">
        <v>697</v>
      </c>
      <c r="J1024" s="7" t="s">
        <v>1</v>
      </c>
      <c r="K1024" s="76" t="str">
        <f t="shared" si="61"/>
        <v>2023</v>
      </c>
      <c r="L1024" s="24" t="str">
        <f t="shared" si="62"/>
        <v>OCTUBRE</v>
      </c>
      <c r="M1024" s="232">
        <v>45225</v>
      </c>
      <c r="N1024" s="24" t="str">
        <f t="shared" si="63"/>
        <v>JUEVES</v>
      </c>
      <c r="O1024" s="106">
        <v>0.89583333333333337</v>
      </c>
      <c r="P1024" s="39" t="s">
        <v>469</v>
      </c>
      <c r="Q1024" s="39" t="s">
        <v>445</v>
      </c>
      <c r="R1024" s="36">
        <f>COUNTIF(Tabla1[[#This Row],[VEHICULOS_ACCIDENTADOS]:[VEHICULOS_ACCIDENTADOS2]],"MOTOCICLETA")</f>
        <v>1</v>
      </c>
      <c r="S1024" s="36">
        <f>COUNTIF(Tabla1[[#This Row],[VEHICULOS_ACCIDENTADOS]:[VEHICULOS_ACCIDENTADOS2]],"MOTOCARRO")</f>
        <v>0</v>
      </c>
      <c r="T1024" s="36">
        <f>COUNTIF(Tabla1[[#This Row],[VEHICULOS_ACCIDENTADOS]:[VEHICULOS_ACCIDENTADOS2]],"AUTOMOVIL")</f>
        <v>0</v>
      </c>
      <c r="U1024" s="36">
        <f>COUNTIF(Tabla1[[#This Row],[VEHICULOS_ACCIDENTADOS]:[VEHICULOS_ACCIDENTADOS2]],"CAMPERO")</f>
        <v>0</v>
      </c>
      <c r="V1024" s="36">
        <f>COUNTIF(Tabla1[[#This Row],[VEHICULOS_ACCIDENTADOS]:[VEHICULOS_ACCIDENTADOS2]],"CAMIONETA")</f>
        <v>1</v>
      </c>
      <c r="W1024" s="36">
        <f>COUNTIF(Tabla1[[#This Row],[VEHICULOS_ACCIDENTADOS]:[VEHICULOS_ACCIDENTADOS2]],"MICROBUS")</f>
        <v>0</v>
      </c>
      <c r="X1024" s="36">
        <f>COUNTIF(Tabla1[[#This Row],[VEHICULOS_ACCIDENTADOS]:[VEHICULOS_ACCIDENTADOS2]],"BUS")</f>
        <v>0</v>
      </c>
      <c r="Y1024" s="36">
        <f>COUNTIF(Tabla1[[#This Row],[VEHICULOS_ACCIDENTADOS]:[VEHICULOS_ACCIDENTADOS2]],"BUSETA")</f>
        <v>0</v>
      </c>
      <c r="Z1024" s="36">
        <f>COUNTIF(Tabla1[[#This Row],[VEHICULOS_ACCIDENTADOS]:[VEHICULOS_ACCIDENTADOS2]],"CAMION")</f>
        <v>0</v>
      </c>
      <c r="AA1024" s="36">
        <f>COUNTIF(Tabla1[[#This Row],[VEHICULOS_ACCIDENTADOS]:[VEHICULOS_ACCIDENTADOS2]],"TRACTOCAMION")</f>
        <v>0</v>
      </c>
      <c r="AB1024" s="36">
        <f>COUNTIF(Tabla1[[#This Row],[VEHICULOS_ACCIDENTADOS]:[VEHICULOS_ACCIDENTADOS2]],"VOLQUETA")</f>
        <v>0</v>
      </c>
      <c r="AC1024" s="36">
        <f>COUNTIF(Tabla1[[#This Row],[VEHICULOS_ACCIDENTADOS]:[VEHICULOS_ACCIDENTADOS2]],"BICICLETA")</f>
        <v>0</v>
      </c>
      <c r="AD1024" s="7"/>
      <c r="AE1024" s="7" t="s">
        <v>472</v>
      </c>
      <c r="AF1024" s="7">
        <f>COUNTIF(Tabla1[[#This Row],[GENERO_MASCULINO]:[GENERO_FEMENINO]],"MASCULINO")</f>
        <v>0</v>
      </c>
      <c r="AG1024" s="36">
        <f>COUNTIF(Tabla1[[#This Row],[GENERO_MASCULINO]:[GENERO_FEMENINO]],"FEMENINO")</f>
        <v>1</v>
      </c>
      <c r="AH1024" s="73">
        <v>21</v>
      </c>
      <c r="AI1024" s="73"/>
      <c r="AJ1024" s="73"/>
      <c r="AK1024" s="73"/>
      <c r="AL1024" s="73">
        <v>4</v>
      </c>
      <c r="AM1024" s="7"/>
      <c r="AN1024" s="73">
        <v>122</v>
      </c>
      <c r="AO1024" s="36" t="str">
        <f>IFERROR(((VLOOKUP(Tabla1[[#This Row],[HIPOTESIS_1]],listas!$D$1:$E$105,2,FALSE))),"SIN INFORMACIÓN")</f>
        <v>Girar bruscamente.</v>
      </c>
      <c r="AP1024" s="7"/>
      <c r="AQ1024" s="36" t="str">
        <f>IFERROR(((VLOOKUP(Tabla1[[#This Row],[HIPOTESIS_2]],listas!$D$1:$E$105,2,FALSE))),"")</f>
        <v/>
      </c>
      <c r="AR1024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025" spans="1:44" s="5" customFormat="1" x14ac:dyDescent="0.25">
      <c r="A1025" s="12">
        <v>718</v>
      </c>
      <c r="B1025" s="16">
        <v>0</v>
      </c>
      <c r="C1025" s="7">
        <v>2</v>
      </c>
      <c r="D1025" s="7">
        <v>0</v>
      </c>
      <c r="E1025" s="18" t="str">
        <f t="shared" si="60"/>
        <v>LESIONADO</v>
      </c>
      <c r="F1025" s="7" t="s">
        <v>773</v>
      </c>
      <c r="G1025" s="21">
        <v>5.1400480555555559</v>
      </c>
      <c r="H1025" s="21">
        <v>-72.20301111111111</v>
      </c>
      <c r="I1025" s="93" t="s">
        <v>697</v>
      </c>
      <c r="J1025" s="15" t="s">
        <v>1</v>
      </c>
      <c r="K1025" s="24" t="str">
        <f t="shared" si="61"/>
        <v>2024</v>
      </c>
      <c r="L1025" s="24" t="str">
        <f t="shared" si="62"/>
        <v>MAYO</v>
      </c>
      <c r="M1025" s="232">
        <v>45439</v>
      </c>
      <c r="N1025" s="24" t="str">
        <f t="shared" si="63"/>
        <v>LUNES</v>
      </c>
      <c r="O1025" s="106">
        <v>0.59027777777777779</v>
      </c>
      <c r="P1025" s="39" t="s">
        <v>469</v>
      </c>
      <c r="Q1025" s="39"/>
      <c r="R1025" s="36">
        <f>COUNTIF(Tabla1[[#This Row],[VEHICULOS_ACCIDENTADOS]:[VEHICULOS_ACCIDENTADOS2]],"MOTOCICLETA")</f>
        <v>1</v>
      </c>
      <c r="S1025" s="36">
        <f>COUNTIF(Tabla1[[#This Row],[VEHICULOS_ACCIDENTADOS]:[VEHICULOS_ACCIDENTADOS2]],"MOTOCARRO")</f>
        <v>0</v>
      </c>
      <c r="T1025" s="36">
        <f>COUNTIF(Tabla1[[#This Row],[VEHICULOS_ACCIDENTADOS]:[VEHICULOS_ACCIDENTADOS2]],"AUTOMOVIL")</f>
        <v>0</v>
      </c>
      <c r="U1025" s="36">
        <f>COUNTIF(Tabla1[[#This Row],[VEHICULOS_ACCIDENTADOS]:[VEHICULOS_ACCIDENTADOS2]],"CAMPERO")</f>
        <v>0</v>
      </c>
      <c r="V1025" s="36">
        <f>COUNTIF(Tabla1[[#This Row],[VEHICULOS_ACCIDENTADOS]:[VEHICULOS_ACCIDENTADOS2]],"CAMIONETA")</f>
        <v>0</v>
      </c>
      <c r="W1025" s="36">
        <f>COUNTIF(Tabla1[[#This Row],[VEHICULOS_ACCIDENTADOS]:[VEHICULOS_ACCIDENTADOS2]],"MICROBUS")</f>
        <v>0</v>
      </c>
      <c r="X1025" s="36">
        <f>COUNTIF(Tabla1[[#This Row],[VEHICULOS_ACCIDENTADOS]:[VEHICULOS_ACCIDENTADOS2]],"BUS")</f>
        <v>0</v>
      </c>
      <c r="Y1025" s="36">
        <f>COUNTIF(Tabla1[[#This Row],[VEHICULOS_ACCIDENTADOS]:[VEHICULOS_ACCIDENTADOS2]],"BUSETA")</f>
        <v>0</v>
      </c>
      <c r="Z1025" s="36">
        <f>COUNTIF(Tabla1[[#This Row],[VEHICULOS_ACCIDENTADOS]:[VEHICULOS_ACCIDENTADOS2]],"CAMION")</f>
        <v>0</v>
      </c>
      <c r="AA1025" s="36">
        <f>COUNTIF(Tabla1[[#This Row],[VEHICULOS_ACCIDENTADOS]:[VEHICULOS_ACCIDENTADOS2]],"TRACTOCAMION")</f>
        <v>0</v>
      </c>
      <c r="AB1025" s="36">
        <f>COUNTIF(Tabla1[[#This Row],[VEHICULOS_ACCIDENTADOS]:[VEHICULOS_ACCIDENTADOS2]],"VOLQUETA")</f>
        <v>0</v>
      </c>
      <c r="AC1025" s="36">
        <f>COUNTIF(Tabla1[[#This Row],[VEHICULOS_ACCIDENTADOS]:[VEHICULOS_ACCIDENTADOS2]],"BICICLETA")</f>
        <v>0</v>
      </c>
      <c r="AD1025" s="7"/>
      <c r="AE1025" s="7" t="s">
        <v>472</v>
      </c>
      <c r="AF1025" s="7">
        <f>COUNTIF(Tabla1[[#This Row],[GENERO_MASCULINO]:[GENERO_FEMENINO]],"MASCULINO")</f>
        <v>0</v>
      </c>
      <c r="AG1025" s="36">
        <f>COUNTIF(Tabla1[[#This Row],[GENERO_MASCULINO]:[GENERO_FEMENINO]],"FEMENINO")</f>
        <v>1</v>
      </c>
      <c r="AH1025" s="73">
        <v>12</v>
      </c>
      <c r="AI1025" s="73">
        <v>60</v>
      </c>
      <c r="AJ1025" s="73"/>
      <c r="AK1025" s="73"/>
      <c r="AL1025" s="73"/>
      <c r="AM1025" s="7"/>
      <c r="AN1025" s="73">
        <v>139</v>
      </c>
      <c r="AO1025" s="7" t="str">
        <f>IFERROR(((VLOOKUP(Tabla1[[#This Row],[HIPOTESIS_1]],listas!$D$1:$E$105,2,FALSE))),"SIN INFORMACIÓN")</f>
        <v>Impericia en el manejo.</v>
      </c>
      <c r="AP1025" s="7"/>
      <c r="AQ1025" s="36" t="str">
        <f>IFERROR(((VLOOKUP(Tabla1[[#This Row],[HIPOTESIS_2]],listas!$D$1:$E$105,2,FALSE))),"")</f>
        <v/>
      </c>
      <c r="AR1025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026" spans="1:44" s="5" customFormat="1" x14ac:dyDescent="0.25">
      <c r="A1026" s="12">
        <v>800</v>
      </c>
      <c r="B1026" s="15">
        <v>0</v>
      </c>
      <c r="C1026" s="15">
        <v>1</v>
      </c>
      <c r="D1026" s="19">
        <v>1</v>
      </c>
      <c r="E1026" s="18" t="str">
        <f t="shared" ref="E1026:E1089" si="64">IF(D1026&gt;=1,"FALLECIDO",IF(C1026&gt;=1,"LESIONADO",IF(B1026&gt;=1,"SOLO DAÑO","")))</f>
        <v>FALLECIDO</v>
      </c>
      <c r="F1026" s="15" t="s">
        <v>1020</v>
      </c>
      <c r="G1026" s="21">
        <v>5.2866333333333335</v>
      </c>
      <c r="H1026" s="21">
        <v>-72.363375833333322</v>
      </c>
      <c r="I1026" s="93" t="s">
        <v>697</v>
      </c>
      <c r="J1026" s="7" t="s">
        <v>1</v>
      </c>
      <c r="K1026" s="24" t="str">
        <f t="shared" ref="K1026:K1089" si="65">UPPER(TEXT(M1026,"YYYY"))</f>
        <v>2024</v>
      </c>
      <c r="L1026" s="24" t="str">
        <f t="shared" ref="L1026:L1089" si="66">UPPER(TEXT(M1026,"MMMM"))</f>
        <v>OCTUBRE</v>
      </c>
      <c r="M1026" s="234">
        <v>45591</v>
      </c>
      <c r="N1026" s="24" t="str">
        <f t="shared" ref="N1026:N1089" si="67">UPPER(TEXT(M1026,"DDDD"))</f>
        <v>SÁBADO</v>
      </c>
      <c r="O1026" s="108">
        <v>0.78472222222222221</v>
      </c>
      <c r="P1026" s="44" t="s">
        <v>469</v>
      </c>
      <c r="Q1026" s="44" t="s">
        <v>438</v>
      </c>
      <c r="R1026" s="36">
        <f>COUNTIF(Tabla1[[#This Row],[VEHICULOS_ACCIDENTADOS]:[VEHICULOS_ACCIDENTADOS2]],"MOTOCICLETA")</f>
        <v>1</v>
      </c>
      <c r="S1026" s="36">
        <f>COUNTIF(Tabla1[[#This Row],[VEHICULOS_ACCIDENTADOS]:[VEHICULOS_ACCIDENTADOS2]],"MOTOCARRO")</f>
        <v>0</v>
      </c>
      <c r="T1026" s="36">
        <f>COUNTIF(Tabla1[[#This Row],[VEHICULOS_ACCIDENTADOS]:[VEHICULOS_ACCIDENTADOS2]],"AUTOMOVIL")</f>
        <v>0</v>
      </c>
      <c r="U1026" s="36">
        <f>COUNTIF(Tabla1[[#This Row],[VEHICULOS_ACCIDENTADOS]:[VEHICULOS_ACCIDENTADOS2]],"CAMPERO")</f>
        <v>0</v>
      </c>
      <c r="V1026" s="36">
        <f>COUNTIF(Tabla1[[#This Row],[VEHICULOS_ACCIDENTADOS]:[VEHICULOS_ACCIDENTADOS2]],"CAMIONETA")</f>
        <v>0</v>
      </c>
      <c r="W1026" s="36">
        <f>COUNTIF(Tabla1[[#This Row],[VEHICULOS_ACCIDENTADOS]:[VEHICULOS_ACCIDENTADOS2]],"MICROBUS")</f>
        <v>0</v>
      </c>
      <c r="X1026" s="36">
        <f>COUNTIF(Tabla1[[#This Row],[VEHICULOS_ACCIDENTADOS]:[VEHICULOS_ACCIDENTADOS2]],"BUS")</f>
        <v>0</v>
      </c>
      <c r="Y1026" s="36">
        <f>COUNTIF(Tabla1[[#This Row],[VEHICULOS_ACCIDENTADOS]:[VEHICULOS_ACCIDENTADOS2]],"BUSETA")</f>
        <v>0</v>
      </c>
      <c r="Z1026" s="36">
        <f>COUNTIF(Tabla1[[#This Row],[VEHICULOS_ACCIDENTADOS]:[VEHICULOS_ACCIDENTADOS2]],"CAMION")</f>
        <v>0</v>
      </c>
      <c r="AA1026" s="36">
        <f>COUNTIF(Tabla1[[#This Row],[VEHICULOS_ACCIDENTADOS]:[VEHICULOS_ACCIDENTADOS2]],"TRACTOCAMION")</f>
        <v>0</v>
      </c>
      <c r="AB1026" s="36">
        <f>COUNTIF(Tabla1[[#This Row],[VEHICULOS_ACCIDENTADOS]:[VEHICULOS_ACCIDENTADOS2]],"VOLQUETA")</f>
        <v>0</v>
      </c>
      <c r="AC1026" s="36">
        <f>COUNTIF(Tabla1[[#This Row],[VEHICULOS_ACCIDENTADOS]:[VEHICULOS_ACCIDENTADOS2]],"BICICLETA")</f>
        <v>1</v>
      </c>
      <c r="AD1026" s="15" t="s">
        <v>471</v>
      </c>
      <c r="AE1026" s="15"/>
      <c r="AF1026" s="15">
        <f>COUNTIF(Tabla1[[#This Row],[GENERO_MASCULINO]:[GENERO_FEMENINO]],"MASCULINO")</f>
        <v>1</v>
      </c>
      <c r="AG1026" s="36">
        <f>COUNTIF(Tabla1[[#This Row],[GENERO_MASCULINO]:[GENERO_FEMENINO]],"FEMENINO")</f>
        <v>0</v>
      </c>
      <c r="AH1026" s="86"/>
      <c r="AI1026" s="86"/>
      <c r="AJ1026" s="86"/>
      <c r="AK1026" s="86"/>
      <c r="AL1026" s="86"/>
      <c r="AM1026" s="15">
        <v>28</v>
      </c>
      <c r="AN1026" s="86">
        <v>157</v>
      </c>
      <c r="AO1026" s="7" t="str">
        <f>IFERROR(((VLOOKUP(Tabla1[[#This Row],[HIPOTESIS_1]],listas!$D$1:$E$105,2,FALSE))),"SIN INFORMACIÓN")</f>
        <v>Otra</v>
      </c>
      <c r="AP1026" s="15"/>
      <c r="AQ1026" s="36" t="str">
        <f>IFERROR(((VLOOKUP(Tabla1[[#This Row],[HIPOTESIS_2]],listas!$D$1:$E$105,2,FALSE))),"")</f>
        <v/>
      </c>
      <c r="AR1026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027" spans="1:44" s="5" customFormat="1" x14ac:dyDescent="0.25">
      <c r="A1027" s="12">
        <v>589</v>
      </c>
      <c r="B1027" s="32">
        <v>1</v>
      </c>
      <c r="C1027" s="32">
        <v>0</v>
      </c>
      <c r="D1027" s="32">
        <v>0</v>
      </c>
      <c r="E1027" s="18" t="str">
        <f t="shared" si="64"/>
        <v>SOLO DAÑO</v>
      </c>
      <c r="F1027" s="7" t="s">
        <v>757</v>
      </c>
      <c r="G1027" s="21">
        <v>5.2962319444444441</v>
      </c>
      <c r="H1027" s="21">
        <v>-72.402468611111118</v>
      </c>
      <c r="I1027" s="93" t="s">
        <v>697</v>
      </c>
      <c r="J1027" s="7" t="s">
        <v>1</v>
      </c>
      <c r="K1027" s="24" t="str">
        <f t="shared" si="65"/>
        <v>2023</v>
      </c>
      <c r="L1027" s="24" t="str">
        <f t="shared" si="66"/>
        <v>OCTUBRE</v>
      </c>
      <c r="M1027" s="232">
        <v>45228</v>
      </c>
      <c r="N1027" s="24" t="str">
        <f t="shared" si="67"/>
        <v>DOMINGO</v>
      </c>
      <c r="O1027" s="106">
        <v>0.96111111111111114</v>
      </c>
      <c r="P1027" s="39" t="s">
        <v>469</v>
      </c>
      <c r="Q1027" s="39" t="s">
        <v>447</v>
      </c>
      <c r="R1027" s="36">
        <f>COUNTIF(Tabla1[[#This Row],[VEHICULOS_ACCIDENTADOS]:[VEHICULOS_ACCIDENTADOS2]],"MOTOCICLETA")</f>
        <v>1</v>
      </c>
      <c r="S1027" s="36">
        <f>COUNTIF(Tabla1[[#This Row],[VEHICULOS_ACCIDENTADOS]:[VEHICULOS_ACCIDENTADOS2]],"MOTOCARRO")</f>
        <v>0</v>
      </c>
      <c r="T1027" s="36">
        <f>COUNTIF(Tabla1[[#This Row],[VEHICULOS_ACCIDENTADOS]:[VEHICULOS_ACCIDENTADOS2]],"AUTOMOVIL")</f>
        <v>1</v>
      </c>
      <c r="U1027" s="36">
        <f>COUNTIF(Tabla1[[#This Row],[VEHICULOS_ACCIDENTADOS]:[VEHICULOS_ACCIDENTADOS2]],"CAMPERO")</f>
        <v>0</v>
      </c>
      <c r="V1027" s="36">
        <f>COUNTIF(Tabla1[[#This Row],[VEHICULOS_ACCIDENTADOS]:[VEHICULOS_ACCIDENTADOS2]],"CAMIONETA")</f>
        <v>0</v>
      </c>
      <c r="W1027" s="36">
        <f>COUNTIF(Tabla1[[#This Row],[VEHICULOS_ACCIDENTADOS]:[VEHICULOS_ACCIDENTADOS2]],"MICROBUS")</f>
        <v>0</v>
      </c>
      <c r="X1027" s="36">
        <f>COUNTIF(Tabla1[[#This Row],[VEHICULOS_ACCIDENTADOS]:[VEHICULOS_ACCIDENTADOS2]],"BUS")</f>
        <v>0</v>
      </c>
      <c r="Y1027" s="36">
        <f>COUNTIF(Tabla1[[#This Row],[VEHICULOS_ACCIDENTADOS]:[VEHICULOS_ACCIDENTADOS2]],"BUSETA")</f>
        <v>0</v>
      </c>
      <c r="Z1027" s="36">
        <f>COUNTIF(Tabla1[[#This Row],[VEHICULOS_ACCIDENTADOS]:[VEHICULOS_ACCIDENTADOS2]],"CAMION")</f>
        <v>0</v>
      </c>
      <c r="AA1027" s="36">
        <f>COUNTIF(Tabla1[[#This Row],[VEHICULOS_ACCIDENTADOS]:[VEHICULOS_ACCIDENTADOS2]],"TRACTOCAMION")</f>
        <v>0</v>
      </c>
      <c r="AB1027" s="36">
        <f>COUNTIF(Tabla1[[#This Row],[VEHICULOS_ACCIDENTADOS]:[VEHICULOS_ACCIDENTADOS2]],"VOLQUETA")</f>
        <v>0</v>
      </c>
      <c r="AC1027" s="36">
        <f>COUNTIF(Tabla1[[#This Row],[VEHICULOS_ACCIDENTADOS]:[VEHICULOS_ACCIDENTADOS2]],"BICICLETA")</f>
        <v>0</v>
      </c>
      <c r="AD1027" s="7"/>
      <c r="AE1027" s="7" t="s">
        <v>472</v>
      </c>
      <c r="AF1027" s="7">
        <f>COUNTIF(Tabla1[[#This Row],[GENERO_MASCULINO]:[GENERO_FEMENINO]],"MASCULINO")</f>
        <v>0</v>
      </c>
      <c r="AG1027" s="36">
        <f>COUNTIF(Tabla1[[#This Row],[GENERO_MASCULINO]:[GENERO_FEMENINO]],"FEMENINO")</f>
        <v>1</v>
      </c>
      <c r="AH1027" s="86"/>
      <c r="AI1027" s="86"/>
      <c r="AJ1027" s="87"/>
      <c r="AK1027" s="87"/>
      <c r="AL1027" s="87"/>
      <c r="AM1027" s="6"/>
      <c r="AN1027" s="73">
        <v>115</v>
      </c>
      <c r="AO1027" s="7" t="str">
        <f>IFERROR(((VLOOKUP(Tabla1[[#This Row],[HIPOTESIS_1]],listas!$D$1:$E$105,2,FALSE))),"SIN INFORMACIÓN")</f>
        <v>Embriaguez o Sustancias alucinogenas</v>
      </c>
      <c r="AP1027" s="7"/>
      <c r="AQ1027" s="36" t="str">
        <f>IFERROR(((VLOOKUP(Tabla1[[#This Row],[HIPOTESIS_2]],listas!$D$1:$E$105,2,FALSE))),"")</f>
        <v/>
      </c>
      <c r="AR1027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028" spans="1:44" s="5" customFormat="1" x14ac:dyDescent="0.25">
      <c r="A1028" s="12">
        <v>598</v>
      </c>
      <c r="B1028" s="7">
        <v>0</v>
      </c>
      <c r="C1028" s="7">
        <v>1</v>
      </c>
      <c r="D1028" s="7">
        <v>0</v>
      </c>
      <c r="E1028" s="18" t="str">
        <f t="shared" si="64"/>
        <v>LESIONADO</v>
      </c>
      <c r="F1028" s="7" t="s">
        <v>769</v>
      </c>
      <c r="G1028" s="21">
        <v>5.3046202777777776</v>
      </c>
      <c r="H1028" s="21">
        <v>-72.44502833333334</v>
      </c>
      <c r="I1028" s="93" t="s">
        <v>697</v>
      </c>
      <c r="J1028" s="7" t="s">
        <v>1</v>
      </c>
      <c r="K1028" s="24" t="str">
        <f t="shared" si="65"/>
        <v>2023</v>
      </c>
      <c r="L1028" s="24" t="str">
        <f t="shared" si="66"/>
        <v>NOVIEMBRE</v>
      </c>
      <c r="M1028" s="232">
        <v>45234</v>
      </c>
      <c r="N1028" s="24" t="str">
        <f t="shared" si="67"/>
        <v>SÁBADO</v>
      </c>
      <c r="O1028" s="106">
        <v>0.74652777777777779</v>
      </c>
      <c r="P1028" s="39" t="s">
        <v>469</v>
      </c>
      <c r="Q1028" s="39" t="s">
        <v>447</v>
      </c>
      <c r="R1028" s="36">
        <f>COUNTIF(Tabla1[[#This Row],[VEHICULOS_ACCIDENTADOS]:[VEHICULOS_ACCIDENTADOS2]],"MOTOCICLETA")</f>
        <v>1</v>
      </c>
      <c r="S1028" s="36">
        <f>COUNTIF(Tabla1[[#This Row],[VEHICULOS_ACCIDENTADOS]:[VEHICULOS_ACCIDENTADOS2]],"MOTOCARRO")</f>
        <v>0</v>
      </c>
      <c r="T1028" s="36">
        <f>COUNTIF(Tabla1[[#This Row],[VEHICULOS_ACCIDENTADOS]:[VEHICULOS_ACCIDENTADOS2]],"AUTOMOVIL")</f>
        <v>1</v>
      </c>
      <c r="U1028" s="36">
        <f>COUNTIF(Tabla1[[#This Row],[VEHICULOS_ACCIDENTADOS]:[VEHICULOS_ACCIDENTADOS2]],"CAMPERO")</f>
        <v>0</v>
      </c>
      <c r="V1028" s="36">
        <f>COUNTIF(Tabla1[[#This Row],[VEHICULOS_ACCIDENTADOS]:[VEHICULOS_ACCIDENTADOS2]],"CAMIONETA")</f>
        <v>0</v>
      </c>
      <c r="W1028" s="36">
        <f>COUNTIF(Tabla1[[#This Row],[VEHICULOS_ACCIDENTADOS]:[VEHICULOS_ACCIDENTADOS2]],"MICROBUS")</f>
        <v>0</v>
      </c>
      <c r="X1028" s="36">
        <f>COUNTIF(Tabla1[[#This Row],[VEHICULOS_ACCIDENTADOS]:[VEHICULOS_ACCIDENTADOS2]],"BUS")</f>
        <v>0</v>
      </c>
      <c r="Y1028" s="36">
        <f>COUNTIF(Tabla1[[#This Row],[VEHICULOS_ACCIDENTADOS]:[VEHICULOS_ACCIDENTADOS2]],"BUSETA")</f>
        <v>0</v>
      </c>
      <c r="Z1028" s="36">
        <f>COUNTIF(Tabla1[[#This Row],[VEHICULOS_ACCIDENTADOS]:[VEHICULOS_ACCIDENTADOS2]],"CAMION")</f>
        <v>0</v>
      </c>
      <c r="AA1028" s="36">
        <f>COUNTIF(Tabla1[[#This Row],[VEHICULOS_ACCIDENTADOS]:[VEHICULOS_ACCIDENTADOS2]],"TRACTOCAMION")</f>
        <v>0</v>
      </c>
      <c r="AB1028" s="36">
        <f>COUNTIF(Tabla1[[#This Row],[VEHICULOS_ACCIDENTADOS]:[VEHICULOS_ACCIDENTADOS2]],"VOLQUETA")</f>
        <v>0</v>
      </c>
      <c r="AC1028" s="36">
        <f>COUNTIF(Tabla1[[#This Row],[VEHICULOS_ACCIDENTADOS]:[VEHICULOS_ACCIDENTADOS2]],"BICICLETA")</f>
        <v>0</v>
      </c>
      <c r="AD1028" s="7" t="s">
        <v>471</v>
      </c>
      <c r="AE1028" s="7"/>
      <c r="AF1028" s="7">
        <f>COUNTIF(Tabla1[[#This Row],[GENERO_MASCULINO]:[GENERO_FEMENINO]],"MASCULINO")</f>
        <v>1</v>
      </c>
      <c r="AG1028" s="36">
        <f>COUNTIF(Tabla1[[#This Row],[GENERO_MASCULINO]:[GENERO_FEMENINO]],"FEMENINO")</f>
        <v>0</v>
      </c>
      <c r="AH1028" s="73">
        <v>23</v>
      </c>
      <c r="AI1028" s="73"/>
      <c r="AJ1028" s="73"/>
      <c r="AK1028" s="73"/>
      <c r="AL1028" s="73"/>
      <c r="AM1028" s="7"/>
      <c r="AN1028" s="73">
        <v>139</v>
      </c>
      <c r="AO1028" s="7" t="str">
        <f>IFERROR(((VLOOKUP(Tabla1[[#This Row],[HIPOTESIS_1]],listas!$D$1:$E$105,2,FALSE))),"SIN INFORMACIÓN")</f>
        <v>Impericia en el manejo.</v>
      </c>
      <c r="AP1028" s="7"/>
      <c r="AQ1028" s="36" t="str">
        <f>IFERROR(((VLOOKUP(Tabla1[[#This Row],[HIPOTESIS_2]],listas!$D$1:$E$105,2,FALSE))),"")</f>
        <v/>
      </c>
      <c r="AR1028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029" spans="1:44" s="5" customFormat="1" x14ac:dyDescent="0.25">
      <c r="A1029" s="12">
        <v>536</v>
      </c>
      <c r="B1029" s="7">
        <v>0</v>
      </c>
      <c r="C1029" s="7">
        <v>1</v>
      </c>
      <c r="D1029" s="7">
        <v>0</v>
      </c>
      <c r="E1029" s="18" t="str">
        <f t="shared" si="64"/>
        <v>LESIONADO</v>
      </c>
      <c r="F1029" s="7" t="s">
        <v>743</v>
      </c>
      <c r="G1029" s="21">
        <v>5.2934041666666669</v>
      </c>
      <c r="H1029" s="21">
        <v>-72.402111111111111</v>
      </c>
      <c r="I1029" s="93" t="s">
        <v>697</v>
      </c>
      <c r="J1029" s="7" t="s">
        <v>1</v>
      </c>
      <c r="K1029" s="24" t="str">
        <f t="shared" si="65"/>
        <v>2023</v>
      </c>
      <c r="L1029" s="24" t="str">
        <f t="shared" si="66"/>
        <v>AGOSTO</v>
      </c>
      <c r="M1029" s="232">
        <v>45155</v>
      </c>
      <c r="N1029" s="24" t="str">
        <f t="shared" si="67"/>
        <v>JUEVES</v>
      </c>
      <c r="O1029" s="106">
        <v>0.60416666666666663</v>
      </c>
      <c r="P1029" s="39" t="s">
        <v>469</v>
      </c>
      <c r="Q1029" s="39"/>
      <c r="R1029" s="36">
        <f>COUNTIF(Tabla1[[#This Row],[VEHICULOS_ACCIDENTADOS]:[VEHICULOS_ACCIDENTADOS2]],"MOTOCICLETA")</f>
        <v>1</v>
      </c>
      <c r="S1029" s="36">
        <f>COUNTIF(Tabla1[[#This Row],[VEHICULOS_ACCIDENTADOS]:[VEHICULOS_ACCIDENTADOS2]],"MOTOCARRO")</f>
        <v>0</v>
      </c>
      <c r="T1029" s="36">
        <f>COUNTIF(Tabla1[[#This Row],[VEHICULOS_ACCIDENTADOS]:[VEHICULOS_ACCIDENTADOS2]],"AUTOMOVIL")</f>
        <v>0</v>
      </c>
      <c r="U1029" s="36">
        <f>COUNTIF(Tabla1[[#This Row],[VEHICULOS_ACCIDENTADOS]:[VEHICULOS_ACCIDENTADOS2]],"CAMPERO")</f>
        <v>0</v>
      </c>
      <c r="V1029" s="36">
        <f>COUNTIF(Tabla1[[#This Row],[VEHICULOS_ACCIDENTADOS]:[VEHICULOS_ACCIDENTADOS2]],"CAMIONETA")</f>
        <v>0</v>
      </c>
      <c r="W1029" s="36">
        <f>COUNTIF(Tabla1[[#This Row],[VEHICULOS_ACCIDENTADOS]:[VEHICULOS_ACCIDENTADOS2]],"MICROBUS")</f>
        <v>0</v>
      </c>
      <c r="X1029" s="36">
        <f>COUNTIF(Tabla1[[#This Row],[VEHICULOS_ACCIDENTADOS]:[VEHICULOS_ACCIDENTADOS2]],"BUS")</f>
        <v>0</v>
      </c>
      <c r="Y1029" s="36">
        <f>COUNTIF(Tabla1[[#This Row],[VEHICULOS_ACCIDENTADOS]:[VEHICULOS_ACCIDENTADOS2]],"BUSETA")</f>
        <v>0</v>
      </c>
      <c r="Z1029" s="36">
        <f>COUNTIF(Tabla1[[#This Row],[VEHICULOS_ACCIDENTADOS]:[VEHICULOS_ACCIDENTADOS2]],"CAMION")</f>
        <v>0</v>
      </c>
      <c r="AA1029" s="36">
        <f>COUNTIF(Tabla1[[#This Row],[VEHICULOS_ACCIDENTADOS]:[VEHICULOS_ACCIDENTADOS2]],"TRACTOCAMION")</f>
        <v>0</v>
      </c>
      <c r="AB1029" s="36">
        <f>COUNTIF(Tabla1[[#This Row],[VEHICULOS_ACCIDENTADOS]:[VEHICULOS_ACCIDENTADOS2]],"VOLQUETA")</f>
        <v>0</v>
      </c>
      <c r="AC1029" s="36">
        <f>COUNTIF(Tabla1[[#This Row],[VEHICULOS_ACCIDENTADOS]:[VEHICULOS_ACCIDENTADOS2]],"BICICLETA")</f>
        <v>0</v>
      </c>
      <c r="AD1029" s="7" t="s">
        <v>471</v>
      </c>
      <c r="AE1029" s="7"/>
      <c r="AF1029" s="7">
        <f>COUNTIF(Tabla1[[#This Row],[GENERO_MASCULINO]:[GENERO_FEMENINO]],"MASCULINO")</f>
        <v>1</v>
      </c>
      <c r="AG1029" s="36">
        <f>COUNTIF(Tabla1[[#This Row],[GENERO_MASCULINO]:[GENERO_FEMENINO]],"FEMENINO")</f>
        <v>0</v>
      </c>
      <c r="AH1029" s="73">
        <v>35</v>
      </c>
      <c r="AI1029" s="73"/>
      <c r="AJ1029" s="73"/>
      <c r="AK1029" s="73"/>
      <c r="AL1029" s="73"/>
      <c r="AM1029" s="7"/>
      <c r="AN1029" s="73">
        <v>103</v>
      </c>
      <c r="AO1029" s="7" t="str">
        <f>IFERROR(((VLOOKUP(Tabla1[[#This Row],[HIPOTESIS_1]],listas!$D$1:$E$105,2,FALSE))),"SIN INFORMACIÓN")</f>
        <v>Adelantar cerrando.</v>
      </c>
      <c r="AP1029" s="7"/>
      <c r="AQ1029" s="36" t="str">
        <f>IFERROR(((VLOOKUP(Tabla1[[#This Row],[HIPOTESIS_2]],listas!$D$1:$E$105,2,FALSE))),"")</f>
        <v/>
      </c>
      <c r="AR1029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030" spans="1:44" s="5" customFormat="1" ht="15" x14ac:dyDescent="0.25">
      <c r="A1030" s="12">
        <v>98</v>
      </c>
      <c r="B1030" s="7">
        <v>1</v>
      </c>
      <c r="C1030" s="7">
        <v>0</v>
      </c>
      <c r="D1030" s="7">
        <v>0</v>
      </c>
      <c r="E1030" s="18" t="str">
        <f t="shared" si="64"/>
        <v>SOLO DAÑO</v>
      </c>
      <c r="F1030" s="157" t="s">
        <v>402</v>
      </c>
      <c r="G1030" s="17">
        <v>5.3052863888888888</v>
      </c>
      <c r="H1030" s="17">
        <v>-72.411226944444451</v>
      </c>
      <c r="I1030" s="93" t="s">
        <v>697</v>
      </c>
      <c r="J1030" s="7" t="s">
        <v>1</v>
      </c>
      <c r="K1030" s="24" t="str">
        <f t="shared" si="65"/>
        <v>2022</v>
      </c>
      <c r="L1030" s="24" t="str">
        <f t="shared" si="66"/>
        <v>MARZO</v>
      </c>
      <c r="M1030" s="232">
        <v>44642</v>
      </c>
      <c r="N1030" s="24" t="str">
        <f t="shared" si="67"/>
        <v>MARTES</v>
      </c>
      <c r="O1030" s="106">
        <v>0.77777777777777801</v>
      </c>
      <c r="P1030" s="8" t="s">
        <v>447</v>
      </c>
      <c r="Q1030" s="8" t="s">
        <v>441</v>
      </c>
      <c r="R1030" s="36">
        <f>COUNTIF(Tabla1[[#This Row],[VEHICULOS_ACCIDENTADOS]:[VEHICULOS_ACCIDENTADOS2]],"MOTOCICLETA")</f>
        <v>0</v>
      </c>
      <c r="S1030" s="36">
        <f>COUNTIF(Tabla1[[#This Row],[VEHICULOS_ACCIDENTADOS]:[VEHICULOS_ACCIDENTADOS2]],"MOTOCARRO")</f>
        <v>0</v>
      </c>
      <c r="T1030" s="36">
        <f>COUNTIF(Tabla1[[#This Row],[VEHICULOS_ACCIDENTADOS]:[VEHICULOS_ACCIDENTADOS2]],"AUTOMOVIL")</f>
        <v>1</v>
      </c>
      <c r="U1030" s="36">
        <f>COUNTIF(Tabla1[[#This Row],[VEHICULOS_ACCIDENTADOS]:[VEHICULOS_ACCIDENTADOS2]],"CAMPERO")</f>
        <v>0</v>
      </c>
      <c r="V1030" s="36">
        <f>COUNTIF(Tabla1[[#This Row],[VEHICULOS_ACCIDENTADOS]:[VEHICULOS_ACCIDENTADOS2]],"CAMIONETA")</f>
        <v>0</v>
      </c>
      <c r="W1030" s="36">
        <f>COUNTIF(Tabla1[[#This Row],[VEHICULOS_ACCIDENTADOS]:[VEHICULOS_ACCIDENTADOS2]],"MICROBUS")</f>
        <v>0</v>
      </c>
      <c r="X1030" s="36">
        <f>COUNTIF(Tabla1[[#This Row],[VEHICULOS_ACCIDENTADOS]:[VEHICULOS_ACCIDENTADOS2]],"BUS")</f>
        <v>0</v>
      </c>
      <c r="Y1030" s="36">
        <f>COUNTIF(Tabla1[[#This Row],[VEHICULOS_ACCIDENTADOS]:[VEHICULOS_ACCIDENTADOS2]],"BUSETA")</f>
        <v>0</v>
      </c>
      <c r="Z1030" s="36">
        <f>COUNTIF(Tabla1[[#This Row],[VEHICULOS_ACCIDENTADOS]:[VEHICULOS_ACCIDENTADOS2]],"CAMION")</f>
        <v>1</v>
      </c>
      <c r="AA1030" s="36">
        <f>COUNTIF(Tabla1[[#This Row],[VEHICULOS_ACCIDENTADOS]:[VEHICULOS_ACCIDENTADOS2]],"TRACTOCAMION")</f>
        <v>0</v>
      </c>
      <c r="AB1030" s="36">
        <f>COUNTIF(Tabla1[[#This Row],[VEHICULOS_ACCIDENTADOS]:[VEHICULOS_ACCIDENTADOS2]],"VOLQUETA")</f>
        <v>0</v>
      </c>
      <c r="AC1030" s="36">
        <f>COUNTIF(Tabla1[[#This Row],[VEHICULOS_ACCIDENTADOS]:[VEHICULOS_ACCIDENTADOS2]],"BICICLETA")</f>
        <v>0</v>
      </c>
      <c r="AD1030" s="7"/>
      <c r="AE1030" s="7" t="s">
        <v>472</v>
      </c>
      <c r="AF1030" s="7">
        <f>COUNTIF(Tabla1[[#This Row],[GENERO_MASCULINO]:[GENERO_FEMENINO]],"MASCULINO")</f>
        <v>0</v>
      </c>
      <c r="AG1030" s="36">
        <f>COUNTIF(Tabla1[[#This Row],[GENERO_MASCULINO]:[GENERO_FEMENINO]],"FEMENINO")</f>
        <v>1</v>
      </c>
      <c r="AH1030" s="73"/>
      <c r="AI1030" s="73"/>
      <c r="AJ1030" s="73"/>
      <c r="AK1030" s="73"/>
      <c r="AL1030" s="73"/>
      <c r="AM1030" s="7"/>
      <c r="AN1030" s="73">
        <v>121</v>
      </c>
      <c r="AO1030" s="7" t="str">
        <f>IFERROR(((VLOOKUP(Tabla1[[#This Row],[HIPOTESIS_1]],listas!$D$1:$E$105,2,FALSE))),"SIN INFORMACIÓN")</f>
        <v>No mantener distancia de seguridad.</v>
      </c>
      <c r="AP1030" s="7"/>
      <c r="AQ1030" s="36" t="str">
        <f>IFERROR(((VLOOKUP(Tabla1[[#This Row],[HIPOTESIS_2]],listas!$D$1:$E$105,2,FALSE))),"")</f>
        <v/>
      </c>
      <c r="AR1030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031" spans="1:44" s="5" customFormat="1" x14ac:dyDescent="0.25">
      <c r="A1031" s="12">
        <v>588</v>
      </c>
      <c r="B1031" s="32">
        <v>0</v>
      </c>
      <c r="C1031" s="32">
        <v>0</v>
      </c>
      <c r="D1031" s="32">
        <v>1</v>
      </c>
      <c r="E1031" s="18" t="str">
        <f t="shared" si="64"/>
        <v>FALLECIDO</v>
      </c>
      <c r="F1031" s="7" t="s">
        <v>750</v>
      </c>
      <c r="G1031" s="21">
        <v>5.2927549999999997</v>
      </c>
      <c r="H1031" s="21">
        <v>-72.402073888888893</v>
      </c>
      <c r="I1031" s="93" t="s">
        <v>697</v>
      </c>
      <c r="J1031" s="7" t="s">
        <v>1</v>
      </c>
      <c r="K1031" s="24" t="str">
        <f t="shared" si="65"/>
        <v>2023</v>
      </c>
      <c r="L1031" s="24" t="str">
        <f t="shared" si="66"/>
        <v>OCTUBRE</v>
      </c>
      <c r="M1031" s="232">
        <v>45230</v>
      </c>
      <c r="N1031" s="24" t="str">
        <f t="shared" si="67"/>
        <v>MARTES</v>
      </c>
      <c r="O1031" s="108">
        <v>0.51388888888888895</v>
      </c>
      <c r="P1031" s="215" t="s">
        <v>469</v>
      </c>
      <c r="Q1031" s="215"/>
      <c r="R1031" s="36">
        <f>COUNTIF(Tabla1[[#This Row],[VEHICULOS_ACCIDENTADOS]:[VEHICULOS_ACCIDENTADOS2]],"MOTOCICLETA")</f>
        <v>1</v>
      </c>
      <c r="S1031" s="36">
        <f>COUNTIF(Tabla1[[#This Row],[VEHICULOS_ACCIDENTADOS]:[VEHICULOS_ACCIDENTADOS2]],"MOTOCARRO")</f>
        <v>0</v>
      </c>
      <c r="T1031" s="36">
        <f>COUNTIF(Tabla1[[#This Row],[VEHICULOS_ACCIDENTADOS]:[VEHICULOS_ACCIDENTADOS2]],"AUTOMOVIL")</f>
        <v>0</v>
      </c>
      <c r="U1031" s="36">
        <f>COUNTIF(Tabla1[[#This Row],[VEHICULOS_ACCIDENTADOS]:[VEHICULOS_ACCIDENTADOS2]],"CAMPERO")</f>
        <v>0</v>
      </c>
      <c r="V1031" s="36">
        <f>COUNTIF(Tabla1[[#This Row],[VEHICULOS_ACCIDENTADOS]:[VEHICULOS_ACCIDENTADOS2]],"CAMIONETA")</f>
        <v>0</v>
      </c>
      <c r="W1031" s="36">
        <f>COUNTIF(Tabla1[[#This Row],[VEHICULOS_ACCIDENTADOS]:[VEHICULOS_ACCIDENTADOS2]],"MICROBUS")</f>
        <v>0</v>
      </c>
      <c r="X1031" s="36">
        <f>COUNTIF(Tabla1[[#This Row],[VEHICULOS_ACCIDENTADOS]:[VEHICULOS_ACCIDENTADOS2]],"BUS")</f>
        <v>0</v>
      </c>
      <c r="Y1031" s="36">
        <f>COUNTIF(Tabla1[[#This Row],[VEHICULOS_ACCIDENTADOS]:[VEHICULOS_ACCIDENTADOS2]],"BUSETA")</f>
        <v>0</v>
      </c>
      <c r="Z1031" s="36">
        <f>COUNTIF(Tabla1[[#This Row],[VEHICULOS_ACCIDENTADOS]:[VEHICULOS_ACCIDENTADOS2]],"CAMION")</f>
        <v>0</v>
      </c>
      <c r="AA1031" s="36">
        <f>COUNTIF(Tabla1[[#This Row],[VEHICULOS_ACCIDENTADOS]:[VEHICULOS_ACCIDENTADOS2]],"TRACTOCAMION")</f>
        <v>0</v>
      </c>
      <c r="AB1031" s="36">
        <f>COUNTIF(Tabla1[[#This Row],[VEHICULOS_ACCIDENTADOS]:[VEHICULOS_ACCIDENTADOS2]],"VOLQUETA")</f>
        <v>0</v>
      </c>
      <c r="AC1031" s="36">
        <f>COUNTIF(Tabla1[[#This Row],[VEHICULOS_ACCIDENTADOS]:[VEHICULOS_ACCIDENTADOS2]],"BICICLETA")</f>
        <v>0</v>
      </c>
      <c r="AD1031" s="7"/>
      <c r="AE1031" s="7" t="s">
        <v>472</v>
      </c>
      <c r="AF1031" s="7">
        <f>COUNTIF(Tabla1[[#This Row],[GENERO_MASCULINO]:[GENERO_FEMENINO]],"MASCULINO")</f>
        <v>0</v>
      </c>
      <c r="AG1031" s="36">
        <f>COUNTIF(Tabla1[[#This Row],[GENERO_MASCULINO]:[GENERO_FEMENINO]],"FEMENINO")</f>
        <v>1</v>
      </c>
      <c r="AH1031" s="193"/>
      <c r="AI1031" s="193"/>
      <c r="AJ1031" s="193"/>
      <c r="AK1031" s="193"/>
      <c r="AL1031" s="193"/>
      <c r="AM1031" s="32">
        <v>42</v>
      </c>
      <c r="AN1031" s="193">
        <v>114</v>
      </c>
      <c r="AO1031" s="7" t="str">
        <f>IFERROR(((VLOOKUP(Tabla1[[#This Row],[HIPOTESIS_1]],listas!$D$1:$E$105,2,FALSE))),"SIN INFORMACIÓN")</f>
        <v>Embriaguez aparente.</v>
      </c>
      <c r="AP1031" s="32"/>
      <c r="AQ1031" s="36" t="str">
        <f>IFERROR(((VLOOKUP(Tabla1[[#This Row],[HIPOTESIS_2]],listas!$D$1:$E$105,2,FALSE))),"")</f>
        <v/>
      </c>
      <c r="AR1031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032" spans="1:44" s="5" customFormat="1" x14ac:dyDescent="0.25">
      <c r="A1032" s="12">
        <v>646</v>
      </c>
      <c r="B1032" s="15">
        <v>1</v>
      </c>
      <c r="C1032" s="15">
        <v>1</v>
      </c>
      <c r="D1032" s="19">
        <v>1</v>
      </c>
      <c r="E1032" s="18" t="str">
        <f t="shared" si="64"/>
        <v>FALLECIDO</v>
      </c>
      <c r="F1032" s="15" t="s">
        <v>762</v>
      </c>
      <c r="G1032" s="21">
        <v>5.1142319444444437</v>
      </c>
      <c r="H1032" s="21">
        <v>-72.100654999999989</v>
      </c>
      <c r="I1032" s="93" t="s">
        <v>697</v>
      </c>
      <c r="J1032" s="15" t="s">
        <v>1</v>
      </c>
      <c r="K1032" s="24" t="str">
        <f t="shared" si="65"/>
        <v>2024</v>
      </c>
      <c r="L1032" s="24" t="str">
        <f t="shared" si="66"/>
        <v>ENERO</v>
      </c>
      <c r="M1032" s="252">
        <v>45299</v>
      </c>
      <c r="N1032" s="24" t="str">
        <f t="shared" si="67"/>
        <v>LUNES</v>
      </c>
      <c r="O1032" s="253">
        <v>0.83333333333333337</v>
      </c>
      <c r="P1032" s="254" t="s">
        <v>469</v>
      </c>
      <c r="Q1032" s="254"/>
      <c r="R1032" s="36">
        <f>COUNTIF(Tabla1[[#This Row],[VEHICULOS_ACCIDENTADOS]:[VEHICULOS_ACCIDENTADOS2]],"MOTOCICLETA")</f>
        <v>1</v>
      </c>
      <c r="S1032" s="36">
        <f>COUNTIF(Tabla1[[#This Row],[VEHICULOS_ACCIDENTADOS]:[VEHICULOS_ACCIDENTADOS2]],"MOTOCARRO")</f>
        <v>0</v>
      </c>
      <c r="T1032" s="36">
        <f>COUNTIF(Tabla1[[#This Row],[VEHICULOS_ACCIDENTADOS]:[VEHICULOS_ACCIDENTADOS2]],"AUTOMOVIL")</f>
        <v>0</v>
      </c>
      <c r="U1032" s="36">
        <f>COUNTIF(Tabla1[[#This Row],[VEHICULOS_ACCIDENTADOS]:[VEHICULOS_ACCIDENTADOS2]],"CAMPERO")</f>
        <v>0</v>
      </c>
      <c r="V1032" s="36">
        <f>COUNTIF(Tabla1[[#This Row],[VEHICULOS_ACCIDENTADOS]:[VEHICULOS_ACCIDENTADOS2]],"CAMIONETA")</f>
        <v>0</v>
      </c>
      <c r="W1032" s="36">
        <f>COUNTIF(Tabla1[[#This Row],[VEHICULOS_ACCIDENTADOS]:[VEHICULOS_ACCIDENTADOS2]],"MICROBUS")</f>
        <v>0</v>
      </c>
      <c r="X1032" s="36">
        <f>COUNTIF(Tabla1[[#This Row],[VEHICULOS_ACCIDENTADOS]:[VEHICULOS_ACCIDENTADOS2]],"BUS")</f>
        <v>0</v>
      </c>
      <c r="Y1032" s="36">
        <f>COUNTIF(Tabla1[[#This Row],[VEHICULOS_ACCIDENTADOS]:[VEHICULOS_ACCIDENTADOS2]],"BUSETA")</f>
        <v>0</v>
      </c>
      <c r="Z1032" s="36">
        <f>COUNTIF(Tabla1[[#This Row],[VEHICULOS_ACCIDENTADOS]:[VEHICULOS_ACCIDENTADOS2]],"CAMION")</f>
        <v>0</v>
      </c>
      <c r="AA1032" s="36">
        <f>COUNTIF(Tabla1[[#This Row],[VEHICULOS_ACCIDENTADOS]:[VEHICULOS_ACCIDENTADOS2]],"TRACTOCAMION")</f>
        <v>0</v>
      </c>
      <c r="AB1032" s="36">
        <f>COUNTIF(Tabla1[[#This Row],[VEHICULOS_ACCIDENTADOS]:[VEHICULOS_ACCIDENTADOS2]],"VOLQUETA")</f>
        <v>0</v>
      </c>
      <c r="AC1032" s="36">
        <f>COUNTIF(Tabla1[[#This Row],[VEHICULOS_ACCIDENTADOS]:[VEHICULOS_ACCIDENTADOS2]],"BICICLETA")</f>
        <v>0</v>
      </c>
      <c r="AD1032" s="15" t="s">
        <v>471</v>
      </c>
      <c r="AE1032" s="15"/>
      <c r="AF1032" s="15">
        <f>COUNTIF(Tabla1[[#This Row],[GENERO_MASCULINO]:[GENERO_FEMENINO]],"MASCULINO")</f>
        <v>1</v>
      </c>
      <c r="AG1032" s="36">
        <f>COUNTIF(Tabla1[[#This Row],[GENERO_MASCULINO]:[GENERO_FEMENINO]],"FEMENINO")</f>
        <v>0</v>
      </c>
      <c r="AH1032" s="86"/>
      <c r="AI1032" s="86"/>
      <c r="AJ1032" s="86"/>
      <c r="AK1032" s="86"/>
      <c r="AL1032" s="86"/>
      <c r="AM1032" s="15">
        <v>16</v>
      </c>
      <c r="AN1032" s="86">
        <v>116</v>
      </c>
      <c r="AO1032" s="7" t="str">
        <f>IFERROR(((VLOOKUP(Tabla1[[#This Row],[HIPOTESIS_1]],listas!$D$1:$E$105,2,FALSE))),"SIN INFORMACIÓN")</f>
        <v>Exceso de velocidad</v>
      </c>
      <c r="AP1032" s="15"/>
      <c r="AQ1032" s="36" t="str">
        <f>IFERROR(((VLOOKUP(Tabla1[[#This Row],[HIPOTESIS_2]],listas!$D$1:$E$105,2,FALSE))),"")</f>
        <v/>
      </c>
      <c r="AR1032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033" spans="1:44" s="5" customFormat="1" x14ac:dyDescent="0.25">
      <c r="A1033" s="12">
        <v>672</v>
      </c>
      <c r="B1033" s="15">
        <v>0</v>
      </c>
      <c r="C1033" s="15">
        <v>0</v>
      </c>
      <c r="D1033" s="19">
        <v>1</v>
      </c>
      <c r="E1033" s="18" t="str">
        <f t="shared" si="64"/>
        <v>FALLECIDO</v>
      </c>
      <c r="F1033" s="15" t="s">
        <v>783</v>
      </c>
      <c r="G1033" s="21">
        <v>5.1087002777777775</v>
      </c>
      <c r="H1033" s="21">
        <v>-72.064522222222223</v>
      </c>
      <c r="I1033" s="93" t="s">
        <v>697</v>
      </c>
      <c r="J1033" s="15" t="s">
        <v>1</v>
      </c>
      <c r="K1033" s="24" t="str">
        <f t="shared" si="65"/>
        <v>2024</v>
      </c>
      <c r="L1033" s="24" t="str">
        <f t="shared" si="66"/>
        <v>MARZO</v>
      </c>
      <c r="M1033" s="234">
        <v>45354</v>
      </c>
      <c r="N1033" s="24" t="str">
        <f t="shared" si="67"/>
        <v>DOMINGO</v>
      </c>
      <c r="O1033" s="108">
        <v>6.25E-2</v>
      </c>
      <c r="P1033" s="44" t="s">
        <v>440</v>
      </c>
      <c r="Q1033" s="44"/>
      <c r="R1033" s="36">
        <f>COUNTIF(Tabla1[[#This Row],[VEHICULOS_ACCIDENTADOS]:[VEHICULOS_ACCIDENTADOS2]],"MOTOCICLETA")</f>
        <v>0</v>
      </c>
      <c r="S1033" s="36">
        <f>COUNTIF(Tabla1[[#This Row],[VEHICULOS_ACCIDENTADOS]:[VEHICULOS_ACCIDENTADOS2]],"MOTOCARRO")</f>
        <v>0</v>
      </c>
      <c r="T1033" s="36">
        <f>COUNTIF(Tabla1[[#This Row],[VEHICULOS_ACCIDENTADOS]:[VEHICULOS_ACCIDENTADOS2]],"AUTOMOVIL")</f>
        <v>0</v>
      </c>
      <c r="U1033" s="36">
        <f>COUNTIF(Tabla1[[#This Row],[VEHICULOS_ACCIDENTADOS]:[VEHICULOS_ACCIDENTADOS2]],"CAMPERO")</f>
        <v>0</v>
      </c>
      <c r="V1033" s="36">
        <f>COUNTIF(Tabla1[[#This Row],[VEHICULOS_ACCIDENTADOS]:[VEHICULOS_ACCIDENTADOS2]],"CAMIONETA")</f>
        <v>0</v>
      </c>
      <c r="W1033" s="36">
        <f>COUNTIF(Tabla1[[#This Row],[VEHICULOS_ACCIDENTADOS]:[VEHICULOS_ACCIDENTADOS2]],"MICROBUS")</f>
        <v>0</v>
      </c>
      <c r="X1033" s="36">
        <f>COUNTIF(Tabla1[[#This Row],[VEHICULOS_ACCIDENTADOS]:[VEHICULOS_ACCIDENTADOS2]],"BUS")</f>
        <v>0</v>
      </c>
      <c r="Y1033" s="36">
        <f>COUNTIF(Tabla1[[#This Row],[VEHICULOS_ACCIDENTADOS]:[VEHICULOS_ACCIDENTADOS2]],"BUSETA")</f>
        <v>0</v>
      </c>
      <c r="Z1033" s="36">
        <f>COUNTIF(Tabla1[[#This Row],[VEHICULOS_ACCIDENTADOS]:[VEHICULOS_ACCIDENTADOS2]],"CAMION")</f>
        <v>0</v>
      </c>
      <c r="AA1033" s="36">
        <f>COUNTIF(Tabla1[[#This Row],[VEHICULOS_ACCIDENTADOS]:[VEHICULOS_ACCIDENTADOS2]],"TRACTOCAMION")</f>
        <v>1</v>
      </c>
      <c r="AB1033" s="36">
        <f>COUNTIF(Tabla1[[#This Row],[VEHICULOS_ACCIDENTADOS]:[VEHICULOS_ACCIDENTADOS2]],"VOLQUETA")</f>
        <v>0</v>
      </c>
      <c r="AC1033" s="36">
        <f>COUNTIF(Tabla1[[#This Row],[VEHICULOS_ACCIDENTADOS]:[VEHICULOS_ACCIDENTADOS2]],"BICICLETA")</f>
        <v>0</v>
      </c>
      <c r="AD1033" s="15" t="s">
        <v>471</v>
      </c>
      <c r="AE1033" s="15"/>
      <c r="AF1033" s="15">
        <f>COUNTIF(Tabla1[[#This Row],[GENERO_MASCULINO]:[GENERO_FEMENINO]],"MASCULINO")</f>
        <v>1</v>
      </c>
      <c r="AG1033" s="36">
        <f>COUNTIF(Tabla1[[#This Row],[GENERO_MASCULINO]:[GENERO_FEMENINO]],"FEMENINO")</f>
        <v>0</v>
      </c>
      <c r="AH1033" s="86"/>
      <c r="AI1033" s="86"/>
      <c r="AJ1033" s="86"/>
      <c r="AK1033" s="86"/>
      <c r="AL1033" s="86"/>
      <c r="AM1033" s="15">
        <v>31</v>
      </c>
      <c r="AN1033" s="86">
        <v>157</v>
      </c>
      <c r="AO1033" s="7" t="str">
        <f>IFERROR(((VLOOKUP(Tabla1[[#This Row],[HIPOTESIS_1]],listas!$D$1:$E$105,2,FALSE))),"SIN INFORMACIÓN")</f>
        <v>Otra</v>
      </c>
      <c r="AP1033" s="15"/>
      <c r="AQ1033" s="36" t="str">
        <f>IFERROR(((VLOOKUP(Tabla1[[#This Row],[HIPOTESIS_2]],listas!$D$1:$E$105,2,FALSE))),"")</f>
        <v/>
      </c>
      <c r="AR1033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034" spans="1:44" s="5" customFormat="1" x14ac:dyDescent="0.25">
      <c r="A1034" s="12">
        <v>387</v>
      </c>
      <c r="B1034" s="7">
        <v>0</v>
      </c>
      <c r="C1034" s="7">
        <v>1</v>
      </c>
      <c r="D1034" s="7">
        <v>0</v>
      </c>
      <c r="E1034" s="18" t="str">
        <f t="shared" si="64"/>
        <v>LESIONADO</v>
      </c>
      <c r="F1034" s="7" t="s">
        <v>756</v>
      </c>
      <c r="G1034" s="21">
        <v>5.2832972222222221</v>
      </c>
      <c r="H1034" s="21">
        <v>-72.401041666666671</v>
      </c>
      <c r="I1034" s="93" t="s">
        <v>697</v>
      </c>
      <c r="J1034" s="7" t="s">
        <v>1</v>
      </c>
      <c r="K1034" s="24" t="str">
        <f t="shared" si="65"/>
        <v>2023</v>
      </c>
      <c r="L1034" s="24" t="str">
        <f t="shared" si="66"/>
        <v>ENERO</v>
      </c>
      <c r="M1034" s="232">
        <v>44940</v>
      </c>
      <c r="N1034" s="24" t="str">
        <f t="shared" si="67"/>
        <v>SÁBADO</v>
      </c>
      <c r="O1034" s="106">
        <v>0.6875</v>
      </c>
      <c r="P1034" s="39" t="s">
        <v>447</v>
      </c>
      <c r="Q1034" s="39"/>
      <c r="R1034" s="36">
        <f>COUNTIF(Tabla1[[#This Row],[VEHICULOS_ACCIDENTADOS]:[VEHICULOS_ACCIDENTADOS2]],"MOTOCICLETA")</f>
        <v>0</v>
      </c>
      <c r="S1034" s="36">
        <f>COUNTIF(Tabla1[[#This Row],[VEHICULOS_ACCIDENTADOS]:[VEHICULOS_ACCIDENTADOS2]],"MOTOCARRO")</f>
        <v>0</v>
      </c>
      <c r="T1034" s="36">
        <f>COUNTIF(Tabla1[[#This Row],[VEHICULOS_ACCIDENTADOS]:[VEHICULOS_ACCIDENTADOS2]],"AUTOMOVIL")</f>
        <v>1</v>
      </c>
      <c r="U1034" s="36">
        <f>COUNTIF(Tabla1[[#This Row],[VEHICULOS_ACCIDENTADOS]:[VEHICULOS_ACCIDENTADOS2]],"CAMPERO")</f>
        <v>0</v>
      </c>
      <c r="V1034" s="36">
        <f>COUNTIF(Tabla1[[#This Row],[VEHICULOS_ACCIDENTADOS]:[VEHICULOS_ACCIDENTADOS2]],"CAMIONETA")</f>
        <v>0</v>
      </c>
      <c r="W1034" s="36">
        <f>COUNTIF(Tabla1[[#This Row],[VEHICULOS_ACCIDENTADOS]:[VEHICULOS_ACCIDENTADOS2]],"MICROBUS")</f>
        <v>0</v>
      </c>
      <c r="X1034" s="36">
        <f>COUNTIF(Tabla1[[#This Row],[VEHICULOS_ACCIDENTADOS]:[VEHICULOS_ACCIDENTADOS2]],"BUS")</f>
        <v>0</v>
      </c>
      <c r="Y1034" s="36">
        <f>COUNTIF(Tabla1[[#This Row],[VEHICULOS_ACCIDENTADOS]:[VEHICULOS_ACCIDENTADOS2]],"BUSETA")</f>
        <v>0</v>
      </c>
      <c r="Z1034" s="36">
        <f>COUNTIF(Tabla1[[#This Row],[VEHICULOS_ACCIDENTADOS]:[VEHICULOS_ACCIDENTADOS2]],"CAMION")</f>
        <v>0</v>
      </c>
      <c r="AA1034" s="36">
        <f>COUNTIF(Tabla1[[#This Row],[VEHICULOS_ACCIDENTADOS]:[VEHICULOS_ACCIDENTADOS2]],"TRACTOCAMION")</f>
        <v>0</v>
      </c>
      <c r="AB1034" s="36">
        <f>COUNTIF(Tabla1[[#This Row],[VEHICULOS_ACCIDENTADOS]:[VEHICULOS_ACCIDENTADOS2]],"VOLQUETA")</f>
        <v>0</v>
      </c>
      <c r="AC1034" s="36">
        <f>COUNTIF(Tabla1[[#This Row],[VEHICULOS_ACCIDENTADOS]:[VEHICULOS_ACCIDENTADOS2]],"BICICLETA")</f>
        <v>0</v>
      </c>
      <c r="AD1034" s="7" t="s">
        <v>471</v>
      </c>
      <c r="AE1034" s="7"/>
      <c r="AF1034" s="7">
        <f>COUNTIF(Tabla1[[#This Row],[GENERO_MASCULINO]:[GENERO_FEMENINO]],"MASCULINO")</f>
        <v>1</v>
      </c>
      <c r="AG1034" s="36">
        <f>COUNTIF(Tabla1[[#This Row],[GENERO_MASCULINO]:[GENERO_FEMENINO]],"FEMENINO")</f>
        <v>0</v>
      </c>
      <c r="AH1034" s="73">
        <v>50</v>
      </c>
      <c r="AI1034" s="73"/>
      <c r="AJ1034" s="73"/>
      <c r="AK1034" s="73"/>
      <c r="AL1034" s="73"/>
      <c r="AM1034" s="7"/>
      <c r="AN1034" s="73">
        <v>115</v>
      </c>
      <c r="AO1034" s="7" t="str">
        <f>IFERROR(((VLOOKUP(Tabla1[[#This Row],[HIPOTESIS_1]],listas!$D$1:$E$105,2,FALSE))),"SIN INFORMACIÓN")</f>
        <v>Embriaguez o Sustancias alucinogenas</v>
      </c>
      <c r="AP1034" s="7"/>
      <c r="AQ1034" s="36" t="str">
        <f>IFERROR(((VLOOKUP(Tabla1[[#This Row],[HIPOTESIS_2]],listas!$D$1:$E$105,2,FALSE))),"")</f>
        <v/>
      </c>
      <c r="AR1034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035" spans="1:44" s="5" customFormat="1" x14ac:dyDescent="0.25">
      <c r="A1035" s="12">
        <v>1067</v>
      </c>
      <c r="B1035" s="24">
        <v>0</v>
      </c>
      <c r="C1035" s="24">
        <v>2</v>
      </c>
      <c r="D1035" s="24">
        <v>0</v>
      </c>
      <c r="E1035" s="24" t="str">
        <f t="shared" si="64"/>
        <v>LESIONADO</v>
      </c>
      <c r="F1035" s="114" t="s">
        <v>746</v>
      </c>
      <c r="G1035" s="20">
        <v>5.3342309999999999</v>
      </c>
      <c r="H1035" s="20">
        <v>-72.309877</v>
      </c>
      <c r="I1035" s="165" t="s">
        <v>697</v>
      </c>
      <c r="J1035" s="7" t="s">
        <v>1</v>
      </c>
      <c r="K1035" s="24" t="str">
        <f t="shared" si="65"/>
        <v>2025</v>
      </c>
      <c r="L1035" s="24" t="str">
        <f t="shared" si="66"/>
        <v>SEPTIEMBRE</v>
      </c>
      <c r="M1035" s="232">
        <v>45912</v>
      </c>
      <c r="N1035" s="24" t="str">
        <f t="shared" si="67"/>
        <v>VIERNES</v>
      </c>
      <c r="O1035" s="106">
        <v>0.78472222222222221</v>
      </c>
      <c r="P1035" s="8" t="s">
        <v>469</v>
      </c>
      <c r="Q1035" s="8" t="s">
        <v>447</v>
      </c>
      <c r="R1035" s="36">
        <f>COUNTIF(Tabla1[[#This Row],[VEHICULOS_ACCIDENTADOS]:[VEHICULOS_ACCIDENTADOS2]],"MOTOCICLETA")</f>
        <v>1</v>
      </c>
      <c r="S1035" s="36">
        <f>COUNTIF(Tabla1[[#This Row],[VEHICULOS_ACCIDENTADOS]:[VEHICULOS_ACCIDENTADOS2]],"MOTOCARRO")</f>
        <v>0</v>
      </c>
      <c r="T1035" s="36">
        <f>COUNTIF(Tabla1[[#This Row],[VEHICULOS_ACCIDENTADOS]:[VEHICULOS_ACCIDENTADOS2]],"AUTOMOVIL")</f>
        <v>1</v>
      </c>
      <c r="U1035" s="36">
        <f>COUNTIF(Tabla1[[#This Row],[VEHICULOS_ACCIDENTADOS]:[VEHICULOS_ACCIDENTADOS2]],"CAMPERO")</f>
        <v>0</v>
      </c>
      <c r="V1035" s="36">
        <f>COUNTIF(Tabla1[[#This Row],[VEHICULOS_ACCIDENTADOS]:[VEHICULOS_ACCIDENTADOS2]],"CAMIONETA")</f>
        <v>0</v>
      </c>
      <c r="W1035" s="36">
        <f>COUNTIF(Tabla1[[#This Row],[VEHICULOS_ACCIDENTADOS]:[VEHICULOS_ACCIDENTADOS2]],"MICROBUS")</f>
        <v>0</v>
      </c>
      <c r="X1035" s="36">
        <f>COUNTIF(Tabla1[[#This Row],[VEHICULOS_ACCIDENTADOS]:[VEHICULOS_ACCIDENTADOS2]],"BUS")</f>
        <v>0</v>
      </c>
      <c r="Y1035" s="36">
        <f>COUNTIF(Tabla1[[#This Row],[VEHICULOS_ACCIDENTADOS]:[VEHICULOS_ACCIDENTADOS2]],"BUSETA")</f>
        <v>0</v>
      </c>
      <c r="Z1035" s="36">
        <f>COUNTIF(Tabla1[[#This Row],[VEHICULOS_ACCIDENTADOS]:[VEHICULOS_ACCIDENTADOS2]],"CAMION")</f>
        <v>0</v>
      </c>
      <c r="AA1035" s="36">
        <f>COUNTIF(Tabla1[[#This Row],[VEHICULOS_ACCIDENTADOS]:[VEHICULOS_ACCIDENTADOS2]],"TRACTOCAMION")</f>
        <v>0</v>
      </c>
      <c r="AB1035" s="36">
        <f>COUNTIF(Tabla1[[#This Row],[VEHICULOS_ACCIDENTADOS]:[VEHICULOS_ACCIDENTADOS2]],"VOLQUETA")</f>
        <v>0</v>
      </c>
      <c r="AC1035" s="36">
        <f>COUNTIF(Tabla1[[#This Row],[VEHICULOS_ACCIDENTADOS]:[VEHICULOS_ACCIDENTADOS2]],"BICICLETA")</f>
        <v>0</v>
      </c>
      <c r="AD1035" s="73" t="s">
        <v>471</v>
      </c>
      <c r="AE1035" s="73" t="s">
        <v>472</v>
      </c>
      <c r="AF1035" s="7">
        <f>COUNTIF(Tabla1[[#This Row],[GENERO_MASCULINO]:[GENERO_FEMENINO]],"MASCULINO")</f>
        <v>1</v>
      </c>
      <c r="AG1035" s="36">
        <f>COUNTIF(Tabla1[[#This Row],[GENERO_MASCULINO]:[GENERO_FEMENINO]],"FEMENINO")</f>
        <v>1</v>
      </c>
      <c r="AH1035" s="86">
        <v>26</v>
      </c>
      <c r="AI1035" s="86">
        <v>58</v>
      </c>
      <c r="AJ1035" s="86"/>
      <c r="AK1035" s="87"/>
      <c r="AL1035" s="87"/>
      <c r="AM1035" s="6"/>
      <c r="AN1035" s="73">
        <v>105</v>
      </c>
      <c r="AO1035" s="6" t="str">
        <f>IFERROR(((VLOOKUP(Tabla1[[#This Row],[HIPOTESIS_1]],listas!$D$1:$E$105,2,FALSE))),"SIN INFORMACIÓN")</f>
        <v>Adelantar en zona prohibida.</v>
      </c>
      <c r="AP1035" s="7"/>
      <c r="AQ1035" s="36" t="str">
        <f>IFERROR(((VLOOKUP(Tabla1[[#This Row],[HIPOTESIS_2]],listas!$D$1:$E$105,2,FALSE))),"")</f>
        <v/>
      </c>
      <c r="AR1035" s="2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036" spans="1:44" s="5" customFormat="1" ht="15" x14ac:dyDescent="0.25">
      <c r="A1036" s="12">
        <v>43</v>
      </c>
      <c r="B1036" s="7">
        <v>1</v>
      </c>
      <c r="C1036" s="7">
        <v>0</v>
      </c>
      <c r="D1036" s="7">
        <v>0</v>
      </c>
      <c r="E1036" s="18" t="str">
        <f t="shared" si="64"/>
        <v>SOLO DAÑO</v>
      </c>
      <c r="F1036" s="157" t="s">
        <v>425</v>
      </c>
      <c r="G1036" s="17">
        <v>5.2844944444444444</v>
      </c>
      <c r="H1036" s="17">
        <v>-72.401136111111114</v>
      </c>
      <c r="I1036" s="93" t="s">
        <v>697</v>
      </c>
      <c r="J1036" s="7" t="s">
        <v>1</v>
      </c>
      <c r="K1036" s="24" t="str">
        <f t="shared" si="65"/>
        <v>2022</v>
      </c>
      <c r="L1036" s="24" t="str">
        <f t="shared" si="66"/>
        <v>FEBRERO</v>
      </c>
      <c r="M1036" s="232">
        <v>44600</v>
      </c>
      <c r="N1036" s="24" t="str">
        <f t="shared" si="67"/>
        <v>MARTES</v>
      </c>
      <c r="O1036" s="106">
        <v>0.89583333333333304</v>
      </c>
      <c r="P1036" s="8" t="s">
        <v>445</v>
      </c>
      <c r="Q1036" s="8" t="s">
        <v>445</v>
      </c>
      <c r="R1036" s="36">
        <f>COUNTIF(Tabla1[[#This Row],[VEHICULOS_ACCIDENTADOS]:[VEHICULOS_ACCIDENTADOS2]],"MOTOCICLETA")</f>
        <v>0</v>
      </c>
      <c r="S1036" s="36">
        <f>COUNTIF(Tabla1[[#This Row],[VEHICULOS_ACCIDENTADOS]:[VEHICULOS_ACCIDENTADOS2]],"MOTOCARRO")</f>
        <v>0</v>
      </c>
      <c r="T1036" s="36">
        <f>COUNTIF(Tabla1[[#This Row],[VEHICULOS_ACCIDENTADOS]:[VEHICULOS_ACCIDENTADOS2]],"AUTOMOVIL")</f>
        <v>0</v>
      </c>
      <c r="U1036" s="36">
        <f>COUNTIF(Tabla1[[#This Row],[VEHICULOS_ACCIDENTADOS]:[VEHICULOS_ACCIDENTADOS2]],"CAMPERO")</f>
        <v>0</v>
      </c>
      <c r="V1036" s="36">
        <f>COUNTIF(Tabla1[[#This Row],[VEHICULOS_ACCIDENTADOS]:[VEHICULOS_ACCIDENTADOS2]],"CAMIONETA")</f>
        <v>2</v>
      </c>
      <c r="W1036" s="36">
        <f>COUNTIF(Tabla1[[#This Row],[VEHICULOS_ACCIDENTADOS]:[VEHICULOS_ACCIDENTADOS2]],"MICROBUS")</f>
        <v>0</v>
      </c>
      <c r="X1036" s="36">
        <f>COUNTIF(Tabla1[[#This Row],[VEHICULOS_ACCIDENTADOS]:[VEHICULOS_ACCIDENTADOS2]],"BUS")</f>
        <v>0</v>
      </c>
      <c r="Y1036" s="36">
        <f>COUNTIF(Tabla1[[#This Row],[VEHICULOS_ACCIDENTADOS]:[VEHICULOS_ACCIDENTADOS2]],"BUSETA")</f>
        <v>0</v>
      </c>
      <c r="Z1036" s="36">
        <f>COUNTIF(Tabla1[[#This Row],[VEHICULOS_ACCIDENTADOS]:[VEHICULOS_ACCIDENTADOS2]],"CAMION")</f>
        <v>0</v>
      </c>
      <c r="AA1036" s="36">
        <f>COUNTIF(Tabla1[[#This Row],[VEHICULOS_ACCIDENTADOS]:[VEHICULOS_ACCIDENTADOS2]],"TRACTOCAMION")</f>
        <v>0</v>
      </c>
      <c r="AB1036" s="36">
        <f>COUNTIF(Tabla1[[#This Row],[VEHICULOS_ACCIDENTADOS]:[VEHICULOS_ACCIDENTADOS2]],"VOLQUETA")</f>
        <v>0</v>
      </c>
      <c r="AC1036" s="36">
        <f>COUNTIF(Tabla1[[#This Row],[VEHICULOS_ACCIDENTADOS]:[VEHICULOS_ACCIDENTADOS2]],"BICICLETA")</f>
        <v>0</v>
      </c>
      <c r="AD1036" s="7"/>
      <c r="AE1036" s="7" t="s">
        <v>472</v>
      </c>
      <c r="AF1036" s="7">
        <f>COUNTIF(Tabla1[[#This Row],[GENERO_MASCULINO]:[GENERO_FEMENINO]],"MASCULINO")</f>
        <v>0</v>
      </c>
      <c r="AG1036" s="36">
        <f>COUNTIF(Tabla1[[#This Row],[GENERO_MASCULINO]:[GENERO_FEMENINO]],"FEMENINO")</f>
        <v>1</v>
      </c>
      <c r="AH1036" s="73"/>
      <c r="AI1036" s="73"/>
      <c r="AJ1036" s="87"/>
      <c r="AK1036" s="73"/>
      <c r="AL1036" s="73"/>
      <c r="AM1036" s="7"/>
      <c r="AN1036" s="73">
        <v>103</v>
      </c>
      <c r="AO1036" s="7" t="str">
        <f>IFERROR(((VLOOKUP(Tabla1[[#This Row],[HIPOTESIS_1]],listas!$D$1:$E$105,2,FALSE))),"SIN INFORMACIÓN")</f>
        <v>Adelantar cerrando.</v>
      </c>
      <c r="AP1036" s="7"/>
      <c r="AQ1036" s="36" t="str">
        <f>IFERROR(((VLOOKUP(Tabla1[[#This Row],[HIPOTESIS_2]],listas!$D$1:$E$105,2,FALSE))),"")</f>
        <v/>
      </c>
      <c r="AR1036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037" spans="1:44" s="5" customFormat="1" x14ac:dyDescent="0.25">
      <c r="A1037" s="12">
        <v>1005</v>
      </c>
      <c r="B1037" s="24">
        <v>0</v>
      </c>
      <c r="C1037" s="15">
        <v>1</v>
      </c>
      <c r="D1037" s="24">
        <v>0</v>
      </c>
      <c r="E1037" s="18" t="str">
        <f t="shared" si="64"/>
        <v>LESIONADO</v>
      </c>
      <c r="F1037" s="15" t="s">
        <v>775</v>
      </c>
      <c r="G1037" s="30">
        <v>5.1247670000000003</v>
      </c>
      <c r="H1037" s="30">
        <v>-72.176444000000004</v>
      </c>
      <c r="I1037" s="93" t="s">
        <v>697</v>
      </c>
      <c r="J1037" s="7" t="s">
        <v>1</v>
      </c>
      <c r="K1037" s="24" t="str">
        <f t="shared" si="65"/>
        <v>2025</v>
      </c>
      <c r="L1037" s="24" t="str">
        <f t="shared" si="66"/>
        <v>JUNIO</v>
      </c>
      <c r="M1037" s="234">
        <v>45835</v>
      </c>
      <c r="N1037" s="24" t="str">
        <f t="shared" si="67"/>
        <v>VIERNES</v>
      </c>
      <c r="O1037" s="106">
        <v>0.80555555555555558</v>
      </c>
      <c r="P1037" s="8" t="s">
        <v>469</v>
      </c>
      <c r="Q1037" s="8" t="s">
        <v>445</v>
      </c>
      <c r="R1037" s="36">
        <f>COUNTIF(Tabla1[[#This Row],[VEHICULOS_ACCIDENTADOS]:[VEHICULOS_ACCIDENTADOS2]],"MOTOCICLETA")</f>
        <v>1</v>
      </c>
      <c r="S1037" s="36">
        <f>COUNTIF(Tabla1[[#This Row],[VEHICULOS_ACCIDENTADOS]:[VEHICULOS_ACCIDENTADOS2]],"MOTOCARRO")</f>
        <v>0</v>
      </c>
      <c r="T1037" s="36">
        <f>COUNTIF(Tabla1[[#This Row],[VEHICULOS_ACCIDENTADOS]:[VEHICULOS_ACCIDENTADOS2]],"AUTOMOVIL")</f>
        <v>0</v>
      </c>
      <c r="U1037" s="36">
        <f>COUNTIF(Tabla1[[#This Row],[VEHICULOS_ACCIDENTADOS]:[VEHICULOS_ACCIDENTADOS2]],"CAMPERO")</f>
        <v>0</v>
      </c>
      <c r="V1037" s="36">
        <f>COUNTIF(Tabla1[[#This Row],[VEHICULOS_ACCIDENTADOS]:[VEHICULOS_ACCIDENTADOS2]],"CAMIONETA")</f>
        <v>1</v>
      </c>
      <c r="W1037" s="36">
        <f>COUNTIF(Tabla1[[#This Row],[VEHICULOS_ACCIDENTADOS]:[VEHICULOS_ACCIDENTADOS2]],"MICROBUS")</f>
        <v>0</v>
      </c>
      <c r="X1037" s="36">
        <f>COUNTIF(Tabla1[[#This Row],[VEHICULOS_ACCIDENTADOS]:[VEHICULOS_ACCIDENTADOS2]],"BUS")</f>
        <v>0</v>
      </c>
      <c r="Y1037" s="36">
        <f>COUNTIF(Tabla1[[#This Row],[VEHICULOS_ACCIDENTADOS]:[VEHICULOS_ACCIDENTADOS2]],"BUSETA")</f>
        <v>0</v>
      </c>
      <c r="Z1037" s="36">
        <f>COUNTIF(Tabla1[[#This Row],[VEHICULOS_ACCIDENTADOS]:[VEHICULOS_ACCIDENTADOS2]],"CAMION")</f>
        <v>0</v>
      </c>
      <c r="AA1037" s="36">
        <f>COUNTIF(Tabla1[[#This Row],[VEHICULOS_ACCIDENTADOS]:[VEHICULOS_ACCIDENTADOS2]],"TRACTOCAMION")</f>
        <v>0</v>
      </c>
      <c r="AB1037" s="36">
        <f>COUNTIF(Tabla1[[#This Row],[VEHICULOS_ACCIDENTADOS]:[VEHICULOS_ACCIDENTADOS2]],"VOLQUETA")</f>
        <v>0</v>
      </c>
      <c r="AC1037" s="36">
        <f>COUNTIF(Tabla1[[#This Row],[VEHICULOS_ACCIDENTADOS]:[VEHICULOS_ACCIDENTADOS2]],"BICICLETA")</f>
        <v>0</v>
      </c>
      <c r="AD1037" s="7" t="s">
        <v>471</v>
      </c>
      <c r="AE1037" s="7" t="s">
        <v>471</v>
      </c>
      <c r="AF1037" s="7">
        <f>COUNTIF(Tabla1[[#This Row],[GENERO_MASCULINO]:[GENERO_FEMENINO]],"MASCULINO")</f>
        <v>2</v>
      </c>
      <c r="AG1037" s="36">
        <f>COUNTIF(Tabla1[[#This Row],[GENERO_MASCULINO]:[GENERO_FEMENINO]],"FEMENINO")</f>
        <v>0</v>
      </c>
      <c r="AH1037" s="86">
        <v>34</v>
      </c>
      <c r="AI1037" s="86">
        <v>30</v>
      </c>
      <c r="AJ1037" s="86"/>
      <c r="AK1037" s="87"/>
      <c r="AL1037" s="87"/>
      <c r="AM1037" s="6"/>
      <c r="AN1037" s="73">
        <v>139</v>
      </c>
      <c r="AO1037" s="7" t="str">
        <f>IFERROR(((VLOOKUP(Tabla1[[#This Row],[HIPOTESIS_1]],listas!$D$1:$E$105,2,FALSE))),"SIN INFORMACIÓN")</f>
        <v>Impericia en el manejo.</v>
      </c>
      <c r="AP1037" s="7"/>
      <c r="AQ1037" s="36" t="str">
        <f>IFERROR(((VLOOKUP(Tabla1[[#This Row],[HIPOTESIS_2]],listas!$D$1:$E$105,2,FALSE))),"")</f>
        <v/>
      </c>
      <c r="AR1037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038" spans="1:44" s="5" customFormat="1" x14ac:dyDescent="0.25">
      <c r="A1038" s="12">
        <v>126</v>
      </c>
      <c r="B1038" s="7">
        <v>1</v>
      </c>
      <c r="C1038" s="7">
        <v>0</v>
      </c>
      <c r="D1038" s="7">
        <v>0</v>
      </c>
      <c r="E1038" s="18" t="str">
        <f t="shared" si="64"/>
        <v>SOLO DAÑO</v>
      </c>
      <c r="F1038" s="7" t="s">
        <v>389</v>
      </c>
      <c r="G1038" s="17">
        <v>5.3423241666666668</v>
      </c>
      <c r="H1038" s="17">
        <v>-72.412918611111124</v>
      </c>
      <c r="I1038" s="93" t="s">
        <v>697</v>
      </c>
      <c r="J1038" s="7" t="s">
        <v>1</v>
      </c>
      <c r="K1038" s="24" t="str">
        <f t="shared" si="65"/>
        <v>2022</v>
      </c>
      <c r="L1038" s="24" t="str">
        <f t="shared" si="66"/>
        <v>ABRIL</v>
      </c>
      <c r="M1038" s="232">
        <v>44657</v>
      </c>
      <c r="N1038" s="24" t="str">
        <f t="shared" si="67"/>
        <v>MIÉRCOLES</v>
      </c>
      <c r="O1038" s="106">
        <v>0.88472222222222197</v>
      </c>
      <c r="P1038" s="8" t="s">
        <v>440</v>
      </c>
      <c r="Q1038" s="8"/>
      <c r="R1038" s="36">
        <f>COUNTIF(Tabla1[[#This Row],[VEHICULOS_ACCIDENTADOS]:[VEHICULOS_ACCIDENTADOS2]],"MOTOCICLETA")</f>
        <v>0</v>
      </c>
      <c r="S1038" s="36">
        <f>COUNTIF(Tabla1[[#This Row],[VEHICULOS_ACCIDENTADOS]:[VEHICULOS_ACCIDENTADOS2]],"MOTOCARRO")</f>
        <v>0</v>
      </c>
      <c r="T1038" s="36">
        <f>COUNTIF(Tabla1[[#This Row],[VEHICULOS_ACCIDENTADOS]:[VEHICULOS_ACCIDENTADOS2]],"AUTOMOVIL")</f>
        <v>0</v>
      </c>
      <c r="U1038" s="36">
        <f>COUNTIF(Tabla1[[#This Row],[VEHICULOS_ACCIDENTADOS]:[VEHICULOS_ACCIDENTADOS2]],"CAMPERO")</f>
        <v>0</v>
      </c>
      <c r="V1038" s="36">
        <f>COUNTIF(Tabla1[[#This Row],[VEHICULOS_ACCIDENTADOS]:[VEHICULOS_ACCIDENTADOS2]],"CAMIONETA")</f>
        <v>0</v>
      </c>
      <c r="W1038" s="36">
        <f>COUNTIF(Tabla1[[#This Row],[VEHICULOS_ACCIDENTADOS]:[VEHICULOS_ACCIDENTADOS2]],"MICROBUS")</f>
        <v>0</v>
      </c>
      <c r="X1038" s="36">
        <f>COUNTIF(Tabla1[[#This Row],[VEHICULOS_ACCIDENTADOS]:[VEHICULOS_ACCIDENTADOS2]],"BUS")</f>
        <v>0</v>
      </c>
      <c r="Y1038" s="36">
        <f>COUNTIF(Tabla1[[#This Row],[VEHICULOS_ACCIDENTADOS]:[VEHICULOS_ACCIDENTADOS2]],"BUSETA")</f>
        <v>0</v>
      </c>
      <c r="Z1038" s="36">
        <f>COUNTIF(Tabla1[[#This Row],[VEHICULOS_ACCIDENTADOS]:[VEHICULOS_ACCIDENTADOS2]],"CAMION")</f>
        <v>0</v>
      </c>
      <c r="AA1038" s="36">
        <f>COUNTIF(Tabla1[[#This Row],[VEHICULOS_ACCIDENTADOS]:[VEHICULOS_ACCIDENTADOS2]],"TRACTOCAMION")</f>
        <v>1</v>
      </c>
      <c r="AB1038" s="36">
        <f>COUNTIF(Tabla1[[#This Row],[VEHICULOS_ACCIDENTADOS]:[VEHICULOS_ACCIDENTADOS2]],"VOLQUETA")</f>
        <v>0</v>
      </c>
      <c r="AC1038" s="36">
        <f>COUNTIF(Tabla1[[#This Row],[VEHICULOS_ACCIDENTADOS]:[VEHICULOS_ACCIDENTADOS2]],"BICICLETA")</f>
        <v>0</v>
      </c>
      <c r="AD1038" s="7" t="s">
        <v>471</v>
      </c>
      <c r="AE1038" s="7"/>
      <c r="AF1038" s="7">
        <f>COUNTIF(Tabla1[[#This Row],[GENERO_MASCULINO]:[GENERO_FEMENINO]],"MASCULINO")</f>
        <v>1</v>
      </c>
      <c r="AG1038" s="36">
        <f>COUNTIF(Tabla1[[#This Row],[GENERO_MASCULINO]:[GENERO_FEMENINO]],"FEMENINO")</f>
        <v>0</v>
      </c>
      <c r="AH1038" s="193"/>
      <c r="AI1038" s="193"/>
      <c r="AJ1038" s="89"/>
      <c r="AK1038" s="193"/>
      <c r="AL1038" s="193"/>
      <c r="AM1038" s="32"/>
      <c r="AN1038" s="193">
        <v>157</v>
      </c>
      <c r="AO1038" s="7" t="str">
        <f>IFERROR(((VLOOKUP(Tabla1[[#This Row],[HIPOTESIS_1]],listas!$D$1:$E$105,2,FALSE))),"SIN INFORMACIÓN")</f>
        <v>Otra</v>
      </c>
      <c r="AP1038" s="32"/>
      <c r="AQ1038" s="36" t="str">
        <f>IFERROR(((VLOOKUP(Tabla1[[#This Row],[HIPOTESIS_2]],listas!$D$1:$E$105,2,FALSE))),"")</f>
        <v/>
      </c>
      <c r="AR1038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039" spans="1:44" s="5" customFormat="1" x14ac:dyDescent="0.25">
      <c r="A1039" s="12">
        <v>201</v>
      </c>
      <c r="B1039" s="7">
        <v>0</v>
      </c>
      <c r="C1039" s="7">
        <v>0</v>
      </c>
      <c r="D1039" s="7">
        <v>1</v>
      </c>
      <c r="E1039" s="18" t="str">
        <f t="shared" si="64"/>
        <v>FALLECIDO</v>
      </c>
      <c r="F1039" s="7" t="s">
        <v>359</v>
      </c>
      <c r="G1039" s="17">
        <v>5.327883611111111</v>
      </c>
      <c r="H1039" s="17">
        <v>-72.292462777777772</v>
      </c>
      <c r="I1039" s="93" t="s">
        <v>697</v>
      </c>
      <c r="J1039" s="7" t="s">
        <v>1</v>
      </c>
      <c r="K1039" s="24" t="str">
        <f t="shared" si="65"/>
        <v>2022</v>
      </c>
      <c r="L1039" s="24" t="str">
        <f t="shared" si="66"/>
        <v>MAYO</v>
      </c>
      <c r="M1039" s="232">
        <v>44710</v>
      </c>
      <c r="N1039" s="24" t="str">
        <f t="shared" si="67"/>
        <v>DOMINGO</v>
      </c>
      <c r="O1039" s="106">
        <v>0.33333333333333298</v>
      </c>
      <c r="P1039" s="8" t="s">
        <v>469</v>
      </c>
      <c r="Q1039" s="8"/>
      <c r="R1039" s="36">
        <f>COUNTIF(Tabla1[[#This Row],[VEHICULOS_ACCIDENTADOS]:[VEHICULOS_ACCIDENTADOS2]],"MOTOCICLETA")</f>
        <v>1</v>
      </c>
      <c r="S1039" s="36">
        <f>COUNTIF(Tabla1[[#This Row],[VEHICULOS_ACCIDENTADOS]:[VEHICULOS_ACCIDENTADOS2]],"MOTOCARRO")</f>
        <v>0</v>
      </c>
      <c r="T1039" s="36">
        <f>COUNTIF(Tabla1[[#This Row],[VEHICULOS_ACCIDENTADOS]:[VEHICULOS_ACCIDENTADOS2]],"AUTOMOVIL")</f>
        <v>0</v>
      </c>
      <c r="U1039" s="36">
        <f>COUNTIF(Tabla1[[#This Row],[VEHICULOS_ACCIDENTADOS]:[VEHICULOS_ACCIDENTADOS2]],"CAMPERO")</f>
        <v>0</v>
      </c>
      <c r="V1039" s="36">
        <f>COUNTIF(Tabla1[[#This Row],[VEHICULOS_ACCIDENTADOS]:[VEHICULOS_ACCIDENTADOS2]],"CAMIONETA")</f>
        <v>0</v>
      </c>
      <c r="W1039" s="36">
        <f>COUNTIF(Tabla1[[#This Row],[VEHICULOS_ACCIDENTADOS]:[VEHICULOS_ACCIDENTADOS2]],"MICROBUS")</f>
        <v>0</v>
      </c>
      <c r="X1039" s="36">
        <f>COUNTIF(Tabla1[[#This Row],[VEHICULOS_ACCIDENTADOS]:[VEHICULOS_ACCIDENTADOS2]],"BUS")</f>
        <v>0</v>
      </c>
      <c r="Y1039" s="36">
        <f>COUNTIF(Tabla1[[#This Row],[VEHICULOS_ACCIDENTADOS]:[VEHICULOS_ACCIDENTADOS2]],"BUSETA")</f>
        <v>0</v>
      </c>
      <c r="Z1039" s="36">
        <f>COUNTIF(Tabla1[[#This Row],[VEHICULOS_ACCIDENTADOS]:[VEHICULOS_ACCIDENTADOS2]],"CAMION")</f>
        <v>0</v>
      </c>
      <c r="AA1039" s="36">
        <f>COUNTIF(Tabla1[[#This Row],[VEHICULOS_ACCIDENTADOS]:[VEHICULOS_ACCIDENTADOS2]],"TRACTOCAMION")</f>
        <v>0</v>
      </c>
      <c r="AB1039" s="36">
        <f>COUNTIF(Tabla1[[#This Row],[VEHICULOS_ACCIDENTADOS]:[VEHICULOS_ACCIDENTADOS2]],"VOLQUETA")</f>
        <v>0</v>
      </c>
      <c r="AC1039" s="36">
        <f>COUNTIF(Tabla1[[#This Row],[VEHICULOS_ACCIDENTADOS]:[VEHICULOS_ACCIDENTADOS2]],"BICICLETA")</f>
        <v>0</v>
      </c>
      <c r="AD1039" s="7"/>
      <c r="AE1039" s="7" t="s">
        <v>472</v>
      </c>
      <c r="AF1039" s="7">
        <f>COUNTIF(Tabla1[[#This Row],[GENERO_MASCULINO]:[GENERO_FEMENINO]],"MASCULINO")</f>
        <v>0</v>
      </c>
      <c r="AG1039" s="36">
        <f>COUNTIF(Tabla1[[#This Row],[GENERO_MASCULINO]:[GENERO_FEMENINO]],"FEMENINO")</f>
        <v>1</v>
      </c>
      <c r="AH1039" s="73"/>
      <c r="AI1039" s="73"/>
      <c r="AJ1039" s="73"/>
      <c r="AK1039" s="73"/>
      <c r="AL1039" s="73"/>
      <c r="AM1039" s="7">
        <v>74</v>
      </c>
      <c r="AN1039" s="73">
        <v>202</v>
      </c>
      <c r="AO1039" s="7" t="str">
        <f>IFERROR(((VLOOKUP(Tabla1[[#This Row],[HIPOTESIS_1]],listas!$D$1:$E$105,2,FALSE))),"SIN INFORMACIÓN")</f>
        <v>Fallas en los frenos.</v>
      </c>
      <c r="AP1039" s="7"/>
      <c r="AQ1039" s="36" t="str">
        <f>IFERROR(((VLOOKUP(Tabla1[[#This Row],[HIPOTESIS_2]],listas!$D$1:$E$105,2,FALSE))),"")</f>
        <v/>
      </c>
      <c r="AR1039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040" spans="1:44" s="5" customFormat="1" x14ac:dyDescent="0.25">
      <c r="A1040" s="12">
        <v>806</v>
      </c>
      <c r="B1040" s="15">
        <v>0</v>
      </c>
      <c r="C1040" s="15">
        <v>0</v>
      </c>
      <c r="D1040" s="19">
        <v>1</v>
      </c>
      <c r="E1040" s="18" t="str">
        <f t="shared" si="64"/>
        <v>FALLECIDO</v>
      </c>
      <c r="F1040" s="15" t="s">
        <v>790</v>
      </c>
      <c r="G1040" s="21">
        <v>5.2765402000000003</v>
      </c>
      <c r="H1040" s="21">
        <v>-72.468671400000005</v>
      </c>
      <c r="I1040" s="94" t="s">
        <v>662</v>
      </c>
      <c r="J1040" s="7" t="s">
        <v>1</v>
      </c>
      <c r="K1040" s="24" t="str">
        <f t="shared" si="65"/>
        <v>2024</v>
      </c>
      <c r="L1040" s="24" t="str">
        <f t="shared" si="66"/>
        <v>NOVIEMBRE</v>
      </c>
      <c r="M1040" s="234">
        <v>45601</v>
      </c>
      <c r="N1040" s="24" t="str">
        <f t="shared" si="67"/>
        <v>MARTES</v>
      </c>
      <c r="O1040" s="108">
        <v>0.96250000000000002</v>
      </c>
      <c r="P1040" s="95" t="s">
        <v>469</v>
      </c>
      <c r="Q1040" s="95"/>
      <c r="R1040" s="36">
        <f>COUNTIF(Tabla1[[#This Row],[VEHICULOS_ACCIDENTADOS]:[VEHICULOS_ACCIDENTADOS2]],"MOTOCICLETA")</f>
        <v>1</v>
      </c>
      <c r="S1040" s="36">
        <f>COUNTIF(Tabla1[[#This Row],[VEHICULOS_ACCIDENTADOS]:[VEHICULOS_ACCIDENTADOS2]],"MOTOCARRO")</f>
        <v>0</v>
      </c>
      <c r="T1040" s="36">
        <f>COUNTIF(Tabla1[[#This Row],[VEHICULOS_ACCIDENTADOS]:[VEHICULOS_ACCIDENTADOS2]],"AUTOMOVIL")</f>
        <v>0</v>
      </c>
      <c r="U1040" s="36">
        <f>COUNTIF(Tabla1[[#This Row],[VEHICULOS_ACCIDENTADOS]:[VEHICULOS_ACCIDENTADOS2]],"CAMPERO")</f>
        <v>0</v>
      </c>
      <c r="V1040" s="36">
        <f>COUNTIF(Tabla1[[#This Row],[VEHICULOS_ACCIDENTADOS]:[VEHICULOS_ACCIDENTADOS2]],"CAMIONETA")</f>
        <v>0</v>
      </c>
      <c r="W1040" s="36">
        <f>COUNTIF(Tabla1[[#This Row],[VEHICULOS_ACCIDENTADOS]:[VEHICULOS_ACCIDENTADOS2]],"MICROBUS")</f>
        <v>0</v>
      </c>
      <c r="X1040" s="36">
        <f>COUNTIF(Tabla1[[#This Row],[VEHICULOS_ACCIDENTADOS]:[VEHICULOS_ACCIDENTADOS2]],"BUS")</f>
        <v>0</v>
      </c>
      <c r="Y1040" s="36">
        <f>COUNTIF(Tabla1[[#This Row],[VEHICULOS_ACCIDENTADOS]:[VEHICULOS_ACCIDENTADOS2]],"BUSETA")</f>
        <v>0</v>
      </c>
      <c r="Z1040" s="36">
        <f>COUNTIF(Tabla1[[#This Row],[VEHICULOS_ACCIDENTADOS]:[VEHICULOS_ACCIDENTADOS2]],"CAMION")</f>
        <v>0</v>
      </c>
      <c r="AA1040" s="36">
        <f>COUNTIF(Tabla1[[#This Row],[VEHICULOS_ACCIDENTADOS]:[VEHICULOS_ACCIDENTADOS2]],"TRACTOCAMION")</f>
        <v>0</v>
      </c>
      <c r="AB1040" s="36">
        <f>COUNTIF(Tabla1[[#This Row],[VEHICULOS_ACCIDENTADOS]:[VEHICULOS_ACCIDENTADOS2]],"VOLQUETA")</f>
        <v>0</v>
      </c>
      <c r="AC1040" s="36">
        <f>COUNTIF(Tabla1[[#This Row],[VEHICULOS_ACCIDENTADOS]:[VEHICULOS_ACCIDENTADOS2]],"BICICLETA")</f>
        <v>0</v>
      </c>
      <c r="AD1040" s="7"/>
      <c r="AE1040" s="7" t="s">
        <v>472</v>
      </c>
      <c r="AF1040" s="7">
        <f>COUNTIF(Tabla1[[#This Row],[GENERO_MASCULINO]:[GENERO_FEMENINO]],"MASCULINO")</f>
        <v>0</v>
      </c>
      <c r="AG1040" s="36">
        <f>COUNTIF(Tabla1[[#This Row],[GENERO_MASCULINO]:[GENERO_FEMENINO]],"FEMENINO")</f>
        <v>1</v>
      </c>
      <c r="AH1040" s="86"/>
      <c r="AI1040" s="86"/>
      <c r="AJ1040" s="86"/>
      <c r="AK1040" s="86"/>
      <c r="AL1040" s="86"/>
      <c r="AM1040" s="15"/>
      <c r="AN1040" s="86">
        <v>1</v>
      </c>
      <c r="AO1040" s="7" t="str">
        <f>IFERROR(((VLOOKUP(Tabla1[[#This Row],[HIPOTESIS_1]],listas!$D$1:$E$105,2,FALSE))),"SIN INFORMACIÓN")</f>
        <v>SIN INFORMACIÓN</v>
      </c>
      <c r="AP1040" s="15"/>
      <c r="AQ1040" s="36" t="str">
        <f>IFERROR(((VLOOKUP(Tabla1[[#This Row],[HIPOTESIS_2]],listas!$D$1:$E$105,2,FALSE))),"")</f>
        <v/>
      </c>
      <c r="AR1040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041" spans="1:44" s="5" customFormat="1" x14ac:dyDescent="0.25">
      <c r="A1041" s="12">
        <v>82</v>
      </c>
      <c r="B1041" s="7">
        <v>0</v>
      </c>
      <c r="C1041" s="7">
        <v>1</v>
      </c>
      <c r="D1041" s="7">
        <v>0</v>
      </c>
      <c r="E1041" s="18" t="str">
        <f t="shared" si="64"/>
        <v>LESIONADO</v>
      </c>
      <c r="F1041" s="7" t="s">
        <v>410</v>
      </c>
      <c r="G1041" s="17">
        <v>5.361294</v>
      </c>
      <c r="H1041" s="17">
        <v>-72.403891000000002</v>
      </c>
      <c r="I1041" s="93" t="s">
        <v>697</v>
      </c>
      <c r="J1041" s="7" t="s">
        <v>1</v>
      </c>
      <c r="K1041" s="24" t="str">
        <f t="shared" si="65"/>
        <v>2022</v>
      </c>
      <c r="L1041" s="24" t="str">
        <f t="shared" si="66"/>
        <v>MARZO</v>
      </c>
      <c r="M1041" s="232">
        <v>44631</v>
      </c>
      <c r="N1041" s="24" t="str">
        <f t="shared" si="67"/>
        <v>VIERNES</v>
      </c>
      <c r="O1041" s="106">
        <v>0.22916666666666699</v>
      </c>
      <c r="P1041" s="8" t="s">
        <v>469</v>
      </c>
      <c r="Q1041" s="8" t="s">
        <v>447</v>
      </c>
      <c r="R1041" s="36">
        <f>COUNTIF(Tabla1[[#This Row],[VEHICULOS_ACCIDENTADOS]:[VEHICULOS_ACCIDENTADOS2]],"MOTOCICLETA")</f>
        <v>1</v>
      </c>
      <c r="S1041" s="36">
        <f>COUNTIF(Tabla1[[#This Row],[VEHICULOS_ACCIDENTADOS]:[VEHICULOS_ACCIDENTADOS2]],"MOTOCARRO")</f>
        <v>0</v>
      </c>
      <c r="T1041" s="36">
        <f>COUNTIF(Tabla1[[#This Row],[VEHICULOS_ACCIDENTADOS]:[VEHICULOS_ACCIDENTADOS2]],"AUTOMOVIL")</f>
        <v>1</v>
      </c>
      <c r="U1041" s="36">
        <f>COUNTIF(Tabla1[[#This Row],[VEHICULOS_ACCIDENTADOS]:[VEHICULOS_ACCIDENTADOS2]],"CAMPERO")</f>
        <v>0</v>
      </c>
      <c r="V1041" s="36">
        <f>COUNTIF(Tabla1[[#This Row],[VEHICULOS_ACCIDENTADOS]:[VEHICULOS_ACCIDENTADOS2]],"CAMIONETA")</f>
        <v>0</v>
      </c>
      <c r="W1041" s="36">
        <f>COUNTIF(Tabla1[[#This Row],[VEHICULOS_ACCIDENTADOS]:[VEHICULOS_ACCIDENTADOS2]],"MICROBUS")</f>
        <v>0</v>
      </c>
      <c r="X1041" s="36">
        <f>COUNTIF(Tabla1[[#This Row],[VEHICULOS_ACCIDENTADOS]:[VEHICULOS_ACCIDENTADOS2]],"BUS")</f>
        <v>0</v>
      </c>
      <c r="Y1041" s="36">
        <f>COUNTIF(Tabla1[[#This Row],[VEHICULOS_ACCIDENTADOS]:[VEHICULOS_ACCIDENTADOS2]],"BUSETA")</f>
        <v>0</v>
      </c>
      <c r="Z1041" s="36">
        <f>COUNTIF(Tabla1[[#This Row],[VEHICULOS_ACCIDENTADOS]:[VEHICULOS_ACCIDENTADOS2]],"CAMION")</f>
        <v>0</v>
      </c>
      <c r="AA1041" s="36">
        <f>COUNTIF(Tabla1[[#This Row],[VEHICULOS_ACCIDENTADOS]:[VEHICULOS_ACCIDENTADOS2]],"TRACTOCAMION")</f>
        <v>0</v>
      </c>
      <c r="AB1041" s="36">
        <f>COUNTIF(Tabla1[[#This Row],[VEHICULOS_ACCIDENTADOS]:[VEHICULOS_ACCIDENTADOS2]],"VOLQUETA")</f>
        <v>0</v>
      </c>
      <c r="AC1041" s="36">
        <f>COUNTIF(Tabla1[[#This Row],[VEHICULOS_ACCIDENTADOS]:[VEHICULOS_ACCIDENTADOS2]],"BICICLETA")</f>
        <v>0</v>
      </c>
      <c r="AD1041" s="7"/>
      <c r="AE1041" s="7" t="s">
        <v>472</v>
      </c>
      <c r="AF1041" s="7">
        <f>COUNTIF(Tabla1[[#This Row],[GENERO_MASCULINO]:[GENERO_FEMENINO]],"MASCULINO")</f>
        <v>0</v>
      </c>
      <c r="AG1041" s="36">
        <f>COUNTIF(Tabla1[[#This Row],[GENERO_MASCULINO]:[GENERO_FEMENINO]],"FEMENINO")</f>
        <v>1</v>
      </c>
      <c r="AH1041" s="73"/>
      <c r="AI1041" s="73"/>
      <c r="AJ1041" s="73"/>
      <c r="AK1041" s="73"/>
      <c r="AL1041" s="73">
        <v>21</v>
      </c>
      <c r="AM1041" s="7"/>
      <c r="AN1041" s="73">
        <v>110</v>
      </c>
      <c r="AO1041" s="7" t="str">
        <f>IFERROR(((VLOOKUP(Tabla1[[#This Row],[HIPOTESIS_1]],listas!$D$1:$E$105,2,FALSE))),"SIN INFORMACIÓN")</f>
        <v>Exceso en horas de conducción.</v>
      </c>
      <c r="AP1041" s="7"/>
      <c r="AQ1041" s="36" t="str">
        <f>IFERROR(((VLOOKUP(Tabla1[[#This Row],[HIPOTESIS_2]],listas!$D$1:$E$105,2,FALSE))),"")</f>
        <v/>
      </c>
      <c r="AR1041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042" spans="1:44" s="5" customFormat="1" x14ac:dyDescent="0.25">
      <c r="A1042" s="12">
        <v>119</v>
      </c>
      <c r="B1042" s="9">
        <v>1</v>
      </c>
      <c r="C1042" s="9">
        <v>0</v>
      </c>
      <c r="D1042" s="9">
        <v>0</v>
      </c>
      <c r="E1042" s="18" t="str">
        <f t="shared" si="64"/>
        <v>SOLO DAÑO</v>
      </c>
      <c r="F1042" s="9" t="s">
        <v>393</v>
      </c>
      <c r="G1042" s="160">
        <v>5.3140400000000003</v>
      </c>
      <c r="H1042" s="160">
        <v>-72.426490999999999</v>
      </c>
      <c r="I1042" s="93" t="s">
        <v>697</v>
      </c>
      <c r="J1042" s="9" t="s">
        <v>1</v>
      </c>
      <c r="K1042" s="76" t="str">
        <f t="shared" si="65"/>
        <v>2022</v>
      </c>
      <c r="L1042" s="76" t="str">
        <f t="shared" si="66"/>
        <v>ABRIL</v>
      </c>
      <c r="M1042" s="239">
        <v>44660</v>
      </c>
      <c r="N1042" s="76" t="str">
        <f t="shared" si="67"/>
        <v>SÁBADO</v>
      </c>
      <c r="O1042" s="111">
        <v>0.59722222222222199</v>
      </c>
      <c r="P1042" s="11" t="s">
        <v>447</v>
      </c>
      <c r="Q1042" s="11" t="s">
        <v>445</v>
      </c>
      <c r="R1042" s="36">
        <f>COUNTIF(Tabla1[[#This Row],[VEHICULOS_ACCIDENTADOS]:[VEHICULOS_ACCIDENTADOS2]],"MOTOCICLETA")</f>
        <v>0</v>
      </c>
      <c r="S1042" s="36">
        <f>COUNTIF(Tabla1[[#This Row],[VEHICULOS_ACCIDENTADOS]:[VEHICULOS_ACCIDENTADOS2]],"MOTOCARRO")</f>
        <v>0</v>
      </c>
      <c r="T1042" s="36">
        <f>COUNTIF(Tabla1[[#This Row],[VEHICULOS_ACCIDENTADOS]:[VEHICULOS_ACCIDENTADOS2]],"AUTOMOVIL")</f>
        <v>1</v>
      </c>
      <c r="U1042" s="36">
        <f>COUNTIF(Tabla1[[#This Row],[VEHICULOS_ACCIDENTADOS]:[VEHICULOS_ACCIDENTADOS2]],"CAMPERO")</f>
        <v>0</v>
      </c>
      <c r="V1042" s="36">
        <f>COUNTIF(Tabla1[[#This Row],[VEHICULOS_ACCIDENTADOS]:[VEHICULOS_ACCIDENTADOS2]],"CAMIONETA")</f>
        <v>1</v>
      </c>
      <c r="W1042" s="36">
        <f>COUNTIF(Tabla1[[#This Row],[VEHICULOS_ACCIDENTADOS]:[VEHICULOS_ACCIDENTADOS2]],"MICROBUS")</f>
        <v>0</v>
      </c>
      <c r="X1042" s="36">
        <f>COUNTIF(Tabla1[[#This Row],[VEHICULOS_ACCIDENTADOS]:[VEHICULOS_ACCIDENTADOS2]],"BUS")</f>
        <v>0</v>
      </c>
      <c r="Y1042" s="36">
        <f>COUNTIF(Tabla1[[#This Row],[VEHICULOS_ACCIDENTADOS]:[VEHICULOS_ACCIDENTADOS2]],"BUSETA")</f>
        <v>0</v>
      </c>
      <c r="Z1042" s="36">
        <f>COUNTIF(Tabla1[[#This Row],[VEHICULOS_ACCIDENTADOS]:[VEHICULOS_ACCIDENTADOS2]],"CAMION")</f>
        <v>0</v>
      </c>
      <c r="AA1042" s="36">
        <f>COUNTIF(Tabla1[[#This Row],[VEHICULOS_ACCIDENTADOS]:[VEHICULOS_ACCIDENTADOS2]],"TRACTOCAMION")</f>
        <v>0</v>
      </c>
      <c r="AB1042" s="36">
        <f>COUNTIF(Tabla1[[#This Row],[VEHICULOS_ACCIDENTADOS]:[VEHICULOS_ACCIDENTADOS2]],"VOLQUETA")</f>
        <v>0</v>
      </c>
      <c r="AC1042" s="36">
        <f>COUNTIF(Tabla1[[#This Row],[VEHICULOS_ACCIDENTADOS]:[VEHICULOS_ACCIDENTADOS2]],"BICICLETA")</f>
        <v>0</v>
      </c>
      <c r="AD1042" s="9" t="s">
        <v>471</v>
      </c>
      <c r="AE1042" s="9"/>
      <c r="AF1042" s="9">
        <f>COUNTIF(Tabla1[[#This Row],[GENERO_MASCULINO]:[GENERO_FEMENINO]],"MASCULINO")</f>
        <v>1</v>
      </c>
      <c r="AG1042" s="36">
        <f>COUNTIF(Tabla1[[#This Row],[GENERO_MASCULINO]:[GENERO_FEMENINO]],"FEMENINO")</f>
        <v>0</v>
      </c>
      <c r="AH1042" s="192"/>
      <c r="AI1042" s="192"/>
      <c r="AJ1042" s="201"/>
      <c r="AK1042" s="192"/>
      <c r="AL1042" s="192"/>
      <c r="AM1042" s="138"/>
      <c r="AN1042" s="192">
        <v>121</v>
      </c>
      <c r="AO1042" s="9" t="str">
        <f>IFERROR(((VLOOKUP(Tabla1[[#This Row],[HIPOTESIS_1]],listas!$D$1:$E$105,2,FALSE))),"SIN INFORMACIÓN")</f>
        <v>No mantener distancia de seguridad.</v>
      </c>
      <c r="AP1042" s="138"/>
      <c r="AQ1042" s="13" t="str">
        <f>IFERROR(((VLOOKUP(Tabla1[[#This Row],[HIPOTESIS_2]],listas!$D$1:$E$105,2,FALSE))),"")</f>
        <v/>
      </c>
      <c r="AR1042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043" spans="1:44" s="5" customFormat="1" x14ac:dyDescent="0.25">
      <c r="A1043" s="12">
        <v>847</v>
      </c>
      <c r="B1043" s="15">
        <v>1</v>
      </c>
      <c r="C1043" s="15">
        <v>0</v>
      </c>
      <c r="D1043" s="19">
        <v>0</v>
      </c>
      <c r="E1043" s="18" t="str">
        <f t="shared" si="64"/>
        <v>SOLO DAÑO</v>
      </c>
      <c r="F1043" s="15" t="s">
        <v>88</v>
      </c>
      <c r="G1043" s="21">
        <v>5.2876672222222219</v>
      </c>
      <c r="H1043" s="21">
        <v>-72.36456583333333</v>
      </c>
      <c r="I1043" s="93" t="s">
        <v>697</v>
      </c>
      <c r="J1043" s="7" t="s">
        <v>1</v>
      </c>
      <c r="K1043" s="24" t="str">
        <f t="shared" si="65"/>
        <v>2024</v>
      </c>
      <c r="L1043" s="24" t="str">
        <f t="shared" si="66"/>
        <v>DICIEMBRE</v>
      </c>
      <c r="M1043" s="234">
        <v>45627</v>
      </c>
      <c r="N1043" s="24" t="str">
        <f t="shared" si="67"/>
        <v>DOMINGO</v>
      </c>
      <c r="O1043" s="108">
        <v>0.69444444444444453</v>
      </c>
      <c r="P1043" s="44" t="s">
        <v>469</v>
      </c>
      <c r="Q1043" s="44"/>
      <c r="R1043" s="36">
        <f>COUNTIF(Tabla1[[#This Row],[VEHICULOS_ACCIDENTADOS]:[VEHICULOS_ACCIDENTADOS2]],"MOTOCICLETA")</f>
        <v>1</v>
      </c>
      <c r="S1043" s="36">
        <f>COUNTIF(Tabla1[[#This Row],[VEHICULOS_ACCIDENTADOS]:[VEHICULOS_ACCIDENTADOS2]],"MOTOCARRO")</f>
        <v>0</v>
      </c>
      <c r="T1043" s="36">
        <f>COUNTIF(Tabla1[[#This Row],[VEHICULOS_ACCIDENTADOS]:[VEHICULOS_ACCIDENTADOS2]],"AUTOMOVIL")</f>
        <v>0</v>
      </c>
      <c r="U1043" s="36">
        <f>COUNTIF(Tabla1[[#This Row],[VEHICULOS_ACCIDENTADOS]:[VEHICULOS_ACCIDENTADOS2]],"CAMPERO")</f>
        <v>0</v>
      </c>
      <c r="V1043" s="36">
        <f>COUNTIF(Tabla1[[#This Row],[VEHICULOS_ACCIDENTADOS]:[VEHICULOS_ACCIDENTADOS2]],"CAMIONETA")</f>
        <v>0</v>
      </c>
      <c r="W1043" s="36">
        <f>COUNTIF(Tabla1[[#This Row],[VEHICULOS_ACCIDENTADOS]:[VEHICULOS_ACCIDENTADOS2]],"MICROBUS")</f>
        <v>0</v>
      </c>
      <c r="X1043" s="36">
        <f>COUNTIF(Tabla1[[#This Row],[VEHICULOS_ACCIDENTADOS]:[VEHICULOS_ACCIDENTADOS2]],"BUS")</f>
        <v>0</v>
      </c>
      <c r="Y1043" s="36">
        <f>COUNTIF(Tabla1[[#This Row],[VEHICULOS_ACCIDENTADOS]:[VEHICULOS_ACCIDENTADOS2]],"BUSETA")</f>
        <v>0</v>
      </c>
      <c r="Z1043" s="36">
        <f>COUNTIF(Tabla1[[#This Row],[VEHICULOS_ACCIDENTADOS]:[VEHICULOS_ACCIDENTADOS2]],"CAMION")</f>
        <v>0</v>
      </c>
      <c r="AA1043" s="36">
        <f>COUNTIF(Tabla1[[#This Row],[VEHICULOS_ACCIDENTADOS]:[VEHICULOS_ACCIDENTADOS2]],"TRACTOCAMION")</f>
        <v>0</v>
      </c>
      <c r="AB1043" s="36">
        <f>COUNTIF(Tabla1[[#This Row],[VEHICULOS_ACCIDENTADOS]:[VEHICULOS_ACCIDENTADOS2]],"VOLQUETA")</f>
        <v>0</v>
      </c>
      <c r="AC1043" s="36">
        <f>COUNTIF(Tabla1[[#This Row],[VEHICULOS_ACCIDENTADOS]:[VEHICULOS_ACCIDENTADOS2]],"BICICLETA")</f>
        <v>0</v>
      </c>
      <c r="AD1043" s="15"/>
      <c r="AE1043" s="15" t="s">
        <v>472</v>
      </c>
      <c r="AF1043" s="15">
        <f>COUNTIF(Tabla1[[#This Row],[GENERO_MASCULINO]:[GENERO_FEMENINO]],"MASCULINO")</f>
        <v>0</v>
      </c>
      <c r="AG1043" s="36">
        <f>COUNTIF(Tabla1[[#This Row],[GENERO_MASCULINO]:[GENERO_FEMENINO]],"FEMENINO")</f>
        <v>1</v>
      </c>
      <c r="AH1043" s="86">
        <v>39</v>
      </c>
      <c r="AI1043" s="86">
        <v>43</v>
      </c>
      <c r="AJ1043" s="86"/>
      <c r="AK1043" s="86"/>
      <c r="AL1043" s="86"/>
      <c r="AM1043" s="15"/>
      <c r="AN1043" s="86">
        <v>157</v>
      </c>
      <c r="AO1043" s="7" t="str">
        <f>IFERROR(((VLOOKUP(Tabla1[[#This Row],[HIPOTESIS_1]],listas!$D$1:$E$105,2,FALSE))),"SIN INFORMACIÓN")</f>
        <v>Otra</v>
      </c>
      <c r="AP1043" s="15"/>
      <c r="AQ1043" s="36" t="str">
        <f>IFERROR(((VLOOKUP(Tabla1[[#This Row],[HIPOTESIS_2]],listas!$D$1:$E$105,2,FALSE))),"")</f>
        <v/>
      </c>
      <c r="AR1043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044" spans="1:44" s="5" customFormat="1" x14ac:dyDescent="0.25">
      <c r="A1044" s="12">
        <v>1091</v>
      </c>
      <c r="B1044" s="24">
        <v>1</v>
      </c>
      <c r="C1044" s="24">
        <v>0</v>
      </c>
      <c r="D1044" s="24">
        <v>0</v>
      </c>
      <c r="E1044" s="24" t="str">
        <f t="shared" si="64"/>
        <v>SOLO DAÑO</v>
      </c>
      <c r="F1044" s="24" t="s">
        <v>1022</v>
      </c>
      <c r="G1044" s="30">
        <v>5.3429867079999802</v>
      </c>
      <c r="H1044" s="30">
        <v>-72.4039981579987</v>
      </c>
      <c r="I1044" s="165" t="s">
        <v>697</v>
      </c>
      <c r="J1044" s="7" t="s">
        <v>717</v>
      </c>
      <c r="K1044" s="24" t="str">
        <f t="shared" si="65"/>
        <v>2025</v>
      </c>
      <c r="L1044" s="24" t="str">
        <f t="shared" si="66"/>
        <v>SEPTIEMBRE</v>
      </c>
      <c r="M1044" s="232">
        <v>45922</v>
      </c>
      <c r="N1044" s="24" t="str">
        <f t="shared" si="67"/>
        <v>LUNES</v>
      </c>
      <c r="O1044" s="106">
        <v>0.77708333333333335</v>
      </c>
      <c r="P1044" s="8" t="s">
        <v>445</v>
      </c>
      <c r="Q1044" s="8" t="s">
        <v>469</v>
      </c>
      <c r="R1044" s="36">
        <f>COUNTIF(Tabla1[[#This Row],[VEHICULOS_ACCIDENTADOS]:[VEHICULOS_ACCIDENTADOS2]],"MOTOCICLETA")</f>
        <v>1</v>
      </c>
      <c r="S1044" s="36">
        <f>COUNTIF(Tabla1[[#This Row],[VEHICULOS_ACCIDENTADOS]:[VEHICULOS_ACCIDENTADOS2]],"MOTOCARRO")</f>
        <v>0</v>
      </c>
      <c r="T1044" s="36">
        <f>COUNTIF(Tabla1[[#This Row],[VEHICULOS_ACCIDENTADOS]:[VEHICULOS_ACCIDENTADOS2]],"AUTOMOVIL")</f>
        <v>0</v>
      </c>
      <c r="U1044" s="36">
        <f>COUNTIF(Tabla1[[#This Row],[VEHICULOS_ACCIDENTADOS]:[VEHICULOS_ACCIDENTADOS2]],"CAMPERO")</f>
        <v>0</v>
      </c>
      <c r="V1044" s="36">
        <f>COUNTIF(Tabla1[[#This Row],[VEHICULOS_ACCIDENTADOS]:[VEHICULOS_ACCIDENTADOS2]],"CAMIONETA")</f>
        <v>1</v>
      </c>
      <c r="W1044" s="36">
        <f>COUNTIF(Tabla1[[#This Row],[VEHICULOS_ACCIDENTADOS]:[VEHICULOS_ACCIDENTADOS2]],"MICROBUS")</f>
        <v>0</v>
      </c>
      <c r="X1044" s="36">
        <f>COUNTIF(Tabla1[[#This Row],[VEHICULOS_ACCIDENTADOS]:[VEHICULOS_ACCIDENTADOS2]],"BUS")</f>
        <v>0</v>
      </c>
      <c r="Y1044" s="36">
        <f>COUNTIF(Tabla1[[#This Row],[VEHICULOS_ACCIDENTADOS]:[VEHICULOS_ACCIDENTADOS2]],"BUSETA")</f>
        <v>0</v>
      </c>
      <c r="Z1044" s="36">
        <f>COUNTIF(Tabla1[[#This Row],[VEHICULOS_ACCIDENTADOS]:[VEHICULOS_ACCIDENTADOS2]],"CAMION")</f>
        <v>0</v>
      </c>
      <c r="AA1044" s="36">
        <f>COUNTIF(Tabla1[[#This Row],[VEHICULOS_ACCIDENTADOS]:[VEHICULOS_ACCIDENTADOS2]],"TRACTOCAMION")</f>
        <v>0</v>
      </c>
      <c r="AB1044" s="36">
        <f>COUNTIF(Tabla1[[#This Row],[VEHICULOS_ACCIDENTADOS]:[VEHICULOS_ACCIDENTADOS2]],"VOLQUETA")</f>
        <v>0</v>
      </c>
      <c r="AC1044" s="36">
        <f>COUNTIF(Tabla1[[#This Row],[VEHICULOS_ACCIDENTADOS]:[VEHICULOS_ACCIDENTADOS2]],"BICICLETA")</f>
        <v>0</v>
      </c>
      <c r="AD1044" s="73" t="s">
        <v>472</v>
      </c>
      <c r="AE1044" s="73" t="s">
        <v>471</v>
      </c>
      <c r="AF1044" s="7">
        <f>COUNTIF(Tabla1[[#This Row],[GENERO_MASCULINO]:[GENERO_FEMENINO]],"MASCULINO")</f>
        <v>1</v>
      </c>
      <c r="AG1044" s="36">
        <f>COUNTIF(Tabla1[[#This Row],[GENERO_MASCULINO]:[GENERO_FEMENINO]],"FEMENINO")</f>
        <v>1</v>
      </c>
      <c r="AH1044" s="86"/>
      <c r="AI1044" s="86"/>
      <c r="AJ1044" s="86"/>
      <c r="AK1044" s="87"/>
      <c r="AL1044" s="87"/>
      <c r="AM1044" s="6"/>
      <c r="AN1044" s="73">
        <v>112</v>
      </c>
      <c r="AO1044" s="6" t="str">
        <f>IFERROR(((VLOOKUP(Tabla1[[#This Row],[HIPOTESIS_1]],listas!$D$1:$E$105,2,FALSE))),"SIN INFORMACIÓN")</f>
        <v>Desobedecer señales o normas de tránsito.</v>
      </c>
      <c r="AP1044" s="7"/>
      <c r="AQ1044" s="36" t="str">
        <f>IFERROR(((VLOOKUP(Tabla1[[#This Row],[HIPOTESIS_2]],listas!$D$1:$E$105,2,FALSE))),"")</f>
        <v/>
      </c>
      <c r="AR1044" s="2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045" spans="1:44" s="5" customFormat="1" x14ac:dyDescent="0.25">
      <c r="A1045" s="12">
        <v>1118</v>
      </c>
      <c r="B1045" s="24">
        <v>1</v>
      </c>
      <c r="C1045" s="24">
        <v>0</v>
      </c>
      <c r="D1045" s="24">
        <v>0</v>
      </c>
      <c r="E1045" s="24" t="str">
        <f t="shared" si="64"/>
        <v>SOLO DAÑO</v>
      </c>
      <c r="F1045" s="24" t="s">
        <v>1022</v>
      </c>
      <c r="G1045" s="30">
        <v>5.3430970177062402</v>
      </c>
      <c r="H1045" s="30">
        <v>-72.404012551271293</v>
      </c>
      <c r="I1045" s="165" t="s">
        <v>697</v>
      </c>
      <c r="J1045" s="7" t="s">
        <v>717</v>
      </c>
      <c r="K1045" s="24" t="str">
        <f t="shared" si="65"/>
        <v>2025</v>
      </c>
      <c r="L1045" s="24" t="str">
        <f t="shared" si="66"/>
        <v>OCTUBRE</v>
      </c>
      <c r="M1045" s="232">
        <v>45937</v>
      </c>
      <c r="N1045" s="24" t="str">
        <f t="shared" si="67"/>
        <v>MARTES</v>
      </c>
      <c r="O1045" s="106">
        <v>0.59930555555555554</v>
      </c>
      <c r="P1045" s="8" t="s">
        <v>469</v>
      </c>
      <c r="Q1045" s="8" t="s">
        <v>469</v>
      </c>
      <c r="R1045" s="36">
        <f>COUNTIF(Tabla1[[#This Row],[VEHICULOS_ACCIDENTADOS]:[VEHICULOS_ACCIDENTADOS2]],"MOTOCICLETA")</f>
        <v>2</v>
      </c>
      <c r="S1045" s="36">
        <f>COUNTIF(Tabla1[[#This Row],[VEHICULOS_ACCIDENTADOS]:[VEHICULOS_ACCIDENTADOS2]],"MOTOCARRO")</f>
        <v>0</v>
      </c>
      <c r="T1045" s="36">
        <f>COUNTIF(Tabla1[[#This Row],[VEHICULOS_ACCIDENTADOS]:[VEHICULOS_ACCIDENTADOS2]],"AUTOMOVIL")</f>
        <v>0</v>
      </c>
      <c r="U1045" s="36">
        <f>COUNTIF(Tabla1[[#This Row],[VEHICULOS_ACCIDENTADOS]:[VEHICULOS_ACCIDENTADOS2]],"CAMPERO")</f>
        <v>0</v>
      </c>
      <c r="V1045" s="36">
        <f>COUNTIF(Tabla1[[#This Row],[VEHICULOS_ACCIDENTADOS]:[VEHICULOS_ACCIDENTADOS2]],"CAMIONETA")</f>
        <v>0</v>
      </c>
      <c r="W1045" s="36">
        <f>COUNTIF(Tabla1[[#This Row],[VEHICULOS_ACCIDENTADOS]:[VEHICULOS_ACCIDENTADOS2]],"MICROBUS")</f>
        <v>0</v>
      </c>
      <c r="X1045" s="36">
        <f>COUNTIF(Tabla1[[#This Row],[VEHICULOS_ACCIDENTADOS]:[VEHICULOS_ACCIDENTADOS2]],"BUS")</f>
        <v>0</v>
      </c>
      <c r="Y1045" s="36">
        <f>COUNTIF(Tabla1[[#This Row],[VEHICULOS_ACCIDENTADOS]:[VEHICULOS_ACCIDENTADOS2]],"BUSETA")</f>
        <v>0</v>
      </c>
      <c r="Z1045" s="36">
        <f>COUNTIF(Tabla1[[#This Row],[VEHICULOS_ACCIDENTADOS]:[VEHICULOS_ACCIDENTADOS2]],"CAMION")</f>
        <v>0</v>
      </c>
      <c r="AA1045" s="36">
        <f>COUNTIF(Tabla1[[#This Row],[VEHICULOS_ACCIDENTADOS]:[VEHICULOS_ACCIDENTADOS2]],"TRACTOCAMION")</f>
        <v>0</v>
      </c>
      <c r="AB1045" s="36">
        <f>COUNTIF(Tabla1[[#This Row],[VEHICULOS_ACCIDENTADOS]:[VEHICULOS_ACCIDENTADOS2]],"VOLQUETA")</f>
        <v>0</v>
      </c>
      <c r="AC1045" s="36">
        <f>COUNTIF(Tabla1[[#This Row],[VEHICULOS_ACCIDENTADOS]:[VEHICULOS_ACCIDENTADOS2]],"BICICLETA")</f>
        <v>0</v>
      </c>
      <c r="AD1045" s="73" t="s">
        <v>471</v>
      </c>
      <c r="AE1045" s="73" t="s">
        <v>471</v>
      </c>
      <c r="AF1045" s="7">
        <f>COUNTIF(Tabla1[[#This Row],[GENERO_MASCULINO]:[GENERO_FEMENINO]],"MASCULINO")</f>
        <v>2</v>
      </c>
      <c r="AG1045" s="36">
        <f>COUNTIF(Tabla1[[#This Row],[GENERO_MASCULINO]:[GENERO_FEMENINO]],"FEMENINO")</f>
        <v>0</v>
      </c>
      <c r="AH1045" s="86"/>
      <c r="AI1045" s="86"/>
      <c r="AJ1045" s="86"/>
      <c r="AK1045" s="87"/>
      <c r="AL1045" s="87"/>
      <c r="AM1045" s="6"/>
      <c r="AN1045" s="73">
        <v>93</v>
      </c>
      <c r="AO1045" s="6" t="str">
        <f>IFERROR(((VLOOKUP(Tabla1[[#This Row],[HIPOTESIS_1]],listas!$D$1:$E$105,2,FALSE))),"SIN INFORMACIÓN")</f>
        <v>Transitar distante de la acera u orilla de la calzada.</v>
      </c>
      <c r="AP1045" s="7"/>
      <c r="AQ1045" s="36" t="str">
        <f>IFERROR(((VLOOKUP(Tabla1[[#This Row],[HIPOTESIS_2]],listas!$D$1:$E$105,2,FALSE))),"")</f>
        <v/>
      </c>
      <c r="AR1045" s="2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046" spans="1:44" s="5" customFormat="1" x14ac:dyDescent="0.25">
      <c r="A1046" s="12">
        <v>619</v>
      </c>
      <c r="B1046" s="7">
        <v>0</v>
      </c>
      <c r="C1046" s="7">
        <v>2</v>
      </c>
      <c r="D1046" s="7">
        <v>0</v>
      </c>
      <c r="E1046" s="18" t="str">
        <f t="shared" si="64"/>
        <v>LESIONADO</v>
      </c>
      <c r="F1046" s="7" t="s">
        <v>1023</v>
      </c>
      <c r="G1046" s="21">
        <v>5.3328027777777773</v>
      </c>
      <c r="H1046" s="21">
        <v>-72.408847222222221</v>
      </c>
      <c r="I1046" s="93" t="s">
        <v>697</v>
      </c>
      <c r="J1046" s="7" t="s">
        <v>717</v>
      </c>
      <c r="K1046" s="24" t="str">
        <f t="shared" si="65"/>
        <v>2023</v>
      </c>
      <c r="L1046" s="24" t="str">
        <f t="shared" si="66"/>
        <v>NOVIEMBRE</v>
      </c>
      <c r="M1046" s="232">
        <v>45256</v>
      </c>
      <c r="N1046" s="24" t="str">
        <f t="shared" si="67"/>
        <v>DOMINGO</v>
      </c>
      <c r="O1046" s="106">
        <v>0.85416666666666663</v>
      </c>
      <c r="P1046" s="39" t="s">
        <v>469</v>
      </c>
      <c r="Q1046" s="39" t="s">
        <v>469</v>
      </c>
      <c r="R1046" s="36">
        <f>COUNTIF(Tabla1[[#This Row],[VEHICULOS_ACCIDENTADOS]:[VEHICULOS_ACCIDENTADOS2]],"MOTOCICLETA")</f>
        <v>2</v>
      </c>
      <c r="S1046" s="36">
        <f>COUNTIF(Tabla1[[#This Row],[VEHICULOS_ACCIDENTADOS]:[VEHICULOS_ACCIDENTADOS2]],"MOTOCARRO")</f>
        <v>0</v>
      </c>
      <c r="T1046" s="36">
        <f>COUNTIF(Tabla1[[#This Row],[VEHICULOS_ACCIDENTADOS]:[VEHICULOS_ACCIDENTADOS2]],"AUTOMOVIL")</f>
        <v>0</v>
      </c>
      <c r="U1046" s="36">
        <f>COUNTIF(Tabla1[[#This Row],[VEHICULOS_ACCIDENTADOS]:[VEHICULOS_ACCIDENTADOS2]],"CAMPERO")</f>
        <v>0</v>
      </c>
      <c r="V1046" s="36">
        <f>COUNTIF(Tabla1[[#This Row],[VEHICULOS_ACCIDENTADOS]:[VEHICULOS_ACCIDENTADOS2]],"CAMIONETA")</f>
        <v>0</v>
      </c>
      <c r="W1046" s="36">
        <f>COUNTIF(Tabla1[[#This Row],[VEHICULOS_ACCIDENTADOS]:[VEHICULOS_ACCIDENTADOS2]],"MICROBUS")</f>
        <v>0</v>
      </c>
      <c r="X1046" s="36">
        <f>COUNTIF(Tabla1[[#This Row],[VEHICULOS_ACCIDENTADOS]:[VEHICULOS_ACCIDENTADOS2]],"BUS")</f>
        <v>0</v>
      </c>
      <c r="Y1046" s="36">
        <f>COUNTIF(Tabla1[[#This Row],[VEHICULOS_ACCIDENTADOS]:[VEHICULOS_ACCIDENTADOS2]],"BUSETA")</f>
        <v>0</v>
      </c>
      <c r="Z1046" s="36">
        <f>COUNTIF(Tabla1[[#This Row],[VEHICULOS_ACCIDENTADOS]:[VEHICULOS_ACCIDENTADOS2]],"CAMION")</f>
        <v>0</v>
      </c>
      <c r="AA1046" s="36">
        <f>COUNTIF(Tabla1[[#This Row],[VEHICULOS_ACCIDENTADOS]:[VEHICULOS_ACCIDENTADOS2]],"TRACTOCAMION")</f>
        <v>0</v>
      </c>
      <c r="AB1046" s="36">
        <f>COUNTIF(Tabla1[[#This Row],[VEHICULOS_ACCIDENTADOS]:[VEHICULOS_ACCIDENTADOS2]],"VOLQUETA")</f>
        <v>0</v>
      </c>
      <c r="AC1046" s="36">
        <f>COUNTIF(Tabla1[[#This Row],[VEHICULOS_ACCIDENTADOS]:[VEHICULOS_ACCIDENTADOS2]],"BICICLETA")</f>
        <v>0</v>
      </c>
      <c r="AD1046" s="7" t="s">
        <v>471</v>
      </c>
      <c r="AE1046" s="7"/>
      <c r="AF1046" s="7">
        <f>COUNTIF(Tabla1[[#This Row],[GENERO_MASCULINO]:[GENERO_FEMENINO]],"MASCULINO")</f>
        <v>1</v>
      </c>
      <c r="AG1046" s="36">
        <f>COUNTIF(Tabla1[[#This Row],[GENERO_MASCULINO]:[GENERO_FEMENINO]],"FEMENINO")</f>
        <v>0</v>
      </c>
      <c r="AH1046" s="73">
        <v>48</v>
      </c>
      <c r="AI1046" s="73">
        <v>23</v>
      </c>
      <c r="AJ1046" s="87"/>
      <c r="AK1046" s="73"/>
      <c r="AL1046" s="73"/>
      <c r="AM1046" s="7"/>
      <c r="AN1046" s="73">
        <v>122</v>
      </c>
      <c r="AO1046" s="7" t="str">
        <f>IFERROR(((VLOOKUP(Tabla1[[#This Row],[HIPOTESIS_1]],listas!$D$1:$E$105,2,FALSE))),"SIN INFORMACIÓN")</f>
        <v>Girar bruscamente.</v>
      </c>
      <c r="AP1046" s="7"/>
      <c r="AQ1046" s="36" t="str">
        <f>IFERROR(((VLOOKUP(Tabla1[[#This Row],[HIPOTESIS_2]],listas!$D$1:$E$105,2,FALSE))),"")</f>
        <v/>
      </c>
      <c r="AR1046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047" spans="1:44" s="5" customFormat="1" x14ac:dyDescent="0.25">
      <c r="A1047" s="12">
        <v>854</v>
      </c>
      <c r="B1047" s="98">
        <v>0</v>
      </c>
      <c r="C1047" s="14">
        <v>2</v>
      </c>
      <c r="D1047" s="14">
        <v>0</v>
      </c>
      <c r="E1047" s="18" t="str">
        <f t="shared" si="64"/>
        <v>LESIONADO</v>
      </c>
      <c r="F1047" s="14" t="s">
        <v>1024</v>
      </c>
      <c r="G1047" s="160">
        <v>5.3355990000000002</v>
      </c>
      <c r="H1047" s="160">
        <v>-72.407506999999995</v>
      </c>
      <c r="I1047" s="93" t="s">
        <v>697</v>
      </c>
      <c r="J1047" s="160" t="s">
        <v>717</v>
      </c>
      <c r="K1047" s="76" t="str">
        <f t="shared" si="65"/>
        <v>2025</v>
      </c>
      <c r="L1047" s="76" t="str">
        <f t="shared" si="66"/>
        <v>ENERO</v>
      </c>
      <c r="M1047" s="241">
        <v>45667</v>
      </c>
      <c r="N1047" s="76" t="str">
        <f t="shared" si="67"/>
        <v>VIERNES</v>
      </c>
      <c r="O1047" s="173">
        <v>0.83680555555555547</v>
      </c>
      <c r="P1047" s="179" t="s">
        <v>447</v>
      </c>
      <c r="Q1047" s="179" t="s">
        <v>469</v>
      </c>
      <c r="R1047" s="36">
        <f>COUNTIF(Tabla1[[#This Row],[VEHICULOS_ACCIDENTADOS]:[VEHICULOS_ACCIDENTADOS2]],"MOTOCICLETA")</f>
        <v>1</v>
      </c>
      <c r="S1047" s="36">
        <f>COUNTIF(Tabla1[[#This Row],[VEHICULOS_ACCIDENTADOS]:[VEHICULOS_ACCIDENTADOS2]],"MOTOCARRO")</f>
        <v>0</v>
      </c>
      <c r="T1047" s="36">
        <f>COUNTIF(Tabla1[[#This Row],[VEHICULOS_ACCIDENTADOS]:[VEHICULOS_ACCIDENTADOS2]],"AUTOMOVIL")</f>
        <v>1</v>
      </c>
      <c r="U1047" s="36">
        <f>COUNTIF(Tabla1[[#This Row],[VEHICULOS_ACCIDENTADOS]:[VEHICULOS_ACCIDENTADOS2]],"CAMPERO")</f>
        <v>0</v>
      </c>
      <c r="V1047" s="36">
        <f>COUNTIF(Tabla1[[#This Row],[VEHICULOS_ACCIDENTADOS]:[VEHICULOS_ACCIDENTADOS2]],"CAMIONETA")</f>
        <v>0</v>
      </c>
      <c r="W1047" s="36">
        <f>COUNTIF(Tabla1[[#This Row],[VEHICULOS_ACCIDENTADOS]:[VEHICULOS_ACCIDENTADOS2]],"MICROBUS")</f>
        <v>0</v>
      </c>
      <c r="X1047" s="36">
        <f>COUNTIF(Tabla1[[#This Row],[VEHICULOS_ACCIDENTADOS]:[VEHICULOS_ACCIDENTADOS2]],"BUS")</f>
        <v>0</v>
      </c>
      <c r="Y1047" s="36">
        <f>COUNTIF(Tabla1[[#This Row],[VEHICULOS_ACCIDENTADOS]:[VEHICULOS_ACCIDENTADOS2]],"BUSETA")</f>
        <v>0</v>
      </c>
      <c r="Z1047" s="36">
        <f>COUNTIF(Tabla1[[#This Row],[VEHICULOS_ACCIDENTADOS]:[VEHICULOS_ACCIDENTADOS2]],"CAMION")</f>
        <v>0</v>
      </c>
      <c r="AA1047" s="36">
        <f>COUNTIF(Tabla1[[#This Row],[VEHICULOS_ACCIDENTADOS]:[VEHICULOS_ACCIDENTADOS2]],"TRACTOCAMION")</f>
        <v>0</v>
      </c>
      <c r="AB1047" s="36">
        <f>COUNTIF(Tabla1[[#This Row],[VEHICULOS_ACCIDENTADOS]:[VEHICULOS_ACCIDENTADOS2]],"VOLQUETA")</f>
        <v>0</v>
      </c>
      <c r="AC1047" s="36">
        <f>COUNTIF(Tabla1[[#This Row],[VEHICULOS_ACCIDENTADOS]:[VEHICULOS_ACCIDENTADOS2]],"BICICLETA")</f>
        <v>0</v>
      </c>
      <c r="AD1047" s="14" t="s">
        <v>472</v>
      </c>
      <c r="AE1047" s="14" t="s">
        <v>471</v>
      </c>
      <c r="AF1047" s="14">
        <f>COUNTIF(Tabla1[[#This Row],[GENERO_MASCULINO]:[GENERO_FEMENINO]],"MASCULINO")</f>
        <v>1</v>
      </c>
      <c r="AG1047" s="36">
        <f>COUNTIF(Tabla1[[#This Row],[GENERO_MASCULINO]:[GENERO_FEMENINO]],"FEMENINO")</f>
        <v>1</v>
      </c>
      <c r="AH1047" s="90">
        <v>52</v>
      </c>
      <c r="AI1047" s="90">
        <v>21</v>
      </c>
      <c r="AJ1047" s="90">
        <v>19</v>
      </c>
      <c r="AK1047" s="90"/>
      <c r="AL1047" s="90"/>
      <c r="AM1047" s="14"/>
      <c r="AN1047" s="86">
        <v>157</v>
      </c>
      <c r="AO1047" s="9" t="str">
        <f>IFERROR(((VLOOKUP(Tabla1[[#This Row],[HIPOTESIS_1]],listas!$D$1:$E$105,2,FALSE))),"SIN INFORMACIÓN")</f>
        <v>Otra</v>
      </c>
      <c r="AP1047" s="15"/>
      <c r="AQ1047" s="13" t="str">
        <f>IFERROR(((VLOOKUP(Tabla1[[#This Row],[HIPOTESIS_2]],listas!$D$1:$E$105,2,FALSE))),"")</f>
        <v/>
      </c>
      <c r="AR1047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048" spans="1:44" s="5" customFormat="1" x14ac:dyDescent="0.25">
      <c r="A1048" s="12">
        <v>24</v>
      </c>
      <c r="B1048" s="7">
        <v>0</v>
      </c>
      <c r="C1048" s="7">
        <v>2</v>
      </c>
      <c r="D1048" s="7">
        <v>0</v>
      </c>
      <c r="E1048" s="18" t="str">
        <f t="shared" si="64"/>
        <v>LESIONADO</v>
      </c>
      <c r="F1048" s="7" t="s">
        <v>430</v>
      </c>
      <c r="G1048" s="21">
        <v>5.3355990000000002</v>
      </c>
      <c r="H1048" s="21">
        <v>-72.407506999999995</v>
      </c>
      <c r="I1048" s="93" t="s">
        <v>697</v>
      </c>
      <c r="J1048" s="7" t="s">
        <v>717</v>
      </c>
      <c r="K1048" s="24" t="str">
        <f t="shared" si="65"/>
        <v>2022</v>
      </c>
      <c r="L1048" s="24" t="str">
        <f t="shared" si="66"/>
        <v>ENERO</v>
      </c>
      <c r="M1048" s="232">
        <v>44586</v>
      </c>
      <c r="N1048" s="24" t="str">
        <f t="shared" si="67"/>
        <v>MARTES</v>
      </c>
      <c r="O1048" s="106">
        <v>0.92013888888888884</v>
      </c>
      <c r="P1048" s="8" t="s">
        <v>469</v>
      </c>
      <c r="Q1048" s="8" t="s">
        <v>469</v>
      </c>
      <c r="R1048" s="36">
        <f>COUNTIF(Tabla1[[#This Row],[VEHICULOS_ACCIDENTADOS]:[VEHICULOS_ACCIDENTADOS2]],"MOTOCICLETA")</f>
        <v>2</v>
      </c>
      <c r="S1048" s="36">
        <f>COUNTIF(Tabla1[[#This Row],[VEHICULOS_ACCIDENTADOS]:[VEHICULOS_ACCIDENTADOS2]],"MOTOCARRO")</f>
        <v>0</v>
      </c>
      <c r="T1048" s="36">
        <f>COUNTIF(Tabla1[[#This Row],[VEHICULOS_ACCIDENTADOS]:[VEHICULOS_ACCIDENTADOS2]],"AUTOMOVIL")</f>
        <v>0</v>
      </c>
      <c r="U1048" s="36">
        <f>COUNTIF(Tabla1[[#This Row],[VEHICULOS_ACCIDENTADOS]:[VEHICULOS_ACCIDENTADOS2]],"CAMPERO")</f>
        <v>0</v>
      </c>
      <c r="V1048" s="36">
        <f>COUNTIF(Tabla1[[#This Row],[VEHICULOS_ACCIDENTADOS]:[VEHICULOS_ACCIDENTADOS2]],"CAMIONETA")</f>
        <v>0</v>
      </c>
      <c r="W1048" s="36">
        <f>COUNTIF(Tabla1[[#This Row],[VEHICULOS_ACCIDENTADOS]:[VEHICULOS_ACCIDENTADOS2]],"MICROBUS")</f>
        <v>0</v>
      </c>
      <c r="X1048" s="36">
        <f>COUNTIF(Tabla1[[#This Row],[VEHICULOS_ACCIDENTADOS]:[VEHICULOS_ACCIDENTADOS2]],"BUS")</f>
        <v>0</v>
      </c>
      <c r="Y1048" s="36">
        <f>COUNTIF(Tabla1[[#This Row],[VEHICULOS_ACCIDENTADOS]:[VEHICULOS_ACCIDENTADOS2]],"BUSETA")</f>
        <v>0</v>
      </c>
      <c r="Z1048" s="36">
        <f>COUNTIF(Tabla1[[#This Row],[VEHICULOS_ACCIDENTADOS]:[VEHICULOS_ACCIDENTADOS2]],"CAMION")</f>
        <v>0</v>
      </c>
      <c r="AA1048" s="36">
        <f>COUNTIF(Tabla1[[#This Row],[VEHICULOS_ACCIDENTADOS]:[VEHICULOS_ACCIDENTADOS2]],"TRACTOCAMION")</f>
        <v>0</v>
      </c>
      <c r="AB1048" s="36">
        <f>COUNTIF(Tabla1[[#This Row],[VEHICULOS_ACCIDENTADOS]:[VEHICULOS_ACCIDENTADOS2]],"VOLQUETA")</f>
        <v>0</v>
      </c>
      <c r="AC1048" s="36">
        <f>COUNTIF(Tabla1[[#This Row],[VEHICULOS_ACCIDENTADOS]:[VEHICULOS_ACCIDENTADOS2]],"BICICLETA")</f>
        <v>0</v>
      </c>
      <c r="AD1048" s="7" t="s">
        <v>471</v>
      </c>
      <c r="AE1048" s="7"/>
      <c r="AF1048" s="7">
        <f>COUNTIF(Tabla1[[#This Row],[GENERO_MASCULINO]:[GENERO_FEMENINO]],"MASCULINO")</f>
        <v>1</v>
      </c>
      <c r="AG1048" s="36">
        <f>COUNTIF(Tabla1[[#This Row],[GENERO_MASCULINO]:[GENERO_FEMENINO]],"FEMENINO")</f>
        <v>0</v>
      </c>
      <c r="AH1048" s="73">
        <v>22</v>
      </c>
      <c r="AI1048" s="73"/>
      <c r="AJ1048" s="73"/>
      <c r="AK1048" s="73"/>
      <c r="AL1048" s="73">
        <v>22</v>
      </c>
      <c r="AM1048" s="7"/>
      <c r="AN1048" s="73">
        <v>121</v>
      </c>
      <c r="AO1048" s="7" t="str">
        <f>IFERROR(((VLOOKUP(Tabla1[[#This Row],[HIPOTESIS_1]],listas!$D$1:$E$105,2,FALSE))),"SIN INFORMACIÓN")</f>
        <v>No mantener distancia de seguridad.</v>
      </c>
      <c r="AP1048" s="7"/>
      <c r="AQ1048" s="36" t="str">
        <f>IFERROR(((VLOOKUP(Tabla1[[#This Row],[HIPOTESIS_2]],listas!$D$1:$E$105,2,FALSE))),"")</f>
        <v/>
      </c>
      <c r="AR1048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049" spans="1:44" s="5" customFormat="1" x14ac:dyDescent="0.25">
      <c r="A1049" s="12">
        <v>571</v>
      </c>
      <c r="B1049" s="7">
        <v>1</v>
      </c>
      <c r="C1049" s="7">
        <v>0</v>
      </c>
      <c r="D1049" s="7">
        <v>0</v>
      </c>
      <c r="E1049" s="18" t="str">
        <f t="shared" si="64"/>
        <v>SOLO DAÑO</v>
      </c>
      <c r="F1049" s="7" t="s">
        <v>198</v>
      </c>
      <c r="G1049" s="21">
        <v>5.3458847222222223</v>
      </c>
      <c r="H1049" s="21">
        <v>-72.402614166666666</v>
      </c>
      <c r="I1049" s="93" t="s">
        <v>697</v>
      </c>
      <c r="J1049" s="7" t="s">
        <v>717</v>
      </c>
      <c r="K1049" s="24" t="str">
        <f t="shared" si="65"/>
        <v>2023</v>
      </c>
      <c r="L1049" s="24" t="str">
        <f t="shared" si="66"/>
        <v>OCTUBRE</v>
      </c>
      <c r="M1049" s="232">
        <v>45204</v>
      </c>
      <c r="N1049" s="24" t="str">
        <f t="shared" si="67"/>
        <v>JUEVES</v>
      </c>
      <c r="O1049" s="106">
        <v>0.3611111111111111</v>
      </c>
      <c r="P1049" s="39" t="s">
        <v>445</v>
      </c>
      <c r="Q1049" s="39" t="s">
        <v>444</v>
      </c>
      <c r="R1049" s="36">
        <f>COUNTIF(Tabla1[[#This Row],[VEHICULOS_ACCIDENTADOS]:[VEHICULOS_ACCIDENTADOS2]],"MOTOCICLETA")</f>
        <v>0</v>
      </c>
      <c r="S1049" s="36">
        <f>COUNTIF(Tabla1[[#This Row],[VEHICULOS_ACCIDENTADOS]:[VEHICULOS_ACCIDENTADOS2]],"MOTOCARRO")</f>
        <v>0</v>
      </c>
      <c r="T1049" s="36">
        <f>COUNTIF(Tabla1[[#This Row],[VEHICULOS_ACCIDENTADOS]:[VEHICULOS_ACCIDENTADOS2]],"AUTOMOVIL")</f>
        <v>0</v>
      </c>
      <c r="U1049" s="36">
        <f>COUNTIF(Tabla1[[#This Row],[VEHICULOS_ACCIDENTADOS]:[VEHICULOS_ACCIDENTADOS2]],"CAMPERO")</f>
        <v>0</v>
      </c>
      <c r="V1049" s="36">
        <f>COUNTIF(Tabla1[[#This Row],[VEHICULOS_ACCIDENTADOS]:[VEHICULOS_ACCIDENTADOS2]],"CAMIONETA")</f>
        <v>1</v>
      </c>
      <c r="W1049" s="36">
        <f>COUNTIF(Tabla1[[#This Row],[VEHICULOS_ACCIDENTADOS]:[VEHICULOS_ACCIDENTADOS2]],"MICROBUS")</f>
        <v>1</v>
      </c>
      <c r="X1049" s="36">
        <f>COUNTIF(Tabla1[[#This Row],[VEHICULOS_ACCIDENTADOS]:[VEHICULOS_ACCIDENTADOS2]],"BUS")</f>
        <v>0</v>
      </c>
      <c r="Y1049" s="36">
        <f>COUNTIF(Tabla1[[#This Row],[VEHICULOS_ACCIDENTADOS]:[VEHICULOS_ACCIDENTADOS2]],"BUSETA")</f>
        <v>0</v>
      </c>
      <c r="Z1049" s="36">
        <f>COUNTIF(Tabla1[[#This Row],[VEHICULOS_ACCIDENTADOS]:[VEHICULOS_ACCIDENTADOS2]],"CAMION")</f>
        <v>0</v>
      </c>
      <c r="AA1049" s="36">
        <f>COUNTIF(Tabla1[[#This Row],[VEHICULOS_ACCIDENTADOS]:[VEHICULOS_ACCIDENTADOS2]],"TRACTOCAMION")</f>
        <v>0</v>
      </c>
      <c r="AB1049" s="36">
        <f>COUNTIF(Tabla1[[#This Row],[VEHICULOS_ACCIDENTADOS]:[VEHICULOS_ACCIDENTADOS2]],"VOLQUETA")</f>
        <v>0</v>
      </c>
      <c r="AC1049" s="36">
        <f>COUNTIF(Tabla1[[#This Row],[VEHICULOS_ACCIDENTADOS]:[VEHICULOS_ACCIDENTADOS2]],"BICICLETA")</f>
        <v>0</v>
      </c>
      <c r="AD1049" s="7" t="s">
        <v>471</v>
      </c>
      <c r="AE1049" s="7"/>
      <c r="AF1049" s="7">
        <f>COUNTIF(Tabla1[[#This Row],[GENERO_MASCULINO]:[GENERO_FEMENINO]],"MASCULINO")</f>
        <v>1</v>
      </c>
      <c r="AG1049" s="36">
        <f>COUNTIF(Tabla1[[#This Row],[GENERO_MASCULINO]:[GENERO_FEMENINO]],"FEMENINO")</f>
        <v>0</v>
      </c>
      <c r="AH1049" s="73"/>
      <c r="AI1049" s="73"/>
      <c r="AJ1049" s="73"/>
      <c r="AK1049" s="73"/>
      <c r="AL1049" s="73"/>
      <c r="AM1049" s="7"/>
      <c r="AN1049" s="73">
        <v>121</v>
      </c>
      <c r="AO1049" s="7" t="str">
        <f>IFERROR(((VLOOKUP(Tabla1[[#This Row],[HIPOTESIS_1]],listas!$D$1:$E$105,2,FALSE))),"SIN INFORMACIÓN")</f>
        <v>No mantener distancia de seguridad.</v>
      </c>
      <c r="AP1049" s="7"/>
      <c r="AQ1049" s="36" t="str">
        <f>IFERROR(((VLOOKUP(Tabla1[[#This Row],[HIPOTESIS_2]],listas!$D$1:$E$105,2,FALSE))),"")</f>
        <v/>
      </c>
      <c r="AR1049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050" spans="1:44" s="5" customFormat="1" x14ac:dyDescent="0.25">
      <c r="A1050" s="12">
        <v>473</v>
      </c>
      <c r="B1050" s="7">
        <v>1</v>
      </c>
      <c r="C1050" s="7">
        <v>0</v>
      </c>
      <c r="D1050" s="7">
        <v>0</v>
      </c>
      <c r="E1050" s="18" t="str">
        <f t="shared" si="64"/>
        <v>SOLO DAÑO</v>
      </c>
      <c r="F1050" s="9" t="s">
        <v>1026</v>
      </c>
      <c r="G1050" s="21">
        <v>5.3520777777777777</v>
      </c>
      <c r="H1050" s="160">
        <v>-72.403580555555564</v>
      </c>
      <c r="I1050" s="93" t="s">
        <v>697</v>
      </c>
      <c r="J1050" s="7" t="s">
        <v>717</v>
      </c>
      <c r="K1050" s="24" t="str">
        <f t="shared" si="65"/>
        <v>2023</v>
      </c>
      <c r="L1050" s="24" t="str">
        <f t="shared" si="66"/>
        <v>MAYO</v>
      </c>
      <c r="M1050" s="232">
        <v>45052</v>
      </c>
      <c r="N1050" s="24" t="str">
        <f t="shared" si="67"/>
        <v>SÁBADO</v>
      </c>
      <c r="O1050" s="106">
        <v>0.40277777777777773</v>
      </c>
      <c r="P1050" s="39" t="s">
        <v>440</v>
      </c>
      <c r="Q1050" s="39" t="s">
        <v>439</v>
      </c>
      <c r="R1050" s="36">
        <f>COUNTIF(Tabla1[[#This Row],[VEHICULOS_ACCIDENTADOS]:[VEHICULOS_ACCIDENTADOS2]],"MOTOCICLETA")</f>
        <v>0</v>
      </c>
      <c r="S1050" s="36">
        <f>COUNTIF(Tabla1[[#This Row],[VEHICULOS_ACCIDENTADOS]:[VEHICULOS_ACCIDENTADOS2]],"MOTOCARRO")</f>
        <v>0</v>
      </c>
      <c r="T1050" s="36">
        <f>COUNTIF(Tabla1[[#This Row],[VEHICULOS_ACCIDENTADOS]:[VEHICULOS_ACCIDENTADOS2]],"AUTOMOVIL")</f>
        <v>0</v>
      </c>
      <c r="U1050" s="36">
        <f>COUNTIF(Tabla1[[#This Row],[VEHICULOS_ACCIDENTADOS]:[VEHICULOS_ACCIDENTADOS2]],"CAMPERO")</f>
        <v>0</v>
      </c>
      <c r="V1050" s="36">
        <f>COUNTIF(Tabla1[[#This Row],[VEHICULOS_ACCIDENTADOS]:[VEHICULOS_ACCIDENTADOS2]],"CAMIONETA")</f>
        <v>0</v>
      </c>
      <c r="W1050" s="36">
        <f>COUNTIF(Tabla1[[#This Row],[VEHICULOS_ACCIDENTADOS]:[VEHICULOS_ACCIDENTADOS2]],"MICROBUS")</f>
        <v>0</v>
      </c>
      <c r="X1050" s="36">
        <f>COUNTIF(Tabla1[[#This Row],[VEHICULOS_ACCIDENTADOS]:[VEHICULOS_ACCIDENTADOS2]],"BUS")</f>
        <v>0</v>
      </c>
      <c r="Y1050" s="36">
        <f>COUNTIF(Tabla1[[#This Row],[VEHICULOS_ACCIDENTADOS]:[VEHICULOS_ACCIDENTADOS2]],"BUSETA")</f>
        <v>0</v>
      </c>
      <c r="Z1050" s="36">
        <f>COUNTIF(Tabla1[[#This Row],[VEHICULOS_ACCIDENTADOS]:[VEHICULOS_ACCIDENTADOS2]],"CAMION")</f>
        <v>0</v>
      </c>
      <c r="AA1050" s="36">
        <f>COUNTIF(Tabla1[[#This Row],[VEHICULOS_ACCIDENTADOS]:[VEHICULOS_ACCIDENTADOS2]],"TRACTOCAMION")</f>
        <v>1</v>
      </c>
      <c r="AB1050" s="36">
        <f>COUNTIF(Tabla1[[#This Row],[VEHICULOS_ACCIDENTADOS]:[VEHICULOS_ACCIDENTADOS2]],"VOLQUETA")</f>
        <v>1</v>
      </c>
      <c r="AC1050" s="36">
        <f>COUNTIF(Tabla1[[#This Row],[VEHICULOS_ACCIDENTADOS]:[VEHICULOS_ACCIDENTADOS2]],"BICICLETA")</f>
        <v>0</v>
      </c>
      <c r="AD1050" s="7"/>
      <c r="AE1050" s="7" t="s">
        <v>472</v>
      </c>
      <c r="AF1050" s="7">
        <f>COUNTIF(Tabla1[[#This Row],[GENERO_MASCULINO]:[GENERO_FEMENINO]],"MASCULINO")</f>
        <v>0</v>
      </c>
      <c r="AG1050" s="36">
        <f>COUNTIF(Tabla1[[#This Row],[GENERO_MASCULINO]:[GENERO_FEMENINO]],"FEMENINO")</f>
        <v>1</v>
      </c>
      <c r="AH1050" s="73"/>
      <c r="AI1050" s="73"/>
      <c r="AJ1050" s="73"/>
      <c r="AK1050" s="73"/>
      <c r="AL1050" s="73"/>
      <c r="AM1050" s="7"/>
      <c r="AN1050" s="73">
        <v>123</v>
      </c>
      <c r="AO1050" s="7" t="str">
        <f>IFERROR(((VLOOKUP(Tabla1[[#This Row],[HIPOTESIS_1]],listas!$D$1:$E$105,2,FALSE))),"SIN INFORMACIÓN")</f>
        <v>No respetar prelación de intersecciones o giros.</v>
      </c>
      <c r="AP1050" s="7"/>
      <c r="AQ1050" s="36" t="str">
        <f>IFERROR(((VLOOKUP(Tabla1[[#This Row],[HIPOTESIS_2]],listas!$D$1:$E$105,2,FALSE))),"")</f>
        <v/>
      </c>
      <c r="AR1050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051" spans="1:44" s="5" customFormat="1" x14ac:dyDescent="0.25">
      <c r="A1051" s="12">
        <v>1048</v>
      </c>
      <c r="B1051" s="24">
        <v>0</v>
      </c>
      <c r="C1051" s="24">
        <v>0</v>
      </c>
      <c r="D1051" s="24">
        <v>2</v>
      </c>
      <c r="E1051" s="18" t="str">
        <f t="shared" si="64"/>
        <v>FALLECIDO</v>
      </c>
      <c r="F1051" s="76" t="s">
        <v>777</v>
      </c>
      <c r="G1051" s="30">
        <v>5.2602421000000001</v>
      </c>
      <c r="H1051" s="74">
        <v>-72.482476300000002</v>
      </c>
      <c r="I1051" s="94" t="s">
        <v>662</v>
      </c>
      <c r="J1051" s="7" t="s">
        <v>1</v>
      </c>
      <c r="K1051" s="24" t="str">
        <f t="shared" si="65"/>
        <v>2025</v>
      </c>
      <c r="L1051" s="24" t="str">
        <f t="shared" si="66"/>
        <v>AGOSTO</v>
      </c>
      <c r="M1051" s="232">
        <v>45893</v>
      </c>
      <c r="N1051" s="24" t="str">
        <f t="shared" si="67"/>
        <v>DOMINGO</v>
      </c>
      <c r="O1051" s="106">
        <v>0.43055555555555558</v>
      </c>
      <c r="P1051" s="8" t="s">
        <v>469</v>
      </c>
      <c r="Q1051" s="8"/>
      <c r="R1051" s="36">
        <f>COUNTIF(Tabla1[[#This Row],[VEHICULOS_ACCIDENTADOS]:[VEHICULOS_ACCIDENTADOS2]],"MOTOCICLETA")</f>
        <v>1</v>
      </c>
      <c r="S1051" s="36">
        <f>COUNTIF(Tabla1[[#This Row],[VEHICULOS_ACCIDENTADOS]:[VEHICULOS_ACCIDENTADOS2]],"MOTOCARRO")</f>
        <v>0</v>
      </c>
      <c r="T1051" s="36">
        <f>COUNTIF(Tabla1[[#This Row],[VEHICULOS_ACCIDENTADOS]:[VEHICULOS_ACCIDENTADOS2]],"AUTOMOVIL")</f>
        <v>0</v>
      </c>
      <c r="U1051" s="36">
        <f>COUNTIF(Tabla1[[#This Row],[VEHICULOS_ACCIDENTADOS]:[VEHICULOS_ACCIDENTADOS2]],"CAMPERO")</f>
        <v>0</v>
      </c>
      <c r="V1051" s="36">
        <f>COUNTIF(Tabla1[[#This Row],[VEHICULOS_ACCIDENTADOS]:[VEHICULOS_ACCIDENTADOS2]],"CAMIONETA")</f>
        <v>0</v>
      </c>
      <c r="W1051" s="36">
        <f>COUNTIF(Tabla1[[#This Row],[VEHICULOS_ACCIDENTADOS]:[VEHICULOS_ACCIDENTADOS2]],"MICROBUS")</f>
        <v>0</v>
      </c>
      <c r="X1051" s="36">
        <f>COUNTIF(Tabla1[[#This Row],[VEHICULOS_ACCIDENTADOS]:[VEHICULOS_ACCIDENTADOS2]],"BUS")</f>
        <v>0</v>
      </c>
      <c r="Y1051" s="36">
        <f>COUNTIF(Tabla1[[#This Row],[VEHICULOS_ACCIDENTADOS]:[VEHICULOS_ACCIDENTADOS2]],"BUSETA")</f>
        <v>0</v>
      </c>
      <c r="Z1051" s="36">
        <f>COUNTIF(Tabla1[[#This Row],[VEHICULOS_ACCIDENTADOS]:[VEHICULOS_ACCIDENTADOS2]],"CAMION")</f>
        <v>0</v>
      </c>
      <c r="AA1051" s="36">
        <f>COUNTIF(Tabla1[[#This Row],[VEHICULOS_ACCIDENTADOS]:[VEHICULOS_ACCIDENTADOS2]],"TRACTOCAMION")</f>
        <v>0</v>
      </c>
      <c r="AB1051" s="36">
        <f>COUNTIF(Tabla1[[#This Row],[VEHICULOS_ACCIDENTADOS]:[VEHICULOS_ACCIDENTADOS2]],"VOLQUETA")</f>
        <v>0</v>
      </c>
      <c r="AC1051" s="36">
        <f>COUNTIF(Tabla1[[#This Row],[VEHICULOS_ACCIDENTADOS]:[VEHICULOS_ACCIDENTADOS2]],"BICICLETA")</f>
        <v>0</v>
      </c>
      <c r="AD1051" s="73" t="s">
        <v>472</v>
      </c>
      <c r="AE1051" s="73" t="s">
        <v>471</v>
      </c>
      <c r="AF1051" s="7">
        <f>COUNTIF(Tabla1[[#This Row],[GENERO_MASCULINO]:[GENERO_FEMENINO]],"MASCULINO")</f>
        <v>1</v>
      </c>
      <c r="AG1051" s="36">
        <f>COUNTIF(Tabla1[[#This Row],[GENERO_MASCULINO]:[GENERO_FEMENINO]],"FEMENINO")</f>
        <v>1</v>
      </c>
      <c r="AH1051" s="86">
        <v>19</v>
      </c>
      <c r="AI1051" s="86">
        <v>26</v>
      </c>
      <c r="AJ1051" s="86"/>
      <c r="AK1051" s="87"/>
      <c r="AL1051" s="87"/>
      <c r="AM1051" s="6"/>
      <c r="AN1051" s="73">
        <v>139</v>
      </c>
      <c r="AO1051" s="6" t="str">
        <f>IFERROR(((VLOOKUP(Tabla1[[#This Row],[HIPOTESIS_1]],listas!$D$1:$E$105,2,FALSE))),"SIN INFORMACIÓN")</f>
        <v>Impericia en el manejo.</v>
      </c>
      <c r="AP1051" s="7"/>
      <c r="AQ1051" s="36" t="str">
        <f>IFERROR(((VLOOKUP(Tabla1[[#This Row],[HIPOTESIS_2]],listas!$D$1:$E$105,2,FALSE))),"")</f>
        <v/>
      </c>
      <c r="AR1051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052" spans="1:44" s="5" customFormat="1" x14ac:dyDescent="0.25">
      <c r="A1052" s="12">
        <v>248</v>
      </c>
      <c r="B1052" s="7">
        <v>1</v>
      </c>
      <c r="C1052" s="7">
        <v>0</v>
      </c>
      <c r="D1052" s="7">
        <v>0</v>
      </c>
      <c r="E1052" s="18" t="str">
        <f t="shared" si="64"/>
        <v>SOLO DAÑO</v>
      </c>
      <c r="F1052" s="211" t="s">
        <v>341</v>
      </c>
      <c r="G1052" s="17">
        <v>5.358344166666666</v>
      </c>
      <c r="H1052" s="159">
        <v>-72.38868305555556</v>
      </c>
      <c r="I1052" s="93" t="s">
        <v>697</v>
      </c>
      <c r="J1052" s="7" t="s">
        <v>717</v>
      </c>
      <c r="K1052" s="24" t="str">
        <f t="shared" si="65"/>
        <v>2022</v>
      </c>
      <c r="L1052" s="24" t="str">
        <f t="shared" si="66"/>
        <v>JULIO</v>
      </c>
      <c r="M1052" s="232">
        <v>44754</v>
      </c>
      <c r="N1052" s="24" t="str">
        <f t="shared" si="67"/>
        <v>MARTES</v>
      </c>
      <c r="O1052" s="174">
        <v>0.61111111111111116</v>
      </c>
      <c r="P1052" s="180" t="s">
        <v>441</v>
      </c>
      <c r="Q1052" s="180"/>
      <c r="R1052" s="36">
        <f>COUNTIF(Tabla1[[#This Row],[VEHICULOS_ACCIDENTADOS]:[VEHICULOS_ACCIDENTADOS2]],"MOTOCICLETA")</f>
        <v>0</v>
      </c>
      <c r="S1052" s="36">
        <f>COUNTIF(Tabla1[[#This Row],[VEHICULOS_ACCIDENTADOS]:[VEHICULOS_ACCIDENTADOS2]],"MOTOCARRO")</f>
        <v>0</v>
      </c>
      <c r="T1052" s="36">
        <f>COUNTIF(Tabla1[[#This Row],[VEHICULOS_ACCIDENTADOS]:[VEHICULOS_ACCIDENTADOS2]],"AUTOMOVIL")</f>
        <v>0</v>
      </c>
      <c r="U1052" s="36">
        <f>COUNTIF(Tabla1[[#This Row],[VEHICULOS_ACCIDENTADOS]:[VEHICULOS_ACCIDENTADOS2]],"CAMPERO")</f>
        <v>0</v>
      </c>
      <c r="V1052" s="36">
        <f>COUNTIF(Tabla1[[#This Row],[VEHICULOS_ACCIDENTADOS]:[VEHICULOS_ACCIDENTADOS2]],"CAMIONETA")</f>
        <v>0</v>
      </c>
      <c r="W1052" s="36">
        <f>COUNTIF(Tabla1[[#This Row],[VEHICULOS_ACCIDENTADOS]:[VEHICULOS_ACCIDENTADOS2]],"MICROBUS")</f>
        <v>0</v>
      </c>
      <c r="X1052" s="36">
        <f>COUNTIF(Tabla1[[#This Row],[VEHICULOS_ACCIDENTADOS]:[VEHICULOS_ACCIDENTADOS2]],"BUS")</f>
        <v>0</v>
      </c>
      <c r="Y1052" s="36">
        <f>COUNTIF(Tabla1[[#This Row],[VEHICULOS_ACCIDENTADOS]:[VEHICULOS_ACCIDENTADOS2]],"BUSETA")</f>
        <v>0</v>
      </c>
      <c r="Z1052" s="36">
        <f>COUNTIF(Tabla1[[#This Row],[VEHICULOS_ACCIDENTADOS]:[VEHICULOS_ACCIDENTADOS2]],"CAMION")</f>
        <v>1</v>
      </c>
      <c r="AA1052" s="36">
        <f>COUNTIF(Tabla1[[#This Row],[VEHICULOS_ACCIDENTADOS]:[VEHICULOS_ACCIDENTADOS2]],"TRACTOCAMION")</f>
        <v>0</v>
      </c>
      <c r="AB1052" s="36">
        <f>COUNTIF(Tabla1[[#This Row],[VEHICULOS_ACCIDENTADOS]:[VEHICULOS_ACCIDENTADOS2]],"VOLQUETA")</f>
        <v>0</v>
      </c>
      <c r="AC1052" s="36">
        <f>COUNTIF(Tabla1[[#This Row],[VEHICULOS_ACCIDENTADOS]:[VEHICULOS_ACCIDENTADOS2]],"BICICLETA")</f>
        <v>0</v>
      </c>
      <c r="AD1052" s="7"/>
      <c r="AE1052" s="7" t="s">
        <v>472</v>
      </c>
      <c r="AF1052" s="7">
        <f>COUNTIF(Tabla1[[#This Row],[GENERO_MASCULINO]:[GENERO_FEMENINO]],"MASCULINO")</f>
        <v>0</v>
      </c>
      <c r="AG1052" s="36">
        <f>COUNTIF(Tabla1[[#This Row],[GENERO_MASCULINO]:[GENERO_FEMENINO]],"FEMENINO")</f>
        <v>1</v>
      </c>
      <c r="AH1052" s="73"/>
      <c r="AI1052" s="73"/>
      <c r="AJ1052" s="87"/>
      <c r="AK1052" s="73"/>
      <c r="AL1052" s="73"/>
      <c r="AM1052" s="7"/>
      <c r="AN1052" s="73">
        <v>157</v>
      </c>
      <c r="AO1052" s="7" t="str">
        <f>IFERROR(((VLOOKUP(Tabla1[[#This Row],[HIPOTESIS_1]],listas!$D$1:$E$105,2,FALSE))),"SIN INFORMACIÓN")</f>
        <v>Otra</v>
      </c>
      <c r="AP1052" s="7"/>
      <c r="AQ1052" s="36" t="str">
        <f>IFERROR(((VLOOKUP(Tabla1[[#This Row],[HIPOTESIS_2]],listas!$D$1:$E$105,2,FALSE))),"")</f>
        <v/>
      </c>
      <c r="AR1052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053" spans="1:44" s="5" customFormat="1" x14ac:dyDescent="0.25">
      <c r="A1053" s="12">
        <v>879</v>
      </c>
      <c r="B1053" s="46">
        <v>0</v>
      </c>
      <c r="C1053" s="46">
        <v>0</v>
      </c>
      <c r="D1053" s="19">
        <v>1</v>
      </c>
      <c r="E1053" s="18" t="str">
        <f t="shared" si="64"/>
        <v>FALLECIDO</v>
      </c>
      <c r="F1053" s="147" t="s">
        <v>704</v>
      </c>
      <c r="G1053" s="21">
        <v>5.3201159999999996</v>
      </c>
      <c r="H1053" s="160">
        <v>-72.276144000000002</v>
      </c>
      <c r="I1053" s="94" t="s">
        <v>662</v>
      </c>
      <c r="J1053" s="45" t="s">
        <v>1</v>
      </c>
      <c r="K1053" s="24" t="str">
        <f t="shared" si="65"/>
        <v>2025</v>
      </c>
      <c r="L1053" s="24" t="str">
        <f t="shared" si="66"/>
        <v>FEBRERO</v>
      </c>
      <c r="M1053" s="234">
        <v>45709</v>
      </c>
      <c r="N1053" s="24" t="str">
        <f t="shared" si="67"/>
        <v>VIERNES</v>
      </c>
      <c r="O1053" s="108">
        <v>0.38541666666666669</v>
      </c>
      <c r="P1053" s="44" t="s">
        <v>469</v>
      </c>
      <c r="Q1053" s="44"/>
      <c r="R1053" s="36">
        <f>COUNTIF(Tabla1[[#This Row],[VEHICULOS_ACCIDENTADOS]:[VEHICULOS_ACCIDENTADOS2]],"MOTOCICLETA")</f>
        <v>1</v>
      </c>
      <c r="S1053" s="36">
        <f>COUNTIF(Tabla1[[#This Row],[VEHICULOS_ACCIDENTADOS]:[VEHICULOS_ACCIDENTADOS2]],"MOTOCARRO")</f>
        <v>0</v>
      </c>
      <c r="T1053" s="36">
        <f>COUNTIF(Tabla1[[#This Row],[VEHICULOS_ACCIDENTADOS]:[VEHICULOS_ACCIDENTADOS2]],"AUTOMOVIL")</f>
        <v>0</v>
      </c>
      <c r="U1053" s="36">
        <f>COUNTIF(Tabla1[[#This Row],[VEHICULOS_ACCIDENTADOS]:[VEHICULOS_ACCIDENTADOS2]],"CAMPERO")</f>
        <v>0</v>
      </c>
      <c r="V1053" s="36">
        <f>COUNTIF(Tabla1[[#This Row],[VEHICULOS_ACCIDENTADOS]:[VEHICULOS_ACCIDENTADOS2]],"CAMIONETA")</f>
        <v>0</v>
      </c>
      <c r="W1053" s="36">
        <f>COUNTIF(Tabla1[[#This Row],[VEHICULOS_ACCIDENTADOS]:[VEHICULOS_ACCIDENTADOS2]],"MICROBUS")</f>
        <v>0</v>
      </c>
      <c r="X1053" s="36">
        <f>COUNTIF(Tabla1[[#This Row],[VEHICULOS_ACCIDENTADOS]:[VEHICULOS_ACCIDENTADOS2]],"BUS")</f>
        <v>0</v>
      </c>
      <c r="Y1053" s="36">
        <f>COUNTIF(Tabla1[[#This Row],[VEHICULOS_ACCIDENTADOS]:[VEHICULOS_ACCIDENTADOS2]],"BUSETA")</f>
        <v>0</v>
      </c>
      <c r="Z1053" s="36">
        <f>COUNTIF(Tabla1[[#This Row],[VEHICULOS_ACCIDENTADOS]:[VEHICULOS_ACCIDENTADOS2]],"CAMION")</f>
        <v>0</v>
      </c>
      <c r="AA1053" s="36">
        <f>COUNTIF(Tabla1[[#This Row],[VEHICULOS_ACCIDENTADOS]:[VEHICULOS_ACCIDENTADOS2]],"TRACTOCAMION")</f>
        <v>0</v>
      </c>
      <c r="AB1053" s="36">
        <f>COUNTIF(Tabla1[[#This Row],[VEHICULOS_ACCIDENTADOS]:[VEHICULOS_ACCIDENTADOS2]],"VOLQUETA")</f>
        <v>0</v>
      </c>
      <c r="AC1053" s="36">
        <f>COUNTIF(Tabla1[[#This Row],[VEHICULOS_ACCIDENTADOS]:[VEHICULOS_ACCIDENTADOS2]],"BICICLETA")</f>
        <v>0</v>
      </c>
      <c r="AD1053" s="7"/>
      <c r="AE1053" s="7"/>
      <c r="AF1053" s="7">
        <f>COUNTIF(Tabla1[[#This Row],[GENERO_MASCULINO]:[GENERO_FEMENINO]],"MASCULINO")</f>
        <v>0</v>
      </c>
      <c r="AG1053" s="36">
        <f>COUNTIF(Tabla1[[#This Row],[GENERO_MASCULINO]:[GENERO_FEMENINO]],"FEMENINO")</f>
        <v>0</v>
      </c>
      <c r="AH1053" s="86"/>
      <c r="AI1053" s="86"/>
      <c r="AJ1053" s="86"/>
      <c r="AK1053" s="86"/>
      <c r="AL1053" s="86"/>
      <c r="AM1053" s="15"/>
      <c r="AN1053" s="86">
        <v>139</v>
      </c>
      <c r="AO1053" s="7" t="str">
        <f>IFERROR(((VLOOKUP(Tabla1[[#This Row],[HIPOTESIS_1]],listas!$D$1:$E$105,2,FALSE))),"SIN INFORMACIÓN")</f>
        <v>Impericia en el manejo.</v>
      </c>
      <c r="AP1053" s="15"/>
      <c r="AQ1053" s="36" t="str">
        <f>IFERROR(((VLOOKUP(Tabla1[[#This Row],[HIPOTESIS_2]],listas!$D$1:$E$105,2,FALSE))),"")</f>
        <v/>
      </c>
      <c r="AR1053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054" spans="1:44" s="5" customFormat="1" x14ac:dyDescent="0.25">
      <c r="A1054" s="12">
        <v>689</v>
      </c>
      <c r="B1054" s="7">
        <v>0</v>
      </c>
      <c r="C1054" s="15">
        <v>0</v>
      </c>
      <c r="D1054" s="19">
        <v>1</v>
      </c>
      <c r="E1054" s="18" t="str">
        <f t="shared" si="64"/>
        <v>FALLECIDO</v>
      </c>
      <c r="F1054" s="14" t="s">
        <v>118</v>
      </c>
      <c r="G1054" s="21">
        <v>5.4251297222222226</v>
      </c>
      <c r="H1054" s="160">
        <v>-72.311127222222225</v>
      </c>
      <c r="I1054" s="94" t="s">
        <v>662</v>
      </c>
      <c r="J1054" s="15" t="s">
        <v>1</v>
      </c>
      <c r="K1054" s="24" t="str">
        <f t="shared" si="65"/>
        <v>2024</v>
      </c>
      <c r="L1054" s="24" t="str">
        <f t="shared" si="66"/>
        <v>ABRIL</v>
      </c>
      <c r="M1054" s="234">
        <v>45389</v>
      </c>
      <c r="N1054" s="24" t="str">
        <f t="shared" si="67"/>
        <v>DOMINGO</v>
      </c>
      <c r="O1054" s="108">
        <v>0.55555555555555558</v>
      </c>
      <c r="P1054" s="44" t="s">
        <v>469</v>
      </c>
      <c r="Q1054" s="44"/>
      <c r="R1054" s="36">
        <f>COUNTIF(Tabla1[[#This Row],[VEHICULOS_ACCIDENTADOS]:[VEHICULOS_ACCIDENTADOS2]],"MOTOCICLETA")</f>
        <v>1</v>
      </c>
      <c r="S1054" s="36">
        <f>COUNTIF(Tabla1[[#This Row],[VEHICULOS_ACCIDENTADOS]:[VEHICULOS_ACCIDENTADOS2]],"MOTOCARRO")</f>
        <v>0</v>
      </c>
      <c r="T1054" s="36">
        <f>COUNTIF(Tabla1[[#This Row],[VEHICULOS_ACCIDENTADOS]:[VEHICULOS_ACCIDENTADOS2]],"AUTOMOVIL")</f>
        <v>0</v>
      </c>
      <c r="U1054" s="36">
        <f>COUNTIF(Tabla1[[#This Row],[VEHICULOS_ACCIDENTADOS]:[VEHICULOS_ACCIDENTADOS2]],"CAMPERO")</f>
        <v>0</v>
      </c>
      <c r="V1054" s="36">
        <f>COUNTIF(Tabla1[[#This Row],[VEHICULOS_ACCIDENTADOS]:[VEHICULOS_ACCIDENTADOS2]],"CAMIONETA")</f>
        <v>0</v>
      </c>
      <c r="W1054" s="36">
        <f>COUNTIF(Tabla1[[#This Row],[VEHICULOS_ACCIDENTADOS]:[VEHICULOS_ACCIDENTADOS2]],"MICROBUS")</f>
        <v>0</v>
      </c>
      <c r="X1054" s="36">
        <f>COUNTIF(Tabla1[[#This Row],[VEHICULOS_ACCIDENTADOS]:[VEHICULOS_ACCIDENTADOS2]],"BUS")</f>
        <v>0</v>
      </c>
      <c r="Y1054" s="36">
        <f>COUNTIF(Tabla1[[#This Row],[VEHICULOS_ACCIDENTADOS]:[VEHICULOS_ACCIDENTADOS2]],"BUSETA")</f>
        <v>0</v>
      </c>
      <c r="Z1054" s="36">
        <f>COUNTIF(Tabla1[[#This Row],[VEHICULOS_ACCIDENTADOS]:[VEHICULOS_ACCIDENTADOS2]],"CAMION")</f>
        <v>0</v>
      </c>
      <c r="AA1054" s="36">
        <f>COUNTIF(Tabla1[[#This Row],[VEHICULOS_ACCIDENTADOS]:[VEHICULOS_ACCIDENTADOS2]],"TRACTOCAMION")</f>
        <v>0</v>
      </c>
      <c r="AB1054" s="36">
        <f>COUNTIF(Tabla1[[#This Row],[VEHICULOS_ACCIDENTADOS]:[VEHICULOS_ACCIDENTADOS2]],"VOLQUETA")</f>
        <v>0</v>
      </c>
      <c r="AC1054" s="36">
        <f>COUNTIF(Tabla1[[#This Row],[VEHICULOS_ACCIDENTADOS]:[VEHICULOS_ACCIDENTADOS2]],"BICICLETA")</f>
        <v>0</v>
      </c>
      <c r="AD1054" s="7"/>
      <c r="AE1054" s="7" t="s">
        <v>472</v>
      </c>
      <c r="AF1054" s="7">
        <f>COUNTIF(Tabla1[[#This Row],[GENERO_MASCULINO]:[GENERO_FEMENINO]],"MASCULINO")</f>
        <v>0</v>
      </c>
      <c r="AG1054" s="36">
        <f>COUNTIF(Tabla1[[#This Row],[GENERO_MASCULINO]:[GENERO_FEMENINO]],"FEMENINO")</f>
        <v>1</v>
      </c>
      <c r="AH1054" s="86"/>
      <c r="AI1054" s="86"/>
      <c r="AJ1054" s="86"/>
      <c r="AK1054" s="86"/>
      <c r="AL1054" s="86"/>
      <c r="AM1054" s="15"/>
      <c r="AN1054" s="86">
        <v>157</v>
      </c>
      <c r="AO1054" s="7" t="str">
        <f>IFERROR(((VLOOKUP(Tabla1[[#This Row],[HIPOTESIS_1]],listas!$D$1:$E$105,2,FALSE))),"SIN INFORMACIÓN")</f>
        <v>Otra</v>
      </c>
      <c r="AP1054" s="15"/>
      <c r="AQ1054" s="36" t="str">
        <f>IFERROR(((VLOOKUP(Tabla1[[#This Row],[HIPOTESIS_2]],listas!$D$1:$E$105,2,FALSE))),"")</f>
        <v/>
      </c>
      <c r="AR1054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055" spans="1:44" s="5" customFormat="1" x14ac:dyDescent="0.25">
      <c r="A1055" s="12">
        <v>755</v>
      </c>
      <c r="B1055" s="15">
        <v>0</v>
      </c>
      <c r="C1055" s="15">
        <v>0</v>
      </c>
      <c r="D1055" s="19">
        <v>1</v>
      </c>
      <c r="E1055" s="18" t="str">
        <f t="shared" si="64"/>
        <v>FALLECIDO</v>
      </c>
      <c r="F1055" s="14" t="s">
        <v>118</v>
      </c>
      <c r="G1055" s="21">
        <v>5.3718944444444441</v>
      </c>
      <c r="H1055" s="160">
        <v>-72.367647222222217</v>
      </c>
      <c r="I1055" s="94" t="s">
        <v>662</v>
      </c>
      <c r="J1055" s="15" t="s">
        <v>1</v>
      </c>
      <c r="K1055" s="24" t="str">
        <f t="shared" si="65"/>
        <v>2024</v>
      </c>
      <c r="L1055" s="24" t="str">
        <f t="shared" si="66"/>
        <v>JULIO</v>
      </c>
      <c r="M1055" s="234">
        <v>45503</v>
      </c>
      <c r="N1055" s="24" t="str">
        <f t="shared" si="67"/>
        <v>MARTES</v>
      </c>
      <c r="O1055" s="108">
        <v>0.22916666666666666</v>
      </c>
      <c r="P1055" s="44" t="s">
        <v>469</v>
      </c>
      <c r="Q1055" s="44"/>
      <c r="R1055" s="36">
        <f>COUNTIF(Tabla1[[#This Row],[VEHICULOS_ACCIDENTADOS]:[VEHICULOS_ACCIDENTADOS2]],"MOTOCICLETA")</f>
        <v>1</v>
      </c>
      <c r="S1055" s="36">
        <f>COUNTIF(Tabla1[[#This Row],[VEHICULOS_ACCIDENTADOS]:[VEHICULOS_ACCIDENTADOS2]],"MOTOCARRO")</f>
        <v>0</v>
      </c>
      <c r="T1055" s="36">
        <f>COUNTIF(Tabla1[[#This Row],[VEHICULOS_ACCIDENTADOS]:[VEHICULOS_ACCIDENTADOS2]],"AUTOMOVIL")</f>
        <v>0</v>
      </c>
      <c r="U1055" s="36">
        <f>COUNTIF(Tabla1[[#This Row],[VEHICULOS_ACCIDENTADOS]:[VEHICULOS_ACCIDENTADOS2]],"CAMPERO")</f>
        <v>0</v>
      </c>
      <c r="V1055" s="36">
        <f>COUNTIF(Tabla1[[#This Row],[VEHICULOS_ACCIDENTADOS]:[VEHICULOS_ACCIDENTADOS2]],"CAMIONETA")</f>
        <v>0</v>
      </c>
      <c r="W1055" s="36">
        <f>COUNTIF(Tabla1[[#This Row],[VEHICULOS_ACCIDENTADOS]:[VEHICULOS_ACCIDENTADOS2]],"MICROBUS")</f>
        <v>0</v>
      </c>
      <c r="X1055" s="36">
        <f>COUNTIF(Tabla1[[#This Row],[VEHICULOS_ACCIDENTADOS]:[VEHICULOS_ACCIDENTADOS2]],"BUS")</f>
        <v>0</v>
      </c>
      <c r="Y1055" s="36">
        <f>COUNTIF(Tabla1[[#This Row],[VEHICULOS_ACCIDENTADOS]:[VEHICULOS_ACCIDENTADOS2]],"BUSETA")</f>
        <v>0</v>
      </c>
      <c r="Z1055" s="36">
        <f>COUNTIF(Tabla1[[#This Row],[VEHICULOS_ACCIDENTADOS]:[VEHICULOS_ACCIDENTADOS2]],"CAMION")</f>
        <v>0</v>
      </c>
      <c r="AA1055" s="36">
        <f>COUNTIF(Tabla1[[#This Row],[VEHICULOS_ACCIDENTADOS]:[VEHICULOS_ACCIDENTADOS2]],"TRACTOCAMION")</f>
        <v>0</v>
      </c>
      <c r="AB1055" s="36">
        <f>COUNTIF(Tabla1[[#This Row],[VEHICULOS_ACCIDENTADOS]:[VEHICULOS_ACCIDENTADOS2]],"VOLQUETA")</f>
        <v>0</v>
      </c>
      <c r="AC1055" s="36">
        <f>COUNTIF(Tabla1[[#This Row],[VEHICULOS_ACCIDENTADOS]:[VEHICULOS_ACCIDENTADOS2]],"BICICLETA")</f>
        <v>0</v>
      </c>
      <c r="AD1055" s="7"/>
      <c r="AE1055" s="7" t="s">
        <v>472</v>
      </c>
      <c r="AF1055" s="7">
        <f>COUNTIF(Tabla1[[#This Row],[GENERO_MASCULINO]:[GENERO_FEMENINO]],"MASCULINO")</f>
        <v>0</v>
      </c>
      <c r="AG1055" s="36">
        <f>COUNTIF(Tabla1[[#This Row],[GENERO_MASCULINO]:[GENERO_FEMENINO]],"FEMENINO")</f>
        <v>1</v>
      </c>
      <c r="AH1055" s="256"/>
      <c r="AI1055" s="256"/>
      <c r="AJ1055" s="256"/>
      <c r="AK1055" s="256"/>
      <c r="AL1055" s="256"/>
      <c r="AM1055" s="257"/>
      <c r="AN1055" s="86">
        <v>1</v>
      </c>
      <c r="AO1055" s="7" t="str">
        <f>IFERROR(((VLOOKUP(Tabla1[[#This Row],[HIPOTESIS_1]],listas!$D$1:$E$105,2,FALSE))),"SIN INFORMACIÓN")</f>
        <v>SIN INFORMACIÓN</v>
      </c>
      <c r="AP1055" s="15"/>
      <c r="AQ1055" s="36" t="str">
        <f>IFERROR(((VLOOKUP(Tabla1[[#This Row],[HIPOTESIS_2]],listas!$D$1:$E$105,2,FALSE))),"")</f>
        <v/>
      </c>
      <c r="AR1055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056" spans="1:44" s="5" customFormat="1" x14ac:dyDescent="0.25">
      <c r="A1056" s="12">
        <v>769</v>
      </c>
      <c r="B1056" s="14">
        <v>0</v>
      </c>
      <c r="C1056" s="14">
        <v>0</v>
      </c>
      <c r="D1056" s="147">
        <v>1</v>
      </c>
      <c r="E1056" s="18" t="str">
        <f t="shared" si="64"/>
        <v>FALLECIDO</v>
      </c>
      <c r="F1056" s="14" t="s">
        <v>118</v>
      </c>
      <c r="G1056" s="21">
        <v>5.4217555555555554</v>
      </c>
      <c r="H1056" s="160">
        <v>-72.310488888888884</v>
      </c>
      <c r="I1056" s="94" t="s">
        <v>662</v>
      </c>
      <c r="J1056" s="14" t="s">
        <v>1</v>
      </c>
      <c r="K1056" s="76" t="str">
        <f t="shared" si="65"/>
        <v>2024</v>
      </c>
      <c r="L1056" s="76" t="str">
        <f t="shared" si="66"/>
        <v>AGOSTO</v>
      </c>
      <c r="M1056" s="234">
        <v>45526</v>
      </c>
      <c r="N1056" s="76" t="str">
        <f t="shared" si="67"/>
        <v>JUEVES</v>
      </c>
      <c r="O1056" s="173">
        <v>0.97291666666666676</v>
      </c>
      <c r="P1056" s="179" t="s">
        <v>469</v>
      </c>
      <c r="Q1056" s="179"/>
      <c r="R1056" s="36">
        <f>COUNTIF(Tabla1[[#This Row],[VEHICULOS_ACCIDENTADOS]:[VEHICULOS_ACCIDENTADOS2]],"MOTOCICLETA")</f>
        <v>1</v>
      </c>
      <c r="S1056" s="36">
        <f>COUNTIF(Tabla1[[#This Row],[VEHICULOS_ACCIDENTADOS]:[VEHICULOS_ACCIDENTADOS2]],"MOTOCARRO")</f>
        <v>0</v>
      </c>
      <c r="T1056" s="36">
        <f>COUNTIF(Tabla1[[#This Row],[VEHICULOS_ACCIDENTADOS]:[VEHICULOS_ACCIDENTADOS2]],"AUTOMOVIL")</f>
        <v>0</v>
      </c>
      <c r="U1056" s="36">
        <f>COUNTIF(Tabla1[[#This Row],[VEHICULOS_ACCIDENTADOS]:[VEHICULOS_ACCIDENTADOS2]],"CAMPERO")</f>
        <v>0</v>
      </c>
      <c r="V1056" s="36">
        <f>COUNTIF(Tabla1[[#This Row],[VEHICULOS_ACCIDENTADOS]:[VEHICULOS_ACCIDENTADOS2]],"CAMIONETA")</f>
        <v>0</v>
      </c>
      <c r="W1056" s="36">
        <f>COUNTIF(Tabla1[[#This Row],[VEHICULOS_ACCIDENTADOS]:[VEHICULOS_ACCIDENTADOS2]],"MICROBUS")</f>
        <v>0</v>
      </c>
      <c r="X1056" s="36">
        <f>COUNTIF(Tabla1[[#This Row],[VEHICULOS_ACCIDENTADOS]:[VEHICULOS_ACCIDENTADOS2]],"BUS")</f>
        <v>0</v>
      </c>
      <c r="Y1056" s="36">
        <f>COUNTIF(Tabla1[[#This Row],[VEHICULOS_ACCIDENTADOS]:[VEHICULOS_ACCIDENTADOS2]],"BUSETA")</f>
        <v>0</v>
      </c>
      <c r="Z1056" s="36">
        <f>COUNTIF(Tabla1[[#This Row],[VEHICULOS_ACCIDENTADOS]:[VEHICULOS_ACCIDENTADOS2]],"CAMION")</f>
        <v>0</v>
      </c>
      <c r="AA1056" s="36">
        <f>COUNTIF(Tabla1[[#This Row],[VEHICULOS_ACCIDENTADOS]:[VEHICULOS_ACCIDENTADOS2]],"TRACTOCAMION")</f>
        <v>0</v>
      </c>
      <c r="AB1056" s="36">
        <f>COUNTIF(Tabla1[[#This Row],[VEHICULOS_ACCIDENTADOS]:[VEHICULOS_ACCIDENTADOS2]],"VOLQUETA")</f>
        <v>0</v>
      </c>
      <c r="AC1056" s="36">
        <f>COUNTIF(Tabla1[[#This Row],[VEHICULOS_ACCIDENTADOS]:[VEHICULOS_ACCIDENTADOS2]],"BICICLETA")</f>
        <v>0</v>
      </c>
      <c r="AD1056" s="9" t="s">
        <v>471</v>
      </c>
      <c r="AE1056" s="9" t="s">
        <v>472</v>
      </c>
      <c r="AF1056" s="9">
        <f>COUNTIF(Tabla1[[#This Row],[GENERO_MASCULINO]:[GENERO_FEMENINO]],"MASCULINO")</f>
        <v>1</v>
      </c>
      <c r="AG1056" s="36">
        <f>COUNTIF(Tabla1[[#This Row],[GENERO_MASCULINO]:[GENERO_FEMENINO]],"FEMENINO")</f>
        <v>1</v>
      </c>
      <c r="AH1056" s="90"/>
      <c r="AI1056" s="90"/>
      <c r="AJ1056" s="90"/>
      <c r="AK1056" s="90"/>
      <c r="AL1056" s="90"/>
      <c r="AM1056" s="14"/>
      <c r="AN1056" s="90">
        <v>1</v>
      </c>
      <c r="AO1056" s="9" t="str">
        <f>IFERROR(((VLOOKUP(Tabla1[[#This Row],[HIPOTESIS_1]],listas!$D$1:$E$105,2,FALSE))),"SIN INFORMACIÓN")</f>
        <v>SIN INFORMACIÓN</v>
      </c>
      <c r="AP1056" s="14"/>
      <c r="AQ1056" s="13" t="str">
        <f>IFERROR(((VLOOKUP(Tabla1[[#This Row],[HIPOTESIS_2]],listas!$D$1:$E$105,2,FALSE))),"")</f>
        <v/>
      </c>
      <c r="AR1056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057" spans="1:44" s="5" customFormat="1" x14ac:dyDescent="0.25">
      <c r="A1057" s="12">
        <v>590</v>
      </c>
      <c r="B1057" s="7">
        <v>0</v>
      </c>
      <c r="C1057" s="7">
        <v>0</v>
      </c>
      <c r="D1057" s="7">
        <v>1</v>
      </c>
      <c r="E1057" s="18" t="str">
        <f t="shared" si="64"/>
        <v>FALLECIDO</v>
      </c>
      <c r="F1057" s="7" t="s">
        <v>191</v>
      </c>
      <c r="G1057" s="21">
        <v>5.3583161111111108</v>
      </c>
      <c r="H1057" s="21">
        <v>-72.388962222222233</v>
      </c>
      <c r="I1057" s="21" t="s">
        <v>662</v>
      </c>
      <c r="J1057" s="7" t="s">
        <v>1</v>
      </c>
      <c r="K1057" s="24" t="str">
        <f t="shared" si="65"/>
        <v>2023</v>
      </c>
      <c r="L1057" s="24" t="str">
        <f t="shared" si="66"/>
        <v>OCTUBRE</v>
      </c>
      <c r="M1057" s="232">
        <v>45206</v>
      </c>
      <c r="N1057" s="24" t="str">
        <f t="shared" si="67"/>
        <v>SÁBADO</v>
      </c>
      <c r="O1057" s="106">
        <v>0.92152777777777772</v>
      </c>
      <c r="P1057" s="39" t="s">
        <v>469</v>
      </c>
      <c r="Q1057" s="39" t="s">
        <v>447</v>
      </c>
      <c r="R1057" s="36">
        <f>COUNTIF(Tabla1[[#This Row],[VEHICULOS_ACCIDENTADOS]:[VEHICULOS_ACCIDENTADOS2]],"MOTOCICLETA")</f>
        <v>1</v>
      </c>
      <c r="S1057" s="36">
        <f>COUNTIF(Tabla1[[#This Row],[VEHICULOS_ACCIDENTADOS]:[VEHICULOS_ACCIDENTADOS2]],"MOTOCARRO")</f>
        <v>0</v>
      </c>
      <c r="T1057" s="36">
        <f>COUNTIF(Tabla1[[#This Row],[VEHICULOS_ACCIDENTADOS]:[VEHICULOS_ACCIDENTADOS2]],"AUTOMOVIL")</f>
        <v>1</v>
      </c>
      <c r="U1057" s="36">
        <f>COUNTIF(Tabla1[[#This Row],[VEHICULOS_ACCIDENTADOS]:[VEHICULOS_ACCIDENTADOS2]],"CAMPERO")</f>
        <v>0</v>
      </c>
      <c r="V1057" s="36">
        <f>COUNTIF(Tabla1[[#This Row],[VEHICULOS_ACCIDENTADOS]:[VEHICULOS_ACCIDENTADOS2]],"CAMIONETA")</f>
        <v>0</v>
      </c>
      <c r="W1057" s="36">
        <f>COUNTIF(Tabla1[[#This Row],[VEHICULOS_ACCIDENTADOS]:[VEHICULOS_ACCIDENTADOS2]],"MICROBUS")</f>
        <v>0</v>
      </c>
      <c r="X1057" s="36">
        <f>COUNTIF(Tabla1[[#This Row],[VEHICULOS_ACCIDENTADOS]:[VEHICULOS_ACCIDENTADOS2]],"BUS")</f>
        <v>0</v>
      </c>
      <c r="Y1057" s="36">
        <f>COUNTIF(Tabla1[[#This Row],[VEHICULOS_ACCIDENTADOS]:[VEHICULOS_ACCIDENTADOS2]],"BUSETA")</f>
        <v>0</v>
      </c>
      <c r="Z1057" s="36">
        <f>COUNTIF(Tabla1[[#This Row],[VEHICULOS_ACCIDENTADOS]:[VEHICULOS_ACCIDENTADOS2]],"CAMION")</f>
        <v>0</v>
      </c>
      <c r="AA1057" s="36">
        <f>COUNTIF(Tabla1[[#This Row],[VEHICULOS_ACCIDENTADOS]:[VEHICULOS_ACCIDENTADOS2]],"TRACTOCAMION")</f>
        <v>0</v>
      </c>
      <c r="AB1057" s="36">
        <f>COUNTIF(Tabla1[[#This Row],[VEHICULOS_ACCIDENTADOS]:[VEHICULOS_ACCIDENTADOS2]],"VOLQUETA")</f>
        <v>0</v>
      </c>
      <c r="AC1057" s="36">
        <f>COUNTIF(Tabla1[[#This Row],[VEHICULOS_ACCIDENTADOS]:[VEHICULOS_ACCIDENTADOS2]],"BICICLETA")</f>
        <v>0</v>
      </c>
      <c r="AD1057" s="7"/>
      <c r="AE1057" s="7" t="s">
        <v>472</v>
      </c>
      <c r="AF1057" s="7">
        <f>COUNTIF(Tabla1[[#This Row],[GENERO_MASCULINO]:[GENERO_FEMENINO]],"MASCULINO")</f>
        <v>0</v>
      </c>
      <c r="AG1057" s="36">
        <f>COUNTIF(Tabla1[[#This Row],[GENERO_MASCULINO]:[GENERO_FEMENINO]],"FEMENINO")</f>
        <v>1</v>
      </c>
      <c r="AH1057" s="73"/>
      <c r="AI1057" s="73"/>
      <c r="AJ1057" s="87"/>
      <c r="AK1057" s="73"/>
      <c r="AL1057" s="73"/>
      <c r="AM1057" s="7"/>
      <c r="AN1057" s="73">
        <v>1</v>
      </c>
      <c r="AO1057" s="7" t="str">
        <f>IFERROR(((VLOOKUP(Tabla1[[#This Row],[HIPOTESIS_1]],listas!$D$1:$E$105,2,FALSE))),"SIN INFORMACIÓN")</f>
        <v>SIN INFORMACIÓN</v>
      </c>
      <c r="AP1057" s="7"/>
      <c r="AQ1057" s="36" t="str">
        <f>IFERROR(((VLOOKUP(Tabla1[[#This Row],[HIPOTESIS_2]],listas!$D$1:$E$105,2,FALSE))),"")</f>
        <v/>
      </c>
      <c r="AR1057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058" spans="1:44" s="5" customFormat="1" x14ac:dyDescent="0.25">
      <c r="A1058" s="12">
        <v>567</v>
      </c>
      <c r="B1058" s="32">
        <v>0</v>
      </c>
      <c r="C1058" s="32">
        <v>0</v>
      </c>
      <c r="D1058" s="32">
        <v>1</v>
      </c>
      <c r="E1058" s="18" t="str">
        <f t="shared" si="64"/>
        <v>FALLECIDO</v>
      </c>
      <c r="F1058" s="9" t="s">
        <v>201</v>
      </c>
      <c r="G1058" s="21">
        <v>5.4079802777777779</v>
      </c>
      <c r="H1058" s="21">
        <v>-72.31248027777778</v>
      </c>
      <c r="I1058" s="93" t="s">
        <v>697</v>
      </c>
      <c r="J1058" s="7" t="s">
        <v>717</v>
      </c>
      <c r="K1058" s="24" t="str">
        <f t="shared" si="65"/>
        <v>2023</v>
      </c>
      <c r="L1058" s="24" t="str">
        <f t="shared" si="66"/>
        <v>SEPTIEMBRE</v>
      </c>
      <c r="M1058" s="232">
        <v>45192</v>
      </c>
      <c r="N1058" s="24" t="str">
        <f t="shared" si="67"/>
        <v>SÁBADO</v>
      </c>
      <c r="O1058" s="174">
        <v>0.51736111111111116</v>
      </c>
      <c r="P1058" s="215" t="s">
        <v>469</v>
      </c>
      <c r="Q1058" s="215" t="s">
        <v>469</v>
      </c>
      <c r="R1058" s="36">
        <f>COUNTIF(Tabla1[[#This Row],[VEHICULOS_ACCIDENTADOS]:[VEHICULOS_ACCIDENTADOS2]],"MOTOCICLETA")</f>
        <v>2</v>
      </c>
      <c r="S1058" s="36">
        <f>COUNTIF(Tabla1[[#This Row],[VEHICULOS_ACCIDENTADOS]:[VEHICULOS_ACCIDENTADOS2]],"MOTOCARRO")</f>
        <v>0</v>
      </c>
      <c r="T1058" s="36">
        <f>COUNTIF(Tabla1[[#This Row],[VEHICULOS_ACCIDENTADOS]:[VEHICULOS_ACCIDENTADOS2]],"AUTOMOVIL")</f>
        <v>0</v>
      </c>
      <c r="U1058" s="36">
        <f>COUNTIF(Tabla1[[#This Row],[VEHICULOS_ACCIDENTADOS]:[VEHICULOS_ACCIDENTADOS2]],"CAMPERO")</f>
        <v>0</v>
      </c>
      <c r="V1058" s="36">
        <f>COUNTIF(Tabla1[[#This Row],[VEHICULOS_ACCIDENTADOS]:[VEHICULOS_ACCIDENTADOS2]],"CAMIONETA")</f>
        <v>0</v>
      </c>
      <c r="W1058" s="36">
        <f>COUNTIF(Tabla1[[#This Row],[VEHICULOS_ACCIDENTADOS]:[VEHICULOS_ACCIDENTADOS2]],"MICROBUS")</f>
        <v>0</v>
      </c>
      <c r="X1058" s="36">
        <f>COUNTIF(Tabla1[[#This Row],[VEHICULOS_ACCIDENTADOS]:[VEHICULOS_ACCIDENTADOS2]],"BUS")</f>
        <v>0</v>
      </c>
      <c r="Y1058" s="36">
        <f>COUNTIF(Tabla1[[#This Row],[VEHICULOS_ACCIDENTADOS]:[VEHICULOS_ACCIDENTADOS2]],"BUSETA")</f>
        <v>0</v>
      </c>
      <c r="Z1058" s="36">
        <f>COUNTIF(Tabla1[[#This Row],[VEHICULOS_ACCIDENTADOS]:[VEHICULOS_ACCIDENTADOS2]],"CAMION")</f>
        <v>0</v>
      </c>
      <c r="AA1058" s="36">
        <f>COUNTIF(Tabla1[[#This Row],[VEHICULOS_ACCIDENTADOS]:[VEHICULOS_ACCIDENTADOS2]],"TRACTOCAMION")</f>
        <v>0</v>
      </c>
      <c r="AB1058" s="36">
        <f>COUNTIF(Tabla1[[#This Row],[VEHICULOS_ACCIDENTADOS]:[VEHICULOS_ACCIDENTADOS2]],"VOLQUETA")</f>
        <v>0</v>
      </c>
      <c r="AC1058" s="36">
        <f>COUNTIF(Tabla1[[#This Row],[VEHICULOS_ACCIDENTADOS]:[VEHICULOS_ACCIDENTADOS2]],"BICICLETA")</f>
        <v>0</v>
      </c>
      <c r="AD1058" s="7"/>
      <c r="AE1058" s="7" t="s">
        <v>472</v>
      </c>
      <c r="AF1058" s="7">
        <f>COUNTIF(Tabla1[[#This Row],[GENERO_MASCULINO]:[GENERO_FEMENINO]],"MASCULINO")</f>
        <v>0</v>
      </c>
      <c r="AG1058" s="36">
        <f>COUNTIF(Tabla1[[#This Row],[GENERO_MASCULINO]:[GENERO_FEMENINO]],"FEMENINO")</f>
        <v>1</v>
      </c>
      <c r="AH1058" s="193"/>
      <c r="AI1058" s="193"/>
      <c r="AJ1058" s="193"/>
      <c r="AK1058" s="193"/>
      <c r="AL1058" s="193"/>
      <c r="AM1058" s="32"/>
      <c r="AN1058" s="193">
        <v>1</v>
      </c>
      <c r="AO1058" s="7" t="str">
        <f>IFERROR(((VLOOKUP(Tabla1[[#This Row],[HIPOTESIS_1]],listas!$D$1:$E$105,2,FALSE))),"SIN INFORMACIÓN")</f>
        <v>SIN INFORMACIÓN</v>
      </c>
      <c r="AP1058" s="32"/>
      <c r="AQ1058" s="36" t="str">
        <f>IFERROR(((VLOOKUP(Tabla1[[#This Row],[HIPOTESIS_2]],listas!$D$1:$E$105,2,FALSE))),"")</f>
        <v/>
      </c>
      <c r="AR1058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059" spans="1:44" s="5" customFormat="1" x14ac:dyDescent="0.25">
      <c r="A1059" s="12">
        <v>781</v>
      </c>
      <c r="B1059" s="7">
        <v>0</v>
      </c>
      <c r="C1059" s="7">
        <v>0</v>
      </c>
      <c r="D1059" s="42">
        <v>1</v>
      </c>
      <c r="E1059" s="18" t="str">
        <f t="shared" si="64"/>
        <v>FALLECIDO</v>
      </c>
      <c r="F1059" s="7" t="s">
        <v>113</v>
      </c>
      <c r="G1059" s="21">
        <v>5.1147091666666666</v>
      </c>
      <c r="H1059" s="21">
        <v>-72.166765833333343</v>
      </c>
      <c r="I1059" s="93" t="s">
        <v>697</v>
      </c>
      <c r="J1059" s="7" t="s">
        <v>1</v>
      </c>
      <c r="K1059" s="24" t="str">
        <f t="shared" si="65"/>
        <v>2024</v>
      </c>
      <c r="L1059" s="24" t="str">
        <f t="shared" si="66"/>
        <v>SEPTIEMBRE</v>
      </c>
      <c r="M1059" s="232">
        <v>45557</v>
      </c>
      <c r="N1059" s="24" t="str">
        <f t="shared" si="67"/>
        <v>DOMINGO</v>
      </c>
      <c r="O1059" s="106">
        <v>0.50624999999999998</v>
      </c>
      <c r="P1059" s="7" t="s">
        <v>469</v>
      </c>
      <c r="Q1059" s="7" t="s">
        <v>447</v>
      </c>
      <c r="R1059" s="36">
        <f>COUNTIF(Tabla1[[#This Row],[VEHICULOS_ACCIDENTADOS]:[VEHICULOS_ACCIDENTADOS2]],"MOTOCICLETA")</f>
        <v>1</v>
      </c>
      <c r="S1059" s="36">
        <f>COUNTIF(Tabla1[[#This Row],[VEHICULOS_ACCIDENTADOS]:[VEHICULOS_ACCIDENTADOS2]],"MOTOCARRO")</f>
        <v>0</v>
      </c>
      <c r="T1059" s="36">
        <f>COUNTIF(Tabla1[[#This Row],[VEHICULOS_ACCIDENTADOS]:[VEHICULOS_ACCIDENTADOS2]],"AUTOMOVIL")</f>
        <v>1</v>
      </c>
      <c r="U1059" s="36">
        <f>COUNTIF(Tabla1[[#This Row],[VEHICULOS_ACCIDENTADOS]:[VEHICULOS_ACCIDENTADOS2]],"CAMPERO")</f>
        <v>0</v>
      </c>
      <c r="V1059" s="36">
        <f>COUNTIF(Tabla1[[#This Row],[VEHICULOS_ACCIDENTADOS]:[VEHICULOS_ACCIDENTADOS2]],"CAMIONETA")</f>
        <v>0</v>
      </c>
      <c r="W1059" s="36">
        <f>COUNTIF(Tabla1[[#This Row],[VEHICULOS_ACCIDENTADOS]:[VEHICULOS_ACCIDENTADOS2]],"MICROBUS")</f>
        <v>0</v>
      </c>
      <c r="X1059" s="36">
        <f>COUNTIF(Tabla1[[#This Row],[VEHICULOS_ACCIDENTADOS]:[VEHICULOS_ACCIDENTADOS2]],"BUS")</f>
        <v>0</v>
      </c>
      <c r="Y1059" s="36">
        <f>COUNTIF(Tabla1[[#This Row],[VEHICULOS_ACCIDENTADOS]:[VEHICULOS_ACCIDENTADOS2]],"BUSETA")</f>
        <v>0</v>
      </c>
      <c r="Z1059" s="36">
        <f>COUNTIF(Tabla1[[#This Row],[VEHICULOS_ACCIDENTADOS]:[VEHICULOS_ACCIDENTADOS2]],"CAMION")</f>
        <v>0</v>
      </c>
      <c r="AA1059" s="36">
        <f>COUNTIF(Tabla1[[#This Row],[VEHICULOS_ACCIDENTADOS]:[VEHICULOS_ACCIDENTADOS2]],"TRACTOCAMION")</f>
        <v>0</v>
      </c>
      <c r="AB1059" s="36">
        <f>COUNTIF(Tabla1[[#This Row],[VEHICULOS_ACCIDENTADOS]:[VEHICULOS_ACCIDENTADOS2]],"VOLQUETA")</f>
        <v>0</v>
      </c>
      <c r="AC1059" s="36">
        <f>COUNTIF(Tabla1[[#This Row],[VEHICULOS_ACCIDENTADOS]:[VEHICULOS_ACCIDENTADOS2]],"BICICLETA")</f>
        <v>0</v>
      </c>
      <c r="AD1059" s="7"/>
      <c r="AE1059" s="7" t="s">
        <v>472</v>
      </c>
      <c r="AF1059" s="7">
        <f>COUNTIF(Tabla1[[#This Row],[GENERO_MASCULINO]:[GENERO_FEMENINO]],"MASCULINO")</f>
        <v>0</v>
      </c>
      <c r="AG1059" s="36">
        <f>COUNTIF(Tabla1[[#This Row],[GENERO_MASCULINO]:[GENERO_FEMENINO]],"FEMENINO")</f>
        <v>1</v>
      </c>
      <c r="AH1059" s="73"/>
      <c r="AI1059" s="73"/>
      <c r="AJ1059" s="73"/>
      <c r="AK1059" s="73"/>
      <c r="AL1059" s="73"/>
      <c r="AM1059" s="7"/>
      <c r="AN1059" s="73">
        <v>1</v>
      </c>
      <c r="AO1059" s="7" t="str">
        <f>IFERROR(((VLOOKUP(Tabla1[[#This Row],[HIPOTESIS_1]],listas!$D$1:$E$105,2,FALSE))),"SIN INFORMACIÓN")</f>
        <v>SIN INFORMACIÓN</v>
      </c>
      <c r="AP1059" s="7"/>
      <c r="AQ1059" s="36" t="str">
        <f>IFERROR(((VLOOKUP(Tabla1[[#This Row],[HIPOTESIS_2]],listas!$D$1:$E$105,2,FALSE))),"")</f>
        <v/>
      </c>
      <c r="AR1059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060" spans="1:44" s="5" customFormat="1" x14ac:dyDescent="0.25">
      <c r="A1060" s="12">
        <v>948</v>
      </c>
      <c r="B1060" s="16">
        <v>1</v>
      </c>
      <c r="C1060" s="15">
        <v>0</v>
      </c>
      <c r="D1060" s="15">
        <v>0</v>
      </c>
      <c r="E1060" s="18" t="str">
        <f t="shared" si="64"/>
        <v>SOLO DAÑO</v>
      </c>
      <c r="F1060" s="15" t="s">
        <v>37</v>
      </c>
      <c r="G1060" s="17">
        <v>5.334873</v>
      </c>
      <c r="H1060" s="17">
        <v>-72.402760000000001</v>
      </c>
      <c r="I1060" s="93" t="s">
        <v>697</v>
      </c>
      <c r="J1060" s="15" t="s">
        <v>717</v>
      </c>
      <c r="K1060" s="24" t="str">
        <f t="shared" si="65"/>
        <v>2025</v>
      </c>
      <c r="L1060" s="24" t="str">
        <f t="shared" si="66"/>
        <v>ABRIL</v>
      </c>
      <c r="M1060" s="234">
        <v>45770</v>
      </c>
      <c r="N1060" s="24" t="str">
        <f t="shared" si="67"/>
        <v>MIÉRCOLES</v>
      </c>
      <c r="O1060" s="108">
        <v>0.41666666666666669</v>
      </c>
      <c r="P1060" s="15" t="s">
        <v>447</v>
      </c>
      <c r="Q1060" s="15" t="s">
        <v>445</v>
      </c>
      <c r="R1060" s="36">
        <f>COUNTIF(Tabla1[[#This Row],[VEHICULOS_ACCIDENTADOS]:[VEHICULOS_ACCIDENTADOS2]],"MOTOCICLETA")</f>
        <v>0</v>
      </c>
      <c r="S1060" s="36">
        <f>COUNTIF(Tabla1[[#This Row],[VEHICULOS_ACCIDENTADOS]:[VEHICULOS_ACCIDENTADOS2]],"MOTOCARRO")</f>
        <v>0</v>
      </c>
      <c r="T1060" s="36">
        <f>COUNTIF(Tabla1[[#This Row],[VEHICULOS_ACCIDENTADOS]:[VEHICULOS_ACCIDENTADOS2]],"AUTOMOVIL")</f>
        <v>1</v>
      </c>
      <c r="U1060" s="36">
        <f>COUNTIF(Tabla1[[#This Row],[VEHICULOS_ACCIDENTADOS]:[VEHICULOS_ACCIDENTADOS2]],"CAMPERO")</f>
        <v>0</v>
      </c>
      <c r="V1060" s="36">
        <f>COUNTIF(Tabla1[[#This Row],[VEHICULOS_ACCIDENTADOS]:[VEHICULOS_ACCIDENTADOS2]],"CAMIONETA")</f>
        <v>1</v>
      </c>
      <c r="W1060" s="36">
        <f>COUNTIF(Tabla1[[#This Row],[VEHICULOS_ACCIDENTADOS]:[VEHICULOS_ACCIDENTADOS2]],"MICROBUS")</f>
        <v>0</v>
      </c>
      <c r="X1060" s="36">
        <f>COUNTIF(Tabla1[[#This Row],[VEHICULOS_ACCIDENTADOS]:[VEHICULOS_ACCIDENTADOS2]],"BUS")</f>
        <v>0</v>
      </c>
      <c r="Y1060" s="36">
        <f>COUNTIF(Tabla1[[#This Row],[VEHICULOS_ACCIDENTADOS]:[VEHICULOS_ACCIDENTADOS2]],"BUSETA")</f>
        <v>0</v>
      </c>
      <c r="Z1060" s="36">
        <f>COUNTIF(Tabla1[[#This Row],[VEHICULOS_ACCIDENTADOS]:[VEHICULOS_ACCIDENTADOS2]],"CAMION")</f>
        <v>0</v>
      </c>
      <c r="AA1060" s="36">
        <f>COUNTIF(Tabla1[[#This Row],[VEHICULOS_ACCIDENTADOS]:[VEHICULOS_ACCIDENTADOS2]],"TRACTOCAMION")</f>
        <v>0</v>
      </c>
      <c r="AB1060" s="36">
        <f>COUNTIF(Tabla1[[#This Row],[VEHICULOS_ACCIDENTADOS]:[VEHICULOS_ACCIDENTADOS2]],"VOLQUETA")</f>
        <v>0</v>
      </c>
      <c r="AC1060" s="36">
        <f>COUNTIF(Tabla1[[#This Row],[VEHICULOS_ACCIDENTADOS]:[VEHICULOS_ACCIDENTADOS2]],"BICICLETA")</f>
        <v>0</v>
      </c>
      <c r="AD1060" s="15" t="s">
        <v>472</v>
      </c>
      <c r="AE1060" s="15"/>
      <c r="AF1060" s="15">
        <f>COUNTIF(Tabla1[[#This Row],[GENERO_MASCULINO]:[GENERO_FEMENINO]],"MASCULINO")</f>
        <v>0</v>
      </c>
      <c r="AG1060" s="36">
        <f>COUNTIF(Tabla1[[#This Row],[GENERO_MASCULINO]:[GENERO_FEMENINO]],"FEMENINO")</f>
        <v>1</v>
      </c>
      <c r="AH1060" s="86">
        <v>29</v>
      </c>
      <c r="AI1060" s="86"/>
      <c r="AJ1060" s="86"/>
      <c r="AK1060" s="87"/>
      <c r="AL1060" s="87"/>
      <c r="AM1060" s="6"/>
      <c r="AN1060" s="86">
        <v>157</v>
      </c>
      <c r="AO1060" s="7" t="str">
        <f>IFERROR(((VLOOKUP(Tabla1[[#This Row],[HIPOTESIS_1]],listas!$D$1:$E$105,2,FALSE))),"SIN INFORMACIÓN")</f>
        <v>Otra</v>
      </c>
      <c r="AP1060" s="7"/>
      <c r="AQ1060" s="36" t="str">
        <f>IFERROR(((VLOOKUP(Tabla1[[#This Row],[HIPOTESIS_2]],listas!$D$1:$E$105,2,FALSE))),"")</f>
        <v/>
      </c>
      <c r="AR1060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061" spans="1:44" s="5" customFormat="1" x14ac:dyDescent="0.25">
      <c r="A1061" s="12">
        <v>570</v>
      </c>
      <c r="B1061" s="9">
        <v>0</v>
      </c>
      <c r="C1061" s="9">
        <v>1</v>
      </c>
      <c r="D1061" s="9">
        <v>0</v>
      </c>
      <c r="E1061" s="18" t="str">
        <f t="shared" si="64"/>
        <v>LESIONADO</v>
      </c>
      <c r="F1061" s="9" t="s">
        <v>1027</v>
      </c>
      <c r="G1061" s="160">
        <v>5.3353452777777779</v>
      </c>
      <c r="H1061" s="160">
        <v>-72.402597777777785</v>
      </c>
      <c r="I1061" s="93" t="s">
        <v>697</v>
      </c>
      <c r="J1061" s="9" t="s">
        <v>717</v>
      </c>
      <c r="K1061" s="76" t="str">
        <f t="shared" si="65"/>
        <v>2023</v>
      </c>
      <c r="L1061" s="76" t="str">
        <f t="shared" si="66"/>
        <v>OCTUBRE</v>
      </c>
      <c r="M1061" s="232">
        <v>45204</v>
      </c>
      <c r="N1061" s="76" t="str">
        <f t="shared" si="67"/>
        <v>JUEVES</v>
      </c>
      <c r="O1061" s="111">
        <v>0.52500000000000002</v>
      </c>
      <c r="P1061" s="35" t="s">
        <v>469</v>
      </c>
      <c r="Q1061" s="39" t="s">
        <v>469</v>
      </c>
      <c r="R1061" s="36">
        <f>COUNTIF(Tabla1[[#This Row],[VEHICULOS_ACCIDENTADOS]:[VEHICULOS_ACCIDENTADOS2]],"MOTOCICLETA")</f>
        <v>2</v>
      </c>
      <c r="S1061" s="36">
        <f>COUNTIF(Tabla1[[#This Row],[VEHICULOS_ACCIDENTADOS]:[VEHICULOS_ACCIDENTADOS2]],"MOTOCARRO")</f>
        <v>0</v>
      </c>
      <c r="T1061" s="36">
        <f>COUNTIF(Tabla1[[#This Row],[VEHICULOS_ACCIDENTADOS]:[VEHICULOS_ACCIDENTADOS2]],"AUTOMOVIL")</f>
        <v>0</v>
      </c>
      <c r="U1061" s="36">
        <f>COUNTIF(Tabla1[[#This Row],[VEHICULOS_ACCIDENTADOS]:[VEHICULOS_ACCIDENTADOS2]],"CAMPERO")</f>
        <v>0</v>
      </c>
      <c r="V1061" s="36">
        <f>COUNTIF(Tabla1[[#This Row],[VEHICULOS_ACCIDENTADOS]:[VEHICULOS_ACCIDENTADOS2]],"CAMIONETA")</f>
        <v>0</v>
      </c>
      <c r="W1061" s="36">
        <f>COUNTIF(Tabla1[[#This Row],[VEHICULOS_ACCIDENTADOS]:[VEHICULOS_ACCIDENTADOS2]],"MICROBUS")</f>
        <v>0</v>
      </c>
      <c r="X1061" s="36">
        <f>COUNTIF(Tabla1[[#This Row],[VEHICULOS_ACCIDENTADOS]:[VEHICULOS_ACCIDENTADOS2]],"BUS")</f>
        <v>0</v>
      </c>
      <c r="Y1061" s="36">
        <f>COUNTIF(Tabla1[[#This Row],[VEHICULOS_ACCIDENTADOS]:[VEHICULOS_ACCIDENTADOS2]],"BUSETA")</f>
        <v>0</v>
      </c>
      <c r="Z1061" s="36">
        <f>COUNTIF(Tabla1[[#This Row],[VEHICULOS_ACCIDENTADOS]:[VEHICULOS_ACCIDENTADOS2]],"CAMION")</f>
        <v>0</v>
      </c>
      <c r="AA1061" s="36">
        <f>COUNTIF(Tabla1[[#This Row],[VEHICULOS_ACCIDENTADOS]:[VEHICULOS_ACCIDENTADOS2]],"TRACTOCAMION")</f>
        <v>0</v>
      </c>
      <c r="AB1061" s="36">
        <f>COUNTIF(Tabla1[[#This Row],[VEHICULOS_ACCIDENTADOS]:[VEHICULOS_ACCIDENTADOS2]],"VOLQUETA")</f>
        <v>0</v>
      </c>
      <c r="AC1061" s="36">
        <f>COUNTIF(Tabla1[[#This Row],[VEHICULOS_ACCIDENTADOS]:[VEHICULOS_ACCIDENTADOS2]],"BICICLETA")</f>
        <v>0</v>
      </c>
      <c r="AD1061" s="9"/>
      <c r="AE1061" s="9" t="s">
        <v>472</v>
      </c>
      <c r="AF1061" s="9">
        <f>COUNTIF(Tabla1[[#This Row],[GENERO_MASCULINO]:[GENERO_FEMENINO]],"MASCULINO")</f>
        <v>0</v>
      </c>
      <c r="AG1061" s="36">
        <f>COUNTIF(Tabla1[[#This Row],[GENERO_MASCULINO]:[GENERO_FEMENINO]],"FEMENINO")</f>
        <v>1</v>
      </c>
      <c r="AH1061" s="75"/>
      <c r="AI1061" s="75"/>
      <c r="AJ1061" s="75"/>
      <c r="AK1061" s="75"/>
      <c r="AL1061" s="75">
        <v>6</v>
      </c>
      <c r="AM1061" s="9"/>
      <c r="AN1061" s="75">
        <v>104</v>
      </c>
      <c r="AO1061" s="9" t="str">
        <f>IFERROR(((VLOOKUP(Tabla1[[#This Row],[HIPOTESIS_1]],listas!$D$1:$E$105,2,FALSE))),"SIN INFORMACIÓN")</f>
        <v>Adelantar invadiendo carril de sentido contrario.</v>
      </c>
      <c r="AP1061" s="9"/>
      <c r="AQ1061" s="13" t="str">
        <f>IFERROR(((VLOOKUP(Tabla1[[#This Row],[HIPOTESIS_2]],listas!$D$1:$E$105,2,FALSE))),"")</f>
        <v/>
      </c>
      <c r="AR1061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062" spans="1:44" s="5" customFormat="1" x14ac:dyDescent="0.25">
      <c r="A1062" s="12">
        <v>180</v>
      </c>
      <c r="B1062" s="9">
        <v>0</v>
      </c>
      <c r="C1062" s="9">
        <v>0</v>
      </c>
      <c r="D1062" s="9">
        <v>1</v>
      </c>
      <c r="E1062" s="151" t="str">
        <f t="shared" si="64"/>
        <v>FALLECIDO</v>
      </c>
      <c r="F1062" s="9" t="s">
        <v>1028</v>
      </c>
      <c r="G1062" s="159">
        <v>5.3351655555555553</v>
      </c>
      <c r="H1062" s="159">
        <v>-72.402756388888889</v>
      </c>
      <c r="I1062" s="93" t="s">
        <v>697</v>
      </c>
      <c r="J1062" s="9" t="s">
        <v>717</v>
      </c>
      <c r="K1062" s="76" t="str">
        <f t="shared" si="65"/>
        <v>2022</v>
      </c>
      <c r="L1062" s="76" t="str">
        <f t="shared" si="66"/>
        <v>MAYO</v>
      </c>
      <c r="M1062" s="239">
        <v>44693</v>
      </c>
      <c r="N1062" s="76" t="str">
        <f t="shared" si="67"/>
        <v>JUEVES</v>
      </c>
      <c r="O1062" s="172">
        <v>0.48611111111111099</v>
      </c>
      <c r="P1062" s="185" t="s">
        <v>469</v>
      </c>
      <c r="Q1062" s="185"/>
      <c r="R1062" s="36">
        <f>COUNTIF(Tabla1[[#This Row],[VEHICULOS_ACCIDENTADOS]:[VEHICULOS_ACCIDENTADOS2]],"MOTOCICLETA")</f>
        <v>1</v>
      </c>
      <c r="S1062" s="36">
        <f>COUNTIF(Tabla1[[#This Row],[VEHICULOS_ACCIDENTADOS]:[VEHICULOS_ACCIDENTADOS2]],"MOTOCARRO")</f>
        <v>0</v>
      </c>
      <c r="T1062" s="36">
        <f>COUNTIF(Tabla1[[#This Row],[VEHICULOS_ACCIDENTADOS]:[VEHICULOS_ACCIDENTADOS2]],"AUTOMOVIL")</f>
        <v>0</v>
      </c>
      <c r="U1062" s="36">
        <f>COUNTIF(Tabla1[[#This Row],[VEHICULOS_ACCIDENTADOS]:[VEHICULOS_ACCIDENTADOS2]],"CAMPERO")</f>
        <v>0</v>
      </c>
      <c r="V1062" s="36">
        <f>COUNTIF(Tabla1[[#This Row],[VEHICULOS_ACCIDENTADOS]:[VEHICULOS_ACCIDENTADOS2]],"CAMIONETA")</f>
        <v>0</v>
      </c>
      <c r="W1062" s="36">
        <f>COUNTIF(Tabla1[[#This Row],[VEHICULOS_ACCIDENTADOS]:[VEHICULOS_ACCIDENTADOS2]],"MICROBUS")</f>
        <v>0</v>
      </c>
      <c r="X1062" s="36">
        <f>COUNTIF(Tabla1[[#This Row],[VEHICULOS_ACCIDENTADOS]:[VEHICULOS_ACCIDENTADOS2]],"BUS")</f>
        <v>0</v>
      </c>
      <c r="Y1062" s="36">
        <f>COUNTIF(Tabla1[[#This Row],[VEHICULOS_ACCIDENTADOS]:[VEHICULOS_ACCIDENTADOS2]],"BUSETA")</f>
        <v>0</v>
      </c>
      <c r="Z1062" s="36">
        <f>COUNTIF(Tabla1[[#This Row],[VEHICULOS_ACCIDENTADOS]:[VEHICULOS_ACCIDENTADOS2]],"CAMION")</f>
        <v>0</v>
      </c>
      <c r="AA1062" s="36">
        <f>COUNTIF(Tabla1[[#This Row],[VEHICULOS_ACCIDENTADOS]:[VEHICULOS_ACCIDENTADOS2]],"TRACTOCAMION")</f>
        <v>0</v>
      </c>
      <c r="AB1062" s="36">
        <f>COUNTIF(Tabla1[[#This Row],[VEHICULOS_ACCIDENTADOS]:[VEHICULOS_ACCIDENTADOS2]],"VOLQUETA")</f>
        <v>0</v>
      </c>
      <c r="AC1062" s="36">
        <f>COUNTIF(Tabla1[[#This Row],[VEHICULOS_ACCIDENTADOS]:[VEHICULOS_ACCIDENTADOS2]],"BICICLETA")</f>
        <v>0</v>
      </c>
      <c r="AD1062" s="9" t="s">
        <v>471</v>
      </c>
      <c r="AE1062" s="9" t="s">
        <v>472</v>
      </c>
      <c r="AF1062" s="9">
        <f>COUNTIF(Tabla1[[#This Row],[GENERO_MASCULINO]:[GENERO_FEMENINO]],"MASCULINO")</f>
        <v>1</v>
      </c>
      <c r="AG1062" s="36">
        <f>COUNTIF(Tabla1[[#This Row],[GENERO_MASCULINO]:[GENERO_FEMENINO]],"FEMENINO")</f>
        <v>1</v>
      </c>
      <c r="AH1062" s="75"/>
      <c r="AI1062" s="75"/>
      <c r="AJ1062" s="75"/>
      <c r="AK1062" s="75"/>
      <c r="AL1062" s="75"/>
      <c r="AM1062" s="9">
        <v>57</v>
      </c>
      <c r="AN1062" s="75">
        <v>409</v>
      </c>
      <c r="AO1062" s="9" t="str">
        <f>IFERROR(((VLOOKUP(Tabla1[[#This Row],[HIPOTESIS_1]],listas!$D$1:$E$105,2,FALSE))),"SIN INFORMACIÓN")</f>
        <v>Cruzar sin observar.</v>
      </c>
      <c r="AP1062" s="9"/>
      <c r="AQ1062" s="13" t="str">
        <f>IFERROR(((VLOOKUP(Tabla1[[#This Row],[HIPOTESIS_2]],listas!$D$1:$E$105,2,FALSE))),"")</f>
        <v/>
      </c>
      <c r="AR1062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063" spans="1:44" s="5" customFormat="1" x14ac:dyDescent="0.25">
      <c r="A1063" s="12">
        <v>1008</v>
      </c>
      <c r="B1063" s="76">
        <v>0</v>
      </c>
      <c r="C1063" s="76">
        <v>1</v>
      </c>
      <c r="D1063" s="76">
        <v>0</v>
      </c>
      <c r="E1063" s="151" t="str">
        <f t="shared" si="64"/>
        <v>LESIONADO</v>
      </c>
      <c r="F1063" s="76" t="s">
        <v>461</v>
      </c>
      <c r="G1063" s="74">
        <v>5.336862</v>
      </c>
      <c r="H1063" s="74">
        <v>-72.401961</v>
      </c>
      <c r="I1063" s="159" t="s">
        <v>697</v>
      </c>
      <c r="J1063" s="9" t="s">
        <v>717</v>
      </c>
      <c r="K1063" s="76" t="str">
        <f t="shared" si="65"/>
        <v>2025</v>
      </c>
      <c r="L1063" s="76" t="str">
        <f t="shared" si="66"/>
        <v>JULIO</v>
      </c>
      <c r="M1063" s="239">
        <v>45841</v>
      </c>
      <c r="N1063" s="76" t="str">
        <f t="shared" si="67"/>
        <v>JUEVES</v>
      </c>
      <c r="O1063" s="111">
        <v>0.72916666666666663</v>
      </c>
      <c r="P1063" s="11" t="s">
        <v>469</v>
      </c>
      <c r="Q1063" s="11" t="s">
        <v>447</v>
      </c>
      <c r="R1063" s="36">
        <f>COUNTIF(Tabla1[[#This Row],[VEHICULOS_ACCIDENTADOS]:[VEHICULOS_ACCIDENTADOS2]],"MOTOCICLETA")</f>
        <v>1</v>
      </c>
      <c r="S1063" s="36">
        <f>COUNTIF(Tabla1[[#This Row],[VEHICULOS_ACCIDENTADOS]:[VEHICULOS_ACCIDENTADOS2]],"MOTOCARRO")</f>
        <v>0</v>
      </c>
      <c r="T1063" s="36">
        <f>COUNTIF(Tabla1[[#This Row],[VEHICULOS_ACCIDENTADOS]:[VEHICULOS_ACCIDENTADOS2]],"AUTOMOVIL")</f>
        <v>1</v>
      </c>
      <c r="U1063" s="36">
        <f>COUNTIF(Tabla1[[#This Row],[VEHICULOS_ACCIDENTADOS]:[VEHICULOS_ACCIDENTADOS2]],"CAMPERO")</f>
        <v>0</v>
      </c>
      <c r="V1063" s="36">
        <f>COUNTIF(Tabla1[[#This Row],[VEHICULOS_ACCIDENTADOS]:[VEHICULOS_ACCIDENTADOS2]],"CAMIONETA")</f>
        <v>0</v>
      </c>
      <c r="W1063" s="36">
        <f>COUNTIF(Tabla1[[#This Row],[VEHICULOS_ACCIDENTADOS]:[VEHICULOS_ACCIDENTADOS2]],"MICROBUS")</f>
        <v>0</v>
      </c>
      <c r="X1063" s="36">
        <f>COUNTIF(Tabla1[[#This Row],[VEHICULOS_ACCIDENTADOS]:[VEHICULOS_ACCIDENTADOS2]],"BUS")</f>
        <v>0</v>
      </c>
      <c r="Y1063" s="36">
        <f>COUNTIF(Tabla1[[#This Row],[VEHICULOS_ACCIDENTADOS]:[VEHICULOS_ACCIDENTADOS2]],"BUSETA")</f>
        <v>0</v>
      </c>
      <c r="Z1063" s="36">
        <f>COUNTIF(Tabla1[[#This Row],[VEHICULOS_ACCIDENTADOS]:[VEHICULOS_ACCIDENTADOS2]],"CAMION")</f>
        <v>0</v>
      </c>
      <c r="AA1063" s="36">
        <f>COUNTIF(Tabla1[[#This Row],[VEHICULOS_ACCIDENTADOS]:[VEHICULOS_ACCIDENTADOS2]],"TRACTOCAMION")</f>
        <v>0</v>
      </c>
      <c r="AB1063" s="36">
        <f>COUNTIF(Tabla1[[#This Row],[VEHICULOS_ACCIDENTADOS]:[VEHICULOS_ACCIDENTADOS2]],"VOLQUETA")</f>
        <v>0</v>
      </c>
      <c r="AC1063" s="36">
        <f>COUNTIF(Tabla1[[#This Row],[VEHICULOS_ACCIDENTADOS]:[VEHICULOS_ACCIDENTADOS2]],"BICICLETA")</f>
        <v>0</v>
      </c>
      <c r="AD1063" s="9" t="s">
        <v>471</v>
      </c>
      <c r="AE1063" s="9" t="s">
        <v>472</v>
      </c>
      <c r="AF1063" s="9">
        <f>COUNTIF(Tabla1[[#This Row],[GENERO_MASCULINO]:[GENERO_FEMENINO]],"MASCULINO")</f>
        <v>1</v>
      </c>
      <c r="AG1063" s="36">
        <f>COUNTIF(Tabla1[[#This Row],[GENERO_MASCULINO]:[GENERO_FEMENINO]],"FEMENINO")</f>
        <v>1</v>
      </c>
      <c r="AH1063" s="90">
        <v>34</v>
      </c>
      <c r="AI1063" s="90">
        <v>32</v>
      </c>
      <c r="AJ1063" s="90"/>
      <c r="AK1063" s="91"/>
      <c r="AL1063" s="91"/>
      <c r="AM1063" s="10"/>
      <c r="AN1063" s="75">
        <v>127</v>
      </c>
      <c r="AO1063" s="9" t="str">
        <f>IFERROR(((VLOOKUP(Tabla1[[#This Row],[HIPOTESIS_1]],listas!$D$1:$E$105,2,FALSE))),"SIN INFORMACIÓN")</f>
        <v>Transitar en contravía.</v>
      </c>
      <c r="AP1063" s="9"/>
      <c r="AQ1063" s="13" t="str">
        <f>IFERROR(((VLOOKUP(Tabla1[[#This Row],[HIPOTESIS_2]],listas!$D$1:$E$105,2,FALSE))),"")</f>
        <v/>
      </c>
      <c r="AR1063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064" spans="1:44" s="5" customFormat="1" x14ac:dyDescent="0.25">
      <c r="A1064" s="12">
        <v>259</v>
      </c>
      <c r="B1064" s="9">
        <v>0</v>
      </c>
      <c r="C1064" s="9">
        <v>1</v>
      </c>
      <c r="D1064" s="9">
        <v>0</v>
      </c>
      <c r="E1064" s="151" t="str">
        <f t="shared" si="64"/>
        <v>LESIONADO</v>
      </c>
      <c r="F1064" s="9" t="s">
        <v>337</v>
      </c>
      <c r="G1064" s="159">
        <v>5.3223802777777776</v>
      </c>
      <c r="H1064" s="159">
        <v>-72.400233888888891</v>
      </c>
      <c r="I1064" s="159" t="s">
        <v>697</v>
      </c>
      <c r="J1064" s="9" t="s">
        <v>717</v>
      </c>
      <c r="K1064" s="76" t="str">
        <f t="shared" si="65"/>
        <v>2022</v>
      </c>
      <c r="L1064" s="76" t="str">
        <f t="shared" si="66"/>
        <v>JULIO</v>
      </c>
      <c r="M1064" s="239">
        <v>44764</v>
      </c>
      <c r="N1064" s="76" t="str">
        <f t="shared" si="67"/>
        <v>VIERNES</v>
      </c>
      <c r="O1064" s="172">
        <v>0.80555555555555503</v>
      </c>
      <c r="P1064" s="185" t="s">
        <v>469</v>
      </c>
      <c r="Q1064" s="185"/>
      <c r="R1064" s="36">
        <f>COUNTIF(Tabla1[[#This Row],[VEHICULOS_ACCIDENTADOS]:[VEHICULOS_ACCIDENTADOS2]],"MOTOCICLETA")</f>
        <v>1</v>
      </c>
      <c r="S1064" s="36">
        <f>COUNTIF(Tabla1[[#This Row],[VEHICULOS_ACCIDENTADOS]:[VEHICULOS_ACCIDENTADOS2]],"MOTOCARRO")</f>
        <v>0</v>
      </c>
      <c r="T1064" s="36">
        <f>COUNTIF(Tabla1[[#This Row],[VEHICULOS_ACCIDENTADOS]:[VEHICULOS_ACCIDENTADOS2]],"AUTOMOVIL")</f>
        <v>0</v>
      </c>
      <c r="U1064" s="36">
        <f>COUNTIF(Tabla1[[#This Row],[VEHICULOS_ACCIDENTADOS]:[VEHICULOS_ACCIDENTADOS2]],"CAMPERO")</f>
        <v>0</v>
      </c>
      <c r="V1064" s="36">
        <f>COUNTIF(Tabla1[[#This Row],[VEHICULOS_ACCIDENTADOS]:[VEHICULOS_ACCIDENTADOS2]],"CAMIONETA")</f>
        <v>0</v>
      </c>
      <c r="W1064" s="36">
        <f>COUNTIF(Tabla1[[#This Row],[VEHICULOS_ACCIDENTADOS]:[VEHICULOS_ACCIDENTADOS2]],"MICROBUS")</f>
        <v>0</v>
      </c>
      <c r="X1064" s="36">
        <f>COUNTIF(Tabla1[[#This Row],[VEHICULOS_ACCIDENTADOS]:[VEHICULOS_ACCIDENTADOS2]],"BUS")</f>
        <v>0</v>
      </c>
      <c r="Y1064" s="36">
        <f>COUNTIF(Tabla1[[#This Row],[VEHICULOS_ACCIDENTADOS]:[VEHICULOS_ACCIDENTADOS2]],"BUSETA")</f>
        <v>0</v>
      </c>
      <c r="Z1064" s="36">
        <f>COUNTIF(Tabla1[[#This Row],[VEHICULOS_ACCIDENTADOS]:[VEHICULOS_ACCIDENTADOS2]],"CAMION")</f>
        <v>0</v>
      </c>
      <c r="AA1064" s="36">
        <f>COUNTIF(Tabla1[[#This Row],[VEHICULOS_ACCIDENTADOS]:[VEHICULOS_ACCIDENTADOS2]],"TRACTOCAMION")</f>
        <v>0</v>
      </c>
      <c r="AB1064" s="36">
        <f>COUNTIF(Tabla1[[#This Row],[VEHICULOS_ACCIDENTADOS]:[VEHICULOS_ACCIDENTADOS2]],"VOLQUETA")</f>
        <v>0</v>
      </c>
      <c r="AC1064" s="36">
        <f>COUNTIF(Tabla1[[#This Row],[VEHICULOS_ACCIDENTADOS]:[VEHICULOS_ACCIDENTADOS2]],"BICICLETA")</f>
        <v>0</v>
      </c>
      <c r="AD1064" s="9" t="s">
        <v>471</v>
      </c>
      <c r="AE1064" s="9"/>
      <c r="AF1064" s="9">
        <f>COUNTIF(Tabla1[[#This Row],[GENERO_MASCULINO]:[GENERO_FEMENINO]],"MASCULINO")</f>
        <v>1</v>
      </c>
      <c r="AG1064" s="36">
        <f>COUNTIF(Tabla1[[#This Row],[GENERO_MASCULINO]:[GENERO_FEMENINO]],"FEMENINO")</f>
        <v>0</v>
      </c>
      <c r="AH1064" s="75">
        <v>69</v>
      </c>
      <c r="AI1064" s="75"/>
      <c r="AJ1064" s="91"/>
      <c r="AK1064" s="75"/>
      <c r="AL1064" s="75"/>
      <c r="AM1064" s="9"/>
      <c r="AN1064" s="75">
        <v>1</v>
      </c>
      <c r="AO1064" s="9" t="str">
        <f>IFERROR(((VLOOKUP(Tabla1[[#This Row],[HIPOTESIS_1]],listas!$D$1:$E$105,2,FALSE))),"SIN INFORMACIÓN")</f>
        <v>SIN INFORMACIÓN</v>
      </c>
      <c r="AP1064" s="9"/>
      <c r="AQ1064" s="13" t="str">
        <f>IFERROR(((VLOOKUP(Tabla1[[#This Row],[HIPOTESIS_2]],listas!$D$1:$E$105,2,FALSE))),"")</f>
        <v/>
      </c>
      <c r="AR1064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065" spans="1:44" s="5" customFormat="1" x14ac:dyDescent="0.25">
      <c r="A1065" s="12">
        <v>415</v>
      </c>
      <c r="B1065" s="7">
        <v>0</v>
      </c>
      <c r="C1065" s="7">
        <v>1</v>
      </c>
      <c r="D1065" s="7">
        <v>0</v>
      </c>
      <c r="E1065" s="18" t="str">
        <f t="shared" si="64"/>
        <v>LESIONADO</v>
      </c>
      <c r="F1065" s="7" t="s">
        <v>280</v>
      </c>
      <c r="G1065" s="21">
        <v>5.3350822222222218</v>
      </c>
      <c r="H1065" s="21">
        <v>-72.402703888888894</v>
      </c>
      <c r="I1065" s="17" t="s">
        <v>697</v>
      </c>
      <c r="J1065" s="7" t="s">
        <v>717</v>
      </c>
      <c r="K1065" s="24" t="str">
        <f t="shared" si="65"/>
        <v>2023</v>
      </c>
      <c r="L1065" s="24" t="str">
        <f t="shared" si="66"/>
        <v>FEBRERO</v>
      </c>
      <c r="M1065" s="232">
        <v>44977</v>
      </c>
      <c r="N1065" s="24" t="str">
        <f t="shared" si="67"/>
        <v>LUNES</v>
      </c>
      <c r="O1065" s="106">
        <v>0.81597222222222221</v>
      </c>
      <c r="P1065" s="39" t="s">
        <v>469</v>
      </c>
      <c r="Q1065" s="39" t="s">
        <v>447</v>
      </c>
      <c r="R1065" s="36">
        <f>COUNTIF(Tabla1[[#This Row],[VEHICULOS_ACCIDENTADOS]:[VEHICULOS_ACCIDENTADOS2]],"MOTOCICLETA")</f>
        <v>1</v>
      </c>
      <c r="S1065" s="36">
        <f>COUNTIF(Tabla1[[#This Row],[VEHICULOS_ACCIDENTADOS]:[VEHICULOS_ACCIDENTADOS2]],"MOTOCARRO")</f>
        <v>0</v>
      </c>
      <c r="T1065" s="36">
        <f>COUNTIF(Tabla1[[#This Row],[VEHICULOS_ACCIDENTADOS]:[VEHICULOS_ACCIDENTADOS2]],"AUTOMOVIL")</f>
        <v>1</v>
      </c>
      <c r="U1065" s="36">
        <f>COUNTIF(Tabla1[[#This Row],[VEHICULOS_ACCIDENTADOS]:[VEHICULOS_ACCIDENTADOS2]],"CAMPERO")</f>
        <v>0</v>
      </c>
      <c r="V1065" s="36">
        <f>COUNTIF(Tabla1[[#This Row],[VEHICULOS_ACCIDENTADOS]:[VEHICULOS_ACCIDENTADOS2]],"CAMIONETA")</f>
        <v>0</v>
      </c>
      <c r="W1065" s="36">
        <f>COUNTIF(Tabla1[[#This Row],[VEHICULOS_ACCIDENTADOS]:[VEHICULOS_ACCIDENTADOS2]],"MICROBUS")</f>
        <v>0</v>
      </c>
      <c r="X1065" s="36">
        <f>COUNTIF(Tabla1[[#This Row],[VEHICULOS_ACCIDENTADOS]:[VEHICULOS_ACCIDENTADOS2]],"BUS")</f>
        <v>0</v>
      </c>
      <c r="Y1065" s="36">
        <f>COUNTIF(Tabla1[[#This Row],[VEHICULOS_ACCIDENTADOS]:[VEHICULOS_ACCIDENTADOS2]],"BUSETA")</f>
        <v>0</v>
      </c>
      <c r="Z1065" s="36">
        <f>COUNTIF(Tabla1[[#This Row],[VEHICULOS_ACCIDENTADOS]:[VEHICULOS_ACCIDENTADOS2]],"CAMION")</f>
        <v>0</v>
      </c>
      <c r="AA1065" s="36">
        <f>COUNTIF(Tabla1[[#This Row],[VEHICULOS_ACCIDENTADOS]:[VEHICULOS_ACCIDENTADOS2]],"TRACTOCAMION")</f>
        <v>0</v>
      </c>
      <c r="AB1065" s="36">
        <f>COUNTIF(Tabla1[[#This Row],[VEHICULOS_ACCIDENTADOS]:[VEHICULOS_ACCIDENTADOS2]],"VOLQUETA")</f>
        <v>0</v>
      </c>
      <c r="AC1065" s="36">
        <f>COUNTIF(Tabla1[[#This Row],[VEHICULOS_ACCIDENTADOS]:[VEHICULOS_ACCIDENTADOS2]],"BICICLETA")</f>
        <v>0</v>
      </c>
      <c r="AD1065" s="7" t="s">
        <v>471</v>
      </c>
      <c r="AE1065" s="7"/>
      <c r="AF1065" s="7">
        <f>COUNTIF(Tabla1[[#This Row],[GENERO_MASCULINO]:[GENERO_FEMENINO]],"MASCULINO")</f>
        <v>1</v>
      </c>
      <c r="AG1065" s="36">
        <f>COUNTIF(Tabla1[[#This Row],[GENERO_MASCULINO]:[GENERO_FEMENINO]],"FEMENINO")</f>
        <v>0</v>
      </c>
      <c r="AH1065" s="73">
        <v>31</v>
      </c>
      <c r="AI1065" s="73"/>
      <c r="AJ1065" s="73"/>
      <c r="AK1065" s="73"/>
      <c r="AL1065" s="73"/>
      <c r="AM1065" s="7"/>
      <c r="AN1065" s="73">
        <v>157</v>
      </c>
      <c r="AO1065" s="7" t="str">
        <f>IFERROR(((VLOOKUP(Tabla1[[#This Row],[HIPOTESIS_1]],listas!$D$1:$E$105,2,FALSE))),"SIN INFORMACIÓN")</f>
        <v>Otra</v>
      </c>
      <c r="AP1065" s="7"/>
      <c r="AQ1065" s="36" t="str">
        <f>IFERROR(((VLOOKUP(Tabla1[[#This Row],[HIPOTESIS_2]],listas!$D$1:$E$105,2,FALSE))),"")</f>
        <v/>
      </c>
      <c r="AR1065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066" spans="1:44" s="5" customFormat="1" ht="14.4" customHeight="1" x14ac:dyDescent="0.25">
      <c r="A1066" s="12">
        <v>39</v>
      </c>
      <c r="B1066" s="7">
        <v>0</v>
      </c>
      <c r="C1066" s="7">
        <v>1</v>
      </c>
      <c r="D1066" s="7">
        <v>0</v>
      </c>
      <c r="E1066" s="18" t="str">
        <f t="shared" si="64"/>
        <v>LESIONADO</v>
      </c>
      <c r="F1066" s="9" t="s">
        <v>1029</v>
      </c>
      <c r="G1066" s="17">
        <v>5.3230055555555555</v>
      </c>
      <c r="H1066" s="17">
        <v>-72.40055000000001</v>
      </c>
      <c r="I1066" s="17" t="s">
        <v>697</v>
      </c>
      <c r="J1066" s="7" t="s">
        <v>717</v>
      </c>
      <c r="K1066" s="24" t="str">
        <f t="shared" si="65"/>
        <v>2022</v>
      </c>
      <c r="L1066" s="24" t="str">
        <f t="shared" si="66"/>
        <v>FEBRERO</v>
      </c>
      <c r="M1066" s="232">
        <v>44593</v>
      </c>
      <c r="N1066" s="24" t="str">
        <f t="shared" si="67"/>
        <v>MARTES</v>
      </c>
      <c r="O1066" s="106">
        <v>0.34027777777777801</v>
      </c>
      <c r="P1066" s="11" t="s">
        <v>469</v>
      </c>
      <c r="Q1066" s="11"/>
      <c r="R1066" s="36">
        <f>COUNTIF(Tabla1[[#This Row],[VEHICULOS_ACCIDENTADOS]:[VEHICULOS_ACCIDENTADOS2]],"MOTOCICLETA")</f>
        <v>1</v>
      </c>
      <c r="S1066" s="36">
        <f>COUNTIF(Tabla1[[#This Row],[VEHICULOS_ACCIDENTADOS]:[VEHICULOS_ACCIDENTADOS2]],"MOTOCARRO")</f>
        <v>0</v>
      </c>
      <c r="T1066" s="36">
        <f>COUNTIF(Tabla1[[#This Row],[VEHICULOS_ACCIDENTADOS]:[VEHICULOS_ACCIDENTADOS2]],"AUTOMOVIL")</f>
        <v>0</v>
      </c>
      <c r="U1066" s="36">
        <f>COUNTIF(Tabla1[[#This Row],[VEHICULOS_ACCIDENTADOS]:[VEHICULOS_ACCIDENTADOS2]],"CAMPERO")</f>
        <v>0</v>
      </c>
      <c r="V1066" s="36">
        <f>COUNTIF(Tabla1[[#This Row],[VEHICULOS_ACCIDENTADOS]:[VEHICULOS_ACCIDENTADOS2]],"CAMIONETA")</f>
        <v>0</v>
      </c>
      <c r="W1066" s="36">
        <f>COUNTIF(Tabla1[[#This Row],[VEHICULOS_ACCIDENTADOS]:[VEHICULOS_ACCIDENTADOS2]],"MICROBUS")</f>
        <v>0</v>
      </c>
      <c r="X1066" s="36">
        <f>COUNTIF(Tabla1[[#This Row],[VEHICULOS_ACCIDENTADOS]:[VEHICULOS_ACCIDENTADOS2]],"BUS")</f>
        <v>0</v>
      </c>
      <c r="Y1066" s="36">
        <f>COUNTIF(Tabla1[[#This Row],[VEHICULOS_ACCIDENTADOS]:[VEHICULOS_ACCIDENTADOS2]],"BUSETA")</f>
        <v>0</v>
      </c>
      <c r="Z1066" s="36">
        <f>COUNTIF(Tabla1[[#This Row],[VEHICULOS_ACCIDENTADOS]:[VEHICULOS_ACCIDENTADOS2]],"CAMION")</f>
        <v>0</v>
      </c>
      <c r="AA1066" s="36">
        <f>COUNTIF(Tabla1[[#This Row],[VEHICULOS_ACCIDENTADOS]:[VEHICULOS_ACCIDENTADOS2]],"TRACTOCAMION")</f>
        <v>0</v>
      </c>
      <c r="AB1066" s="36">
        <f>COUNTIF(Tabla1[[#This Row],[VEHICULOS_ACCIDENTADOS]:[VEHICULOS_ACCIDENTADOS2]],"VOLQUETA")</f>
        <v>0</v>
      </c>
      <c r="AC1066" s="36">
        <f>COUNTIF(Tabla1[[#This Row],[VEHICULOS_ACCIDENTADOS]:[VEHICULOS_ACCIDENTADOS2]],"BICICLETA")</f>
        <v>0</v>
      </c>
      <c r="AD1066" s="7" t="s">
        <v>471</v>
      </c>
      <c r="AE1066" s="7"/>
      <c r="AF1066" s="7">
        <f>COUNTIF(Tabla1[[#This Row],[GENERO_MASCULINO]:[GENERO_FEMENINO]],"MASCULINO")</f>
        <v>1</v>
      </c>
      <c r="AG1066" s="36">
        <f>COUNTIF(Tabla1[[#This Row],[GENERO_MASCULINO]:[GENERO_FEMENINO]],"FEMENINO")</f>
        <v>0</v>
      </c>
      <c r="AH1066" s="73">
        <v>25</v>
      </c>
      <c r="AI1066" s="73"/>
      <c r="AJ1066" s="87"/>
      <c r="AK1066" s="73"/>
      <c r="AL1066" s="73"/>
      <c r="AM1066" s="7"/>
      <c r="AN1066" s="73">
        <v>139</v>
      </c>
      <c r="AO1066" s="7" t="str">
        <f>IFERROR(((VLOOKUP(Tabla1[[#This Row],[HIPOTESIS_1]],listas!$D$1:$E$105,2,FALSE))),"SIN INFORMACIÓN")</f>
        <v>Impericia en el manejo.</v>
      </c>
      <c r="AP1066" s="7"/>
      <c r="AQ1066" s="36" t="str">
        <f>IFERROR(((VLOOKUP(Tabla1[[#This Row],[HIPOTESIS_2]],listas!$D$1:$E$105,2,FALSE))),"")</f>
        <v/>
      </c>
      <c r="AR1066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067" spans="1:44" s="5" customFormat="1" x14ac:dyDescent="0.25">
      <c r="A1067" s="12">
        <v>270</v>
      </c>
      <c r="B1067" s="9">
        <v>0</v>
      </c>
      <c r="C1067" s="9">
        <v>0</v>
      </c>
      <c r="D1067" s="9">
        <v>1</v>
      </c>
      <c r="E1067" s="151" t="str">
        <f t="shared" si="64"/>
        <v>FALLECIDO</v>
      </c>
      <c r="F1067" s="9" t="s">
        <v>334</v>
      </c>
      <c r="G1067" s="159">
        <v>5.3292638888888888</v>
      </c>
      <c r="H1067" s="159">
        <v>-72.394544444444449</v>
      </c>
      <c r="I1067" s="159" t="s">
        <v>697</v>
      </c>
      <c r="J1067" s="9" t="s">
        <v>717</v>
      </c>
      <c r="K1067" s="76" t="str">
        <f t="shared" si="65"/>
        <v>2022</v>
      </c>
      <c r="L1067" s="76" t="str">
        <f t="shared" si="66"/>
        <v>AGOSTO</v>
      </c>
      <c r="M1067" s="239">
        <v>44779</v>
      </c>
      <c r="N1067" s="76" t="str">
        <f t="shared" si="67"/>
        <v>SÁBADO</v>
      </c>
      <c r="O1067" s="172">
        <v>0.104166666666667</v>
      </c>
      <c r="P1067" s="185" t="s">
        <v>469</v>
      </c>
      <c r="Q1067" s="185"/>
      <c r="R1067" s="36">
        <f>COUNTIF(Tabla1[[#This Row],[VEHICULOS_ACCIDENTADOS]:[VEHICULOS_ACCIDENTADOS2]],"MOTOCICLETA")</f>
        <v>1</v>
      </c>
      <c r="S1067" s="36">
        <f>COUNTIF(Tabla1[[#This Row],[VEHICULOS_ACCIDENTADOS]:[VEHICULOS_ACCIDENTADOS2]],"MOTOCARRO")</f>
        <v>0</v>
      </c>
      <c r="T1067" s="36">
        <f>COUNTIF(Tabla1[[#This Row],[VEHICULOS_ACCIDENTADOS]:[VEHICULOS_ACCIDENTADOS2]],"AUTOMOVIL")</f>
        <v>0</v>
      </c>
      <c r="U1067" s="36">
        <f>COUNTIF(Tabla1[[#This Row],[VEHICULOS_ACCIDENTADOS]:[VEHICULOS_ACCIDENTADOS2]],"CAMPERO")</f>
        <v>0</v>
      </c>
      <c r="V1067" s="36">
        <f>COUNTIF(Tabla1[[#This Row],[VEHICULOS_ACCIDENTADOS]:[VEHICULOS_ACCIDENTADOS2]],"CAMIONETA")</f>
        <v>0</v>
      </c>
      <c r="W1067" s="36">
        <f>COUNTIF(Tabla1[[#This Row],[VEHICULOS_ACCIDENTADOS]:[VEHICULOS_ACCIDENTADOS2]],"MICROBUS")</f>
        <v>0</v>
      </c>
      <c r="X1067" s="36">
        <f>COUNTIF(Tabla1[[#This Row],[VEHICULOS_ACCIDENTADOS]:[VEHICULOS_ACCIDENTADOS2]],"BUS")</f>
        <v>0</v>
      </c>
      <c r="Y1067" s="36">
        <f>COUNTIF(Tabla1[[#This Row],[VEHICULOS_ACCIDENTADOS]:[VEHICULOS_ACCIDENTADOS2]],"BUSETA")</f>
        <v>0</v>
      </c>
      <c r="Z1067" s="36">
        <f>COUNTIF(Tabla1[[#This Row],[VEHICULOS_ACCIDENTADOS]:[VEHICULOS_ACCIDENTADOS2]],"CAMION")</f>
        <v>0</v>
      </c>
      <c r="AA1067" s="36">
        <f>COUNTIF(Tabla1[[#This Row],[VEHICULOS_ACCIDENTADOS]:[VEHICULOS_ACCIDENTADOS2]],"TRACTOCAMION")</f>
        <v>0</v>
      </c>
      <c r="AB1067" s="36">
        <f>COUNTIF(Tabla1[[#This Row],[VEHICULOS_ACCIDENTADOS]:[VEHICULOS_ACCIDENTADOS2]],"VOLQUETA")</f>
        <v>0</v>
      </c>
      <c r="AC1067" s="36">
        <f>COUNTIF(Tabla1[[#This Row],[VEHICULOS_ACCIDENTADOS]:[VEHICULOS_ACCIDENTADOS2]],"BICICLETA")</f>
        <v>0</v>
      </c>
      <c r="AD1067" s="9"/>
      <c r="AE1067" s="9" t="s">
        <v>472</v>
      </c>
      <c r="AF1067" s="9">
        <f>COUNTIF(Tabla1[[#This Row],[GENERO_MASCULINO]:[GENERO_FEMENINO]],"MASCULINO")</f>
        <v>0</v>
      </c>
      <c r="AG1067" s="36">
        <f>COUNTIF(Tabla1[[#This Row],[GENERO_MASCULINO]:[GENERO_FEMENINO]],"FEMENINO")</f>
        <v>1</v>
      </c>
      <c r="AH1067" s="75"/>
      <c r="AI1067" s="75"/>
      <c r="AJ1067" s="75"/>
      <c r="AK1067" s="75"/>
      <c r="AL1067" s="75"/>
      <c r="AM1067" s="9">
        <v>25</v>
      </c>
      <c r="AN1067" s="192">
        <v>1</v>
      </c>
      <c r="AO1067" s="9" t="str">
        <f>IFERROR(((VLOOKUP(Tabla1[[#This Row],[HIPOTESIS_1]],listas!$D$1:$E$105,2,FALSE))),"SIN INFORMACIÓN")</f>
        <v>SIN INFORMACIÓN</v>
      </c>
      <c r="AP1067" s="9"/>
      <c r="AQ1067" s="13" t="str">
        <f>IFERROR(((VLOOKUP(Tabla1[[#This Row],[HIPOTESIS_2]],listas!$D$1:$E$105,2,FALSE))),"")</f>
        <v/>
      </c>
      <c r="AR1067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068" spans="1:44" s="5" customFormat="1" x14ac:dyDescent="0.25">
      <c r="A1068" s="12">
        <v>79</v>
      </c>
      <c r="B1068" s="9">
        <v>0</v>
      </c>
      <c r="C1068" s="9">
        <v>2</v>
      </c>
      <c r="D1068" s="9">
        <v>0</v>
      </c>
      <c r="E1068" s="151" t="str">
        <f t="shared" si="64"/>
        <v>LESIONADO</v>
      </c>
      <c r="F1068" s="9" t="s">
        <v>411</v>
      </c>
      <c r="G1068" s="159">
        <v>5.3263083333333334</v>
      </c>
      <c r="H1068" s="159">
        <v>-72.394130555555563</v>
      </c>
      <c r="I1068" s="159" t="s">
        <v>697</v>
      </c>
      <c r="J1068" s="9" t="s">
        <v>717</v>
      </c>
      <c r="K1068" s="76" t="str">
        <f t="shared" si="65"/>
        <v>2022</v>
      </c>
      <c r="L1068" s="76" t="str">
        <f t="shared" si="66"/>
        <v>MARZO</v>
      </c>
      <c r="M1068" s="239">
        <v>44628</v>
      </c>
      <c r="N1068" s="76" t="str">
        <f t="shared" si="67"/>
        <v>MARTES</v>
      </c>
      <c r="O1068" s="111">
        <v>0.79861111111111105</v>
      </c>
      <c r="P1068" s="11" t="s">
        <v>469</v>
      </c>
      <c r="Q1068" s="11"/>
      <c r="R1068" s="36">
        <f>COUNTIF(Tabla1[[#This Row],[VEHICULOS_ACCIDENTADOS]:[VEHICULOS_ACCIDENTADOS2]],"MOTOCICLETA")</f>
        <v>1</v>
      </c>
      <c r="S1068" s="36">
        <f>COUNTIF(Tabla1[[#This Row],[VEHICULOS_ACCIDENTADOS]:[VEHICULOS_ACCIDENTADOS2]],"MOTOCARRO")</f>
        <v>0</v>
      </c>
      <c r="T1068" s="36">
        <f>COUNTIF(Tabla1[[#This Row],[VEHICULOS_ACCIDENTADOS]:[VEHICULOS_ACCIDENTADOS2]],"AUTOMOVIL")</f>
        <v>0</v>
      </c>
      <c r="U1068" s="36">
        <f>COUNTIF(Tabla1[[#This Row],[VEHICULOS_ACCIDENTADOS]:[VEHICULOS_ACCIDENTADOS2]],"CAMPERO")</f>
        <v>0</v>
      </c>
      <c r="V1068" s="36">
        <f>COUNTIF(Tabla1[[#This Row],[VEHICULOS_ACCIDENTADOS]:[VEHICULOS_ACCIDENTADOS2]],"CAMIONETA")</f>
        <v>0</v>
      </c>
      <c r="W1068" s="36">
        <f>COUNTIF(Tabla1[[#This Row],[VEHICULOS_ACCIDENTADOS]:[VEHICULOS_ACCIDENTADOS2]],"MICROBUS")</f>
        <v>0</v>
      </c>
      <c r="X1068" s="36">
        <f>COUNTIF(Tabla1[[#This Row],[VEHICULOS_ACCIDENTADOS]:[VEHICULOS_ACCIDENTADOS2]],"BUS")</f>
        <v>0</v>
      </c>
      <c r="Y1068" s="36">
        <f>COUNTIF(Tabla1[[#This Row],[VEHICULOS_ACCIDENTADOS]:[VEHICULOS_ACCIDENTADOS2]],"BUSETA")</f>
        <v>0</v>
      </c>
      <c r="Z1068" s="36">
        <f>COUNTIF(Tabla1[[#This Row],[VEHICULOS_ACCIDENTADOS]:[VEHICULOS_ACCIDENTADOS2]],"CAMION")</f>
        <v>0</v>
      </c>
      <c r="AA1068" s="36">
        <f>COUNTIF(Tabla1[[#This Row],[VEHICULOS_ACCIDENTADOS]:[VEHICULOS_ACCIDENTADOS2]],"TRACTOCAMION")</f>
        <v>0</v>
      </c>
      <c r="AB1068" s="36">
        <f>COUNTIF(Tabla1[[#This Row],[VEHICULOS_ACCIDENTADOS]:[VEHICULOS_ACCIDENTADOS2]],"VOLQUETA")</f>
        <v>0</v>
      </c>
      <c r="AC1068" s="36">
        <f>COUNTIF(Tabla1[[#This Row],[VEHICULOS_ACCIDENTADOS]:[VEHICULOS_ACCIDENTADOS2]],"BICICLETA")</f>
        <v>0</v>
      </c>
      <c r="AD1068" s="9" t="s">
        <v>471</v>
      </c>
      <c r="AE1068" s="9" t="s">
        <v>472</v>
      </c>
      <c r="AF1068" s="9">
        <f>COUNTIF(Tabla1[[#This Row],[GENERO_MASCULINO]:[GENERO_FEMENINO]],"MASCULINO")</f>
        <v>1</v>
      </c>
      <c r="AG1068" s="36">
        <f>COUNTIF(Tabla1[[#This Row],[GENERO_MASCULINO]:[GENERO_FEMENINO]],"FEMENINO")</f>
        <v>1</v>
      </c>
      <c r="AH1068" s="75">
        <v>20</v>
      </c>
      <c r="AI1068" s="75"/>
      <c r="AJ1068" s="75"/>
      <c r="AK1068" s="75">
        <v>13</v>
      </c>
      <c r="AL1068" s="75"/>
      <c r="AM1068" s="9"/>
      <c r="AN1068" s="75">
        <v>409</v>
      </c>
      <c r="AO1068" s="9" t="str">
        <f>IFERROR(((VLOOKUP(Tabla1[[#This Row],[HIPOTESIS_1]],listas!$D$1:$E$105,2,FALSE))),"SIN INFORMACIÓN")</f>
        <v>Cruzar sin observar.</v>
      </c>
      <c r="AP1068" s="9"/>
      <c r="AQ1068" s="13" t="str">
        <f>IFERROR(((VLOOKUP(Tabla1[[#This Row],[HIPOTESIS_2]],listas!$D$1:$E$105,2,FALSE))),"")</f>
        <v/>
      </c>
      <c r="AR1068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069" spans="1:44" s="5" customFormat="1" x14ac:dyDescent="0.25">
      <c r="A1069" s="12">
        <v>260</v>
      </c>
      <c r="B1069" s="9">
        <v>0</v>
      </c>
      <c r="C1069" s="9">
        <v>2</v>
      </c>
      <c r="D1069" s="9">
        <v>0</v>
      </c>
      <c r="E1069" s="151" t="str">
        <f t="shared" si="64"/>
        <v>LESIONADO</v>
      </c>
      <c r="F1069" s="9" t="s">
        <v>266</v>
      </c>
      <c r="G1069" s="93">
        <v>5.3235969444444446</v>
      </c>
      <c r="H1069" s="159">
        <v>-72.393601111111124</v>
      </c>
      <c r="I1069" s="159" t="s">
        <v>697</v>
      </c>
      <c r="J1069" s="9" t="s">
        <v>717</v>
      </c>
      <c r="K1069" s="76" t="str">
        <f t="shared" si="65"/>
        <v>2022</v>
      </c>
      <c r="L1069" s="76" t="str">
        <f t="shared" si="66"/>
        <v>JULIO</v>
      </c>
      <c r="M1069" s="239">
        <v>44768</v>
      </c>
      <c r="N1069" s="76" t="str">
        <f t="shared" si="67"/>
        <v>MARTES</v>
      </c>
      <c r="O1069" s="172">
        <v>0.79166666666666696</v>
      </c>
      <c r="P1069" s="185" t="s">
        <v>469</v>
      </c>
      <c r="Q1069" s="185" t="s">
        <v>445</v>
      </c>
      <c r="R1069" s="36">
        <f>COUNTIF(Tabla1[[#This Row],[VEHICULOS_ACCIDENTADOS]:[VEHICULOS_ACCIDENTADOS2]],"MOTOCICLETA")</f>
        <v>1</v>
      </c>
      <c r="S1069" s="36">
        <f>COUNTIF(Tabla1[[#This Row],[VEHICULOS_ACCIDENTADOS]:[VEHICULOS_ACCIDENTADOS2]],"MOTOCARRO")</f>
        <v>0</v>
      </c>
      <c r="T1069" s="36">
        <f>COUNTIF(Tabla1[[#This Row],[VEHICULOS_ACCIDENTADOS]:[VEHICULOS_ACCIDENTADOS2]],"AUTOMOVIL")</f>
        <v>0</v>
      </c>
      <c r="U1069" s="36">
        <f>COUNTIF(Tabla1[[#This Row],[VEHICULOS_ACCIDENTADOS]:[VEHICULOS_ACCIDENTADOS2]],"CAMPERO")</f>
        <v>0</v>
      </c>
      <c r="V1069" s="36">
        <f>COUNTIF(Tabla1[[#This Row],[VEHICULOS_ACCIDENTADOS]:[VEHICULOS_ACCIDENTADOS2]],"CAMIONETA")</f>
        <v>1</v>
      </c>
      <c r="W1069" s="36">
        <f>COUNTIF(Tabla1[[#This Row],[VEHICULOS_ACCIDENTADOS]:[VEHICULOS_ACCIDENTADOS2]],"MICROBUS")</f>
        <v>0</v>
      </c>
      <c r="X1069" s="36">
        <f>COUNTIF(Tabla1[[#This Row],[VEHICULOS_ACCIDENTADOS]:[VEHICULOS_ACCIDENTADOS2]],"BUS")</f>
        <v>0</v>
      </c>
      <c r="Y1069" s="36">
        <f>COUNTIF(Tabla1[[#This Row],[VEHICULOS_ACCIDENTADOS]:[VEHICULOS_ACCIDENTADOS2]],"BUSETA")</f>
        <v>0</v>
      </c>
      <c r="Z1069" s="36">
        <f>COUNTIF(Tabla1[[#This Row],[VEHICULOS_ACCIDENTADOS]:[VEHICULOS_ACCIDENTADOS2]],"CAMION")</f>
        <v>0</v>
      </c>
      <c r="AA1069" s="36">
        <f>COUNTIF(Tabla1[[#This Row],[VEHICULOS_ACCIDENTADOS]:[VEHICULOS_ACCIDENTADOS2]],"TRACTOCAMION")</f>
        <v>0</v>
      </c>
      <c r="AB1069" s="36">
        <f>COUNTIF(Tabla1[[#This Row],[VEHICULOS_ACCIDENTADOS]:[VEHICULOS_ACCIDENTADOS2]],"VOLQUETA")</f>
        <v>0</v>
      </c>
      <c r="AC1069" s="36">
        <f>COUNTIF(Tabla1[[#This Row],[VEHICULOS_ACCIDENTADOS]:[VEHICULOS_ACCIDENTADOS2]],"BICICLETA")</f>
        <v>0</v>
      </c>
      <c r="AD1069" s="9" t="s">
        <v>471</v>
      </c>
      <c r="AE1069" s="9" t="s">
        <v>472</v>
      </c>
      <c r="AF1069" s="9">
        <f>COUNTIF(Tabla1[[#This Row],[GENERO_MASCULINO]:[GENERO_FEMENINO]],"MASCULINO")</f>
        <v>1</v>
      </c>
      <c r="AG1069" s="36">
        <f>COUNTIF(Tabla1[[#This Row],[GENERO_MASCULINO]:[GENERO_FEMENINO]],"FEMENINO")</f>
        <v>1</v>
      </c>
      <c r="AH1069" s="75">
        <v>54</v>
      </c>
      <c r="AI1069" s="75">
        <v>32</v>
      </c>
      <c r="AJ1069" s="75"/>
      <c r="AK1069" s="75"/>
      <c r="AL1069" s="75"/>
      <c r="AM1069" s="9"/>
      <c r="AN1069" s="75">
        <v>121</v>
      </c>
      <c r="AO1069" s="9" t="str">
        <f>IFERROR(((VLOOKUP(Tabla1[[#This Row],[HIPOTESIS_1]],listas!$D$1:$E$105,2,FALSE))),"SIN INFORMACIÓN")</f>
        <v>No mantener distancia de seguridad.</v>
      </c>
      <c r="AP1069" s="9"/>
      <c r="AQ1069" s="13" t="str">
        <f>IFERROR(((VLOOKUP(Tabla1[[#This Row],[HIPOTESIS_2]],listas!$D$1:$E$105,2,FALSE))),"")</f>
        <v/>
      </c>
      <c r="AR1069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070" spans="1:44" s="5" customFormat="1" x14ac:dyDescent="0.25">
      <c r="A1070" s="12">
        <v>197</v>
      </c>
      <c r="B1070" s="9">
        <v>0</v>
      </c>
      <c r="C1070" s="9">
        <v>0</v>
      </c>
      <c r="D1070" s="9">
        <v>1</v>
      </c>
      <c r="E1070" s="151" t="str">
        <f t="shared" si="64"/>
        <v>FALLECIDO</v>
      </c>
      <c r="F1070" s="9" t="s">
        <v>360</v>
      </c>
      <c r="G1070" s="159">
        <v>5.3195249999999996</v>
      </c>
      <c r="H1070" s="159">
        <v>-72.392769444444454</v>
      </c>
      <c r="I1070" s="159" t="s">
        <v>697</v>
      </c>
      <c r="J1070" s="9" t="s">
        <v>717</v>
      </c>
      <c r="K1070" s="76" t="str">
        <f t="shared" si="65"/>
        <v>2022</v>
      </c>
      <c r="L1070" s="76" t="str">
        <f t="shared" si="66"/>
        <v>MAYO</v>
      </c>
      <c r="M1070" s="239">
        <v>44709</v>
      </c>
      <c r="N1070" s="76" t="str">
        <f t="shared" si="67"/>
        <v>SÁBADO</v>
      </c>
      <c r="O1070" s="111">
        <v>0.11111111111111099</v>
      </c>
      <c r="P1070" s="11" t="s">
        <v>469</v>
      </c>
      <c r="Q1070" s="11"/>
      <c r="R1070" s="36">
        <f>COUNTIF(Tabla1[[#This Row],[VEHICULOS_ACCIDENTADOS]:[VEHICULOS_ACCIDENTADOS2]],"MOTOCICLETA")</f>
        <v>1</v>
      </c>
      <c r="S1070" s="36">
        <f>COUNTIF(Tabla1[[#This Row],[VEHICULOS_ACCIDENTADOS]:[VEHICULOS_ACCIDENTADOS2]],"MOTOCARRO")</f>
        <v>0</v>
      </c>
      <c r="T1070" s="36">
        <f>COUNTIF(Tabla1[[#This Row],[VEHICULOS_ACCIDENTADOS]:[VEHICULOS_ACCIDENTADOS2]],"AUTOMOVIL")</f>
        <v>0</v>
      </c>
      <c r="U1070" s="36">
        <f>COUNTIF(Tabla1[[#This Row],[VEHICULOS_ACCIDENTADOS]:[VEHICULOS_ACCIDENTADOS2]],"CAMPERO")</f>
        <v>0</v>
      </c>
      <c r="V1070" s="36">
        <f>COUNTIF(Tabla1[[#This Row],[VEHICULOS_ACCIDENTADOS]:[VEHICULOS_ACCIDENTADOS2]],"CAMIONETA")</f>
        <v>0</v>
      </c>
      <c r="W1070" s="36">
        <f>COUNTIF(Tabla1[[#This Row],[VEHICULOS_ACCIDENTADOS]:[VEHICULOS_ACCIDENTADOS2]],"MICROBUS")</f>
        <v>0</v>
      </c>
      <c r="X1070" s="36">
        <f>COUNTIF(Tabla1[[#This Row],[VEHICULOS_ACCIDENTADOS]:[VEHICULOS_ACCIDENTADOS2]],"BUS")</f>
        <v>0</v>
      </c>
      <c r="Y1070" s="36">
        <f>COUNTIF(Tabla1[[#This Row],[VEHICULOS_ACCIDENTADOS]:[VEHICULOS_ACCIDENTADOS2]],"BUSETA")</f>
        <v>0</v>
      </c>
      <c r="Z1070" s="36">
        <f>COUNTIF(Tabla1[[#This Row],[VEHICULOS_ACCIDENTADOS]:[VEHICULOS_ACCIDENTADOS2]],"CAMION")</f>
        <v>0</v>
      </c>
      <c r="AA1070" s="36">
        <f>COUNTIF(Tabla1[[#This Row],[VEHICULOS_ACCIDENTADOS]:[VEHICULOS_ACCIDENTADOS2]],"TRACTOCAMION")</f>
        <v>0</v>
      </c>
      <c r="AB1070" s="36">
        <f>COUNTIF(Tabla1[[#This Row],[VEHICULOS_ACCIDENTADOS]:[VEHICULOS_ACCIDENTADOS2]],"VOLQUETA")</f>
        <v>0</v>
      </c>
      <c r="AC1070" s="36">
        <f>COUNTIF(Tabla1[[#This Row],[VEHICULOS_ACCIDENTADOS]:[VEHICULOS_ACCIDENTADOS2]],"BICICLETA")</f>
        <v>0</v>
      </c>
      <c r="AD1070" s="9" t="s">
        <v>471</v>
      </c>
      <c r="AE1070" s="9"/>
      <c r="AF1070" s="9">
        <f>COUNTIF(Tabla1[[#This Row],[GENERO_MASCULINO]:[GENERO_FEMENINO]],"MASCULINO")</f>
        <v>1</v>
      </c>
      <c r="AG1070" s="36">
        <f>COUNTIF(Tabla1[[#This Row],[GENERO_MASCULINO]:[GENERO_FEMENINO]],"FEMENINO")</f>
        <v>0</v>
      </c>
      <c r="AH1070" s="75"/>
      <c r="AI1070" s="75"/>
      <c r="AJ1070" s="75"/>
      <c r="AK1070" s="75"/>
      <c r="AL1070" s="75"/>
      <c r="AM1070" s="9">
        <v>34</v>
      </c>
      <c r="AN1070" s="75">
        <v>1</v>
      </c>
      <c r="AO1070" s="9" t="str">
        <f>IFERROR(((VLOOKUP(Tabla1[[#This Row],[HIPOTESIS_1]],listas!$D$1:$E$105,2,FALSE))),"SIN INFORMACIÓN")</f>
        <v>SIN INFORMACIÓN</v>
      </c>
      <c r="AP1070" s="9"/>
      <c r="AQ1070" s="13" t="str">
        <f>IFERROR(((VLOOKUP(Tabla1[[#This Row],[HIPOTESIS_2]],listas!$D$1:$E$105,2,FALSE))),"")</f>
        <v/>
      </c>
      <c r="AR1070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071" spans="1:44" s="5" customFormat="1" x14ac:dyDescent="0.25">
      <c r="A1071" s="12">
        <v>117</v>
      </c>
      <c r="B1071" s="7">
        <v>0</v>
      </c>
      <c r="C1071" s="7">
        <v>0</v>
      </c>
      <c r="D1071" s="7">
        <v>1</v>
      </c>
      <c r="E1071" s="151" t="str">
        <f t="shared" si="64"/>
        <v>FALLECIDO</v>
      </c>
      <c r="F1071" s="7" t="s">
        <v>394</v>
      </c>
      <c r="G1071" s="17">
        <v>5.3235916666666663</v>
      </c>
      <c r="H1071" s="17">
        <v>-72.393497222222223</v>
      </c>
      <c r="I1071" s="17" t="s">
        <v>697</v>
      </c>
      <c r="J1071" s="7" t="s">
        <v>717</v>
      </c>
      <c r="K1071" s="24" t="str">
        <f t="shared" si="65"/>
        <v>2022</v>
      </c>
      <c r="L1071" s="24" t="str">
        <f t="shared" si="66"/>
        <v>ABRIL</v>
      </c>
      <c r="M1071" s="232">
        <v>44658</v>
      </c>
      <c r="N1071" s="24" t="str">
        <f t="shared" si="67"/>
        <v>JUEVES</v>
      </c>
      <c r="O1071" s="106">
        <v>9.7222222222222224E-2</v>
      </c>
      <c r="P1071" s="8" t="s">
        <v>469</v>
      </c>
      <c r="Q1071" s="8"/>
      <c r="R1071" s="36">
        <f>COUNTIF(Tabla1[[#This Row],[VEHICULOS_ACCIDENTADOS]:[VEHICULOS_ACCIDENTADOS2]],"MOTOCICLETA")</f>
        <v>1</v>
      </c>
      <c r="S1071" s="36">
        <f>COUNTIF(Tabla1[[#This Row],[VEHICULOS_ACCIDENTADOS]:[VEHICULOS_ACCIDENTADOS2]],"MOTOCARRO")</f>
        <v>0</v>
      </c>
      <c r="T1071" s="36">
        <f>COUNTIF(Tabla1[[#This Row],[VEHICULOS_ACCIDENTADOS]:[VEHICULOS_ACCIDENTADOS2]],"AUTOMOVIL")</f>
        <v>0</v>
      </c>
      <c r="U1071" s="36">
        <f>COUNTIF(Tabla1[[#This Row],[VEHICULOS_ACCIDENTADOS]:[VEHICULOS_ACCIDENTADOS2]],"CAMPERO")</f>
        <v>0</v>
      </c>
      <c r="V1071" s="36">
        <f>COUNTIF(Tabla1[[#This Row],[VEHICULOS_ACCIDENTADOS]:[VEHICULOS_ACCIDENTADOS2]],"CAMIONETA")</f>
        <v>0</v>
      </c>
      <c r="W1071" s="36">
        <f>COUNTIF(Tabla1[[#This Row],[VEHICULOS_ACCIDENTADOS]:[VEHICULOS_ACCIDENTADOS2]],"MICROBUS")</f>
        <v>0</v>
      </c>
      <c r="X1071" s="36">
        <f>COUNTIF(Tabla1[[#This Row],[VEHICULOS_ACCIDENTADOS]:[VEHICULOS_ACCIDENTADOS2]],"BUS")</f>
        <v>0</v>
      </c>
      <c r="Y1071" s="36">
        <f>COUNTIF(Tabla1[[#This Row],[VEHICULOS_ACCIDENTADOS]:[VEHICULOS_ACCIDENTADOS2]],"BUSETA")</f>
        <v>0</v>
      </c>
      <c r="Z1071" s="36">
        <f>COUNTIF(Tabla1[[#This Row],[VEHICULOS_ACCIDENTADOS]:[VEHICULOS_ACCIDENTADOS2]],"CAMION")</f>
        <v>0</v>
      </c>
      <c r="AA1071" s="36">
        <f>COUNTIF(Tabla1[[#This Row],[VEHICULOS_ACCIDENTADOS]:[VEHICULOS_ACCIDENTADOS2]],"TRACTOCAMION")</f>
        <v>0</v>
      </c>
      <c r="AB1071" s="36">
        <f>COUNTIF(Tabla1[[#This Row],[VEHICULOS_ACCIDENTADOS]:[VEHICULOS_ACCIDENTADOS2]],"VOLQUETA")</f>
        <v>0</v>
      </c>
      <c r="AC1071" s="36">
        <f>COUNTIF(Tabla1[[#This Row],[VEHICULOS_ACCIDENTADOS]:[VEHICULOS_ACCIDENTADOS2]],"BICICLETA")</f>
        <v>0</v>
      </c>
      <c r="AD1071" s="7" t="s">
        <v>471</v>
      </c>
      <c r="AE1071" s="7"/>
      <c r="AF1071" s="7">
        <f>COUNTIF(Tabla1[[#This Row],[GENERO_MASCULINO]:[GENERO_FEMENINO]],"MASCULINO")</f>
        <v>1</v>
      </c>
      <c r="AG1071" s="36">
        <f>COUNTIF(Tabla1[[#This Row],[GENERO_MASCULINO]:[GENERO_FEMENINO]],"FEMENINO")</f>
        <v>0</v>
      </c>
      <c r="AH1071" s="192"/>
      <c r="AI1071" s="192"/>
      <c r="AJ1071" s="89"/>
      <c r="AK1071" s="193"/>
      <c r="AL1071" s="193"/>
      <c r="AM1071" s="32">
        <v>25</v>
      </c>
      <c r="AN1071" s="193">
        <v>115</v>
      </c>
      <c r="AO1071" s="7" t="str">
        <f>IFERROR(((VLOOKUP(Tabla1[[#This Row],[HIPOTESIS_1]],listas!$D$1:$E$105,2,FALSE))),"SIN INFORMACIÓN")</f>
        <v>Embriaguez o Sustancias alucinogenas</v>
      </c>
      <c r="AP1071" s="32"/>
      <c r="AQ1071" s="36" t="str">
        <f>IFERROR(((VLOOKUP(Tabla1[[#This Row],[HIPOTESIS_2]],listas!$D$1:$E$105,2,FALSE))),"")</f>
        <v/>
      </c>
      <c r="AR1071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072" spans="1:44" s="5" customFormat="1" x14ac:dyDescent="0.25">
      <c r="A1072" s="12">
        <v>994</v>
      </c>
      <c r="B1072" s="24">
        <v>0</v>
      </c>
      <c r="C1072" s="24">
        <v>2</v>
      </c>
      <c r="D1072" s="24">
        <v>0</v>
      </c>
      <c r="E1072" s="151" t="str">
        <f t="shared" si="64"/>
        <v>LESIONADO</v>
      </c>
      <c r="F1072" s="24" t="s">
        <v>6</v>
      </c>
      <c r="G1072" s="30">
        <v>5.3145199999999999</v>
      </c>
      <c r="H1072" s="30">
        <v>-72.394403999999994</v>
      </c>
      <c r="I1072" s="17" t="s">
        <v>697</v>
      </c>
      <c r="J1072" s="7" t="s">
        <v>717</v>
      </c>
      <c r="K1072" s="24" t="str">
        <f t="shared" si="65"/>
        <v>2025</v>
      </c>
      <c r="L1072" s="24" t="str">
        <f t="shared" si="66"/>
        <v>JUNIO</v>
      </c>
      <c r="M1072" s="236">
        <v>45826</v>
      </c>
      <c r="N1072" s="24" t="str">
        <f t="shared" si="67"/>
        <v>MIÉRCOLES</v>
      </c>
      <c r="O1072" s="106">
        <v>0.2361111111111111</v>
      </c>
      <c r="P1072" s="8" t="s">
        <v>469</v>
      </c>
      <c r="Q1072" s="8"/>
      <c r="R1072" s="36">
        <f>COUNTIF(Tabla1[[#This Row],[VEHICULOS_ACCIDENTADOS]:[VEHICULOS_ACCIDENTADOS2]],"MOTOCICLETA")</f>
        <v>1</v>
      </c>
      <c r="S1072" s="36">
        <f>COUNTIF(Tabla1[[#This Row],[VEHICULOS_ACCIDENTADOS]:[VEHICULOS_ACCIDENTADOS2]],"MOTOCARRO")</f>
        <v>0</v>
      </c>
      <c r="T1072" s="36">
        <f>COUNTIF(Tabla1[[#This Row],[VEHICULOS_ACCIDENTADOS]:[VEHICULOS_ACCIDENTADOS2]],"AUTOMOVIL")</f>
        <v>0</v>
      </c>
      <c r="U1072" s="36">
        <f>COUNTIF(Tabla1[[#This Row],[VEHICULOS_ACCIDENTADOS]:[VEHICULOS_ACCIDENTADOS2]],"CAMPERO")</f>
        <v>0</v>
      </c>
      <c r="V1072" s="36">
        <f>COUNTIF(Tabla1[[#This Row],[VEHICULOS_ACCIDENTADOS]:[VEHICULOS_ACCIDENTADOS2]],"CAMIONETA")</f>
        <v>0</v>
      </c>
      <c r="W1072" s="36">
        <f>COUNTIF(Tabla1[[#This Row],[VEHICULOS_ACCIDENTADOS]:[VEHICULOS_ACCIDENTADOS2]],"MICROBUS")</f>
        <v>0</v>
      </c>
      <c r="X1072" s="36">
        <f>COUNTIF(Tabla1[[#This Row],[VEHICULOS_ACCIDENTADOS]:[VEHICULOS_ACCIDENTADOS2]],"BUS")</f>
        <v>0</v>
      </c>
      <c r="Y1072" s="36">
        <f>COUNTIF(Tabla1[[#This Row],[VEHICULOS_ACCIDENTADOS]:[VEHICULOS_ACCIDENTADOS2]],"BUSETA")</f>
        <v>0</v>
      </c>
      <c r="Z1072" s="36">
        <f>COUNTIF(Tabla1[[#This Row],[VEHICULOS_ACCIDENTADOS]:[VEHICULOS_ACCIDENTADOS2]],"CAMION")</f>
        <v>0</v>
      </c>
      <c r="AA1072" s="36">
        <f>COUNTIF(Tabla1[[#This Row],[VEHICULOS_ACCIDENTADOS]:[VEHICULOS_ACCIDENTADOS2]],"TRACTOCAMION")</f>
        <v>0</v>
      </c>
      <c r="AB1072" s="36">
        <f>COUNTIF(Tabla1[[#This Row],[VEHICULOS_ACCIDENTADOS]:[VEHICULOS_ACCIDENTADOS2]],"VOLQUETA")</f>
        <v>0</v>
      </c>
      <c r="AC1072" s="36">
        <f>COUNTIF(Tabla1[[#This Row],[VEHICULOS_ACCIDENTADOS]:[VEHICULOS_ACCIDENTADOS2]],"BICICLETA")</f>
        <v>0</v>
      </c>
      <c r="AD1072" s="7" t="s">
        <v>471</v>
      </c>
      <c r="AE1072" s="7" t="s">
        <v>472</v>
      </c>
      <c r="AF1072" s="7">
        <f>COUNTIF(Tabla1[[#This Row],[GENERO_MASCULINO]:[GENERO_FEMENINO]],"MASCULINO")</f>
        <v>1</v>
      </c>
      <c r="AG1072" s="36">
        <f>COUNTIF(Tabla1[[#This Row],[GENERO_MASCULINO]:[GENERO_FEMENINO]],"FEMENINO")</f>
        <v>1</v>
      </c>
      <c r="AH1072" s="90">
        <v>21</v>
      </c>
      <c r="AI1072" s="90">
        <v>21</v>
      </c>
      <c r="AJ1072" s="86"/>
      <c r="AK1072" s="87"/>
      <c r="AL1072" s="87"/>
      <c r="AM1072" s="6"/>
      <c r="AN1072" s="73">
        <v>139</v>
      </c>
      <c r="AO1072" s="7" t="str">
        <f>IFERROR(((VLOOKUP(Tabla1[[#This Row],[HIPOTESIS_1]],listas!$D$1:$E$105,2,FALSE))),"SIN INFORMACIÓN")</f>
        <v>Impericia en el manejo.</v>
      </c>
      <c r="AP1072" s="7"/>
      <c r="AQ1072" s="36" t="str">
        <f>IFERROR(((VLOOKUP(Tabla1[[#This Row],[HIPOTESIS_2]],listas!$D$1:$E$105,2,FALSE))),"")</f>
        <v/>
      </c>
      <c r="AR1072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073" spans="1:44" s="5" customFormat="1" x14ac:dyDescent="0.25">
      <c r="A1073" s="12">
        <v>140</v>
      </c>
      <c r="B1073" s="7">
        <v>1</v>
      </c>
      <c r="C1073" s="7">
        <v>0</v>
      </c>
      <c r="D1073" s="7">
        <v>0</v>
      </c>
      <c r="E1073" s="151" t="str">
        <f t="shared" si="64"/>
        <v>SOLO DAÑO</v>
      </c>
      <c r="F1073" s="7" t="s">
        <v>385</v>
      </c>
      <c r="G1073" s="17">
        <v>5.3289388888888887</v>
      </c>
      <c r="H1073" s="17">
        <v>-72.393138888888899</v>
      </c>
      <c r="I1073" s="17" t="s">
        <v>697</v>
      </c>
      <c r="J1073" s="7" t="s">
        <v>717</v>
      </c>
      <c r="K1073" s="24" t="str">
        <f t="shared" si="65"/>
        <v>2022</v>
      </c>
      <c r="L1073" s="24" t="str">
        <f t="shared" si="66"/>
        <v>ABRIL</v>
      </c>
      <c r="M1073" s="232">
        <v>44670</v>
      </c>
      <c r="N1073" s="24" t="str">
        <f t="shared" si="67"/>
        <v>MARTES</v>
      </c>
      <c r="O1073" s="106">
        <v>0.84027777777777801</v>
      </c>
      <c r="P1073" s="8" t="s">
        <v>447</v>
      </c>
      <c r="Q1073" s="8" t="s">
        <v>447</v>
      </c>
      <c r="R1073" s="36">
        <f>COUNTIF(Tabla1[[#This Row],[VEHICULOS_ACCIDENTADOS]:[VEHICULOS_ACCIDENTADOS2]],"MOTOCICLETA")</f>
        <v>0</v>
      </c>
      <c r="S1073" s="36">
        <f>COUNTIF(Tabla1[[#This Row],[VEHICULOS_ACCIDENTADOS]:[VEHICULOS_ACCIDENTADOS2]],"MOTOCARRO")</f>
        <v>0</v>
      </c>
      <c r="T1073" s="36">
        <f>COUNTIF(Tabla1[[#This Row],[VEHICULOS_ACCIDENTADOS]:[VEHICULOS_ACCIDENTADOS2]],"AUTOMOVIL")</f>
        <v>2</v>
      </c>
      <c r="U1073" s="36">
        <f>COUNTIF(Tabla1[[#This Row],[VEHICULOS_ACCIDENTADOS]:[VEHICULOS_ACCIDENTADOS2]],"CAMPERO")</f>
        <v>0</v>
      </c>
      <c r="V1073" s="36">
        <f>COUNTIF(Tabla1[[#This Row],[VEHICULOS_ACCIDENTADOS]:[VEHICULOS_ACCIDENTADOS2]],"CAMIONETA")</f>
        <v>0</v>
      </c>
      <c r="W1073" s="36">
        <f>COUNTIF(Tabla1[[#This Row],[VEHICULOS_ACCIDENTADOS]:[VEHICULOS_ACCIDENTADOS2]],"MICROBUS")</f>
        <v>0</v>
      </c>
      <c r="X1073" s="36">
        <f>COUNTIF(Tabla1[[#This Row],[VEHICULOS_ACCIDENTADOS]:[VEHICULOS_ACCIDENTADOS2]],"BUS")</f>
        <v>0</v>
      </c>
      <c r="Y1073" s="36">
        <f>COUNTIF(Tabla1[[#This Row],[VEHICULOS_ACCIDENTADOS]:[VEHICULOS_ACCIDENTADOS2]],"BUSETA")</f>
        <v>0</v>
      </c>
      <c r="Z1073" s="36">
        <f>COUNTIF(Tabla1[[#This Row],[VEHICULOS_ACCIDENTADOS]:[VEHICULOS_ACCIDENTADOS2]],"CAMION")</f>
        <v>0</v>
      </c>
      <c r="AA1073" s="36">
        <f>COUNTIF(Tabla1[[#This Row],[VEHICULOS_ACCIDENTADOS]:[VEHICULOS_ACCIDENTADOS2]],"TRACTOCAMION")</f>
        <v>0</v>
      </c>
      <c r="AB1073" s="36">
        <f>COUNTIF(Tabla1[[#This Row],[VEHICULOS_ACCIDENTADOS]:[VEHICULOS_ACCIDENTADOS2]],"VOLQUETA")</f>
        <v>0</v>
      </c>
      <c r="AC1073" s="36">
        <f>COUNTIF(Tabla1[[#This Row],[VEHICULOS_ACCIDENTADOS]:[VEHICULOS_ACCIDENTADOS2]],"BICICLETA")</f>
        <v>0</v>
      </c>
      <c r="AD1073" s="7" t="s">
        <v>471</v>
      </c>
      <c r="AE1073" s="7" t="s">
        <v>472</v>
      </c>
      <c r="AF1073" s="7">
        <f>COUNTIF(Tabla1[[#This Row],[GENERO_MASCULINO]:[GENERO_FEMENINO]],"MASCULINO")</f>
        <v>1</v>
      </c>
      <c r="AG1073" s="36">
        <f>COUNTIF(Tabla1[[#This Row],[GENERO_MASCULINO]:[GENERO_FEMENINO]],"FEMENINO")</f>
        <v>1</v>
      </c>
      <c r="AH1073" s="75"/>
      <c r="AI1073" s="75"/>
      <c r="AJ1073" s="75"/>
      <c r="AK1073" s="73"/>
      <c r="AL1073" s="73"/>
      <c r="AM1073" s="7"/>
      <c r="AN1073" s="73">
        <v>103</v>
      </c>
      <c r="AO1073" s="7" t="str">
        <f>IFERROR(((VLOOKUP(Tabla1[[#This Row],[HIPOTESIS_1]],listas!$D$1:$E$105,2,FALSE))),"SIN INFORMACIÓN")</f>
        <v>Adelantar cerrando.</v>
      </c>
      <c r="AP1073" s="7"/>
      <c r="AQ1073" s="36" t="str">
        <f>IFERROR(((VLOOKUP(Tabla1[[#This Row],[HIPOTESIS_2]],listas!$D$1:$E$105,2,FALSE))),"")</f>
        <v/>
      </c>
      <c r="AR1073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074" spans="1:44" s="5" customFormat="1" x14ac:dyDescent="0.25">
      <c r="A1074" s="12">
        <v>115</v>
      </c>
      <c r="B1074" s="7">
        <v>1</v>
      </c>
      <c r="C1074" s="7">
        <v>0</v>
      </c>
      <c r="D1074" s="7">
        <v>0</v>
      </c>
      <c r="E1074" s="151" t="str">
        <f t="shared" si="64"/>
        <v>SOLO DAÑO</v>
      </c>
      <c r="F1074" s="7" t="s">
        <v>395</v>
      </c>
      <c r="G1074" s="17">
        <v>5.3400749999999997</v>
      </c>
      <c r="H1074" s="17">
        <v>-72.399355555555559</v>
      </c>
      <c r="I1074" s="17" t="s">
        <v>697</v>
      </c>
      <c r="J1074" s="7" t="s">
        <v>717</v>
      </c>
      <c r="K1074" s="24" t="str">
        <f t="shared" si="65"/>
        <v>2022</v>
      </c>
      <c r="L1074" s="24" t="str">
        <f t="shared" si="66"/>
        <v>ABRIL</v>
      </c>
      <c r="M1074" s="232">
        <v>44656</v>
      </c>
      <c r="N1074" s="24" t="str">
        <f t="shared" si="67"/>
        <v>MARTES</v>
      </c>
      <c r="O1074" s="106">
        <v>0.83333333333333304</v>
      </c>
      <c r="P1074" s="8" t="s">
        <v>469</v>
      </c>
      <c r="Q1074" s="8" t="s">
        <v>445</v>
      </c>
      <c r="R1074" s="36">
        <f>COUNTIF(Tabla1[[#This Row],[VEHICULOS_ACCIDENTADOS]:[VEHICULOS_ACCIDENTADOS2]],"MOTOCICLETA")</f>
        <v>1</v>
      </c>
      <c r="S1074" s="36">
        <f>COUNTIF(Tabla1[[#This Row],[VEHICULOS_ACCIDENTADOS]:[VEHICULOS_ACCIDENTADOS2]],"MOTOCARRO")</f>
        <v>0</v>
      </c>
      <c r="T1074" s="36">
        <f>COUNTIF(Tabla1[[#This Row],[VEHICULOS_ACCIDENTADOS]:[VEHICULOS_ACCIDENTADOS2]],"AUTOMOVIL")</f>
        <v>0</v>
      </c>
      <c r="U1074" s="36">
        <f>COUNTIF(Tabla1[[#This Row],[VEHICULOS_ACCIDENTADOS]:[VEHICULOS_ACCIDENTADOS2]],"CAMPERO")</f>
        <v>0</v>
      </c>
      <c r="V1074" s="36">
        <f>COUNTIF(Tabla1[[#This Row],[VEHICULOS_ACCIDENTADOS]:[VEHICULOS_ACCIDENTADOS2]],"CAMIONETA")</f>
        <v>1</v>
      </c>
      <c r="W1074" s="36">
        <f>COUNTIF(Tabla1[[#This Row],[VEHICULOS_ACCIDENTADOS]:[VEHICULOS_ACCIDENTADOS2]],"MICROBUS")</f>
        <v>0</v>
      </c>
      <c r="X1074" s="36">
        <f>COUNTIF(Tabla1[[#This Row],[VEHICULOS_ACCIDENTADOS]:[VEHICULOS_ACCIDENTADOS2]],"BUS")</f>
        <v>0</v>
      </c>
      <c r="Y1074" s="36">
        <f>COUNTIF(Tabla1[[#This Row],[VEHICULOS_ACCIDENTADOS]:[VEHICULOS_ACCIDENTADOS2]],"BUSETA")</f>
        <v>0</v>
      </c>
      <c r="Z1074" s="36">
        <f>COUNTIF(Tabla1[[#This Row],[VEHICULOS_ACCIDENTADOS]:[VEHICULOS_ACCIDENTADOS2]],"CAMION")</f>
        <v>0</v>
      </c>
      <c r="AA1074" s="36">
        <f>COUNTIF(Tabla1[[#This Row],[VEHICULOS_ACCIDENTADOS]:[VEHICULOS_ACCIDENTADOS2]],"TRACTOCAMION")</f>
        <v>0</v>
      </c>
      <c r="AB1074" s="36">
        <f>COUNTIF(Tabla1[[#This Row],[VEHICULOS_ACCIDENTADOS]:[VEHICULOS_ACCIDENTADOS2]],"VOLQUETA")</f>
        <v>0</v>
      </c>
      <c r="AC1074" s="36">
        <f>COUNTIF(Tabla1[[#This Row],[VEHICULOS_ACCIDENTADOS]:[VEHICULOS_ACCIDENTADOS2]],"BICICLETA")</f>
        <v>0</v>
      </c>
      <c r="AD1074" s="7"/>
      <c r="AE1074" s="7" t="s">
        <v>472</v>
      </c>
      <c r="AF1074" s="7">
        <f>COUNTIF(Tabla1[[#This Row],[GENERO_MASCULINO]:[GENERO_FEMENINO]],"MASCULINO")</f>
        <v>0</v>
      </c>
      <c r="AG1074" s="36">
        <f>COUNTIF(Tabla1[[#This Row],[GENERO_MASCULINO]:[GENERO_FEMENINO]],"FEMENINO")</f>
        <v>1</v>
      </c>
      <c r="AH1074" s="192"/>
      <c r="AI1074" s="192"/>
      <c r="AJ1074" s="201"/>
      <c r="AK1074" s="193"/>
      <c r="AL1074" s="193"/>
      <c r="AM1074" s="32"/>
      <c r="AN1074" s="193">
        <v>121</v>
      </c>
      <c r="AO1074" s="7" t="str">
        <f>IFERROR(((VLOOKUP(Tabla1[[#This Row],[HIPOTESIS_1]],listas!$D$1:$E$105,2,FALSE))),"SIN INFORMACIÓN")</f>
        <v>No mantener distancia de seguridad.</v>
      </c>
      <c r="AP1074" s="32"/>
      <c r="AQ1074" s="36" t="str">
        <f>IFERROR(((VLOOKUP(Tabla1[[#This Row],[HIPOTESIS_2]],listas!$D$1:$E$105,2,FALSE))),"")</f>
        <v/>
      </c>
      <c r="AR1074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075" spans="1:44" s="5" customFormat="1" x14ac:dyDescent="0.25">
      <c r="A1075" s="12">
        <v>763</v>
      </c>
      <c r="B1075" s="98">
        <v>0</v>
      </c>
      <c r="C1075" s="14">
        <v>1</v>
      </c>
      <c r="D1075" s="14">
        <v>0</v>
      </c>
      <c r="E1075" s="151" t="str">
        <f t="shared" si="64"/>
        <v>LESIONADO</v>
      </c>
      <c r="F1075" s="15" t="s">
        <v>120</v>
      </c>
      <c r="G1075" s="160">
        <v>5.319577777777778</v>
      </c>
      <c r="H1075" s="160">
        <v>-72.417869444444449</v>
      </c>
      <c r="I1075" s="159" t="s">
        <v>697</v>
      </c>
      <c r="J1075" s="14" t="s">
        <v>717</v>
      </c>
      <c r="K1075" s="76" t="str">
        <f t="shared" si="65"/>
        <v>2024</v>
      </c>
      <c r="L1075" s="76" t="str">
        <f t="shared" si="66"/>
        <v>AGOSTO</v>
      </c>
      <c r="M1075" s="241">
        <v>45517</v>
      </c>
      <c r="N1075" s="76" t="str">
        <f t="shared" si="67"/>
        <v>MARTES</v>
      </c>
      <c r="O1075" s="173">
        <v>0.58333333333333337</v>
      </c>
      <c r="P1075" s="179" t="s">
        <v>469</v>
      </c>
      <c r="Q1075" s="179" t="s">
        <v>445</v>
      </c>
      <c r="R1075" s="36">
        <f>COUNTIF(Tabla1[[#This Row],[VEHICULOS_ACCIDENTADOS]:[VEHICULOS_ACCIDENTADOS2]],"MOTOCICLETA")</f>
        <v>1</v>
      </c>
      <c r="S1075" s="36">
        <f>COUNTIF(Tabla1[[#This Row],[VEHICULOS_ACCIDENTADOS]:[VEHICULOS_ACCIDENTADOS2]],"MOTOCARRO")</f>
        <v>0</v>
      </c>
      <c r="T1075" s="36">
        <f>COUNTIF(Tabla1[[#This Row],[VEHICULOS_ACCIDENTADOS]:[VEHICULOS_ACCIDENTADOS2]],"AUTOMOVIL")</f>
        <v>0</v>
      </c>
      <c r="U1075" s="36">
        <f>COUNTIF(Tabla1[[#This Row],[VEHICULOS_ACCIDENTADOS]:[VEHICULOS_ACCIDENTADOS2]],"CAMPERO")</f>
        <v>0</v>
      </c>
      <c r="V1075" s="36">
        <f>COUNTIF(Tabla1[[#This Row],[VEHICULOS_ACCIDENTADOS]:[VEHICULOS_ACCIDENTADOS2]],"CAMIONETA")</f>
        <v>1</v>
      </c>
      <c r="W1075" s="36">
        <f>COUNTIF(Tabla1[[#This Row],[VEHICULOS_ACCIDENTADOS]:[VEHICULOS_ACCIDENTADOS2]],"MICROBUS")</f>
        <v>0</v>
      </c>
      <c r="X1075" s="36">
        <f>COUNTIF(Tabla1[[#This Row],[VEHICULOS_ACCIDENTADOS]:[VEHICULOS_ACCIDENTADOS2]],"BUS")</f>
        <v>0</v>
      </c>
      <c r="Y1075" s="36">
        <f>COUNTIF(Tabla1[[#This Row],[VEHICULOS_ACCIDENTADOS]:[VEHICULOS_ACCIDENTADOS2]],"BUSETA")</f>
        <v>0</v>
      </c>
      <c r="Z1075" s="36">
        <f>COUNTIF(Tabla1[[#This Row],[VEHICULOS_ACCIDENTADOS]:[VEHICULOS_ACCIDENTADOS2]],"CAMION")</f>
        <v>0</v>
      </c>
      <c r="AA1075" s="36">
        <f>COUNTIF(Tabla1[[#This Row],[VEHICULOS_ACCIDENTADOS]:[VEHICULOS_ACCIDENTADOS2]],"TRACTOCAMION")</f>
        <v>0</v>
      </c>
      <c r="AB1075" s="36">
        <f>COUNTIF(Tabla1[[#This Row],[VEHICULOS_ACCIDENTADOS]:[VEHICULOS_ACCIDENTADOS2]],"VOLQUETA")</f>
        <v>0</v>
      </c>
      <c r="AC1075" s="36">
        <f>COUNTIF(Tabla1[[#This Row],[VEHICULOS_ACCIDENTADOS]:[VEHICULOS_ACCIDENTADOS2]],"BICICLETA")</f>
        <v>0</v>
      </c>
      <c r="AD1075" s="14" t="s">
        <v>471</v>
      </c>
      <c r="AE1075" s="14"/>
      <c r="AF1075" s="14">
        <f>COUNTIF(Tabla1[[#This Row],[GENERO_MASCULINO]:[GENERO_FEMENINO]],"MASCULINO")</f>
        <v>1</v>
      </c>
      <c r="AG1075" s="36">
        <f>COUNTIF(Tabla1[[#This Row],[GENERO_MASCULINO]:[GENERO_FEMENINO]],"FEMENINO")</f>
        <v>0</v>
      </c>
      <c r="AH1075" s="90">
        <v>26</v>
      </c>
      <c r="AI1075" s="90">
        <v>57</v>
      </c>
      <c r="AJ1075" s="90"/>
      <c r="AK1075" s="90"/>
      <c r="AL1075" s="90"/>
      <c r="AM1075" s="14"/>
      <c r="AN1075" s="90">
        <v>112</v>
      </c>
      <c r="AO1075" s="9" t="str">
        <f>IFERROR(((VLOOKUP(Tabla1[[#This Row],[HIPOTESIS_1]],listas!$D$1:$E$105,2,FALSE))),"SIN INFORMACIÓN")</f>
        <v>Desobedecer señales o normas de tránsito.</v>
      </c>
      <c r="AP1075" s="14"/>
      <c r="AQ1075" s="13" t="str">
        <f>IFERROR(((VLOOKUP(Tabla1[[#This Row],[HIPOTESIS_2]],listas!$D$1:$E$105,2,FALSE))),"")</f>
        <v/>
      </c>
      <c r="AR1075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076" spans="1:44" s="5" customFormat="1" x14ac:dyDescent="0.25">
      <c r="A1076" s="12">
        <v>97</v>
      </c>
      <c r="B1076" s="7">
        <v>1</v>
      </c>
      <c r="C1076" s="7">
        <v>0</v>
      </c>
      <c r="D1076" s="7">
        <v>0</v>
      </c>
      <c r="E1076" s="151" t="str">
        <f t="shared" si="64"/>
        <v>SOLO DAÑO</v>
      </c>
      <c r="F1076" s="7" t="s">
        <v>1031</v>
      </c>
      <c r="G1076" s="17">
        <v>5.3299500000000002</v>
      </c>
      <c r="H1076" s="17">
        <v>-72.410002777777777</v>
      </c>
      <c r="I1076" s="17" t="s">
        <v>697</v>
      </c>
      <c r="J1076" s="7" t="s">
        <v>717</v>
      </c>
      <c r="K1076" s="76" t="str">
        <f t="shared" si="65"/>
        <v>2022</v>
      </c>
      <c r="L1076" s="76" t="str">
        <f t="shared" si="66"/>
        <v>MARZO</v>
      </c>
      <c r="M1076" s="232">
        <v>44639</v>
      </c>
      <c r="N1076" s="24" t="str">
        <f t="shared" si="67"/>
        <v>SÁBADO</v>
      </c>
      <c r="O1076" s="106">
        <v>0.4375</v>
      </c>
      <c r="P1076" s="8" t="s">
        <v>469</v>
      </c>
      <c r="Q1076" s="8" t="s">
        <v>438</v>
      </c>
      <c r="R1076" s="36">
        <f>COUNTIF(Tabla1[[#This Row],[VEHICULOS_ACCIDENTADOS]:[VEHICULOS_ACCIDENTADOS2]],"MOTOCICLETA")</f>
        <v>1</v>
      </c>
      <c r="S1076" s="36">
        <f>COUNTIF(Tabla1[[#This Row],[VEHICULOS_ACCIDENTADOS]:[VEHICULOS_ACCIDENTADOS2]],"MOTOCARRO")</f>
        <v>0</v>
      </c>
      <c r="T1076" s="36">
        <f>COUNTIF(Tabla1[[#This Row],[VEHICULOS_ACCIDENTADOS]:[VEHICULOS_ACCIDENTADOS2]],"AUTOMOVIL")</f>
        <v>0</v>
      </c>
      <c r="U1076" s="36">
        <f>COUNTIF(Tabla1[[#This Row],[VEHICULOS_ACCIDENTADOS]:[VEHICULOS_ACCIDENTADOS2]],"CAMPERO")</f>
        <v>0</v>
      </c>
      <c r="V1076" s="36">
        <f>COUNTIF(Tabla1[[#This Row],[VEHICULOS_ACCIDENTADOS]:[VEHICULOS_ACCIDENTADOS2]],"CAMIONETA")</f>
        <v>0</v>
      </c>
      <c r="W1076" s="36">
        <f>COUNTIF(Tabla1[[#This Row],[VEHICULOS_ACCIDENTADOS]:[VEHICULOS_ACCIDENTADOS2]],"MICROBUS")</f>
        <v>0</v>
      </c>
      <c r="X1076" s="36">
        <f>COUNTIF(Tabla1[[#This Row],[VEHICULOS_ACCIDENTADOS]:[VEHICULOS_ACCIDENTADOS2]],"BUS")</f>
        <v>0</v>
      </c>
      <c r="Y1076" s="36">
        <f>COUNTIF(Tabla1[[#This Row],[VEHICULOS_ACCIDENTADOS]:[VEHICULOS_ACCIDENTADOS2]],"BUSETA")</f>
        <v>0</v>
      </c>
      <c r="Z1076" s="36">
        <f>COUNTIF(Tabla1[[#This Row],[VEHICULOS_ACCIDENTADOS]:[VEHICULOS_ACCIDENTADOS2]],"CAMION")</f>
        <v>0</v>
      </c>
      <c r="AA1076" s="36">
        <f>COUNTIF(Tabla1[[#This Row],[VEHICULOS_ACCIDENTADOS]:[VEHICULOS_ACCIDENTADOS2]],"TRACTOCAMION")</f>
        <v>0</v>
      </c>
      <c r="AB1076" s="36">
        <f>COUNTIF(Tabla1[[#This Row],[VEHICULOS_ACCIDENTADOS]:[VEHICULOS_ACCIDENTADOS2]],"VOLQUETA")</f>
        <v>0</v>
      </c>
      <c r="AC1076" s="36">
        <f>COUNTIF(Tabla1[[#This Row],[VEHICULOS_ACCIDENTADOS]:[VEHICULOS_ACCIDENTADOS2]],"BICICLETA")</f>
        <v>1</v>
      </c>
      <c r="AD1076" s="7" t="s">
        <v>471</v>
      </c>
      <c r="AE1076" s="7" t="s">
        <v>472</v>
      </c>
      <c r="AF1076" s="7">
        <f>COUNTIF(Tabla1[[#This Row],[GENERO_MASCULINO]:[GENERO_FEMENINO]],"MASCULINO")</f>
        <v>1</v>
      </c>
      <c r="AG1076" s="36">
        <f>COUNTIF(Tabla1[[#This Row],[GENERO_MASCULINO]:[GENERO_FEMENINO]],"FEMENINO")</f>
        <v>1</v>
      </c>
      <c r="AH1076" s="73"/>
      <c r="AI1076" s="73"/>
      <c r="AJ1076" s="73"/>
      <c r="AK1076" s="73"/>
      <c r="AL1076" s="73"/>
      <c r="AM1076" s="7"/>
      <c r="AN1076" s="73">
        <v>121</v>
      </c>
      <c r="AO1076" s="7" t="str">
        <f>IFERROR(((VLOOKUP(Tabla1[[#This Row],[HIPOTESIS_1]],listas!$D$1:$E$105,2,FALSE))),"SIN INFORMACIÓN")</f>
        <v>No mantener distancia de seguridad.</v>
      </c>
      <c r="AP1076" s="7"/>
      <c r="AQ1076" s="36" t="str">
        <f>IFERROR(((VLOOKUP(Tabla1[[#This Row],[HIPOTESIS_2]],listas!$D$1:$E$105,2,FALSE))),"")</f>
        <v/>
      </c>
      <c r="AR1076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077" spans="1:44" s="5" customFormat="1" x14ac:dyDescent="0.25">
      <c r="A1077" s="12">
        <v>804</v>
      </c>
      <c r="B1077" s="16">
        <v>0</v>
      </c>
      <c r="C1077" s="15">
        <v>2</v>
      </c>
      <c r="D1077" s="19">
        <v>0</v>
      </c>
      <c r="E1077" s="151" t="str">
        <f t="shared" si="64"/>
        <v>LESIONADO</v>
      </c>
      <c r="F1077" s="15" t="s">
        <v>106</v>
      </c>
      <c r="G1077" s="21">
        <v>5.321791666666666</v>
      </c>
      <c r="H1077" s="21">
        <v>-72.415013888888893</v>
      </c>
      <c r="I1077" s="17" t="s">
        <v>697</v>
      </c>
      <c r="J1077" s="7" t="s">
        <v>717</v>
      </c>
      <c r="K1077" s="76" t="str">
        <f t="shared" si="65"/>
        <v>2024</v>
      </c>
      <c r="L1077" s="76" t="str">
        <f t="shared" si="66"/>
        <v>NOVIEMBRE</v>
      </c>
      <c r="M1077" s="234">
        <v>45599</v>
      </c>
      <c r="N1077" s="24" t="str">
        <f t="shared" si="67"/>
        <v>DOMINGO</v>
      </c>
      <c r="O1077" s="108">
        <v>0.54861111111111105</v>
      </c>
      <c r="P1077" s="44" t="s">
        <v>469</v>
      </c>
      <c r="Q1077" s="44" t="s">
        <v>447</v>
      </c>
      <c r="R1077" s="36">
        <f>COUNTIF(Tabla1[[#This Row],[VEHICULOS_ACCIDENTADOS]:[VEHICULOS_ACCIDENTADOS2]],"MOTOCICLETA")</f>
        <v>1</v>
      </c>
      <c r="S1077" s="36">
        <f>COUNTIF(Tabla1[[#This Row],[VEHICULOS_ACCIDENTADOS]:[VEHICULOS_ACCIDENTADOS2]],"MOTOCARRO")</f>
        <v>0</v>
      </c>
      <c r="T1077" s="36">
        <f>COUNTIF(Tabla1[[#This Row],[VEHICULOS_ACCIDENTADOS]:[VEHICULOS_ACCIDENTADOS2]],"AUTOMOVIL")</f>
        <v>1</v>
      </c>
      <c r="U1077" s="36">
        <f>COUNTIF(Tabla1[[#This Row],[VEHICULOS_ACCIDENTADOS]:[VEHICULOS_ACCIDENTADOS2]],"CAMPERO")</f>
        <v>0</v>
      </c>
      <c r="V1077" s="36">
        <f>COUNTIF(Tabla1[[#This Row],[VEHICULOS_ACCIDENTADOS]:[VEHICULOS_ACCIDENTADOS2]],"CAMIONETA")</f>
        <v>0</v>
      </c>
      <c r="W1077" s="36">
        <f>COUNTIF(Tabla1[[#This Row],[VEHICULOS_ACCIDENTADOS]:[VEHICULOS_ACCIDENTADOS2]],"MICROBUS")</f>
        <v>0</v>
      </c>
      <c r="X1077" s="36">
        <f>COUNTIF(Tabla1[[#This Row],[VEHICULOS_ACCIDENTADOS]:[VEHICULOS_ACCIDENTADOS2]],"BUS")</f>
        <v>0</v>
      </c>
      <c r="Y1077" s="36">
        <f>COUNTIF(Tabla1[[#This Row],[VEHICULOS_ACCIDENTADOS]:[VEHICULOS_ACCIDENTADOS2]],"BUSETA")</f>
        <v>0</v>
      </c>
      <c r="Z1077" s="36">
        <f>COUNTIF(Tabla1[[#This Row],[VEHICULOS_ACCIDENTADOS]:[VEHICULOS_ACCIDENTADOS2]],"CAMION")</f>
        <v>0</v>
      </c>
      <c r="AA1077" s="36">
        <f>COUNTIF(Tabla1[[#This Row],[VEHICULOS_ACCIDENTADOS]:[VEHICULOS_ACCIDENTADOS2]],"TRACTOCAMION")</f>
        <v>0</v>
      </c>
      <c r="AB1077" s="36">
        <f>COUNTIF(Tabla1[[#This Row],[VEHICULOS_ACCIDENTADOS]:[VEHICULOS_ACCIDENTADOS2]],"VOLQUETA")</f>
        <v>0</v>
      </c>
      <c r="AC1077" s="36">
        <f>COUNTIF(Tabla1[[#This Row],[VEHICULOS_ACCIDENTADOS]:[VEHICULOS_ACCIDENTADOS2]],"BICICLETA")</f>
        <v>0</v>
      </c>
      <c r="AD1077" s="15" t="s">
        <v>471</v>
      </c>
      <c r="AE1077" s="15" t="s">
        <v>472</v>
      </c>
      <c r="AF1077" s="15">
        <f>COUNTIF(Tabla1[[#This Row],[GENERO_MASCULINO]:[GENERO_FEMENINO]],"MASCULINO")</f>
        <v>1</v>
      </c>
      <c r="AG1077" s="36">
        <f>COUNTIF(Tabla1[[#This Row],[GENERO_MASCULINO]:[GENERO_FEMENINO]],"FEMENINO")</f>
        <v>1</v>
      </c>
      <c r="AH1077" s="86">
        <v>28</v>
      </c>
      <c r="AI1077" s="86">
        <v>38</v>
      </c>
      <c r="AJ1077" s="86">
        <v>17</v>
      </c>
      <c r="AK1077" s="86"/>
      <c r="AL1077" s="86"/>
      <c r="AM1077" s="15"/>
      <c r="AN1077" s="86">
        <v>112</v>
      </c>
      <c r="AO1077" s="7" t="str">
        <f>IFERROR(((VLOOKUP(Tabla1[[#This Row],[HIPOTESIS_1]],listas!$D$1:$E$105,2,FALSE))),"SIN INFORMACIÓN")</f>
        <v>Desobedecer señales o normas de tránsito.</v>
      </c>
      <c r="AP1077" s="15"/>
      <c r="AQ1077" s="36" t="str">
        <f>IFERROR(((VLOOKUP(Tabla1[[#This Row],[HIPOTESIS_2]],listas!$D$1:$E$105,2,FALSE))),"")</f>
        <v/>
      </c>
      <c r="AR1077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078" spans="1:44" s="5" customFormat="1" x14ac:dyDescent="0.25">
      <c r="A1078" s="12">
        <v>751</v>
      </c>
      <c r="B1078" s="14">
        <v>1</v>
      </c>
      <c r="C1078" s="14">
        <v>0</v>
      </c>
      <c r="D1078" s="14">
        <v>0</v>
      </c>
      <c r="E1078" s="151" t="str">
        <f t="shared" si="64"/>
        <v>SOLO DAÑO</v>
      </c>
      <c r="F1078" s="15" t="s">
        <v>125</v>
      </c>
      <c r="G1078" s="160">
        <v>5.321791666666666</v>
      </c>
      <c r="H1078" s="160">
        <v>-72.415013888888893</v>
      </c>
      <c r="I1078" s="159" t="s">
        <v>697</v>
      </c>
      <c r="J1078" s="14" t="s">
        <v>717</v>
      </c>
      <c r="K1078" s="76" t="str">
        <f t="shared" si="65"/>
        <v>2024</v>
      </c>
      <c r="L1078" s="76" t="str">
        <f t="shared" si="66"/>
        <v>JULIO</v>
      </c>
      <c r="M1078" s="241">
        <v>45498</v>
      </c>
      <c r="N1078" s="76" t="str">
        <f t="shared" si="67"/>
        <v>JUEVES</v>
      </c>
      <c r="O1078" s="173">
        <v>0.59375</v>
      </c>
      <c r="P1078" s="179" t="s">
        <v>469</v>
      </c>
      <c r="Q1078" s="179" t="s">
        <v>469</v>
      </c>
      <c r="R1078" s="36">
        <f>COUNTIF(Tabla1[[#This Row],[VEHICULOS_ACCIDENTADOS]:[VEHICULOS_ACCIDENTADOS2]],"MOTOCICLETA")</f>
        <v>2</v>
      </c>
      <c r="S1078" s="36">
        <f>COUNTIF(Tabla1[[#This Row],[VEHICULOS_ACCIDENTADOS]:[VEHICULOS_ACCIDENTADOS2]],"MOTOCARRO")</f>
        <v>0</v>
      </c>
      <c r="T1078" s="36">
        <f>COUNTIF(Tabla1[[#This Row],[VEHICULOS_ACCIDENTADOS]:[VEHICULOS_ACCIDENTADOS2]],"AUTOMOVIL")</f>
        <v>0</v>
      </c>
      <c r="U1078" s="36">
        <f>COUNTIF(Tabla1[[#This Row],[VEHICULOS_ACCIDENTADOS]:[VEHICULOS_ACCIDENTADOS2]],"CAMPERO")</f>
        <v>0</v>
      </c>
      <c r="V1078" s="36">
        <f>COUNTIF(Tabla1[[#This Row],[VEHICULOS_ACCIDENTADOS]:[VEHICULOS_ACCIDENTADOS2]],"CAMIONETA")</f>
        <v>0</v>
      </c>
      <c r="W1078" s="36">
        <f>COUNTIF(Tabla1[[#This Row],[VEHICULOS_ACCIDENTADOS]:[VEHICULOS_ACCIDENTADOS2]],"MICROBUS")</f>
        <v>0</v>
      </c>
      <c r="X1078" s="36">
        <f>COUNTIF(Tabla1[[#This Row],[VEHICULOS_ACCIDENTADOS]:[VEHICULOS_ACCIDENTADOS2]],"BUS")</f>
        <v>0</v>
      </c>
      <c r="Y1078" s="36">
        <f>COUNTIF(Tabla1[[#This Row],[VEHICULOS_ACCIDENTADOS]:[VEHICULOS_ACCIDENTADOS2]],"BUSETA")</f>
        <v>0</v>
      </c>
      <c r="Z1078" s="36">
        <f>COUNTIF(Tabla1[[#This Row],[VEHICULOS_ACCIDENTADOS]:[VEHICULOS_ACCIDENTADOS2]],"CAMION")</f>
        <v>0</v>
      </c>
      <c r="AA1078" s="36">
        <f>COUNTIF(Tabla1[[#This Row],[VEHICULOS_ACCIDENTADOS]:[VEHICULOS_ACCIDENTADOS2]],"TRACTOCAMION")</f>
        <v>0</v>
      </c>
      <c r="AB1078" s="36">
        <f>COUNTIF(Tabla1[[#This Row],[VEHICULOS_ACCIDENTADOS]:[VEHICULOS_ACCIDENTADOS2]],"VOLQUETA")</f>
        <v>0</v>
      </c>
      <c r="AC1078" s="36">
        <f>COUNTIF(Tabla1[[#This Row],[VEHICULOS_ACCIDENTADOS]:[VEHICULOS_ACCIDENTADOS2]],"BICICLETA")</f>
        <v>0</v>
      </c>
      <c r="AD1078" s="14" t="s">
        <v>471</v>
      </c>
      <c r="AE1078" s="14" t="s">
        <v>472</v>
      </c>
      <c r="AF1078" s="14">
        <f>COUNTIF(Tabla1[[#This Row],[GENERO_MASCULINO]:[GENERO_FEMENINO]],"MASCULINO")</f>
        <v>1</v>
      </c>
      <c r="AG1078" s="36">
        <f>COUNTIF(Tabla1[[#This Row],[GENERO_MASCULINO]:[GENERO_FEMENINO]],"FEMENINO")</f>
        <v>1</v>
      </c>
      <c r="AH1078" s="90"/>
      <c r="AI1078" s="90">
        <v>21</v>
      </c>
      <c r="AJ1078" s="90">
        <v>31</v>
      </c>
      <c r="AK1078" s="90"/>
      <c r="AL1078" s="90"/>
      <c r="AM1078" s="14"/>
      <c r="AN1078" s="90">
        <v>139</v>
      </c>
      <c r="AO1078" s="9" t="str">
        <f>IFERROR(((VLOOKUP(Tabla1[[#This Row],[HIPOTESIS_1]],listas!$D$1:$E$105,2,FALSE))),"SIN INFORMACIÓN")</f>
        <v>Impericia en el manejo.</v>
      </c>
      <c r="AP1078" s="14"/>
      <c r="AQ1078" s="13" t="str">
        <f>IFERROR(((VLOOKUP(Tabla1[[#This Row],[HIPOTESIS_2]],listas!$D$1:$E$105,2,FALSE))),"")</f>
        <v/>
      </c>
      <c r="AR1078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079" spans="1:44" s="5" customFormat="1" x14ac:dyDescent="0.25">
      <c r="A1079" s="12">
        <v>323</v>
      </c>
      <c r="B1079" s="7">
        <v>0</v>
      </c>
      <c r="C1079" s="7">
        <v>1</v>
      </c>
      <c r="D1079" s="7">
        <v>0</v>
      </c>
      <c r="E1079" s="18" t="str">
        <f t="shared" si="64"/>
        <v>LESIONADO</v>
      </c>
      <c r="F1079" s="7" t="s">
        <v>152</v>
      </c>
      <c r="G1079" s="17">
        <v>5.3191972222222219</v>
      </c>
      <c r="H1079" s="17">
        <v>-72.393116666666671</v>
      </c>
      <c r="I1079" s="159" t="s">
        <v>697</v>
      </c>
      <c r="J1079" s="9" t="s">
        <v>717</v>
      </c>
      <c r="K1079" s="24" t="str">
        <f t="shared" si="65"/>
        <v>2022</v>
      </c>
      <c r="L1079" s="24" t="str">
        <f t="shared" si="66"/>
        <v>OCTUBRE</v>
      </c>
      <c r="M1079" s="232">
        <v>44836</v>
      </c>
      <c r="N1079" s="24" t="str">
        <f t="shared" si="67"/>
        <v>DOMINGO</v>
      </c>
      <c r="O1079" s="174">
        <v>0.20833333333333301</v>
      </c>
      <c r="P1079" s="180" t="s">
        <v>469</v>
      </c>
      <c r="Q1079" s="180"/>
      <c r="R1079" s="36">
        <f>COUNTIF(Tabla1[[#This Row],[VEHICULOS_ACCIDENTADOS]:[VEHICULOS_ACCIDENTADOS2]],"MOTOCICLETA")</f>
        <v>1</v>
      </c>
      <c r="S1079" s="36">
        <f>COUNTIF(Tabla1[[#This Row],[VEHICULOS_ACCIDENTADOS]:[VEHICULOS_ACCIDENTADOS2]],"MOTOCARRO")</f>
        <v>0</v>
      </c>
      <c r="T1079" s="36">
        <f>COUNTIF(Tabla1[[#This Row],[VEHICULOS_ACCIDENTADOS]:[VEHICULOS_ACCIDENTADOS2]],"AUTOMOVIL")</f>
        <v>0</v>
      </c>
      <c r="U1079" s="36">
        <f>COUNTIF(Tabla1[[#This Row],[VEHICULOS_ACCIDENTADOS]:[VEHICULOS_ACCIDENTADOS2]],"CAMPERO")</f>
        <v>0</v>
      </c>
      <c r="V1079" s="36">
        <f>COUNTIF(Tabla1[[#This Row],[VEHICULOS_ACCIDENTADOS]:[VEHICULOS_ACCIDENTADOS2]],"CAMIONETA")</f>
        <v>0</v>
      </c>
      <c r="W1079" s="36">
        <f>COUNTIF(Tabla1[[#This Row],[VEHICULOS_ACCIDENTADOS]:[VEHICULOS_ACCIDENTADOS2]],"MICROBUS")</f>
        <v>0</v>
      </c>
      <c r="X1079" s="36">
        <f>COUNTIF(Tabla1[[#This Row],[VEHICULOS_ACCIDENTADOS]:[VEHICULOS_ACCIDENTADOS2]],"BUS")</f>
        <v>0</v>
      </c>
      <c r="Y1079" s="36">
        <f>COUNTIF(Tabla1[[#This Row],[VEHICULOS_ACCIDENTADOS]:[VEHICULOS_ACCIDENTADOS2]],"BUSETA")</f>
        <v>0</v>
      </c>
      <c r="Z1079" s="36">
        <f>COUNTIF(Tabla1[[#This Row],[VEHICULOS_ACCIDENTADOS]:[VEHICULOS_ACCIDENTADOS2]],"CAMION")</f>
        <v>0</v>
      </c>
      <c r="AA1079" s="36">
        <f>COUNTIF(Tabla1[[#This Row],[VEHICULOS_ACCIDENTADOS]:[VEHICULOS_ACCIDENTADOS2]],"TRACTOCAMION")</f>
        <v>0</v>
      </c>
      <c r="AB1079" s="36">
        <f>COUNTIF(Tabla1[[#This Row],[VEHICULOS_ACCIDENTADOS]:[VEHICULOS_ACCIDENTADOS2]],"VOLQUETA")</f>
        <v>0</v>
      </c>
      <c r="AC1079" s="36">
        <f>COUNTIF(Tabla1[[#This Row],[VEHICULOS_ACCIDENTADOS]:[VEHICULOS_ACCIDENTADOS2]],"BICICLETA")</f>
        <v>0</v>
      </c>
      <c r="AD1079" s="7" t="s">
        <v>471</v>
      </c>
      <c r="AE1079" s="7"/>
      <c r="AF1079" s="7">
        <f>COUNTIF(Tabla1[[#This Row],[GENERO_MASCULINO]:[GENERO_FEMENINO]],"MASCULINO")</f>
        <v>1</v>
      </c>
      <c r="AG1079" s="36">
        <f>COUNTIF(Tabla1[[#This Row],[GENERO_MASCULINO]:[GENERO_FEMENINO]],"FEMENINO")</f>
        <v>0</v>
      </c>
      <c r="AH1079" s="73">
        <v>48</v>
      </c>
      <c r="AI1079" s="73"/>
      <c r="AJ1079" s="200"/>
      <c r="AK1079" s="73"/>
      <c r="AL1079" s="73"/>
      <c r="AM1079" s="7"/>
      <c r="AN1079" s="73">
        <v>139</v>
      </c>
      <c r="AO1079" s="7" t="str">
        <f>IFERROR(((VLOOKUP(Tabla1[[#This Row],[HIPOTESIS_1]],listas!$D$1:$E$105,2,FALSE))),"SIN INFORMACIÓN")</f>
        <v>Impericia en el manejo.</v>
      </c>
      <c r="AP1079" s="7"/>
      <c r="AQ1079" s="36" t="str">
        <f>IFERROR(((VLOOKUP(Tabla1[[#This Row],[HIPOTESIS_2]],listas!$D$1:$E$105,2,FALSE))),"")</f>
        <v/>
      </c>
      <c r="AR1079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080" spans="1:44" s="5" customFormat="1" x14ac:dyDescent="0.25">
      <c r="A1080" s="12">
        <v>687</v>
      </c>
      <c r="B1080" s="15">
        <v>0</v>
      </c>
      <c r="C1080" s="15">
        <v>0</v>
      </c>
      <c r="D1080" s="19">
        <v>1</v>
      </c>
      <c r="E1080" s="18" t="str">
        <f t="shared" si="64"/>
        <v>FALLECIDO</v>
      </c>
      <c r="F1080" s="15" t="s">
        <v>152</v>
      </c>
      <c r="G1080" s="21">
        <v>5.3164444444444445</v>
      </c>
      <c r="H1080" s="21">
        <v>-72.392258333333345</v>
      </c>
      <c r="I1080" s="159" t="s">
        <v>697</v>
      </c>
      <c r="J1080" s="14" t="s">
        <v>717</v>
      </c>
      <c r="K1080" s="24" t="str">
        <f t="shared" si="65"/>
        <v>2024</v>
      </c>
      <c r="L1080" s="24" t="str">
        <f t="shared" si="66"/>
        <v>ABRIL</v>
      </c>
      <c r="M1080" s="234">
        <v>45388</v>
      </c>
      <c r="N1080" s="24" t="str">
        <f t="shared" si="67"/>
        <v>SÁBADO</v>
      </c>
      <c r="O1080" s="108">
        <v>0.15972222222222224</v>
      </c>
      <c r="P1080" s="44" t="s">
        <v>469</v>
      </c>
      <c r="Q1080" s="44"/>
      <c r="R1080" s="36">
        <f>COUNTIF(Tabla1[[#This Row],[VEHICULOS_ACCIDENTADOS]:[VEHICULOS_ACCIDENTADOS2]],"MOTOCICLETA")</f>
        <v>1</v>
      </c>
      <c r="S1080" s="36">
        <f>COUNTIF(Tabla1[[#This Row],[VEHICULOS_ACCIDENTADOS]:[VEHICULOS_ACCIDENTADOS2]],"MOTOCARRO")</f>
        <v>0</v>
      </c>
      <c r="T1080" s="36">
        <f>COUNTIF(Tabla1[[#This Row],[VEHICULOS_ACCIDENTADOS]:[VEHICULOS_ACCIDENTADOS2]],"AUTOMOVIL")</f>
        <v>0</v>
      </c>
      <c r="U1080" s="36">
        <f>COUNTIF(Tabla1[[#This Row],[VEHICULOS_ACCIDENTADOS]:[VEHICULOS_ACCIDENTADOS2]],"CAMPERO")</f>
        <v>0</v>
      </c>
      <c r="V1080" s="36">
        <f>COUNTIF(Tabla1[[#This Row],[VEHICULOS_ACCIDENTADOS]:[VEHICULOS_ACCIDENTADOS2]],"CAMIONETA")</f>
        <v>0</v>
      </c>
      <c r="W1080" s="36">
        <f>COUNTIF(Tabla1[[#This Row],[VEHICULOS_ACCIDENTADOS]:[VEHICULOS_ACCIDENTADOS2]],"MICROBUS")</f>
        <v>0</v>
      </c>
      <c r="X1080" s="36">
        <f>COUNTIF(Tabla1[[#This Row],[VEHICULOS_ACCIDENTADOS]:[VEHICULOS_ACCIDENTADOS2]],"BUS")</f>
        <v>0</v>
      </c>
      <c r="Y1080" s="36">
        <f>COUNTIF(Tabla1[[#This Row],[VEHICULOS_ACCIDENTADOS]:[VEHICULOS_ACCIDENTADOS2]],"BUSETA")</f>
        <v>0</v>
      </c>
      <c r="Z1080" s="36">
        <f>COUNTIF(Tabla1[[#This Row],[VEHICULOS_ACCIDENTADOS]:[VEHICULOS_ACCIDENTADOS2]],"CAMION")</f>
        <v>0</v>
      </c>
      <c r="AA1080" s="36">
        <f>COUNTIF(Tabla1[[#This Row],[VEHICULOS_ACCIDENTADOS]:[VEHICULOS_ACCIDENTADOS2]],"TRACTOCAMION")</f>
        <v>0</v>
      </c>
      <c r="AB1080" s="36">
        <f>COUNTIF(Tabla1[[#This Row],[VEHICULOS_ACCIDENTADOS]:[VEHICULOS_ACCIDENTADOS2]],"VOLQUETA")</f>
        <v>0</v>
      </c>
      <c r="AC1080" s="36">
        <f>COUNTIF(Tabla1[[#This Row],[VEHICULOS_ACCIDENTADOS]:[VEHICULOS_ACCIDENTADOS2]],"BICICLETA")</f>
        <v>0</v>
      </c>
      <c r="AD1080" s="15" t="s">
        <v>471</v>
      </c>
      <c r="AE1080" s="15"/>
      <c r="AF1080" s="15">
        <f>COUNTIF(Tabla1[[#This Row],[GENERO_MASCULINO]:[GENERO_FEMENINO]],"MASCULINO")</f>
        <v>1</v>
      </c>
      <c r="AG1080" s="36">
        <f>COUNTIF(Tabla1[[#This Row],[GENERO_MASCULINO]:[GENERO_FEMENINO]],"FEMENINO")</f>
        <v>0</v>
      </c>
      <c r="AH1080" s="86"/>
      <c r="AI1080" s="86"/>
      <c r="AJ1080" s="86"/>
      <c r="AK1080" s="86"/>
      <c r="AL1080" s="86"/>
      <c r="AM1080" s="15">
        <v>28</v>
      </c>
      <c r="AN1080" s="86">
        <v>114</v>
      </c>
      <c r="AO1080" s="7" t="str">
        <f>IFERROR(((VLOOKUP(Tabla1[[#This Row],[HIPOTESIS_1]],listas!$D$1:$E$105,2,FALSE))),"SIN INFORMACIÓN")</f>
        <v>Embriaguez aparente.</v>
      </c>
      <c r="AP1080" s="15"/>
      <c r="AQ1080" s="36" t="str">
        <f>IFERROR(((VLOOKUP(Tabla1[[#This Row],[HIPOTESIS_2]],listas!$D$1:$E$105,2,FALSE))),"")</f>
        <v/>
      </c>
      <c r="AR1080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081" spans="1:44" s="5" customFormat="1" x14ac:dyDescent="0.25">
      <c r="A1081" s="12">
        <v>859</v>
      </c>
      <c r="B1081" s="14">
        <v>1</v>
      </c>
      <c r="C1081" s="14">
        <v>0</v>
      </c>
      <c r="D1081" s="14">
        <v>0</v>
      </c>
      <c r="E1081" s="151" t="str">
        <f t="shared" si="64"/>
        <v>SOLO DAÑO</v>
      </c>
      <c r="F1081" s="14" t="s">
        <v>80</v>
      </c>
      <c r="G1081" s="160">
        <v>5.3500839999999998</v>
      </c>
      <c r="H1081" s="160">
        <v>-72.402977000000007</v>
      </c>
      <c r="I1081" s="159" t="s">
        <v>697</v>
      </c>
      <c r="J1081" s="160" t="s">
        <v>717</v>
      </c>
      <c r="K1081" s="76" t="str">
        <f t="shared" si="65"/>
        <v>2025</v>
      </c>
      <c r="L1081" s="76" t="str">
        <f t="shared" si="66"/>
        <v>ENERO</v>
      </c>
      <c r="M1081" s="241">
        <v>45658</v>
      </c>
      <c r="N1081" s="76" t="str">
        <f t="shared" si="67"/>
        <v>MIÉRCOLES</v>
      </c>
      <c r="O1081" s="173">
        <v>0.72916666666666663</v>
      </c>
      <c r="P1081" s="179" t="s">
        <v>469</v>
      </c>
      <c r="Q1081" s="179" t="s">
        <v>469</v>
      </c>
      <c r="R1081" s="36">
        <f>COUNTIF(Tabla1[[#This Row],[VEHICULOS_ACCIDENTADOS]:[VEHICULOS_ACCIDENTADOS2]],"MOTOCICLETA")</f>
        <v>2</v>
      </c>
      <c r="S1081" s="36">
        <f>COUNTIF(Tabla1[[#This Row],[VEHICULOS_ACCIDENTADOS]:[VEHICULOS_ACCIDENTADOS2]],"MOTOCARRO")</f>
        <v>0</v>
      </c>
      <c r="T1081" s="36">
        <f>COUNTIF(Tabla1[[#This Row],[VEHICULOS_ACCIDENTADOS]:[VEHICULOS_ACCIDENTADOS2]],"AUTOMOVIL")</f>
        <v>0</v>
      </c>
      <c r="U1081" s="36">
        <f>COUNTIF(Tabla1[[#This Row],[VEHICULOS_ACCIDENTADOS]:[VEHICULOS_ACCIDENTADOS2]],"CAMPERO")</f>
        <v>0</v>
      </c>
      <c r="V1081" s="36">
        <f>COUNTIF(Tabla1[[#This Row],[VEHICULOS_ACCIDENTADOS]:[VEHICULOS_ACCIDENTADOS2]],"CAMIONETA")</f>
        <v>0</v>
      </c>
      <c r="W1081" s="36">
        <f>COUNTIF(Tabla1[[#This Row],[VEHICULOS_ACCIDENTADOS]:[VEHICULOS_ACCIDENTADOS2]],"MICROBUS")</f>
        <v>0</v>
      </c>
      <c r="X1081" s="36">
        <f>COUNTIF(Tabla1[[#This Row],[VEHICULOS_ACCIDENTADOS]:[VEHICULOS_ACCIDENTADOS2]],"BUS")</f>
        <v>0</v>
      </c>
      <c r="Y1081" s="36">
        <f>COUNTIF(Tabla1[[#This Row],[VEHICULOS_ACCIDENTADOS]:[VEHICULOS_ACCIDENTADOS2]],"BUSETA")</f>
        <v>0</v>
      </c>
      <c r="Z1081" s="36">
        <f>COUNTIF(Tabla1[[#This Row],[VEHICULOS_ACCIDENTADOS]:[VEHICULOS_ACCIDENTADOS2]],"CAMION")</f>
        <v>0</v>
      </c>
      <c r="AA1081" s="36">
        <f>COUNTIF(Tabla1[[#This Row],[VEHICULOS_ACCIDENTADOS]:[VEHICULOS_ACCIDENTADOS2]],"TRACTOCAMION")</f>
        <v>0</v>
      </c>
      <c r="AB1081" s="36">
        <f>COUNTIF(Tabla1[[#This Row],[VEHICULOS_ACCIDENTADOS]:[VEHICULOS_ACCIDENTADOS2]],"VOLQUETA")</f>
        <v>0</v>
      </c>
      <c r="AC1081" s="36">
        <f>COUNTIF(Tabla1[[#This Row],[VEHICULOS_ACCIDENTADOS]:[VEHICULOS_ACCIDENTADOS2]],"BICICLETA")</f>
        <v>0</v>
      </c>
      <c r="AD1081" s="14" t="s">
        <v>472</v>
      </c>
      <c r="AE1081" s="14" t="s">
        <v>471</v>
      </c>
      <c r="AF1081" s="14">
        <f>COUNTIF(Tabla1[[#This Row],[GENERO_MASCULINO]:[GENERO_FEMENINO]],"MASCULINO")</f>
        <v>1</v>
      </c>
      <c r="AG1081" s="36">
        <f>COUNTIF(Tabla1[[#This Row],[GENERO_MASCULINO]:[GENERO_FEMENINO]],"FEMENINO")</f>
        <v>1</v>
      </c>
      <c r="AH1081" s="90">
        <v>29</v>
      </c>
      <c r="AI1081" s="90">
        <v>29</v>
      </c>
      <c r="AJ1081" s="90">
        <v>9</v>
      </c>
      <c r="AK1081" s="90"/>
      <c r="AL1081" s="90"/>
      <c r="AM1081" s="14"/>
      <c r="AN1081" s="90">
        <v>115</v>
      </c>
      <c r="AO1081" s="9" t="str">
        <f>IFERROR(((VLOOKUP(Tabla1[[#This Row],[HIPOTESIS_1]],listas!$D$1:$E$105,2,FALSE))),"SIN INFORMACIÓN")</f>
        <v>Embriaguez o Sustancias alucinogenas</v>
      </c>
      <c r="AP1081" s="14"/>
      <c r="AQ1081" s="13" t="str">
        <f>IFERROR(((VLOOKUP(Tabla1[[#This Row],[HIPOTESIS_2]],listas!$D$1:$E$105,2,FALSE))),"")</f>
        <v/>
      </c>
      <c r="AR1081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082" spans="1:44" s="5" customFormat="1" x14ac:dyDescent="0.25">
      <c r="A1082" s="12">
        <v>187</v>
      </c>
      <c r="B1082" s="9">
        <v>1</v>
      </c>
      <c r="C1082" s="9">
        <v>0</v>
      </c>
      <c r="D1082" s="9">
        <v>0</v>
      </c>
      <c r="E1082" s="151" t="str">
        <f t="shared" si="64"/>
        <v>SOLO DAÑO</v>
      </c>
      <c r="F1082" s="9" t="s">
        <v>363</v>
      </c>
      <c r="G1082" s="159">
        <v>5.3478972222222216</v>
      </c>
      <c r="H1082" s="159">
        <v>-72.402502777777784</v>
      </c>
      <c r="I1082" s="159" t="s">
        <v>697</v>
      </c>
      <c r="J1082" s="9" t="s">
        <v>717</v>
      </c>
      <c r="K1082" s="76" t="str">
        <f t="shared" si="65"/>
        <v>2022</v>
      </c>
      <c r="L1082" s="76" t="str">
        <f t="shared" si="66"/>
        <v>MAYO</v>
      </c>
      <c r="M1082" s="239">
        <v>44699</v>
      </c>
      <c r="N1082" s="76" t="str">
        <f t="shared" si="67"/>
        <v>MIÉRCOLES</v>
      </c>
      <c r="O1082" s="172">
        <v>0.73611111111111105</v>
      </c>
      <c r="P1082" s="185" t="s">
        <v>444</v>
      </c>
      <c r="Q1082" s="185" t="s">
        <v>441</v>
      </c>
      <c r="R1082" s="36">
        <f>COUNTIF(Tabla1[[#This Row],[VEHICULOS_ACCIDENTADOS]:[VEHICULOS_ACCIDENTADOS2]],"MOTOCICLETA")</f>
        <v>0</v>
      </c>
      <c r="S1082" s="36">
        <f>COUNTIF(Tabla1[[#This Row],[VEHICULOS_ACCIDENTADOS]:[VEHICULOS_ACCIDENTADOS2]],"MOTOCARRO")</f>
        <v>0</v>
      </c>
      <c r="T1082" s="36">
        <f>COUNTIF(Tabla1[[#This Row],[VEHICULOS_ACCIDENTADOS]:[VEHICULOS_ACCIDENTADOS2]],"AUTOMOVIL")</f>
        <v>0</v>
      </c>
      <c r="U1082" s="36">
        <f>COUNTIF(Tabla1[[#This Row],[VEHICULOS_ACCIDENTADOS]:[VEHICULOS_ACCIDENTADOS2]],"CAMPERO")</f>
        <v>0</v>
      </c>
      <c r="V1082" s="36">
        <f>COUNTIF(Tabla1[[#This Row],[VEHICULOS_ACCIDENTADOS]:[VEHICULOS_ACCIDENTADOS2]],"CAMIONETA")</f>
        <v>0</v>
      </c>
      <c r="W1082" s="36">
        <f>COUNTIF(Tabla1[[#This Row],[VEHICULOS_ACCIDENTADOS]:[VEHICULOS_ACCIDENTADOS2]],"MICROBUS")</f>
        <v>1</v>
      </c>
      <c r="X1082" s="36">
        <f>COUNTIF(Tabla1[[#This Row],[VEHICULOS_ACCIDENTADOS]:[VEHICULOS_ACCIDENTADOS2]],"BUS")</f>
        <v>0</v>
      </c>
      <c r="Y1082" s="36">
        <f>COUNTIF(Tabla1[[#This Row],[VEHICULOS_ACCIDENTADOS]:[VEHICULOS_ACCIDENTADOS2]],"BUSETA")</f>
        <v>0</v>
      </c>
      <c r="Z1082" s="36">
        <f>COUNTIF(Tabla1[[#This Row],[VEHICULOS_ACCIDENTADOS]:[VEHICULOS_ACCIDENTADOS2]],"CAMION")</f>
        <v>1</v>
      </c>
      <c r="AA1082" s="36">
        <f>COUNTIF(Tabla1[[#This Row],[VEHICULOS_ACCIDENTADOS]:[VEHICULOS_ACCIDENTADOS2]],"TRACTOCAMION")</f>
        <v>0</v>
      </c>
      <c r="AB1082" s="36">
        <f>COUNTIF(Tabla1[[#This Row],[VEHICULOS_ACCIDENTADOS]:[VEHICULOS_ACCIDENTADOS2]],"VOLQUETA")</f>
        <v>0</v>
      </c>
      <c r="AC1082" s="36">
        <f>COUNTIF(Tabla1[[#This Row],[VEHICULOS_ACCIDENTADOS]:[VEHICULOS_ACCIDENTADOS2]],"BICICLETA")</f>
        <v>0</v>
      </c>
      <c r="AD1082" s="9" t="s">
        <v>471</v>
      </c>
      <c r="AE1082" s="9" t="s">
        <v>472</v>
      </c>
      <c r="AF1082" s="9">
        <f>COUNTIF(Tabla1[[#This Row],[GENERO_MASCULINO]:[GENERO_FEMENINO]],"MASCULINO")</f>
        <v>1</v>
      </c>
      <c r="AG1082" s="36">
        <f>COUNTIF(Tabla1[[#This Row],[GENERO_MASCULINO]:[GENERO_FEMENINO]],"FEMENINO")</f>
        <v>1</v>
      </c>
      <c r="AH1082" s="75"/>
      <c r="AI1082" s="75"/>
      <c r="AJ1082" s="75"/>
      <c r="AK1082" s="75"/>
      <c r="AL1082" s="75"/>
      <c r="AM1082" s="9"/>
      <c r="AN1082" s="75">
        <v>145</v>
      </c>
      <c r="AO1082" s="9" t="str">
        <f>IFERROR(((VLOOKUP(Tabla1[[#This Row],[HIPOTESIS_1]],listas!$D$1:$E$105,2,FALSE))),"SIN INFORMACIÓN")</f>
        <v>Arrancar sin precaución.</v>
      </c>
      <c r="AP1082" s="9"/>
      <c r="AQ1082" s="13" t="str">
        <f>IFERROR(((VLOOKUP(Tabla1[[#This Row],[HIPOTESIS_2]],listas!$D$1:$E$105,2,FALSE))),"")</f>
        <v/>
      </c>
      <c r="AR1082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083" spans="1:44" s="5" customFormat="1" x14ac:dyDescent="0.25">
      <c r="A1083" s="12">
        <v>338</v>
      </c>
      <c r="B1083" s="9">
        <v>0</v>
      </c>
      <c r="C1083" s="9">
        <v>1</v>
      </c>
      <c r="D1083" s="9">
        <v>0</v>
      </c>
      <c r="E1083" s="151" t="str">
        <f t="shared" si="64"/>
        <v>LESIONADO</v>
      </c>
      <c r="F1083" s="9" t="s">
        <v>46</v>
      </c>
      <c r="G1083" s="160">
        <v>5.3165166666666668</v>
      </c>
      <c r="H1083" s="160">
        <v>-72.392266666666671</v>
      </c>
      <c r="I1083" s="159" t="s">
        <v>697</v>
      </c>
      <c r="J1083" s="9" t="s">
        <v>717</v>
      </c>
      <c r="K1083" s="76" t="str">
        <f t="shared" si="65"/>
        <v>2022</v>
      </c>
      <c r="L1083" s="76" t="str">
        <f t="shared" si="66"/>
        <v>OCTUBRE</v>
      </c>
      <c r="M1083" s="239">
        <v>44855</v>
      </c>
      <c r="N1083" s="76" t="str">
        <f t="shared" si="67"/>
        <v>VIERNES</v>
      </c>
      <c r="O1083" s="172">
        <v>5.1388888888888887E-2</v>
      </c>
      <c r="P1083" s="180" t="s">
        <v>469</v>
      </c>
      <c r="Q1083" s="180" t="s">
        <v>447</v>
      </c>
      <c r="R1083" s="36">
        <f>COUNTIF(Tabla1[[#This Row],[VEHICULOS_ACCIDENTADOS]:[VEHICULOS_ACCIDENTADOS2]],"MOTOCICLETA")</f>
        <v>1</v>
      </c>
      <c r="S1083" s="36">
        <f>COUNTIF(Tabla1[[#This Row],[VEHICULOS_ACCIDENTADOS]:[VEHICULOS_ACCIDENTADOS2]],"MOTOCARRO")</f>
        <v>0</v>
      </c>
      <c r="T1083" s="36">
        <f>COUNTIF(Tabla1[[#This Row],[VEHICULOS_ACCIDENTADOS]:[VEHICULOS_ACCIDENTADOS2]],"AUTOMOVIL")</f>
        <v>1</v>
      </c>
      <c r="U1083" s="36">
        <f>COUNTIF(Tabla1[[#This Row],[VEHICULOS_ACCIDENTADOS]:[VEHICULOS_ACCIDENTADOS2]],"CAMPERO")</f>
        <v>0</v>
      </c>
      <c r="V1083" s="36">
        <f>COUNTIF(Tabla1[[#This Row],[VEHICULOS_ACCIDENTADOS]:[VEHICULOS_ACCIDENTADOS2]],"CAMIONETA")</f>
        <v>0</v>
      </c>
      <c r="W1083" s="36">
        <f>COUNTIF(Tabla1[[#This Row],[VEHICULOS_ACCIDENTADOS]:[VEHICULOS_ACCIDENTADOS2]],"MICROBUS")</f>
        <v>0</v>
      </c>
      <c r="X1083" s="36">
        <f>COUNTIF(Tabla1[[#This Row],[VEHICULOS_ACCIDENTADOS]:[VEHICULOS_ACCIDENTADOS2]],"BUS")</f>
        <v>0</v>
      </c>
      <c r="Y1083" s="36">
        <f>COUNTIF(Tabla1[[#This Row],[VEHICULOS_ACCIDENTADOS]:[VEHICULOS_ACCIDENTADOS2]],"BUSETA")</f>
        <v>0</v>
      </c>
      <c r="Z1083" s="36">
        <f>COUNTIF(Tabla1[[#This Row],[VEHICULOS_ACCIDENTADOS]:[VEHICULOS_ACCIDENTADOS2]],"CAMION")</f>
        <v>0</v>
      </c>
      <c r="AA1083" s="36">
        <f>COUNTIF(Tabla1[[#This Row],[VEHICULOS_ACCIDENTADOS]:[VEHICULOS_ACCIDENTADOS2]],"TRACTOCAMION")</f>
        <v>0</v>
      </c>
      <c r="AB1083" s="36">
        <f>COUNTIF(Tabla1[[#This Row],[VEHICULOS_ACCIDENTADOS]:[VEHICULOS_ACCIDENTADOS2]],"VOLQUETA")</f>
        <v>0</v>
      </c>
      <c r="AC1083" s="36">
        <f>COUNTIF(Tabla1[[#This Row],[VEHICULOS_ACCIDENTADOS]:[VEHICULOS_ACCIDENTADOS2]],"BICICLETA")</f>
        <v>0</v>
      </c>
      <c r="AD1083" s="9" t="s">
        <v>471</v>
      </c>
      <c r="AE1083" s="9"/>
      <c r="AF1083" s="9">
        <f>COUNTIF(Tabla1[[#This Row],[GENERO_MASCULINO]:[GENERO_FEMENINO]],"MASCULINO")</f>
        <v>1</v>
      </c>
      <c r="AG1083" s="36">
        <f>COUNTIF(Tabla1[[#This Row],[GENERO_MASCULINO]:[GENERO_FEMENINO]],"FEMENINO")</f>
        <v>0</v>
      </c>
      <c r="AH1083" s="75">
        <v>28</v>
      </c>
      <c r="AI1083" s="75"/>
      <c r="AJ1083" s="75"/>
      <c r="AK1083" s="75"/>
      <c r="AL1083" s="75"/>
      <c r="AM1083" s="9"/>
      <c r="AN1083" s="75">
        <v>157</v>
      </c>
      <c r="AO1083" s="9" t="str">
        <f>IFERROR(((VLOOKUP(Tabla1[[#This Row],[HIPOTESIS_1]],listas!$D$1:$E$105,2,FALSE))),"SIN INFORMACIÓN")</f>
        <v>Otra</v>
      </c>
      <c r="AP1083" s="9"/>
      <c r="AQ1083" s="13" t="str">
        <f>IFERROR(((VLOOKUP(Tabla1[[#This Row],[HIPOTESIS_2]],listas!$D$1:$E$105,2,FALSE))),"")</f>
        <v/>
      </c>
      <c r="AR1083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084" spans="1:44" s="5" customFormat="1" x14ac:dyDescent="0.25">
      <c r="A1084" s="12">
        <v>930</v>
      </c>
      <c r="B1084" s="98">
        <v>0</v>
      </c>
      <c r="C1084" s="9">
        <v>1</v>
      </c>
      <c r="D1084" s="14">
        <v>0</v>
      </c>
      <c r="E1084" s="151" t="str">
        <f t="shared" si="64"/>
        <v>LESIONADO</v>
      </c>
      <c r="F1084" s="9" t="s">
        <v>46</v>
      </c>
      <c r="G1084" s="159">
        <v>5.3165166666666668</v>
      </c>
      <c r="H1084" s="159">
        <v>-72.392266666666671</v>
      </c>
      <c r="I1084" s="159" t="s">
        <v>697</v>
      </c>
      <c r="J1084" s="9" t="s">
        <v>717</v>
      </c>
      <c r="K1084" s="76" t="str">
        <f t="shared" si="65"/>
        <v>2025</v>
      </c>
      <c r="L1084" s="76" t="str">
        <f t="shared" si="66"/>
        <v>ABRIL</v>
      </c>
      <c r="M1084" s="239">
        <v>45755</v>
      </c>
      <c r="N1084" s="76" t="str">
        <f t="shared" si="67"/>
        <v>MARTES</v>
      </c>
      <c r="O1084" s="111">
        <v>0.57638888888888895</v>
      </c>
      <c r="P1084" s="9" t="s">
        <v>469</v>
      </c>
      <c r="Q1084" s="9"/>
      <c r="R1084" s="36">
        <f>COUNTIF(Tabla1[[#This Row],[VEHICULOS_ACCIDENTADOS]:[VEHICULOS_ACCIDENTADOS2]],"MOTOCICLETA")</f>
        <v>1</v>
      </c>
      <c r="S1084" s="36">
        <f>COUNTIF(Tabla1[[#This Row],[VEHICULOS_ACCIDENTADOS]:[VEHICULOS_ACCIDENTADOS2]],"MOTOCARRO")</f>
        <v>0</v>
      </c>
      <c r="T1084" s="36">
        <f>COUNTIF(Tabla1[[#This Row],[VEHICULOS_ACCIDENTADOS]:[VEHICULOS_ACCIDENTADOS2]],"AUTOMOVIL")</f>
        <v>0</v>
      </c>
      <c r="U1084" s="36">
        <f>COUNTIF(Tabla1[[#This Row],[VEHICULOS_ACCIDENTADOS]:[VEHICULOS_ACCIDENTADOS2]],"CAMPERO")</f>
        <v>0</v>
      </c>
      <c r="V1084" s="36">
        <f>COUNTIF(Tabla1[[#This Row],[VEHICULOS_ACCIDENTADOS]:[VEHICULOS_ACCIDENTADOS2]],"CAMIONETA")</f>
        <v>0</v>
      </c>
      <c r="W1084" s="36">
        <f>COUNTIF(Tabla1[[#This Row],[VEHICULOS_ACCIDENTADOS]:[VEHICULOS_ACCIDENTADOS2]],"MICROBUS")</f>
        <v>0</v>
      </c>
      <c r="X1084" s="36">
        <f>COUNTIF(Tabla1[[#This Row],[VEHICULOS_ACCIDENTADOS]:[VEHICULOS_ACCIDENTADOS2]],"BUS")</f>
        <v>0</v>
      </c>
      <c r="Y1084" s="36">
        <f>COUNTIF(Tabla1[[#This Row],[VEHICULOS_ACCIDENTADOS]:[VEHICULOS_ACCIDENTADOS2]],"BUSETA")</f>
        <v>0</v>
      </c>
      <c r="Z1084" s="36">
        <f>COUNTIF(Tabla1[[#This Row],[VEHICULOS_ACCIDENTADOS]:[VEHICULOS_ACCIDENTADOS2]],"CAMION")</f>
        <v>0</v>
      </c>
      <c r="AA1084" s="36">
        <f>COUNTIF(Tabla1[[#This Row],[VEHICULOS_ACCIDENTADOS]:[VEHICULOS_ACCIDENTADOS2]],"TRACTOCAMION")</f>
        <v>0</v>
      </c>
      <c r="AB1084" s="36">
        <f>COUNTIF(Tabla1[[#This Row],[VEHICULOS_ACCIDENTADOS]:[VEHICULOS_ACCIDENTADOS2]],"VOLQUETA")</f>
        <v>0</v>
      </c>
      <c r="AC1084" s="36">
        <f>COUNTIF(Tabla1[[#This Row],[VEHICULOS_ACCIDENTADOS]:[VEHICULOS_ACCIDENTADOS2]],"BICICLETA")</f>
        <v>0</v>
      </c>
      <c r="AD1084" s="9" t="s">
        <v>471</v>
      </c>
      <c r="AE1084" s="9"/>
      <c r="AF1084" s="9">
        <f>COUNTIF(Tabla1[[#This Row],[GENERO_MASCULINO]:[GENERO_FEMENINO]],"MASCULINO")</f>
        <v>1</v>
      </c>
      <c r="AG1084" s="36">
        <f>COUNTIF(Tabla1[[#This Row],[GENERO_MASCULINO]:[GENERO_FEMENINO]],"FEMENINO")</f>
        <v>0</v>
      </c>
      <c r="AH1084" s="90">
        <v>23</v>
      </c>
      <c r="AI1084" s="90"/>
      <c r="AJ1084" s="90"/>
      <c r="AK1084" s="91"/>
      <c r="AL1084" s="91"/>
      <c r="AM1084" s="10"/>
      <c r="AN1084" s="75">
        <v>139</v>
      </c>
      <c r="AO1084" s="9" t="str">
        <f>IFERROR(((VLOOKUP(Tabla1[[#This Row],[HIPOTESIS_1]],listas!$D$1:$E$105,2,FALSE))),"SIN INFORMACIÓN")</f>
        <v>Impericia en el manejo.</v>
      </c>
      <c r="AP1084" s="9"/>
      <c r="AQ1084" s="13" t="str">
        <f>IFERROR(((VLOOKUP(Tabla1[[#This Row],[HIPOTESIS_2]],listas!$D$1:$E$105,2,FALSE))),"")</f>
        <v/>
      </c>
      <c r="AR1084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085" spans="1:44" s="5" customFormat="1" x14ac:dyDescent="0.25">
      <c r="A1085" s="12">
        <v>228</v>
      </c>
      <c r="B1085" s="9">
        <v>0</v>
      </c>
      <c r="C1085" s="9">
        <v>2</v>
      </c>
      <c r="D1085" s="9">
        <v>0</v>
      </c>
      <c r="E1085" s="151" t="str">
        <f t="shared" si="64"/>
        <v>LESIONADO</v>
      </c>
      <c r="F1085" s="9" t="s">
        <v>46</v>
      </c>
      <c r="G1085" s="160">
        <v>5.3165166666666668</v>
      </c>
      <c r="H1085" s="160">
        <v>-72.392266666666671</v>
      </c>
      <c r="I1085" s="159" t="s">
        <v>697</v>
      </c>
      <c r="J1085" s="9" t="s">
        <v>717</v>
      </c>
      <c r="K1085" s="76" t="str">
        <f t="shared" si="65"/>
        <v>2022</v>
      </c>
      <c r="L1085" s="76" t="str">
        <f t="shared" si="66"/>
        <v>JUNIO</v>
      </c>
      <c r="M1085" s="239">
        <v>44735</v>
      </c>
      <c r="N1085" s="76" t="str">
        <f t="shared" si="67"/>
        <v>JUEVES</v>
      </c>
      <c r="O1085" s="172">
        <v>0.34722222222222221</v>
      </c>
      <c r="P1085" s="185" t="s">
        <v>469</v>
      </c>
      <c r="Q1085" s="185" t="s">
        <v>439</v>
      </c>
      <c r="R1085" s="36">
        <f>COUNTIF(Tabla1[[#This Row],[VEHICULOS_ACCIDENTADOS]:[VEHICULOS_ACCIDENTADOS2]],"MOTOCICLETA")</f>
        <v>1</v>
      </c>
      <c r="S1085" s="36">
        <f>COUNTIF(Tabla1[[#This Row],[VEHICULOS_ACCIDENTADOS]:[VEHICULOS_ACCIDENTADOS2]],"MOTOCARRO")</f>
        <v>0</v>
      </c>
      <c r="T1085" s="36">
        <f>COUNTIF(Tabla1[[#This Row],[VEHICULOS_ACCIDENTADOS]:[VEHICULOS_ACCIDENTADOS2]],"AUTOMOVIL")</f>
        <v>0</v>
      </c>
      <c r="U1085" s="36">
        <f>COUNTIF(Tabla1[[#This Row],[VEHICULOS_ACCIDENTADOS]:[VEHICULOS_ACCIDENTADOS2]],"CAMPERO")</f>
        <v>0</v>
      </c>
      <c r="V1085" s="36">
        <f>COUNTIF(Tabla1[[#This Row],[VEHICULOS_ACCIDENTADOS]:[VEHICULOS_ACCIDENTADOS2]],"CAMIONETA")</f>
        <v>0</v>
      </c>
      <c r="W1085" s="36">
        <f>COUNTIF(Tabla1[[#This Row],[VEHICULOS_ACCIDENTADOS]:[VEHICULOS_ACCIDENTADOS2]],"MICROBUS")</f>
        <v>0</v>
      </c>
      <c r="X1085" s="36">
        <f>COUNTIF(Tabla1[[#This Row],[VEHICULOS_ACCIDENTADOS]:[VEHICULOS_ACCIDENTADOS2]],"BUS")</f>
        <v>0</v>
      </c>
      <c r="Y1085" s="36">
        <f>COUNTIF(Tabla1[[#This Row],[VEHICULOS_ACCIDENTADOS]:[VEHICULOS_ACCIDENTADOS2]],"BUSETA")</f>
        <v>0</v>
      </c>
      <c r="Z1085" s="36">
        <f>COUNTIF(Tabla1[[#This Row],[VEHICULOS_ACCIDENTADOS]:[VEHICULOS_ACCIDENTADOS2]],"CAMION")</f>
        <v>0</v>
      </c>
      <c r="AA1085" s="36">
        <f>COUNTIF(Tabla1[[#This Row],[VEHICULOS_ACCIDENTADOS]:[VEHICULOS_ACCIDENTADOS2]],"TRACTOCAMION")</f>
        <v>0</v>
      </c>
      <c r="AB1085" s="36">
        <f>COUNTIF(Tabla1[[#This Row],[VEHICULOS_ACCIDENTADOS]:[VEHICULOS_ACCIDENTADOS2]],"VOLQUETA")</f>
        <v>1</v>
      </c>
      <c r="AC1085" s="36">
        <f>COUNTIF(Tabla1[[#This Row],[VEHICULOS_ACCIDENTADOS]:[VEHICULOS_ACCIDENTADOS2]],"BICICLETA")</f>
        <v>0</v>
      </c>
      <c r="AD1085" s="9" t="s">
        <v>471</v>
      </c>
      <c r="AE1085" s="9" t="s">
        <v>472</v>
      </c>
      <c r="AF1085" s="9">
        <f>COUNTIF(Tabla1[[#This Row],[GENERO_MASCULINO]:[GENERO_FEMENINO]],"MASCULINO")</f>
        <v>1</v>
      </c>
      <c r="AG1085" s="36">
        <f>COUNTIF(Tabla1[[#This Row],[GENERO_MASCULINO]:[GENERO_FEMENINO]],"FEMENINO")</f>
        <v>1</v>
      </c>
      <c r="AH1085" s="75">
        <v>19</v>
      </c>
      <c r="AI1085" s="75"/>
      <c r="AJ1085" s="75"/>
      <c r="AK1085" s="75"/>
      <c r="AL1085" s="75">
        <v>18</v>
      </c>
      <c r="AM1085" s="9"/>
      <c r="AN1085" s="75">
        <v>139</v>
      </c>
      <c r="AO1085" s="9" t="str">
        <f>IFERROR(((VLOOKUP(Tabla1[[#This Row],[HIPOTESIS_1]],listas!$D$1:$E$105,2,FALSE))),"SIN INFORMACIÓN")</f>
        <v>Impericia en el manejo.</v>
      </c>
      <c r="AP1085" s="9"/>
      <c r="AQ1085" s="13" t="str">
        <f>IFERROR(((VLOOKUP(Tabla1[[#This Row],[HIPOTESIS_2]],listas!$D$1:$E$105,2,FALSE))),"")</f>
        <v/>
      </c>
      <c r="AR1085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086" spans="1:44" s="5" customFormat="1" x14ac:dyDescent="0.25">
      <c r="A1086" s="12">
        <v>604</v>
      </c>
      <c r="B1086" s="9">
        <v>0</v>
      </c>
      <c r="C1086" s="9">
        <v>1</v>
      </c>
      <c r="D1086" s="9">
        <v>0</v>
      </c>
      <c r="E1086" s="151" t="str">
        <f t="shared" si="64"/>
        <v>LESIONADO</v>
      </c>
      <c r="F1086" s="9" t="s">
        <v>46</v>
      </c>
      <c r="G1086" s="160">
        <v>5.3165166666666668</v>
      </c>
      <c r="H1086" s="160">
        <v>-72.392266666666671</v>
      </c>
      <c r="I1086" s="159" t="s">
        <v>697</v>
      </c>
      <c r="J1086" s="9" t="s">
        <v>717</v>
      </c>
      <c r="K1086" s="76" t="str">
        <f t="shared" si="65"/>
        <v>2023</v>
      </c>
      <c r="L1086" s="76" t="str">
        <f t="shared" si="66"/>
        <v>NOVIEMBRE</v>
      </c>
      <c r="M1086" s="239">
        <v>45240</v>
      </c>
      <c r="N1086" s="76" t="str">
        <f t="shared" si="67"/>
        <v>VIERNES</v>
      </c>
      <c r="O1086" s="111">
        <v>0.34027777777777773</v>
      </c>
      <c r="P1086" s="35" t="s">
        <v>469</v>
      </c>
      <c r="Q1086" s="35" t="s">
        <v>447</v>
      </c>
      <c r="R1086" s="36">
        <f>COUNTIF(Tabla1[[#This Row],[VEHICULOS_ACCIDENTADOS]:[VEHICULOS_ACCIDENTADOS2]],"MOTOCICLETA")</f>
        <v>1</v>
      </c>
      <c r="S1086" s="36">
        <f>COUNTIF(Tabla1[[#This Row],[VEHICULOS_ACCIDENTADOS]:[VEHICULOS_ACCIDENTADOS2]],"MOTOCARRO")</f>
        <v>0</v>
      </c>
      <c r="T1086" s="36">
        <f>COUNTIF(Tabla1[[#This Row],[VEHICULOS_ACCIDENTADOS]:[VEHICULOS_ACCIDENTADOS2]],"AUTOMOVIL")</f>
        <v>1</v>
      </c>
      <c r="U1086" s="36">
        <f>COUNTIF(Tabla1[[#This Row],[VEHICULOS_ACCIDENTADOS]:[VEHICULOS_ACCIDENTADOS2]],"CAMPERO")</f>
        <v>0</v>
      </c>
      <c r="V1086" s="36">
        <f>COUNTIF(Tabla1[[#This Row],[VEHICULOS_ACCIDENTADOS]:[VEHICULOS_ACCIDENTADOS2]],"CAMIONETA")</f>
        <v>0</v>
      </c>
      <c r="W1086" s="36">
        <f>COUNTIF(Tabla1[[#This Row],[VEHICULOS_ACCIDENTADOS]:[VEHICULOS_ACCIDENTADOS2]],"MICROBUS")</f>
        <v>0</v>
      </c>
      <c r="X1086" s="36">
        <f>COUNTIF(Tabla1[[#This Row],[VEHICULOS_ACCIDENTADOS]:[VEHICULOS_ACCIDENTADOS2]],"BUS")</f>
        <v>0</v>
      </c>
      <c r="Y1086" s="36">
        <f>COUNTIF(Tabla1[[#This Row],[VEHICULOS_ACCIDENTADOS]:[VEHICULOS_ACCIDENTADOS2]],"BUSETA")</f>
        <v>0</v>
      </c>
      <c r="Z1086" s="36">
        <f>COUNTIF(Tabla1[[#This Row],[VEHICULOS_ACCIDENTADOS]:[VEHICULOS_ACCIDENTADOS2]],"CAMION")</f>
        <v>0</v>
      </c>
      <c r="AA1086" s="36">
        <f>COUNTIF(Tabla1[[#This Row],[VEHICULOS_ACCIDENTADOS]:[VEHICULOS_ACCIDENTADOS2]],"TRACTOCAMION")</f>
        <v>0</v>
      </c>
      <c r="AB1086" s="36">
        <f>COUNTIF(Tabla1[[#This Row],[VEHICULOS_ACCIDENTADOS]:[VEHICULOS_ACCIDENTADOS2]],"VOLQUETA")</f>
        <v>0</v>
      </c>
      <c r="AC1086" s="36">
        <f>COUNTIF(Tabla1[[#This Row],[VEHICULOS_ACCIDENTADOS]:[VEHICULOS_ACCIDENTADOS2]],"BICICLETA")</f>
        <v>0</v>
      </c>
      <c r="AD1086" s="9" t="s">
        <v>471</v>
      </c>
      <c r="AE1086" s="9"/>
      <c r="AF1086" s="9">
        <f>COUNTIF(Tabla1[[#This Row],[GENERO_MASCULINO]:[GENERO_FEMENINO]],"MASCULINO")</f>
        <v>1</v>
      </c>
      <c r="AG1086" s="36">
        <f>COUNTIF(Tabla1[[#This Row],[GENERO_MASCULINO]:[GENERO_FEMENINO]],"FEMENINO")</f>
        <v>0</v>
      </c>
      <c r="AH1086" s="75">
        <v>27</v>
      </c>
      <c r="AI1086" s="75"/>
      <c r="AJ1086" s="75"/>
      <c r="AK1086" s="75"/>
      <c r="AL1086" s="75"/>
      <c r="AM1086" s="9"/>
      <c r="AN1086" s="75">
        <v>121</v>
      </c>
      <c r="AO1086" s="9" t="str">
        <f>IFERROR(((VLOOKUP(Tabla1[[#This Row],[HIPOTESIS_1]],listas!$D$1:$E$105,2,FALSE))),"SIN INFORMACIÓN")</f>
        <v>No mantener distancia de seguridad.</v>
      </c>
      <c r="AP1086" s="9"/>
      <c r="AQ1086" s="13" t="str">
        <f>IFERROR(((VLOOKUP(Tabla1[[#This Row],[HIPOTESIS_2]],listas!$D$1:$E$105,2,FALSE))),"")</f>
        <v/>
      </c>
      <c r="AR1086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087" spans="1:44" s="5" customFormat="1" x14ac:dyDescent="0.25">
      <c r="A1087" s="12">
        <v>203</v>
      </c>
      <c r="B1087" s="9">
        <v>0</v>
      </c>
      <c r="C1087" s="9">
        <v>1</v>
      </c>
      <c r="D1087" s="9">
        <v>0</v>
      </c>
      <c r="E1087" s="151" t="str">
        <f t="shared" si="64"/>
        <v>LESIONADO</v>
      </c>
      <c r="F1087" s="9" t="s">
        <v>46</v>
      </c>
      <c r="G1087" s="160">
        <v>5.3165166666666668</v>
      </c>
      <c r="H1087" s="160">
        <v>-72.392266666666671</v>
      </c>
      <c r="I1087" s="159" t="s">
        <v>697</v>
      </c>
      <c r="J1087" s="9" t="s">
        <v>717</v>
      </c>
      <c r="K1087" s="76" t="str">
        <f t="shared" si="65"/>
        <v>2022</v>
      </c>
      <c r="L1087" s="76" t="str">
        <f t="shared" si="66"/>
        <v>MAYO</v>
      </c>
      <c r="M1087" s="239">
        <v>44711</v>
      </c>
      <c r="N1087" s="76" t="str">
        <f t="shared" si="67"/>
        <v>LUNES</v>
      </c>
      <c r="O1087" s="111">
        <v>0.60416666666666696</v>
      </c>
      <c r="P1087" s="11" t="s">
        <v>447</v>
      </c>
      <c r="Q1087" s="11" t="s">
        <v>447</v>
      </c>
      <c r="R1087" s="36">
        <f>COUNTIF(Tabla1[[#This Row],[VEHICULOS_ACCIDENTADOS]:[VEHICULOS_ACCIDENTADOS2]],"MOTOCICLETA")</f>
        <v>0</v>
      </c>
      <c r="S1087" s="36">
        <f>COUNTIF(Tabla1[[#This Row],[VEHICULOS_ACCIDENTADOS]:[VEHICULOS_ACCIDENTADOS2]],"MOTOCARRO")</f>
        <v>0</v>
      </c>
      <c r="T1087" s="36">
        <f>COUNTIF(Tabla1[[#This Row],[VEHICULOS_ACCIDENTADOS]:[VEHICULOS_ACCIDENTADOS2]],"AUTOMOVIL")</f>
        <v>2</v>
      </c>
      <c r="U1087" s="36">
        <f>COUNTIF(Tabla1[[#This Row],[VEHICULOS_ACCIDENTADOS]:[VEHICULOS_ACCIDENTADOS2]],"CAMPERO")</f>
        <v>0</v>
      </c>
      <c r="V1087" s="36">
        <f>COUNTIF(Tabla1[[#This Row],[VEHICULOS_ACCIDENTADOS]:[VEHICULOS_ACCIDENTADOS2]],"CAMIONETA")</f>
        <v>0</v>
      </c>
      <c r="W1087" s="36">
        <f>COUNTIF(Tabla1[[#This Row],[VEHICULOS_ACCIDENTADOS]:[VEHICULOS_ACCIDENTADOS2]],"MICROBUS")</f>
        <v>0</v>
      </c>
      <c r="X1087" s="36">
        <f>COUNTIF(Tabla1[[#This Row],[VEHICULOS_ACCIDENTADOS]:[VEHICULOS_ACCIDENTADOS2]],"BUS")</f>
        <v>0</v>
      </c>
      <c r="Y1087" s="36">
        <f>COUNTIF(Tabla1[[#This Row],[VEHICULOS_ACCIDENTADOS]:[VEHICULOS_ACCIDENTADOS2]],"BUSETA")</f>
        <v>0</v>
      </c>
      <c r="Z1087" s="36">
        <f>COUNTIF(Tabla1[[#This Row],[VEHICULOS_ACCIDENTADOS]:[VEHICULOS_ACCIDENTADOS2]],"CAMION")</f>
        <v>0</v>
      </c>
      <c r="AA1087" s="36">
        <f>COUNTIF(Tabla1[[#This Row],[VEHICULOS_ACCIDENTADOS]:[VEHICULOS_ACCIDENTADOS2]],"TRACTOCAMION")</f>
        <v>0</v>
      </c>
      <c r="AB1087" s="36">
        <f>COUNTIF(Tabla1[[#This Row],[VEHICULOS_ACCIDENTADOS]:[VEHICULOS_ACCIDENTADOS2]],"VOLQUETA")</f>
        <v>0</v>
      </c>
      <c r="AC1087" s="36">
        <f>COUNTIF(Tabla1[[#This Row],[VEHICULOS_ACCIDENTADOS]:[VEHICULOS_ACCIDENTADOS2]],"BICICLETA")</f>
        <v>0</v>
      </c>
      <c r="AD1087" s="9" t="s">
        <v>471</v>
      </c>
      <c r="AE1087" s="9"/>
      <c r="AF1087" s="9">
        <f>COUNTIF(Tabla1[[#This Row],[GENERO_MASCULINO]:[GENERO_FEMENINO]],"MASCULINO")</f>
        <v>1</v>
      </c>
      <c r="AG1087" s="36">
        <f>COUNTIF(Tabla1[[#This Row],[GENERO_MASCULINO]:[GENERO_FEMENINO]],"FEMENINO")</f>
        <v>0</v>
      </c>
      <c r="AH1087" s="75">
        <v>53</v>
      </c>
      <c r="AI1087" s="75"/>
      <c r="AJ1087" s="75"/>
      <c r="AK1087" s="75"/>
      <c r="AL1087" s="75"/>
      <c r="AM1087" s="9"/>
      <c r="AN1087" s="75">
        <v>112</v>
      </c>
      <c r="AO1087" s="9" t="str">
        <f>IFERROR(((VLOOKUP(Tabla1[[#This Row],[HIPOTESIS_1]],listas!$D$1:$E$105,2,FALSE))),"SIN INFORMACIÓN")</f>
        <v>Desobedecer señales o normas de tránsito.</v>
      </c>
      <c r="AP1087" s="9"/>
      <c r="AQ1087" s="13" t="str">
        <f>IFERROR(((VLOOKUP(Tabla1[[#This Row],[HIPOTESIS_2]],listas!$D$1:$E$105,2,FALSE))),"")</f>
        <v/>
      </c>
      <c r="AR1087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088" spans="1:44" s="5" customFormat="1" x14ac:dyDescent="0.25">
      <c r="A1088" s="12">
        <v>507</v>
      </c>
      <c r="B1088" s="9">
        <v>0</v>
      </c>
      <c r="C1088" s="9">
        <v>2</v>
      </c>
      <c r="D1088" s="9">
        <v>0</v>
      </c>
      <c r="E1088" s="151" t="str">
        <f t="shared" si="64"/>
        <v>LESIONADO</v>
      </c>
      <c r="F1088" s="9" t="s">
        <v>229</v>
      </c>
      <c r="G1088" s="160">
        <v>5.3452205555555556</v>
      </c>
      <c r="H1088" s="160">
        <v>-72.402862777777784</v>
      </c>
      <c r="I1088" s="159" t="s">
        <v>697</v>
      </c>
      <c r="J1088" s="9" t="s">
        <v>717</v>
      </c>
      <c r="K1088" s="76" t="str">
        <f t="shared" si="65"/>
        <v>2023</v>
      </c>
      <c r="L1088" s="76" t="str">
        <f t="shared" si="66"/>
        <v>JUNIO</v>
      </c>
      <c r="M1088" s="239">
        <v>45090</v>
      </c>
      <c r="N1088" s="76" t="str">
        <f t="shared" si="67"/>
        <v>MARTES</v>
      </c>
      <c r="O1088" s="111">
        <v>0.25694444444444448</v>
      </c>
      <c r="P1088" s="35" t="s">
        <v>469</v>
      </c>
      <c r="Q1088" s="35" t="s">
        <v>469</v>
      </c>
      <c r="R1088" s="36">
        <f>COUNTIF(Tabla1[[#This Row],[VEHICULOS_ACCIDENTADOS]:[VEHICULOS_ACCIDENTADOS2]],"MOTOCICLETA")</f>
        <v>2</v>
      </c>
      <c r="S1088" s="36">
        <f>COUNTIF(Tabla1[[#This Row],[VEHICULOS_ACCIDENTADOS]:[VEHICULOS_ACCIDENTADOS2]],"MOTOCARRO")</f>
        <v>0</v>
      </c>
      <c r="T1088" s="36">
        <f>COUNTIF(Tabla1[[#This Row],[VEHICULOS_ACCIDENTADOS]:[VEHICULOS_ACCIDENTADOS2]],"AUTOMOVIL")</f>
        <v>0</v>
      </c>
      <c r="U1088" s="36">
        <f>COUNTIF(Tabla1[[#This Row],[VEHICULOS_ACCIDENTADOS]:[VEHICULOS_ACCIDENTADOS2]],"CAMPERO")</f>
        <v>0</v>
      </c>
      <c r="V1088" s="36">
        <f>COUNTIF(Tabla1[[#This Row],[VEHICULOS_ACCIDENTADOS]:[VEHICULOS_ACCIDENTADOS2]],"CAMIONETA")</f>
        <v>0</v>
      </c>
      <c r="W1088" s="36">
        <f>COUNTIF(Tabla1[[#This Row],[VEHICULOS_ACCIDENTADOS]:[VEHICULOS_ACCIDENTADOS2]],"MICROBUS")</f>
        <v>0</v>
      </c>
      <c r="X1088" s="36">
        <f>COUNTIF(Tabla1[[#This Row],[VEHICULOS_ACCIDENTADOS]:[VEHICULOS_ACCIDENTADOS2]],"BUS")</f>
        <v>0</v>
      </c>
      <c r="Y1088" s="36">
        <f>COUNTIF(Tabla1[[#This Row],[VEHICULOS_ACCIDENTADOS]:[VEHICULOS_ACCIDENTADOS2]],"BUSETA")</f>
        <v>0</v>
      </c>
      <c r="Z1088" s="36">
        <f>COUNTIF(Tabla1[[#This Row],[VEHICULOS_ACCIDENTADOS]:[VEHICULOS_ACCIDENTADOS2]],"CAMION")</f>
        <v>0</v>
      </c>
      <c r="AA1088" s="36">
        <f>COUNTIF(Tabla1[[#This Row],[VEHICULOS_ACCIDENTADOS]:[VEHICULOS_ACCIDENTADOS2]],"TRACTOCAMION")</f>
        <v>0</v>
      </c>
      <c r="AB1088" s="36">
        <f>COUNTIF(Tabla1[[#This Row],[VEHICULOS_ACCIDENTADOS]:[VEHICULOS_ACCIDENTADOS2]],"VOLQUETA")</f>
        <v>0</v>
      </c>
      <c r="AC1088" s="36">
        <f>COUNTIF(Tabla1[[#This Row],[VEHICULOS_ACCIDENTADOS]:[VEHICULOS_ACCIDENTADOS2]],"BICICLETA")</f>
        <v>0</v>
      </c>
      <c r="AD1088" s="9" t="s">
        <v>471</v>
      </c>
      <c r="AE1088" s="9"/>
      <c r="AF1088" s="9">
        <f>COUNTIF(Tabla1[[#This Row],[GENERO_MASCULINO]:[GENERO_FEMENINO]],"MASCULINO")</f>
        <v>1</v>
      </c>
      <c r="AG1088" s="36">
        <f>COUNTIF(Tabla1[[#This Row],[GENERO_MASCULINO]:[GENERO_FEMENINO]],"FEMENINO")</f>
        <v>0</v>
      </c>
      <c r="AH1088" s="75">
        <v>36</v>
      </c>
      <c r="AI1088" s="75">
        <v>43</v>
      </c>
      <c r="AJ1088" s="75"/>
      <c r="AK1088" s="75"/>
      <c r="AL1088" s="75"/>
      <c r="AM1088" s="9"/>
      <c r="AN1088" s="75">
        <v>127</v>
      </c>
      <c r="AO1088" s="9" t="str">
        <f>IFERROR(((VLOOKUP(Tabla1[[#This Row],[HIPOTESIS_1]],listas!$D$1:$E$105,2,FALSE))),"SIN INFORMACIÓN")</f>
        <v>Transitar en contravía.</v>
      </c>
      <c r="AP1088" s="9"/>
      <c r="AQ1088" s="13" t="str">
        <f>IFERROR(((VLOOKUP(Tabla1[[#This Row],[HIPOTESIS_2]],listas!$D$1:$E$105,2,FALSE))),"")</f>
        <v/>
      </c>
      <c r="AR1088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089" spans="1:44" s="5" customFormat="1" x14ac:dyDescent="0.25">
      <c r="A1089" s="12">
        <v>1034</v>
      </c>
      <c r="B1089" s="76">
        <v>1</v>
      </c>
      <c r="C1089" s="76">
        <v>0</v>
      </c>
      <c r="D1089" s="76">
        <v>0</v>
      </c>
      <c r="E1089" s="151" t="str">
        <f t="shared" si="64"/>
        <v>SOLO DAÑO</v>
      </c>
      <c r="F1089" s="76" t="s">
        <v>671</v>
      </c>
      <c r="G1089" s="74">
        <v>5.3431040000000003</v>
      </c>
      <c r="H1089" s="74">
        <v>-72.403924000000004</v>
      </c>
      <c r="I1089" s="159" t="s">
        <v>697</v>
      </c>
      <c r="J1089" s="9" t="s">
        <v>717</v>
      </c>
      <c r="K1089" s="76" t="str">
        <f t="shared" si="65"/>
        <v>2025</v>
      </c>
      <c r="L1089" s="76" t="str">
        <f t="shared" si="66"/>
        <v>AGOSTO</v>
      </c>
      <c r="M1089" s="239">
        <v>45873</v>
      </c>
      <c r="N1089" s="76" t="str">
        <f t="shared" si="67"/>
        <v>LUNES</v>
      </c>
      <c r="O1089" s="111">
        <v>0.86111111111111116</v>
      </c>
      <c r="P1089" s="11" t="s">
        <v>667</v>
      </c>
      <c r="Q1089" s="11" t="s">
        <v>469</v>
      </c>
      <c r="R1089" s="36">
        <f>COUNTIF(Tabla1[[#This Row],[VEHICULOS_ACCIDENTADOS]:[VEHICULOS_ACCIDENTADOS2]],"MOTOCICLETA")</f>
        <v>1</v>
      </c>
      <c r="S1089" s="36">
        <f>COUNTIF(Tabla1[[#This Row],[VEHICULOS_ACCIDENTADOS]:[VEHICULOS_ACCIDENTADOS2]],"MOTOCARRO")</f>
        <v>0</v>
      </c>
      <c r="T1089" s="36">
        <f>COUNTIF(Tabla1[[#This Row],[VEHICULOS_ACCIDENTADOS]:[VEHICULOS_ACCIDENTADOS2]],"AUTOMOVIL")</f>
        <v>0</v>
      </c>
      <c r="U1089" s="36">
        <f>COUNTIF(Tabla1[[#This Row],[VEHICULOS_ACCIDENTADOS]:[VEHICULOS_ACCIDENTADOS2]],"CAMPERO")</f>
        <v>0</v>
      </c>
      <c r="V1089" s="36">
        <f>COUNTIF(Tabla1[[#This Row],[VEHICULOS_ACCIDENTADOS]:[VEHICULOS_ACCIDENTADOS2]],"CAMIONETA")</f>
        <v>0</v>
      </c>
      <c r="W1089" s="36">
        <f>COUNTIF(Tabla1[[#This Row],[VEHICULOS_ACCIDENTADOS]:[VEHICULOS_ACCIDENTADOS2]],"MICROBUS")</f>
        <v>0</v>
      </c>
      <c r="X1089" s="36">
        <f>COUNTIF(Tabla1[[#This Row],[VEHICULOS_ACCIDENTADOS]:[VEHICULOS_ACCIDENTADOS2]],"BUS")</f>
        <v>0</v>
      </c>
      <c r="Y1089" s="36">
        <f>COUNTIF(Tabla1[[#This Row],[VEHICULOS_ACCIDENTADOS]:[VEHICULOS_ACCIDENTADOS2]],"BUSETA")</f>
        <v>0</v>
      </c>
      <c r="Z1089" s="36">
        <f>COUNTIF(Tabla1[[#This Row],[VEHICULOS_ACCIDENTADOS]:[VEHICULOS_ACCIDENTADOS2]],"CAMION")</f>
        <v>0</v>
      </c>
      <c r="AA1089" s="36">
        <f>COUNTIF(Tabla1[[#This Row],[VEHICULOS_ACCIDENTADOS]:[VEHICULOS_ACCIDENTADOS2]],"TRACTOCAMION")</f>
        <v>0</v>
      </c>
      <c r="AB1089" s="36">
        <f>COUNTIF(Tabla1[[#This Row],[VEHICULOS_ACCIDENTADOS]:[VEHICULOS_ACCIDENTADOS2]],"VOLQUETA")</f>
        <v>0</v>
      </c>
      <c r="AC1089" s="36">
        <f>COUNTIF(Tabla1[[#This Row],[VEHICULOS_ACCIDENTADOS]:[VEHICULOS_ACCIDENTADOS2]],"BICICLETA")</f>
        <v>0</v>
      </c>
      <c r="AD1089" s="75" t="s">
        <v>471</v>
      </c>
      <c r="AE1089" s="75" t="s">
        <v>471</v>
      </c>
      <c r="AF1089" s="9">
        <f>COUNTIF(Tabla1[[#This Row],[GENERO_MASCULINO]:[GENERO_FEMENINO]],"MASCULINO")</f>
        <v>2</v>
      </c>
      <c r="AG1089" s="36">
        <f>COUNTIF(Tabla1[[#This Row],[GENERO_MASCULINO]:[GENERO_FEMENINO]],"FEMENINO")</f>
        <v>0</v>
      </c>
      <c r="AH1089" s="90">
        <v>38</v>
      </c>
      <c r="AI1089" s="90">
        <v>21</v>
      </c>
      <c r="AJ1089" s="90">
        <v>24</v>
      </c>
      <c r="AK1089" s="91"/>
      <c r="AL1089" s="91"/>
      <c r="AM1089" s="10"/>
      <c r="AN1089" s="75">
        <v>157</v>
      </c>
      <c r="AO1089" s="10" t="str">
        <f>IFERROR(((VLOOKUP(Tabla1[[#This Row],[HIPOTESIS_1]],listas!$D$1:$E$105,2,FALSE))),"SIN INFORMACIÓN")</f>
        <v>Otra</v>
      </c>
      <c r="AP1089" s="9"/>
      <c r="AQ1089" s="13" t="str">
        <f>IFERROR(((VLOOKUP(Tabla1[[#This Row],[HIPOTESIS_2]],listas!$D$1:$E$105,2,FALSE))),"")</f>
        <v/>
      </c>
      <c r="AR1089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090" spans="1:44" s="5" customFormat="1" x14ac:dyDescent="0.25">
      <c r="A1090" s="12">
        <v>434</v>
      </c>
      <c r="B1090" s="9">
        <v>0</v>
      </c>
      <c r="C1090" s="9">
        <v>1</v>
      </c>
      <c r="D1090" s="9">
        <v>0</v>
      </c>
      <c r="E1090" s="151" t="str">
        <f t="shared" ref="E1090:E1153" si="68">IF(D1090&gt;=1,"FALLECIDO",IF(C1090&gt;=1,"LESIONADO",IF(B1090&gt;=1,"SOLO DAÑO","")))</f>
        <v>LESIONADO</v>
      </c>
      <c r="F1090" s="9" t="s">
        <v>268</v>
      </c>
      <c r="G1090" s="160">
        <v>5.332527777777778</v>
      </c>
      <c r="H1090" s="160">
        <v>-72.388361388888896</v>
      </c>
      <c r="I1090" s="159" t="s">
        <v>697</v>
      </c>
      <c r="J1090" s="9" t="s">
        <v>717</v>
      </c>
      <c r="K1090" s="76" t="str">
        <f t="shared" ref="K1090:K1118" si="69">UPPER(TEXT(M1090,"YYYY"))</f>
        <v>2023</v>
      </c>
      <c r="L1090" s="76" t="str">
        <f t="shared" ref="L1090:L1153" si="70">UPPER(TEXT(M1090,"MMMM"))</f>
        <v>MARZO</v>
      </c>
      <c r="M1090" s="239">
        <v>45004</v>
      </c>
      <c r="N1090" s="76" t="str">
        <f t="shared" ref="N1090:N1153" si="71">UPPER(TEXT(M1090,"DDDD"))</f>
        <v>DOMINGO</v>
      </c>
      <c r="O1090" s="111">
        <v>0.88888888888888884</v>
      </c>
      <c r="P1090" s="35" t="s">
        <v>469</v>
      </c>
      <c r="Q1090" s="35" t="s">
        <v>447</v>
      </c>
      <c r="R1090" s="36">
        <f>COUNTIF(Tabla1[[#This Row],[VEHICULOS_ACCIDENTADOS]:[VEHICULOS_ACCIDENTADOS2]],"MOTOCICLETA")</f>
        <v>1</v>
      </c>
      <c r="S1090" s="36">
        <f>COUNTIF(Tabla1[[#This Row],[VEHICULOS_ACCIDENTADOS]:[VEHICULOS_ACCIDENTADOS2]],"MOTOCARRO")</f>
        <v>0</v>
      </c>
      <c r="T1090" s="36">
        <f>COUNTIF(Tabla1[[#This Row],[VEHICULOS_ACCIDENTADOS]:[VEHICULOS_ACCIDENTADOS2]],"AUTOMOVIL")</f>
        <v>1</v>
      </c>
      <c r="U1090" s="36">
        <f>COUNTIF(Tabla1[[#This Row],[VEHICULOS_ACCIDENTADOS]:[VEHICULOS_ACCIDENTADOS2]],"CAMPERO")</f>
        <v>0</v>
      </c>
      <c r="V1090" s="36">
        <f>COUNTIF(Tabla1[[#This Row],[VEHICULOS_ACCIDENTADOS]:[VEHICULOS_ACCIDENTADOS2]],"CAMIONETA")</f>
        <v>0</v>
      </c>
      <c r="W1090" s="36">
        <f>COUNTIF(Tabla1[[#This Row],[VEHICULOS_ACCIDENTADOS]:[VEHICULOS_ACCIDENTADOS2]],"MICROBUS")</f>
        <v>0</v>
      </c>
      <c r="X1090" s="36">
        <f>COUNTIF(Tabla1[[#This Row],[VEHICULOS_ACCIDENTADOS]:[VEHICULOS_ACCIDENTADOS2]],"BUS")</f>
        <v>0</v>
      </c>
      <c r="Y1090" s="36">
        <f>COUNTIF(Tabla1[[#This Row],[VEHICULOS_ACCIDENTADOS]:[VEHICULOS_ACCIDENTADOS2]],"BUSETA")</f>
        <v>0</v>
      </c>
      <c r="Z1090" s="36">
        <f>COUNTIF(Tabla1[[#This Row],[VEHICULOS_ACCIDENTADOS]:[VEHICULOS_ACCIDENTADOS2]],"CAMION")</f>
        <v>0</v>
      </c>
      <c r="AA1090" s="36">
        <f>COUNTIF(Tabla1[[#This Row],[VEHICULOS_ACCIDENTADOS]:[VEHICULOS_ACCIDENTADOS2]],"TRACTOCAMION")</f>
        <v>0</v>
      </c>
      <c r="AB1090" s="36">
        <f>COUNTIF(Tabla1[[#This Row],[VEHICULOS_ACCIDENTADOS]:[VEHICULOS_ACCIDENTADOS2]],"VOLQUETA")</f>
        <v>0</v>
      </c>
      <c r="AC1090" s="36">
        <f>COUNTIF(Tabla1[[#This Row],[VEHICULOS_ACCIDENTADOS]:[VEHICULOS_ACCIDENTADOS2]],"BICICLETA")</f>
        <v>0</v>
      </c>
      <c r="AD1090" s="9" t="s">
        <v>471</v>
      </c>
      <c r="AE1090" s="9"/>
      <c r="AF1090" s="9">
        <f>COUNTIF(Tabla1[[#This Row],[GENERO_MASCULINO]:[GENERO_FEMENINO]],"MASCULINO")</f>
        <v>1</v>
      </c>
      <c r="AG1090" s="36">
        <f>COUNTIF(Tabla1[[#This Row],[GENERO_MASCULINO]:[GENERO_FEMENINO]],"FEMENINO")</f>
        <v>0</v>
      </c>
      <c r="AH1090" s="75">
        <v>23</v>
      </c>
      <c r="AI1090" s="75"/>
      <c r="AJ1090" s="75"/>
      <c r="AK1090" s="75"/>
      <c r="AL1090" s="75"/>
      <c r="AM1090" s="9"/>
      <c r="AN1090" s="75">
        <v>122</v>
      </c>
      <c r="AO1090" s="9" t="str">
        <f>IFERROR(((VLOOKUP(Tabla1[[#This Row],[HIPOTESIS_1]],listas!$D$1:$E$105,2,FALSE))),"SIN INFORMACIÓN")</f>
        <v>Girar bruscamente.</v>
      </c>
      <c r="AP1090" s="9"/>
      <c r="AQ1090" s="13" t="str">
        <f>IFERROR(((VLOOKUP(Tabla1[[#This Row],[HIPOTESIS_2]],listas!$D$1:$E$105,2,FALSE))),"")</f>
        <v/>
      </c>
      <c r="AR1090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091" spans="1:44" s="5" customFormat="1" x14ac:dyDescent="0.25">
      <c r="A1091" s="12">
        <v>424</v>
      </c>
      <c r="B1091" s="9">
        <v>1</v>
      </c>
      <c r="C1091" s="9">
        <v>0</v>
      </c>
      <c r="D1091" s="9">
        <v>0</v>
      </c>
      <c r="E1091" s="151" t="str">
        <f t="shared" si="68"/>
        <v>SOLO DAÑO</v>
      </c>
      <c r="F1091" s="9" t="s">
        <v>274</v>
      </c>
      <c r="G1091" s="160">
        <v>5.3506947222222223</v>
      </c>
      <c r="H1091" s="160">
        <v>-72.390242777777786</v>
      </c>
      <c r="I1091" s="159" t="s">
        <v>697</v>
      </c>
      <c r="J1091" s="9" t="s">
        <v>717</v>
      </c>
      <c r="K1091" s="76" t="str">
        <f t="shared" si="69"/>
        <v>2023</v>
      </c>
      <c r="L1091" s="76" t="str">
        <f t="shared" si="70"/>
        <v>MARZO</v>
      </c>
      <c r="M1091" s="239">
        <v>44986</v>
      </c>
      <c r="N1091" s="76" t="str">
        <f t="shared" si="71"/>
        <v>MIÉRCOLES</v>
      </c>
      <c r="O1091" s="111">
        <v>0.52083333333333337</v>
      </c>
      <c r="P1091" s="35" t="s">
        <v>447</v>
      </c>
      <c r="Q1091" s="35" t="s">
        <v>445</v>
      </c>
      <c r="R1091" s="36">
        <f>COUNTIF(Tabla1[[#This Row],[VEHICULOS_ACCIDENTADOS]:[VEHICULOS_ACCIDENTADOS2]],"MOTOCICLETA")</f>
        <v>0</v>
      </c>
      <c r="S1091" s="36">
        <f>COUNTIF(Tabla1[[#This Row],[VEHICULOS_ACCIDENTADOS]:[VEHICULOS_ACCIDENTADOS2]],"MOTOCARRO")</f>
        <v>0</v>
      </c>
      <c r="T1091" s="36">
        <f>COUNTIF(Tabla1[[#This Row],[VEHICULOS_ACCIDENTADOS]:[VEHICULOS_ACCIDENTADOS2]],"AUTOMOVIL")</f>
        <v>1</v>
      </c>
      <c r="U1091" s="36">
        <f>COUNTIF(Tabla1[[#This Row],[VEHICULOS_ACCIDENTADOS]:[VEHICULOS_ACCIDENTADOS2]],"CAMPERO")</f>
        <v>0</v>
      </c>
      <c r="V1091" s="36">
        <f>COUNTIF(Tabla1[[#This Row],[VEHICULOS_ACCIDENTADOS]:[VEHICULOS_ACCIDENTADOS2]],"CAMIONETA")</f>
        <v>1</v>
      </c>
      <c r="W1091" s="36">
        <f>COUNTIF(Tabla1[[#This Row],[VEHICULOS_ACCIDENTADOS]:[VEHICULOS_ACCIDENTADOS2]],"MICROBUS")</f>
        <v>0</v>
      </c>
      <c r="X1091" s="36">
        <f>COUNTIF(Tabla1[[#This Row],[VEHICULOS_ACCIDENTADOS]:[VEHICULOS_ACCIDENTADOS2]],"BUS")</f>
        <v>0</v>
      </c>
      <c r="Y1091" s="36">
        <f>COUNTIF(Tabla1[[#This Row],[VEHICULOS_ACCIDENTADOS]:[VEHICULOS_ACCIDENTADOS2]],"BUSETA")</f>
        <v>0</v>
      </c>
      <c r="Z1091" s="36">
        <f>COUNTIF(Tabla1[[#This Row],[VEHICULOS_ACCIDENTADOS]:[VEHICULOS_ACCIDENTADOS2]],"CAMION")</f>
        <v>0</v>
      </c>
      <c r="AA1091" s="36">
        <f>COUNTIF(Tabla1[[#This Row],[VEHICULOS_ACCIDENTADOS]:[VEHICULOS_ACCIDENTADOS2]],"TRACTOCAMION")</f>
        <v>0</v>
      </c>
      <c r="AB1091" s="36">
        <f>COUNTIF(Tabla1[[#This Row],[VEHICULOS_ACCIDENTADOS]:[VEHICULOS_ACCIDENTADOS2]],"VOLQUETA")</f>
        <v>0</v>
      </c>
      <c r="AC1091" s="36">
        <f>COUNTIF(Tabla1[[#This Row],[VEHICULOS_ACCIDENTADOS]:[VEHICULOS_ACCIDENTADOS2]],"BICICLETA")</f>
        <v>0</v>
      </c>
      <c r="AD1091" s="9"/>
      <c r="AE1091" s="9" t="s">
        <v>472</v>
      </c>
      <c r="AF1091" s="9">
        <f>COUNTIF(Tabla1[[#This Row],[GENERO_MASCULINO]:[GENERO_FEMENINO]],"MASCULINO")</f>
        <v>0</v>
      </c>
      <c r="AG1091" s="36">
        <f>COUNTIF(Tabla1[[#This Row],[GENERO_MASCULINO]:[GENERO_FEMENINO]],"FEMENINO")</f>
        <v>1</v>
      </c>
      <c r="AH1091" s="75"/>
      <c r="AI1091" s="75"/>
      <c r="AJ1091" s="75"/>
      <c r="AK1091" s="75"/>
      <c r="AL1091" s="75"/>
      <c r="AM1091" s="9"/>
      <c r="AN1091" s="75">
        <v>157</v>
      </c>
      <c r="AO1091" s="9" t="str">
        <f>IFERROR(((VLOOKUP(Tabla1[[#This Row],[HIPOTESIS_1]],listas!$D$1:$E$105,2,FALSE))),"SIN INFORMACIÓN")</f>
        <v>Otra</v>
      </c>
      <c r="AP1091" s="9"/>
      <c r="AQ1091" s="13" t="str">
        <f>IFERROR(((VLOOKUP(Tabla1[[#This Row],[HIPOTESIS_2]],listas!$D$1:$E$105,2,FALSE))),"")</f>
        <v/>
      </c>
      <c r="AR1091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092" spans="1:44" s="5" customFormat="1" x14ac:dyDescent="0.25">
      <c r="A1092" s="12">
        <v>41</v>
      </c>
      <c r="B1092" s="9">
        <v>0</v>
      </c>
      <c r="C1092" s="9">
        <v>1</v>
      </c>
      <c r="D1092" s="9">
        <v>0</v>
      </c>
      <c r="E1092" s="151" t="str">
        <f t="shared" si="68"/>
        <v>LESIONADO</v>
      </c>
      <c r="F1092" s="9" t="s">
        <v>426</v>
      </c>
      <c r="G1092" s="159">
        <v>5.3330055555555553</v>
      </c>
      <c r="H1092" s="159">
        <v>-72.379563888888882</v>
      </c>
      <c r="I1092" s="159" t="s">
        <v>697</v>
      </c>
      <c r="J1092" s="9" t="s">
        <v>717</v>
      </c>
      <c r="K1092" s="76" t="str">
        <f t="shared" si="69"/>
        <v>2022</v>
      </c>
      <c r="L1092" s="76" t="str">
        <f t="shared" si="70"/>
        <v>FEBRERO</v>
      </c>
      <c r="M1092" s="239">
        <v>44594</v>
      </c>
      <c r="N1092" s="76" t="str">
        <f t="shared" si="71"/>
        <v>MIÉRCOLES</v>
      </c>
      <c r="O1092" s="111">
        <v>0.46527777777777801</v>
      </c>
      <c r="P1092" s="11" t="s">
        <v>469</v>
      </c>
      <c r="Q1092" s="11"/>
      <c r="R1092" s="36">
        <f>COUNTIF(Tabla1[[#This Row],[VEHICULOS_ACCIDENTADOS]:[VEHICULOS_ACCIDENTADOS2]],"MOTOCICLETA")</f>
        <v>1</v>
      </c>
      <c r="S1092" s="36">
        <f>COUNTIF(Tabla1[[#This Row],[VEHICULOS_ACCIDENTADOS]:[VEHICULOS_ACCIDENTADOS2]],"MOTOCARRO")</f>
        <v>0</v>
      </c>
      <c r="T1092" s="36">
        <f>COUNTIF(Tabla1[[#This Row],[VEHICULOS_ACCIDENTADOS]:[VEHICULOS_ACCIDENTADOS2]],"AUTOMOVIL")</f>
        <v>0</v>
      </c>
      <c r="U1092" s="36">
        <f>COUNTIF(Tabla1[[#This Row],[VEHICULOS_ACCIDENTADOS]:[VEHICULOS_ACCIDENTADOS2]],"CAMPERO")</f>
        <v>0</v>
      </c>
      <c r="V1092" s="36">
        <f>COUNTIF(Tabla1[[#This Row],[VEHICULOS_ACCIDENTADOS]:[VEHICULOS_ACCIDENTADOS2]],"CAMIONETA")</f>
        <v>0</v>
      </c>
      <c r="W1092" s="36">
        <f>COUNTIF(Tabla1[[#This Row],[VEHICULOS_ACCIDENTADOS]:[VEHICULOS_ACCIDENTADOS2]],"MICROBUS")</f>
        <v>0</v>
      </c>
      <c r="X1092" s="36">
        <f>COUNTIF(Tabla1[[#This Row],[VEHICULOS_ACCIDENTADOS]:[VEHICULOS_ACCIDENTADOS2]],"BUS")</f>
        <v>0</v>
      </c>
      <c r="Y1092" s="36">
        <f>COUNTIF(Tabla1[[#This Row],[VEHICULOS_ACCIDENTADOS]:[VEHICULOS_ACCIDENTADOS2]],"BUSETA")</f>
        <v>0</v>
      </c>
      <c r="Z1092" s="36">
        <f>COUNTIF(Tabla1[[#This Row],[VEHICULOS_ACCIDENTADOS]:[VEHICULOS_ACCIDENTADOS2]],"CAMION")</f>
        <v>0</v>
      </c>
      <c r="AA1092" s="36">
        <f>COUNTIF(Tabla1[[#This Row],[VEHICULOS_ACCIDENTADOS]:[VEHICULOS_ACCIDENTADOS2]],"TRACTOCAMION")</f>
        <v>0</v>
      </c>
      <c r="AB1092" s="36">
        <f>COUNTIF(Tabla1[[#This Row],[VEHICULOS_ACCIDENTADOS]:[VEHICULOS_ACCIDENTADOS2]],"VOLQUETA")</f>
        <v>0</v>
      </c>
      <c r="AC1092" s="36">
        <f>COUNTIF(Tabla1[[#This Row],[VEHICULOS_ACCIDENTADOS]:[VEHICULOS_ACCIDENTADOS2]],"BICICLETA")</f>
        <v>0</v>
      </c>
      <c r="AD1092" s="9" t="s">
        <v>471</v>
      </c>
      <c r="AE1092" s="9"/>
      <c r="AF1092" s="9">
        <f>COUNTIF(Tabla1[[#This Row],[GENERO_MASCULINO]:[GENERO_FEMENINO]],"MASCULINO")</f>
        <v>1</v>
      </c>
      <c r="AG1092" s="36">
        <f>COUNTIF(Tabla1[[#This Row],[GENERO_MASCULINO]:[GENERO_FEMENINO]],"FEMENINO")</f>
        <v>0</v>
      </c>
      <c r="AH1092" s="75"/>
      <c r="AI1092" s="75"/>
      <c r="AJ1092" s="91"/>
      <c r="AK1092" s="75">
        <v>24</v>
      </c>
      <c r="AL1092" s="75"/>
      <c r="AM1092" s="9"/>
      <c r="AN1092" s="75">
        <v>112</v>
      </c>
      <c r="AO1092" s="9" t="str">
        <f>IFERROR(((VLOOKUP(Tabla1[[#This Row],[HIPOTESIS_1]],listas!$D$1:$E$105,2,FALSE))),"SIN INFORMACIÓN")</f>
        <v>Desobedecer señales o normas de tránsito.</v>
      </c>
      <c r="AP1092" s="9"/>
      <c r="AQ1092" s="13" t="str">
        <f>IFERROR(((VLOOKUP(Tabla1[[#This Row],[HIPOTESIS_2]],listas!$D$1:$E$105,2,FALSE))),"")</f>
        <v/>
      </c>
      <c r="AR1092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093" spans="1:44" s="5" customFormat="1" x14ac:dyDescent="0.25">
      <c r="A1093" s="12">
        <v>824</v>
      </c>
      <c r="B1093" s="98">
        <v>0</v>
      </c>
      <c r="C1093" s="14">
        <v>2</v>
      </c>
      <c r="D1093" s="147">
        <v>0</v>
      </c>
      <c r="E1093" s="151" t="str">
        <f t="shared" si="68"/>
        <v>LESIONADO</v>
      </c>
      <c r="F1093" s="14" t="s">
        <v>1035</v>
      </c>
      <c r="G1093" s="160">
        <v>5.320945</v>
      </c>
      <c r="H1093" s="160">
        <v>-72.401078611111117</v>
      </c>
      <c r="I1093" s="159" t="s">
        <v>697</v>
      </c>
      <c r="J1093" s="9" t="s">
        <v>717</v>
      </c>
      <c r="K1093" s="76" t="str">
        <f t="shared" si="69"/>
        <v>2024</v>
      </c>
      <c r="L1093" s="76" t="str">
        <f t="shared" si="70"/>
        <v>DICIEMBRE</v>
      </c>
      <c r="M1093" s="241">
        <v>45627</v>
      </c>
      <c r="N1093" s="76" t="str">
        <f t="shared" si="71"/>
        <v>DOMINGO</v>
      </c>
      <c r="O1093" s="173">
        <v>0.56944444444444442</v>
      </c>
      <c r="P1093" s="179" t="s">
        <v>469</v>
      </c>
      <c r="Q1093" s="179" t="s">
        <v>447</v>
      </c>
      <c r="R1093" s="36">
        <f>COUNTIF(Tabla1[[#This Row],[VEHICULOS_ACCIDENTADOS]:[VEHICULOS_ACCIDENTADOS2]],"MOTOCICLETA")</f>
        <v>1</v>
      </c>
      <c r="S1093" s="36">
        <f>COUNTIF(Tabla1[[#This Row],[VEHICULOS_ACCIDENTADOS]:[VEHICULOS_ACCIDENTADOS2]],"MOTOCARRO")</f>
        <v>0</v>
      </c>
      <c r="T1093" s="36">
        <f>COUNTIF(Tabla1[[#This Row],[VEHICULOS_ACCIDENTADOS]:[VEHICULOS_ACCIDENTADOS2]],"AUTOMOVIL")</f>
        <v>1</v>
      </c>
      <c r="U1093" s="36">
        <f>COUNTIF(Tabla1[[#This Row],[VEHICULOS_ACCIDENTADOS]:[VEHICULOS_ACCIDENTADOS2]],"CAMPERO")</f>
        <v>0</v>
      </c>
      <c r="V1093" s="36">
        <f>COUNTIF(Tabla1[[#This Row],[VEHICULOS_ACCIDENTADOS]:[VEHICULOS_ACCIDENTADOS2]],"CAMIONETA")</f>
        <v>0</v>
      </c>
      <c r="W1093" s="36">
        <f>COUNTIF(Tabla1[[#This Row],[VEHICULOS_ACCIDENTADOS]:[VEHICULOS_ACCIDENTADOS2]],"MICROBUS")</f>
        <v>0</v>
      </c>
      <c r="X1093" s="36">
        <f>COUNTIF(Tabla1[[#This Row],[VEHICULOS_ACCIDENTADOS]:[VEHICULOS_ACCIDENTADOS2]],"BUS")</f>
        <v>0</v>
      </c>
      <c r="Y1093" s="36">
        <f>COUNTIF(Tabla1[[#This Row],[VEHICULOS_ACCIDENTADOS]:[VEHICULOS_ACCIDENTADOS2]],"BUSETA")</f>
        <v>0</v>
      </c>
      <c r="Z1093" s="36">
        <f>COUNTIF(Tabla1[[#This Row],[VEHICULOS_ACCIDENTADOS]:[VEHICULOS_ACCIDENTADOS2]],"CAMION")</f>
        <v>0</v>
      </c>
      <c r="AA1093" s="36">
        <f>COUNTIF(Tabla1[[#This Row],[VEHICULOS_ACCIDENTADOS]:[VEHICULOS_ACCIDENTADOS2]],"TRACTOCAMION")</f>
        <v>0</v>
      </c>
      <c r="AB1093" s="36">
        <f>COUNTIF(Tabla1[[#This Row],[VEHICULOS_ACCIDENTADOS]:[VEHICULOS_ACCIDENTADOS2]],"VOLQUETA")</f>
        <v>0</v>
      </c>
      <c r="AC1093" s="36">
        <f>COUNTIF(Tabla1[[#This Row],[VEHICULOS_ACCIDENTADOS]:[VEHICULOS_ACCIDENTADOS2]],"BICICLETA")</f>
        <v>0</v>
      </c>
      <c r="AD1093" s="14" t="s">
        <v>471</v>
      </c>
      <c r="AE1093" s="14" t="s">
        <v>472</v>
      </c>
      <c r="AF1093" s="14">
        <f>COUNTIF(Tabla1[[#This Row],[GENERO_MASCULINO]:[GENERO_FEMENINO]],"MASCULINO")</f>
        <v>1</v>
      </c>
      <c r="AG1093" s="36">
        <f>COUNTIF(Tabla1[[#This Row],[GENERO_MASCULINO]:[GENERO_FEMENINO]],"FEMENINO")</f>
        <v>1</v>
      </c>
      <c r="AH1093" s="90">
        <v>45</v>
      </c>
      <c r="AI1093" s="90">
        <v>30</v>
      </c>
      <c r="AJ1093" s="90">
        <v>10</v>
      </c>
      <c r="AK1093" s="90"/>
      <c r="AL1093" s="90"/>
      <c r="AM1093" s="14"/>
      <c r="AN1093" s="90">
        <v>139</v>
      </c>
      <c r="AO1093" s="9" t="str">
        <f>IFERROR(((VLOOKUP(Tabla1[[#This Row],[HIPOTESIS_1]],listas!$D$1:$E$105,2,FALSE))),"SIN INFORMACIÓN")</f>
        <v>Impericia en el manejo.</v>
      </c>
      <c r="AP1093" s="14"/>
      <c r="AQ1093" s="13" t="str">
        <f>IFERROR(((VLOOKUP(Tabla1[[#This Row],[HIPOTESIS_2]],listas!$D$1:$E$105,2,FALSE))),"")</f>
        <v/>
      </c>
      <c r="AR1093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094" spans="1:44" s="5" customFormat="1" x14ac:dyDescent="0.25">
      <c r="A1094" s="12">
        <v>579</v>
      </c>
      <c r="B1094" s="9">
        <v>0</v>
      </c>
      <c r="C1094" s="9">
        <v>2</v>
      </c>
      <c r="D1094" s="9">
        <v>1</v>
      </c>
      <c r="E1094" s="151" t="str">
        <f t="shared" si="68"/>
        <v>FALLECIDO</v>
      </c>
      <c r="F1094" s="9" t="s">
        <v>1036</v>
      </c>
      <c r="G1094" s="160">
        <v>5.3193999999999999</v>
      </c>
      <c r="H1094" s="160">
        <v>-72.400330555555556</v>
      </c>
      <c r="I1094" s="159" t="s">
        <v>697</v>
      </c>
      <c r="J1094" s="9" t="s">
        <v>717</v>
      </c>
      <c r="K1094" s="76" t="str">
        <f t="shared" si="69"/>
        <v>2023</v>
      </c>
      <c r="L1094" s="76" t="str">
        <f t="shared" si="70"/>
        <v>OCTUBRE</v>
      </c>
      <c r="M1094" s="239">
        <v>45221</v>
      </c>
      <c r="N1094" s="76" t="str">
        <f t="shared" si="71"/>
        <v>DOMINGO</v>
      </c>
      <c r="O1094" s="111">
        <v>0.66666666666666663</v>
      </c>
      <c r="P1094" s="35" t="s">
        <v>469</v>
      </c>
      <c r="Q1094" s="35" t="s">
        <v>469</v>
      </c>
      <c r="R1094" s="36">
        <f>COUNTIF(Tabla1[[#This Row],[VEHICULOS_ACCIDENTADOS]:[VEHICULOS_ACCIDENTADOS2]],"MOTOCICLETA")</f>
        <v>2</v>
      </c>
      <c r="S1094" s="36">
        <f>COUNTIF(Tabla1[[#This Row],[VEHICULOS_ACCIDENTADOS]:[VEHICULOS_ACCIDENTADOS2]],"MOTOCARRO")</f>
        <v>0</v>
      </c>
      <c r="T1094" s="36">
        <f>COUNTIF(Tabla1[[#This Row],[VEHICULOS_ACCIDENTADOS]:[VEHICULOS_ACCIDENTADOS2]],"AUTOMOVIL")</f>
        <v>0</v>
      </c>
      <c r="U1094" s="36">
        <f>COUNTIF(Tabla1[[#This Row],[VEHICULOS_ACCIDENTADOS]:[VEHICULOS_ACCIDENTADOS2]],"CAMPERO")</f>
        <v>0</v>
      </c>
      <c r="V1094" s="36">
        <f>COUNTIF(Tabla1[[#This Row],[VEHICULOS_ACCIDENTADOS]:[VEHICULOS_ACCIDENTADOS2]],"CAMIONETA")</f>
        <v>0</v>
      </c>
      <c r="W1094" s="36">
        <f>COUNTIF(Tabla1[[#This Row],[VEHICULOS_ACCIDENTADOS]:[VEHICULOS_ACCIDENTADOS2]],"MICROBUS")</f>
        <v>0</v>
      </c>
      <c r="X1094" s="36">
        <f>COUNTIF(Tabla1[[#This Row],[VEHICULOS_ACCIDENTADOS]:[VEHICULOS_ACCIDENTADOS2]],"BUS")</f>
        <v>0</v>
      </c>
      <c r="Y1094" s="36">
        <f>COUNTIF(Tabla1[[#This Row],[VEHICULOS_ACCIDENTADOS]:[VEHICULOS_ACCIDENTADOS2]],"BUSETA")</f>
        <v>0</v>
      </c>
      <c r="Z1094" s="36">
        <f>COUNTIF(Tabla1[[#This Row],[VEHICULOS_ACCIDENTADOS]:[VEHICULOS_ACCIDENTADOS2]],"CAMION")</f>
        <v>0</v>
      </c>
      <c r="AA1094" s="36">
        <f>COUNTIF(Tabla1[[#This Row],[VEHICULOS_ACCIDENTADOS]:[VEHICULOS_ACCIDENTADOS2]],"TRACTOCAMION")</f>
        <v>0</v>
      </c>
      <c r="AB1094" s="36">
        <f>COUNTIF(Tabla1[[#This Row],[VEHICULOS_ACCIDENTADOS]:[VEHICULOS_ACCIDENTADOS2]],"VOLQUETA")</f>
        <v>0</v>
      </c>
      <c r="AC1094" s="36">
        <f>COUNTIF(Tabla1[[#This Row],[VEHICULOS_ACCIDENTADOS]:[VEHICULOS_ACCIDENTADOS2]],"BICICLETA")</f>
        <v>0</v>
      </c>
      <c r="AD1094" s="9" t="s">
        <v>471</v>
      </c>
      <c r="AE1094" s="9" t="s">
        <v>472</v>
      </c>
      <c r="AF1094" s="9">
        <f>COUNTIF(Tabla1[[#This Row],[GENERO_MASCULINO]:[GENERO_FEMENINO]],"MASCULINO")</f>
        <v>1</v>
      </c>
      <c r="AG1094" s="36">
        <f>COUNTIF(Tabla1[[#This Row],[GENERO_MASCULINO]:[GENERO_FEMENINO]],"FEMENINO")</f>
        <v>1</v>
      </c>
      <c r="AH1094" s="75">
        <v>27</v>
      </c>
      <c r="AI1094" s="75"/>
      <c r="AJ1094" s="75"/>
      <c r="AK1094" s="75"/>
      <c r="AL1094" s="75">
        <v>7</v>
      </c>
      <c r="AM1094" s="9">
        <v>25</v>
      </c>
      <c r="AN1094" s="75">
        <v>157</v>
      </c>
      <c r="AO1094" s="9" t="str">
        <f>IFERROR(((VLOOKUP(Tabla1[[#This Row],[HIPOTESIS_1]],listas!$D$1:$E$105,2,FALSE))),"SIN INFORMACIÓN")</f>
        <v>Otra</v>
      </c>
      <c r="AP1094" s="9"/>
      <c r="AQ1094" s="13" t="str">
        <f>IFERROR(((VLOOKUP(Tabla1[[#This Row],[HIPOTESIS_2]],listas!$D$1:$E$105,2,FALSE))),"")</f>
        <v/>
      </c>
      <c r="AR1094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095" spans="1:44" s="5" customFormat="1" x14ac:dyDescent="0.25">
      <c r="A1095" s="12">
        <v>707</v>
      </c>
      <c r="B1095" s="98">
        <v>0</v>
      </c>
      <c r="C1095" s="9">
        <v>1</v>
      </c>
      <c r="D1095" s="9">
        <v>0</v>
      </c>
      <c r="E1095" s="151" t="str">
        <f t="shared" si="68"/>
        <v>LESIONADO</v>
      </c>
      <c r="F1095" s="9" t="s">
        <v>144</v>
      </c>
      <c r="G1095" s="160">
        <v>5.3244583333333333</v>
      </c>
      <c r="H1095" s="160">
        <v>-72.402727777777784</v>
      </c>
      <c r="I1095" s="159" t="s">
        <v>697</v>
      </c>
      <c r="J1095" s="14" t="s">
        <v>717</v>
      </c>
      <c r="K1095" s="76" t="str">
        <f t="shared" si="69"/>
        <v>2024</v>
      </c>
      <c r="L1095" s="76" t="str">
        <f t="shared" si="70"/>
        <v>MAYO</v>
      </c>
      <c r="M1095" s="239">
        <v>45423</v>
      </c>
      <c r="N1095" s="76" t="str">
        <f t="shared" si="71"/>
        <v>SÁBADO</v>
      </c>
      <c r="O1095" s="111">
        <v>0.73333333333333339</v>
      </c>
      <c r="P1095" s="35" t="s">
        <v>469</v>
      </c>
      <c r="Q1095" s="35" t="s">
        <v>438</v>
      </c>
      <c r="R1095" s="36">
        <f>COUNTIF(Tabla1[[#This Row],[VEHICULOS_ACCIDENTADOS]:[VEHICULOS_ACCIDENTADOS2]],"MOTOCICLETA")</f>
        <v>1</v>
      </c>
      <c r="S1095" s="36">
        <f>COUNTIF(Tabla1[[#This Row],[VEHICULOS_ACCIDENTADOS]:[VEHICULOS_ACCIDENTADOS2]],"MOTOCARRO")</f>
        <v>0</v>
      </c>
      <c r="T1095" s="36">
        <f>COUNTIF(Tabla1[[#This Row],[VEHICULOS_ACCIDENTADOS]:[VEHICULOS_ACCIDENTADOS2]],"AUTOMOVIL")</f>
        <v>0</v>
      </c>
      <c r="U1095" s="36">
        <f>COUNTIF(Tabla1[[#This Row],[VEHICULOS_ACCIDENTADOS]:[VEHICULOS_ACCIDENTADOS2]],"CAMPERO")</f>
        <v>0</v>
      </c>
      <c r="V1095" s="36">
        <f>COUNTIF(Tabla1[[#This Row],[VEHICULOS_ACCIDENTADOS]:[VEHICULOS_ACCIDENTADOS2]],"CAMIONETA")</f>
        <v>0</v>
      </c>
      <c r="W1095" s="36">
        <f>COUNTIF(Tabla1[[#This Row],[VEHICULOS_ACCIDENTADOS]:[VEHICULOS_ACCIDENTADOS2]],"MICROBUS")</f>
        <v>0</v>
      </c>
      <c r="X1095" s="36">
        <f>COUNTIF(Tabla1[[#This Row],[VEHICULOS_ACCIDENTADOS]:[VEHICULOS_ACCIDENTADOS2]],"BUS")</f>
        <v>0</v>
      </c>
      <c r="Y1095" s="36">
        <f>COUNTIF(Tabla1[[#This Row],[VEHICULOS_ACCIDENTADOS]:[VEHICULOS_ACCIDENTADOS2]],"BUSETA")</f>
        <v>0</v>
      </c>
      <c r="Z1095" s="36">
        <f>COUNTIF(Tabla1[[#This Row],[VEHICULOS_ACCIDENTADOS]:[VEHICULOS_ACCIDENTADOS2]],"CAMION")</f>
        <v>0</v>
      </c>
      <c r="AA1095" s="36">
        <f>COUNTIF(Tabla1[[#This Row],[VEHICULOS_ACCIDENTADOS]:[VEHICULOS_ACCIDENTADOS2]],"TRACTOCAMION")</f>
        <v>0</v>
      </c>
      <c r="AB1095" s="36">
        <f>COUNTIF(Tabla1[[#This Row],[VEHICULOS_ACCIDENTADOS]:[VEHICULOS_ACCIDENTADOS2]],"VOLQUETA")</f>
        <v>0</v>
      </c>
      <c r="AC1095" s="36">
        <f>COUNTIF(Tabla1[[#This Row],[VEHICULOS_ACCIDENTADOS]:[VEHICULOS_ACCIDENTADOS2]],"BICICLETA")</f>
        <v>1</v>
      </c>
      <c r="AD1095" s="9" t="s">
        <v>471</v>
      </c>
      <c r="AE1095" s="9"/>
      <c r="AF1095" s="9">
        <f>COUNTIF(Tabla1[[#This Row],[GENERO_MASCULINO]:[GENERO_FEMENINO]],"MASCULINO")</f>
        <v>1</v>
      </c>
      <c r="AG1095" s="36">
        <f>COUNTIF(Tabla1[[#This Row],[GENERO_MASCULINO]:[GENERO_FEMENINO]],"FEMENINO")</f>
        <v>0</v>
      </c>
      <c r="AH1095" s="75">
        <v>12</v>
      </c>
      <c r="AI1095" s="75">
        <v>21</v>
      </c>
      <c r="AJ1095" s="75"/>
      <c r="AK1095" s="75"/>
      <c r="AL1095" s="75"/>
      <c r="AM1095" s="9"/>
      <c r="AN1095" s="75">
        <v>157</v>
      </c>
      <c r="AO1095" s="9" t="str">
        <f>IFERROR(((VLOOKUP(Tabla1[[#This Row],[HIPOTESIS_1]],listas!$D$1:$E$105,2,FALSE))),"SIN INFORMACIÓN")</f>
        <v>Otra</v>
      </c>
      <c r="AP1095" s="9"/>
      <c r="AQ1095" s="13" t="str">
        <f>IFERROR(((VLOOKUP(Tabla1[[#This Row],[HIPOTESIS_2]],listas!$D$1:$E$105,2,FALSE))),"")</f>
        <v/>
      </c>
      <c r="AR1095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096" spans="1:44" s="5" customFormat="1" x14ac:dyDescent="0.25">
      <c r="A1096" s="12">
        <v>1095</v>
      </c>
      <c r="B1096" s="76">
        <v>1</v>
      </c>
      <c r="C1096" s="76">
        <v>0</v>
      </c>
      <c r="D1096" s="76">
        <v>0</v>
      </c>
      <c r="E1096" s="76" t="str">
        <f t="shared" si="68"/>
        <v>SOLO DAÑO</v>
      </c>
      <c r="F1096" s="76" t="s">
        <v>1037</v>
      </c>
      <c r="G1096" s="74">
        <v>5.3243683329999598</v>
      </c>
      <c r="H1096" s="74">
        <v>-72.402676666998701</v>
      </c>
      <c r="I1096" s="74" t="s">
        <v>697</v>
      </c>
      <c r="J1096" s="9" t="s">
        <v>717</v>
      </c>
      <c r="K1096" s="76" t="str">
        <f t="shared" si="69"/>
        <v>2025</v>
      </c>
      <c r="L1096" s="76" t="str">
        <f t="shared" si="70"/>
        <v>SEPTIEMBRE</v>
      </c>
      <c r="M1096" s="239">
        <v>45926</v>
      </c>
      <c r="N1096" s="76" t="str">
        <f t="shared" si="71"/>
        <v>VIERNES</v>
      </c>
      <c r="O1096" s="111">
        <v>0.94791666666666663</v>
      </c>
      <c r="P1096" s="11" t="s">
        <v>447</v>
      </c>
      <c r="Q1096" s="11" t="s">
        <v>469</v>
      </c>
      <c r="R1096" s="36">
        <f>COUNTIF(Tabla1[[#This Row],[VEHICULOS_ACCIDENTADOS]:[VEHICULOS_ACCIDENTADOS2]],"MOTOCICLETA")</f>
        <v>1</v>
      </c>
      <c r="S1096" s="36">
        <f>COUNTIF(Tabla1[[#This Row],[VEHICULOS_ACCIDENTADOS]:[VEHICULOS_ACCIDENTADOS2]],"MOTOCARRO")</f>
        <v>0</v>
      </c>
      <c r="T1096" s="36">
        <f>COUNTIF(Tabla1[[#This Row],[VEHICULOS_ACCIDENTADOS]:[VEHICULOS_ACCIDENTADOS2]],"AUTOMOVIL")</f>
        <v>1</v>
      </c>
      <c r="U1096" s="36">
        <f>COUNTIF(Tabla1[[#This Row],[VEHICULOS_ACCIDENTADOS]:[VEHICULOS_ACCIDENTADOS2]],"CAMPERO")</f>
        <v>0</v>
      </c>
      <c r="V1096" s="36">
        <f>COUNTIF(Tabla1[[#This Row],[VEHICULOS_ACCIDENTADOS]:[VEHICULOS_ACCIDENTADOS2]],"CAMIONETA")</f>
        <v>0</v>
      </c>
      <c r="W1096" s="36">
        <f>COUNTIF(Tabla1[[#This Row],[VEHICULOS_ACCIDENTADOS]:[VEHICULOS_ACCIDENTADOS2]],"MICROBUS")</f>
        <v>0</v>
      </c>
      <c r="X1096" s="36">
        <f>COUNTIF(Tabla1[[#This Row],[VEHICULOS_ACCIDENTADOS]:[VEHICULOS_ACCIDENTADOS2]],"BUS")</f>
        <v>0</v>
      </c>
      <c r="Y1096" s="36">
        <f>COUNTIF(Tabla1[[#This Row],[VEHICULOS_ACCIDENTADOS]:[VEHICULOS_ACCIDENTADOS2]],"BUSETA")</f>
        <v>0</v>
      </c>
      <c r="Z1096" s="36">
        <f>COUNTIF(Tabla1[[#This Row],[VEHICULOS_ACCIDENTADOS]:[VEHICULOS_ACCIDENTADOS2]],"CAMION")</f>
        <v>0</v>
      </c>
      <c r="AA1096" s="36">
        <f>COUNTIF(Tabla1[[#This Row],[VEHICULOS_ACCIDENTADOS]:[VEHICULOS_ACCIDENTADOS2]],"TRACTOCAMION")</f>
        <v>0</v>
      </c>
      <c r="AB1096" s="36">
        <f>COUNTIF(Tabla1[[#This Row],[VEHICULOS_ACCIDENTADOS]:[VEHICULOS_ACCIDENTADOS2]],"VOLQUETA")</f>
        <v>0</v>
      </c>
      <c r="AC1096" s="36">
        <f>COUNTIF(Tabla1[[#This Row],[VEHICULOS_ACCIDENTADOS]:[VEHICULOS_ACCIDENTADOS2]],"BICICLETA")</f>
        <v>0</v>
      </c>
      <c r="AD1096" s="75" t="s">
        <v>471</v>
      </c>
      <c r="AE1096" s="75" t="s">
        <v>472</v>
      </c>
      <c r="AF1096" s="9">
        <f>COUNTIF(Tabla1[[#This Row],[GENERO_MASCULINO]:[GENERO_FEMENINO]],"MASCULINO")</f>
        <v>1</v>
      </c>
      <c r="AG1096" s="36">
        <f>COUNTIF(Tabla1[[#This Row],[GENERO_MASCULINO]:[GENERO_FEMENINO]],"FEMENINO")</f>
        <v>1</v>
      </c>
      <c r="AH1096" s="90"/>
      <c r="AI1096" s="90"/>
      <c r="AJ1096" s="90"/>
      <c r="AK1096" s="91"/>
      <c r="AL1096" s="91"/>
      <c r="AM1096" s="10"/>
      <c r="AN1096" s="75">
        <v>157</v>
      </c>
      <c r="AO1096" s="10" t="str">
        <f>IFERROR(((VLOOKUP(Tabla1[[#This Row],[HIPOTESIS_1]],listas!$D$1:$E$105,2,FALSE))),"SIN INFORMACIÓN")</f>
        <v>Otra</v>
      </c>
      <c r="AP1096" s="9"/>
      <c r="AQ1096" s="13" t="str">
        <f>IFERROR(((VLOOKUP(Tabla1[[#This Row],[HIPOTESIS_2]],listas!$D$1:$E$105,2,FALSE))),"")</f>
        <v/>
      </c>
      <c r="AR1096" s="2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097" spans="1:44" s="5" customFormat="1" x14ac:dyDescent="0.25">
      <c r="A1097" s="12">
        <v>1101</v>
      </c>
      <c r="B1097" s="76">
        <v>1</v>
      </c>
      <c r="C1097" s="76">
        <v>0</v>
      </c>
      <c r="D1097" s="76">
        <v>0</v>
      </c>
      <c r="E1097" s="76" t="str">
        <f t="shared" si="68"/>
        <v>SOLO DAÑO</v>
      </c>
      <c r="F1097" s="76" t="s">
        <v>1039</v>
      </c>
      <c r="G1097" s="74">
        <v>5.3210987616330296</v>
      </c>
      <c r="H1097" s="74">
        <v>-72.401073798537197</v>
      </c>
      <c r="I1097" s="74" t="s">
        <v>697</v>
      </c>
      <c r="J1097" s="9" t="s">
        <v>717</v>
      </c>
      <c r="K1097" s="76" t="str">
        <f t="shared" si="69"/>
        <v>2025</v>
      </c>
      <c r="L1097" s="76" t="str">
        <f t="shared" si="70"/>
        <v>OCTUBRE</v>
      </c>
      <c r="M1097" s="239">
        <v>45931</v>
      </c>
      <c r="N1097" s="76" t="str">
        <f t="shared" si="71"/>
        <v>MIÉRCOLES</v>
      </c>
      <c r="O1097" s="111">
        <v>0.49236111111111114</v>
      </c>
      <c r="P1097" s="11" t="s">
        <v>469</v>
      </c>
      <c r="Q1097" s="11" t="s">
        <v>445</v>
      </c>
      <c r="R1097" s="36">
        <f>COUNTIF(Tabla1[[#This Row],[VEHICULOS_ACCIDENTADOS]:[VEHICULOS_ACCIDENTADOS2]],"MOTOCICLETA")</f>
        <v>1</v>
      </c>
      <c r="S1097" s="36">
        <f>COUNTIF(Tabla1[[#This Row],[VEHICULOS_ACCIDENTADOS]:[VEHICULOS_ACCIDENTADOS2]],"MOTOCARRO")</f>
        <v>0</v>
      </c>
      <c r="T1097" s="36">
        <f>COUNTIF(Tabla1[[#This Row],[VEHICULOS_ACCIDENTADOS]:[VEHICULOS_ACCIDENTADOS2]],"AUTOMOVIL")</f>
        <v>0</v>
      </c>
      <c r="U1097" s="36">
        <f>COUNTIF(Tabla1[[#This Row],[VEHICULOS_ACCIDENTADOS]:[VEHICULOS_ACCIDENTADOS2]],"CAMPERO")</f>
        <v>0</v>
      </c>
      <c r="V1097" s="36">
        <f>COUNTIF(Tabla1[[#This Row],[VEHICULOS_ACCIDENTADOS]:[VEHICULOS_ACCIDENTADOS2]],"CAMIONETA")</f>
        <v>1</v>
      </c>
      <c r="W1097" s="36">
        <f>COUNTIF(Tabla1[[#This Row],[VEHICULOS_ACCIDENTADOS]:[VEHICULOS_ACCIDENTADOS2]],"MICROBUS")</f>
        <v>0</v>
      </c>
      <c r="X1097" s="36">
        <f>COUNTIF(Tabla1[[#This Row],[VEHICULOS_ACCIDENTADOS]:[VEHICULOS_ACCIDENTADOS2]],"BUS")</f>
        <v>0</v>
      </c>
      <c r="Y1097" s="36">
        <f>COUNTIF(Tabla1[[#This Row],[VEHICULOS_ACCIDENTADOS]:[VEHICULOS_ACCIDENTADOS2]],"BUSETA")</f>
        <v>0</v>
      </c>
      <c r="Z1097" s="36">
        <f>COUNTIF(Tabla1[[#This Row],[VEHICULOS_ACCIDENTADOS]:[VEHICULOS_ACCIDENTADOS2]],"CAMION")</f>
        <v>0</v>
      </c>
      <c r="AA1097" s="36">
        <f>COUNTIF(Tabla1[[#This Row],[VEHICULOS_ACCIDENTADOS]:[VEHICULOS_ACCIDENTADOS2]],"TRACTOCAMION")</f>
        <v>0</v>
      </c>
      <c r="AB1097" s="36">
        <f>COUNTIF(Tabla1[[#This Row],[VEHICULOS_ACCIDENTADOS]:[VEHICULOS_ACCIDENTADOS2]],"VOLQUETA")</f>
        <v>0</v>
      </c>
      <c r="AC1097" s="36">
        <f>COUNTIF(Tabla1[[#This Row],[VEHICULOS_ACCIDENTADOS]:[VEHICULOS_ACCIDENTADOS2]],"BICICLETA")</f>
        <v>0</v>
      </c>
      <c r="AD1097" s="75" t="s">
        <v>471</v>
      </c>
      <c r="AE1097" s="75" t="s">
        <v>471</v>
      </c>
      <c r="AF1097" s="9">
        <f>COUNTIF(Tabla1[[#This Row],[GENERO_MASCULINO]:[GENERO_FEMENINO]],"MASCULINO")</f>
        <v>2</v>
      </c>
      <c r="AG1097" s="36">
        <f>COUNTIF(Tabla1[[#This Row],[GENERO_MASCULINO]:[GENERO_FEMENINO]],"FEMENINO")</f>
        <v>0</v>
      </c>
      <c r="AH1097" s="90"/>
      <c r="AI1097" s="90"/>
      <c r="AJ1097" s="90"/>
      <c r="AK1097" s="91"/>
      <c r="AL1097" s="91"/>
      <c r="AM1097" s="10"/>
      <c r="AN1097" s="75">
        <v>104</v>
      </c>
      <c r="AO1097" s="10" t="str">
        <f>IFERROR(((VLOOKUP(Tabla1[[#This Row],[HIPOTESIS_1]],listas!$D$1:$E$105,2,FALSE))),"SIN INFORMACIÓN")</f>
        <v>Adelantar invadiendo carril de sentido contrario.</v>
      </c>
      <c r="AP1097" s="9"/>
      <c r="AQ1097" s="13" t="str">
        <f>IFERROR(((VLOOKUP(Tabla1[[#This Row],[HIPOTESIS_2]],listas!$D$1:$E$105,2,FALSE))),"")</f>
        <v/>
      </c>
      <c r="AR1097" s="2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098" spans="1:44" s="5" customFormat="1" x14ac:dyDescent="0.25">
      <c r="A1098" s="12">
        <v>916</v>
      </c>
      <c r="B1098" s="16">
        <v>0</v>
      </c>
      <c r="C1098" s="7">
        <v>3</v>
      </c>
      <c r="D1098" s="15">
        <v>0</v>
      </c>
      <c r="E1098" s="18" t="str">
        <f t="shared" si="68"/>
        <v>LESIONADO</v>
      </c>
      <c r="F1098" s="7" t="s">
        <v>54</v>
      </c>
      <c r="G1098" s="37">
        <v>5.324757</v>
      </c>
      <c r="H1098" s="37">
        <v>-72.402889000000002</v>
      </c>
      <c r="I1098" s="159" t="s">
        <v>697</v>
      </c>
      <c r="J1098" s="99" t="s">
        <v>717</v>
      </c>
      <c r="K1098" s="24" t="str">
        <f t="shared" si="69"/>
        <v>2025</v>
      </c>
      <c r="L1098" s="24" t="str">
        <f t="shared" si="70"/>
        <v>MARZO</v>
      </c>
      <c r="M1098" s="232">
        <v>45743</v>
      </c>
      <c r="N1098" s="24" t="str">
        <f t="shared" si="71"/>
        <v>JUEVES</v>
      </c>
      <c r="O1098" s="106">
        <v>0.8652777777777777</v>
      </c>
      <c r="P1098" s="35" t="s">
        <v>469</v>
      </c>
      <c r="Q1098" s="35" t="s">
        <v>469</v>
      </c>
      <c r="R1098" s="36">
        <f>COUNTIF(Tabla1[[#This Row],[VEHICULOS_ACCIDENTADOS]:[VEHICULOS_ACCIDENTADOS2]],"MOTOCICLETA")</f>
        <v>2</v>
      </c>
      <c r="S1098" s="36">
        <f>COUNTIF(Tabla1[[#This Row],[VEHICULOS_ACCIDENTADOS]:[VEHICULOS_ACCIDENTADOS2]],"MOTOCARRO")</f>
        <v>0</v>
      </c>
      <c r="T1098" s="36">
        <f>COUNTIF(Tabla1[[#This Row],[VEHICULOS_ACCIDENTADOS]:[VEHICULOS_ACCIDENTADOS2]],"AUTOMOVIL")</f>
        <v>0</v>
      </c>
      <c r="U1098" s="36">
        <f>COUNTIF(Tabla1[[#This Row],[VEHICULOS_ACCIDENTADOS]:[VEHICULOS_ACCIDENTADOS2]],"CAMPERO")</f>
        <v>0</v>
      </c>
      <c r="V1098" s="36">
        <f>COUNTIF(Tabla1[[#This Row],[VEHICULOS_ACCIDENTADOS]:[VEHICULOS_ACCIDENTADOS2]],"CAMIONETA")</f>
        <v>0</v>
      </c>
      <c r="W1098" s="36">
        <f>COUNTIF(Tabla1[[#This Row],[VEHICULOS_ACCIDENTADOS]:[VEHICULOS_ACCIDENTADOS2]],"MICROBUS")</f>
        <v>0</v>
      </c>
      <c r="X1098" s="36">
        <f>COUNTIF(Tabla1[[#This Row],[VEHICULOS_ACCIDENTADOS]:[VEHICULOS_ACCIDENTADOS2]],"BUS")</f>
        <v>0</v>
      </c>
      <c r="Y1098" s="36">
        <f>COUNTIF(Tabla1[[#This Row],[VEHICULOS_ACCIDENTADOS]:[VEHICULOS_ACCIDENTADOS2]],"BUSETA")</f>
        <v>0</v>
      </c>
      <c r="Z1098" s="36">
        <f>COUNTIF(Tabla1[[#This Row],[VEHICULOS_ACCIDENTADOS]:[VEHICULOS_ACCIDENTADOS2]],"CAMION")</f>
        <v>0</v>
      </c>
      <c r="AA1098" s="36">
        <f>COUNTIF(Tabla1[[#This Row],[VEHICULOS_ACCIDENTADOS]:[VEHICULOS_ACCIDENTADOS2]],"TRACTOCAMION")</f>
        <v>0</v>
      </c>
      <c r="AB1098" s="36">
        <f>COUNTIF(Tabla1[[#This Row],[VEHICULOS_ACCIDENTADOS]:[VEHICULOS_ACCIDENTADOS2]],"VOLQUETA")</f>
        <v>0</v>
      </c>
      <c r="AC1098" s="36">
        <f>COUNTIF(Tabla1[[#This Row],[VEHICULOS_ACCIDENTADOS]:[VEHICULOS_ACCIDENTADOS2]],"BICICLETA")</f>
        <v>0</v>
      </c>
      <c r="AD1098" s="7" t="s">
        <v>471</v>
      </c>
      <c r="AE1098" s="7" t="s">
        <v>471</v>
      </c>
      <c r="AF1098" s="9">
        <f>COUNTIF(Tabla1[[#This Row],[GENERO_MASCULINO]:[GENERO_FEMENINO]],"MASCULINO")</f>
        <v>2</v>
      </c>
      <c r="AG1098" s="36">
        <f>COUNTIF(Tabla1[[#This Row],[GENERO_MASCULINO]:[GENERO_FEMENINO]],"FEMENINO")</f>
        <v>0</v>
      </c>
      <c r="AH1098" s="86">
        <v>26</v>
      </c>
      <c r="AI1098" s="86">
        <v>20</v>
      </c>
      <c r="AJ1098" s="86"/>
      <c r="AK1098" s="73"/>
      <c r="AL1098" s="73"/>
      <c r="AM1098" s="7"/>
      <c r="AN1098" s="73">
        <v>104</v>
      </c>
      <c r="AO1098" s="7" t="str">
        <f>IFERROR(((VLOOKUP(Tabla1[[#This Row],[HIPOTESIS_1]],listas!$D$1:$E$105,2,FALSE))),"SIN INFORMACIÓN")</f>
        <v>Adelantar invadiendo carril de sentido contrario.</v>
      </c>
      <c r="AP1098" s="7"/>
      <c r="AQ1098" s="36" t="str">
        <f>IFERROR(((VLOOKUP(Tabla1[[#This Row],[HIPOTESIS_2]],listas!$D$1:$E$105,2,FALSE))),"")</f>
        <v/>
      </c>
      <c r="AR1098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099" spans="1:44" s="5" customFormat="1" x14ac:dyDescent="0.25">
      <c r="A1099" s="12">
        <v>407</v>
      </c>
      <c r="B1099" s="9">
        <v>0</v>
      </c>
      <c r="C1099" s="9">
        <v>1</v>
      </c>
      <c r="D1099" s="9">
        <v>0</v>
      </c>
      <c r="E1099" s="151" t="str">
        <f t="shared" si="68"/>
        <v>LESIONADO</v>
      </c>
      <c r="F1099" s="9" t="s">
        <v>285</v>
      </c>
      <c r="G1099" s="160">
        <v>5.3184624999999999</v>
      </c>
      <c r="H1099" s="160">
        <v>-72.399751666666674</v>
      </c>
      <c r="I1099" s="159" t="s">
        <v>697</v>
      </c>
      <c r="J1099" s="9" t="s">
        <v>717</v>
      </c>
      <c r="K1099" s="76" t="str">
        <f t="shared" si="69"/>
        <v>2023</v>
      </c>
      <c r="L1099" s="76" t="str">
        <f t="shared" si="70"/>
        <v>FEBRERO</v>
      </c>
      <c r="M1099" s="239">
        <v>44974</v>
      </c>
      <c r="N1099" s="76" t="str">
        <f t="shared" si="71"/>
        <v>VIERNES</v>
      </c>
      <c r="O1099" s="111">
        <v>0.84722222222222199</v>
      </c>
      <c r="P1099" s="35" t="s">
        <v>444</v>
      </c>
      <c r="Q1099" s="35"/>
      <c r="R1099" s="36">
        <f>COUNTIF(Tabla1[[#This Row],[VEHICULOS_ACCIDENTADOS]:[VEHICULOS_ACCIDENTADOS2]],"MOTOCICLETA")</f>
        <v>0</v>
      </c>
      <c r="S1099" s="36">
        <f>COUNTIF(Tabla1[[#This Row],[VEHICULOS_ACCIDENTADOS]:[VEHICULOS_ACCIDENTADOS2]],"MOTOCARRO")</f>
        <v>0</v>
      </c>
      <c r="T1099" s="36">
        <f>COUNTIF(Tabla1[[#This Row],[VEHICULOS_ACCIDENTADOS]:[VEHICULOS_ACCIDENTADOS2]],"AUTOMOVIL")</f>
        <v>0</v>
      </c>
      <c r="U1099" s="36">
        <f>COUNTIF(Tabla1[[#This Row],[VEHICULOS_ACCIDENTADOS]:[VEHICULOS_ACCIDENTADOS2]],"CAMPERO")</f>
        <v>0</v>
      </c>
      <c r="V1099" s="36">
        <f>COUNTIF(Tabla1[[#This Row],[VEHICULOS_ACCIDENTADOS]:[VEHICULOS_ACCIDENTADOS2]],"CAMIONETA")</f>
        <v>0</v>
      </c>
      <c r="W1099" s="36">
        <f>COUNTIF(Tabla1[[#This Row],[VEHICULOS_ACCIDENTADOS]:[VEHICULOS_ACCIDENTADOS2]],"MICROBUS")</f>
        <v>1</v>
      </c>
      <c r="X1099" s="36">
        <f>COUNTIF(Tabla1[[#This Row],[VEHICULOS_ACCIDENTADOS]:[VEHICULOS_ACCIDENTADOS2]],"BUS")</f>
        <v>0</v>
      </c>
      <c r="Y1099" s="36">
        <f>COUNTIF(Tabla1[[#This Row],[VEHICULOS_ACCIDENTADOS]:[VEHICULOS_ACCIDENTADOS2]],"BUSETA")</f>
        <v>0</v>
      </c>
      <c r="Z1099" s="36">
        <f>COUNTIF(Tabla1[[#This Row],[VEHICULOS_ACCIDENTADOS]:[VEHICULOS_ACCIDENTADOS2]],"CAMION")</f>
        <v>0</v>
      </c>
      <c r="AA1099" s="36">
        <f>COUNTIF(Tabla1[[#This Row],[VEHICULOS_ACCIDENTADOS]:[VEHICULOS_ACCIDENTADOS2]],"TRACTOCAMION")</f>
        <v>0</v>
      </c>
      <c r="AB1099" s="36">
        <f>COUNTIF(Tabla1[[#This Row],[VEHICULOS_ACCIDENTADOS]:[VEHICULOS_ACCIDENTADOS2]],"VOLQUETA")</f>
        <v>0</v>
      </c>
      <c r="AC1099" s="36">
        <f>COUNTIF(Tabla1[[#This Row],[VEHICULOS_ACCIDENTADOS]:[VEHICULOS_ACCIDENTADOS2]],"BICICLETA")</f>
        <v>0</v>
      </c>
      <c r="AD1099" s="9"/>
      <c r="AE1099" s="9" t="s">
        <v>472</v>
      </c>
      <c r="AF1099" s="9">
        <f>COUNTIF(Tabla1[[#This Row],[GENERO_MASCULINO]:[GENERO_FEMENINO]],"MASCULINO")</f>
        <v>0</v>
      </c>
      <c r="AG1099" s="36">
        <f>COUNTIF(Tabla1[[#This Row],[GENERO_MASCULINO]:[GENERO_FEMENINO]],"FEMENINO")</f>
        <v>1</v>
      </c>
      <c r="AH1099" s="75"/>
      <c r="AI1099" s="75"/>
      <c r="AJ1099" s="75"/>
      <c r="AK1099" s="75">
        <v>16</v>
      </c>
      <c r="AL1099" s="75"/>
      <c r="AM1099" s="9"/>
      <c r="AN1099" s="75">
        <v>157</v>
      </c>
      <c r="AO1099" s="9" t="str">
        <f>IFERROR(((VLOOKUP(Tabla1[[#This Row],[HIPOTESIS_1]],listas!$D$1:$E$105,2,FALSE))),"SIN INFORMACIÓN")</f>
        <v>Otra</v>
      </c>
      <c r="AP1099" s="9"/>
      <c r="AQ1099" s="13" t="str">
        <f>IFERROR(((VLOOKUP(Tabla1[[#This Row],[HIPOTESIS_2]],listas!$D$1:$E$105,2,FALSE))),"")</f>
        <v/>
      </c>
      <c r="AR1099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100" spans="1:44" s="5" customFormat="1" x14ac:dyDescent="0.25">
      <c r="A1100" s="12">
        <v>683</v>
      </c>
      <c r="B1100" s="16">
        <v>0</v>
      </c>
      <c r="C1100" s="15">
        <v>1</v>
      </c>
      <c r="D1100" s="15">
        <v>0</v>
      </c>
      <c r="E1100" s="18" t="str">
        <f t="shared" si="68"/>
        <v>LESIONADO</v>
      </c>
      <c r="F1100" s="15" t="s">
        <v>154</v>
      </c>
      <c r="G1100" s="21">
        <v>5.3235861111111111</v>
      </c>
      <c r="H1100" s="21">
        <v>-72.393569444444452</v>
      </c>
      <c r="I1100" s="17" t="s">
        <v>697</v>
      </c>
      <c r="J1100" s="15" t="s">
        <v>717</v>
      </c>
      <c r="K1100" s="24" t="str">
        <f t="shared" si="69"/>
        <v>2024</v>
      </c>
      <c r="L1100" s="24" t="str">
        <f t="shared" si="70"/>
        <v>MARZO</v>
      </c>
      <c r="M1100" s="234">
        <v>45377</v>
      </c>
      <c r="N1100" s="24" t="str">
        <f t="shared" si="71"/>
        <v>MARTES</v>
      </c>
      <c r="O1100" s="108">
        <v>0.4861111111111111</v>
      </c>
      <c r="P1100" s="44" t="s">
        <v>443</v>
      </c>
      <c r="Q1100" s="44" t="s">
        <v>438</v>
      </c>
      <c r="R1100" s="36">
        <f>COUNTIF(Tabla1[[#This Row],[VEHICULOS_ACCIDENTADOS]:[VEHICULOS_ACCIDENTADOS2]],"MOTOCICLETA")</f>
        <v>0</v>
      </c>
      <c r="S1100" s="36">
        <f>COUNTIF(Tabla1[[#This Row],[VEHICULOS_ACCIDENTADOS]:[VEHICULOS_ACCIDENTADOS2]],"MOTOCARRO")</f>
        <v>0</v>
      </c>
      <c r="T1100" s="36">
        <f>COUNTIF(Tabla1[[#This Row],[VEHICULOS_ACCIDENTADOS]:[VEHICULOS_ACCIDENTADOS2]],"AUTOMOVIL")</f>
        <v>0</v>
      </c>
      <c r="U1100" s="36">
        <f>COUNTIF(Tabla1[[#This Row],[VEHICULOS_ACCIDENTADOS]:[VEHICULOS_ACCIDENTADOS2]],"CAMPERO")</f>
        <v>0</v>
      </c>
      <c r="V1100" s="36">
        <f>COUNTIF(Tabla1[[#This Row],[VEHICULOS_ACCIDENTADOS]:[VEHICULOS_ACCIDENTADOS2]],"CAMIONETA")</f>
        <v>0</v>
      </c>
      <c r="W1100" s="36">
        <f>COUNTIF(Tabla1[[#This Row],[VEHICULOS_ACCIDENTADOS]:[VEHICULOS_ACCIDENTADOS2]],"MICROBUS")</f>
        <v>0</v>
      </c>
      <c r="X1100" s="36">
        <f>COUNTIF(Tabla1[[#This Row],[VEHICULOS_ACCIDENTADOS]:[VEHICULOS_ACCIDENTADOS2]],"BUS")</f>
        <v>1</v>
      </c>
      <c r="Y1100" s="36">
        <f>COUNTIF(Tabla1[[#This Row],[VEHICULOS_ACCIDENTADOS]:[VEHICULOS_ACCIDENTADOS2]],"BUSETA")</f>
        <v>0</v>
      </c>
      <c r="Z1100" s="36">
        <f>COUNTIF(Tabla1[[#This Row],[VEHICULOS_ACCIDENTADOS]:[VEHICULOS_ACCIDENTADOS2]],"CAMION")</f>
        <v>0</v>
      </c>
      <c r="AA1100" s="36">
        <f>COUNTIF(Tabla1[[#This Row],[VEHICULOS_ACCIDENTADOS]:[VEHICULOS_ACCIDENTADOS2]],"TRACTOCAMION")</f>
        <v>0</v>
      </c>
      <c r="AB1100" s="36">
        <f>COUNTIF(Tabla1[[#This Row],[VEHICULOS_ACCIDENTADOS]:[VEHICULOS_ACCIDENTADOS2]],"VOLQUETA")</f>
        <v>0</v>
      </c>
      <c r="AC1100" s="36">
        <f>COUNTIF(Tabla1[[#This Row],[VEHICULOS_ACCIDENTADOS]:[VEHICULOS_ACCIDENTADOS2]],"BICICLETA")</f>
        <v>1</v>
      </c>
      <c r="AD1100" s="15" t="s">
        <v>471</v>
      </c>
      <c r="AE1100" s="15"/>
      <c r="AF1100" s="14">
        <f>COUNTIF(Tabla1[[#This Row],[GENERO_MASCULINO]:[GENERO_FEMENINO]],"MASCULINO")</f>
        <v>1</v>
      </c>
      <c r="AG1100" s="36">
        <f>COUNTIF(Tabla1[[#This Row],[GENERO_MASCULINO]:[GENERO_FEMENINO]],"FEMENINO")</f>
        <v>0</v>
      </c>
      <c r="AH1100" s="86">
        <v>27</v>
      </c>
      <c r="AI1100" s="86">
        <v>0</v>
      </c>
      <c r="AJ1100" s="86"/>
      <c r="AK1100" s="86"/>
      <c r="AL1100" s="86"/>
      <c r="AM1100" s="15"/>
      <c r="AN1100" s="86">
        <v>157</v>
      </c>
      <c r="AO1100" s="9" t="str">
        <f>IFERROR(((VLOOKUP(Tabla1[[#This Row],[HIPOTESIS_1]],listas!$D$1:$E$105,2,FALSE))),"SIN INFORMACIÓN")</f>
        <v>Otra</v>
      </c>
      <c r="AP1100" s="15"/>
      <c r="AQ1100" s="13" t="str">
        <f>IFERROR(((VLOOKUP(Tabla1[[#This Row],[HIPOTESIS_2]],listas!$D$1:$E$105,2,FALSE))),"")</f>
        <v/>
      </c>
      <c r="AR1100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101" spans="1:44" s="5" customFormat="1" x14ac:dyDescent="0.25">
      <c r="A1101" s="12">
        <v>1073</v>
      </c>
      <c r="B1101" s="76">
        <v>0</v>
      </c>
      <c r="C1101" s="76">
        <v>1</v>
      </c>
      <c r="D1101" s="76">
        <v>0</v>
      </c>
      <c r="E1101" s="76" t="str">
        <f t="shared" si="68"/>
        <v>LESIONADO</v>
      </c>
      <c r="F1101" s="258" t="s">
        <v>1041</v>
      </c>
      <c r="G1101" s="74">
        <v>5.3431066725695597</v>
      </c>
      <c r="H1101" s="74">
        <v>-72.404034111265901</v>
      </c>
      <c r="I1101" s="74" t="s">
        <v>697</v>
      </c>
      <c r="J1101" s="9" t="s">
        <v>717</v>
      </c>
      <c r="K1101" s="76" t="str">
        <f t="shared" si="69"/>
        <v>2025</v>
      </c>
      <c r="L1101" s="76" t="str">
        <f t="shared" si="70"/>
        <v>SEPTIEMBRE</v>
      </c>
      <c r="M1101" s="239">
        <v>45914</v>
      </c>
      <c r="N1101" s="76" t="str">
        <f t="shared" si="71"/>
        <v>DOMINGO</v>
      </c>
      <c r="O1101" s="111">
        <v>0.74305555555555558</v>
      </c>
      <c r="P1101" s="11" t="s">
        <v>469</v>
      </c>
      <c r="Q1101" s="11" t="s">
        <v>469</v>
      </c>
      <c r="R1101" s="36">
        <f>COUNTIF(Tabla1[[#This Row],[VEHICULOS_ACCIDENTADOS]:[VEHICULOS_ACCIDENTADOS2]],"MOTOCICLETA")</f>
        <v>2</v>
      </c>
      <c r="S1101" s="36">
        <f>COUNTIF(Tabla1[[#This Row],[VEHICULOS_ACCIDENTADOS]:[VEHICULOS_ACCIDENTADOS2]],"MOTOCARRO")</f>
        <v>0</v>
      </c>
      <c r="T1101" s="36">
        <f>COUNTIF(Tabla1[[#This Row],[VEHICULOS_ACCIDENTADOS]:[VEHICULOS_ACCIDENTADOS2]],"AUTOMOVIL")</f>
        <v>0</v>
      </c>
      <c r="U1101" s="36">
        <f>COUNTIF(Tabla1[[#This Row],[VEHICULOS_ACCIDENTADOS]:[VEHICULOS_ACCIDENTADOS2]],"CAMPERO")</f>
        <v>0</v>
      </c>
      <c r="V1101" s="36">
        <f>COUNTIF(Tabla1[[#This Row],[VEHICULOS_ACCIDENTADOS]:[VEHICULOS_ACCIDENTADOS2]],"CAMIONETA")</f>
        <v>0</v>
      </c>
      <c r="W1101" s="36">
        <f>COUNTIF(Tabla1[[#This Row],[VEHICULOS_ACCIDENTADOS]:[VEHICULOS_ACCIDENTADOS2]],"MICROBUS")</f>
        <v>0</v>
      </c>
      <c r="X1101" s="36">
        <f>COUNTIF(Tabla1[[#This Row],[VEHICULOS_ACCIDENTADOS]:[VEHICULOS_ACCIDENTADOS2]],"BUS")</f>
        <v>0</v>
      </c>
      <c r="Y1101" s="36">
        <f>COUNTIF(Tabla1[[#This Row],[VEHICULOS_ACCIDENTADOS]:[VEHICULOS_ACCIDENTADOS2]],"BUSETA")</f>
        <v>0</v>
      </c>
      <c r="Z1101" s="36">
        <f>COUNTIF(Tabla1[[#This Row],[VEHICULOS_ACCIDENTADOS]:[VEHICULOS_ACCIDENTADOS2]],"CAMION")</f>
        <v>0</v>
      </c>
      <c r="AA1101" s="36">
        <f>COUNTIF(Tabla1[[#This Row],[VEHICULOS_ACCIDENTADOS]:[VEHICULOS_ACCIDENTADOS2]],"TRACTOCAMION")</f>
        <v>0</v>
      </c>
      <c r="AB1101" s="36">
        <f>COUNTIF(Tabla1[[#This Row],[VEHICULOS_ACCIDENTADOS]:[VEHICULOS_ACCIDENTADOS2]],"VOLQUETA")</f>
        <v>0</v>
      </c>
      <c r="AC1101" s="36">
        <f>COUNTIF(Tabla1[[#This Row],[VEHICULOS_ACCIDENTADOS]:[VEHICULOS_ACCIDENTADOS2]],"BICICLETA")</f>
        <v>0</v>
      </c>
      <c r="AD1101" s="75" t="s">
        <v>471</v>
      </c>
      <c r="AE1101" s="75" t="s">
        <v>471</v>
      </c>
      <c r="AF1101" s="9">
        <f>COUNTIF(Tabla1[[#This Row],[GENERO_MASCULINO]:[GENERO_FEMENINO]],"MASCULINO")</f>
        <v>2</v>
      </c>
      <c r="AG1101" s="36">
        <f>COUNTIF(Tabla1[[#This Row],[GENERO_MASCULINO]:[GENERO_FEMENINO]],"FEMENINO")</f>
        <v>0</v>
      </c>
      <c r="AH1101" s="90">
        <v>30</v>
      </c>
      <c r="AI1101" s="90">
        <v>42</v>
      </c>
      <c r="AJ1101" s="90"/>
      <c r="AK1101" s="91"/>
      <c r="AL1101" s="91"/>
      <c r="AM1101" s="10"/>
      <c r="AN1101" s="75">
        <v>105</v>
      </c>
      <c r="AO1101" s="10" t="str">
        <f>IFERROR(((VLOOKUP(Tabla1[[#This Row],[HIPOTESIS_1]],listas!$D$1:$E$105,2,FALSE))),"SIN INFORMACIÓN")</f>
        <v>Adelantar en zona prohibida.</v>
      </c>
      <c r="AP1101" s="9"/>
      <c r="AQ1101" s="13" t="str">
        <f>IFERROR(((VLOOKUP(Tabla1[[#This Row],[HIPOTESIS_2]],listas!$D$1:$E$105,2,FALSE))),"")</f>
        <v/>
      </c>
      <c r="AR1101" s="2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102" spans="1:44" s="5" customFormat="1" x14ac:dyDescent="0.25">
      <c r="A1102" s="12">
        <v>774</v>
      </c>
      <c r="B1102" s="14">
        <v>0</v>
      </c>
      <c r="C1102" s="14">
        <v>0</v>
      </c>
      <c r="D1102" s="147">
        <v>1</v>
      </c>
      <c r="E1102" s="151" t="str">
        <f t="shared" si="68"/>
        <v>FALLECIDO</v>
      </c>
      <c r="F1102" s="14" t="s">
        <v>117</v>
      </c>
      <c r="G1102" s="160">
        <v>5.2568855555555558</v>
      </c>
      <c r="H1102" s="160">
        <v>-72.485616111111113</v>
      </c>
      <c r="I1102" s="159" t="s">
        <v>697</v>
      </c>
      <c r="J1102" s="14" t="s">
        <v>1</v>
      </c>
      <c r="K1102" s="76" t="str">
        <f t="shared" si="69"/>
        <v>2024</v>
      </c>
      <c r="L1102" s="76" t="str">
        <f t="shared" si="70"/>
        <v>AGOSTO</v>
      </c>
      <c r="M1102" s="241">
        <v>45534</v>
      </c>
      <c r="N1102" s="76" t="str">
        <f t="shared" si="71"/>
        <v>VIERNES</v>
      </c>
      <c r="O1102" s="173">
        <v>0.95833333333333337</v>
      </c>
      <c r="P1102" s="179" t="s">
        <v>469</v>
      </c>
      <c r="Q1102" s="179"/>
      <c r="R1102" s="36">
        <f>COUNTIF(Tabla1[[#This Row],[VEHICULOS_ACCIDENTADOS]:[VEHICULOS_ACCIDENTADOS2]],"MOTOCICLETA")</f>
        <v>1</v>
      </c>
      <c r="S1102" s="36">
        <f>COUNTIF(Tabla1[[#This Row],[VEHICULOS_ACCIDENTADOS]:[VEHICULOS_ACCIDENTADOS2]],"MOTOCARRO")</f>
        <v>0</v>
      </c>
      <c r="T1102" s="36">
        <f>COUNTIF(Tabla1[[#This Row],[VEHICULOS_ACCIDENTADOS]:[VEHICULOS_ACCIDENTADOS2]],"AUTOMOVIL")</f>
        <v>0</v>
      </c>
      <c r="U1102" s="36">
        <f>COUNTIF(Tabla1[[#This Row],[VEHICULOS_ACCIDENTADOS]:[VEHICULOS_ACCIDENTADOS2]],"CAMPERO")</f>
        <v>0</v>
      </c>
      <c r="V1102" s="36">
        <f>COUNTIF(Tabla1[[#This Row],[VEHICULOS_ACCIDENTADOS]:[VEHICULOS_ACCIDENTADOS2]],"CAMIONETA")</f>
        <v>0</v>
      </c>
      <c r="W1102" s="36">
        <f>COUNTIF(Tabla1[[#This Row],[VEHICULOS_ACCIDENTADOS]:[VEHICULOS_ACCIDENTADOS2]],"MICROBUS")</f>
        <v>0</v>
      </c>
      <c r="X1102" s="36">
        <f>COUNTIF(Tabla1[[#This Row],[VEHICULOS_ACCIDENTADOS]:[VEHICULOS_ACCIDENTADOS2]],"BUS")</f>
        <v>0</v>
      </c>
      <c r="Y1102" s="36">
        <f>COUNTIF(Tabla1[[#This Row],[VEHICULOS_ACCIDENTADOS]:[VEHICULOS_ACCIDENTADOS2]],"BUSETA")</f>
        <v>0</v>
      </c>
      <c r="Z1102" s="36">
        <f>COUNTIF(Tabla1[[#This Row],[VEHICULOS_ACCIDENTADOS]:[VEHICULOS_ACCIDENTADOS2]],"CAMION")</f>
        <v>0</v>
      </c>
      <c r="AA1102" s="36">
        <f>COUNTIF(Tabla1[[#This Row],[VEHICULOS_ACCIDENTADOS]:[VEHICULOS_ACCIDENTADOS2]],"TRACTOCAMION")</f>
        <v>0</v>
      </c>
      <c r="AB1102" s="36">
        <f>COUNTIF(Tabla1[[#This Row],[VEHICULOS_ACCIDENTADOS]:[VEHICULOS_ACCIDENTADOS2]],"VOLQUETA")</f>
        <v>0</v>
      </c>
      <c r="AC1102" s="36">
        <f>COUNTIF(Tabla1[[#This Row],[VEHICULOS_ACCIDENTADOS]:[VEHICULOS_ACCIDENTADOS2]],"BICICLETA")</f>
        <v>0</v>
      </c>
      <c r="AD1102" s="9"/>
      <c r="AE1102" s="9" t="s">
        <v>472</v>
      </c>
      <c r="AF1102" s="9">
        <f>COUNTIF(Tabla1[[#This Row],[GENERO_MASCULINO]:[GENERO_FEMENINO]],"MASCULINO")</f>
        <v>0</v>
      </c>
      <c r="AG1102" s="36">
        <f>COUNTIF(Tabla1[[#This Row],[GENERO_MASCULINO]:[GENERO_FEMENINO]],"FEMENINO")</f>
        <v>1</v>
      </c>
      <c r="AH1102" s="90"/>
      <c r="AI1102" s="90"/>
      <c r="AJ1102" s="90"/>
      <c r="AK1102" s="90"/>
      <c r="AL1102" s="90"/>
      <c r="AM1102" s="14"/>
      <c r="AN1102" s="90">
        <v>1</v>
      </c>
      <c r="AO1102" s="9" t="str">
        <f>IFERROR(((VLOOKUP(Tabla1[[#This Row],[HIPOTESIS_1]],listas!$D$1:$E$105,2,FALSE))),"SIN INFORMACIÓN")</f>
        <v>SIN INFORMACIÓN</v>
      </c>
      <c r="AP1102" s="14"/>
      <c r="AQ1102" s="13" t="str">
        <f>IFERROR(((VLOOKUP(Tabla1[[#This Row],[HIPOTESIS_2]],listas!$D$1:$E$105,2,FALSE))),"")</f>
        <v/>
      </c>
      <c r="AR1102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103" spans="1:44" s="5" customFormat="1" x14ac:dyDescent="0.25">
      <c r="A1103" s="12">
        <v>592</v>
      </c>
      <c r="B1103" s="9">
        <v>0</v>
      </c>
      <c r="C1103" s="9">
        <v>0</v>
      </c>
      <c r="D1103" s="9">
        <v>1</v>
      </c>
      <c r="E1103" s="151" t="str">
        <f t="shared" si="68"/>
        <v>FALLECIDO</v>
      </c>
      <c r="F1103" s="9" t="s">
        <v>189</v>
      </c>
      <c r="G1103" s="160">
        <v>5.3165452000000002</v>
      </c>
      <c r="H1103" s="160">
        <v>-72.421678999999997</v>
      </c>
      <c r="I1103" s="160" t="s">
        <v>662</v>
      </c>
      <c r="J1103" s="9" t="s">
        <v>1</v>
      </c>
      <c r="K1103" s="76" t="str">
        <f t="shared" si="69"/>
        <v>2023</v>
      </c>
      <c r="L1103" s="76" t="str">
        <f t="shared" si="70"/>
        <v>OCTUBRE</v>
      </c>
      <c r="M1103" s="239">
        <v>45223</v>
      </c>
      <c r="N1103" s="76" t="str">
        <f t="shared" si="71"/>
        <v>MARTES</v>
      </c>
      <c r="O1103" s="172">
        <v>0.51736111111111116</v>
      </c>
      <c r="P1103" s="35" t="s">
        <v>469</v>
      </c>
      <c r="Q1103" s="35"/>
      <c r="R1103" s="36">
        <f>COUNTIF(Tabla1[[#This Row],[VEHICULOS_ACCIDENTADOS]:[VEHICULOS_ACCIDENTADOS2]],"MOTOCICLETA")</f>
        <v>1</v>
      </c>
      <c r="S1103" s="36">
        <f>COUNTIF(Tabla1[[#This Row],[VEHICULOS_ACCIDENTADOS]:[VEHICULOS_ACCIDENTADOS2]],"MOTOCARRO")</f>
        <v>0</v>
      </c>
      <c r="T1103" s="36">
        <f>COUNTIF(Tabla1[[#This Row],[VEHICULOS_ACCIDENTADOS]:[VEHICULOS_ACCIDENTADOS2]],"AUTOMOVIL")</f>
        <v>0</v>
      </c>
      <c r="U1103" s="36">
        <f>COUNTIF(Tabla1[[#This Row],[VEHICULOS_ACCIDENTADOS]:[VEHICULOS_ACCIDENTADOS2]],"CAMPERO")</f>
        <v>0</v>
      </c>
      <c r="V1103" s="36">
        <f>COUNTIF(Tabla1[[#This Row],[VEHICULOS_ACCIDENTADOS]:[VEHICULOS_ACCIDENTADOS2]],"CAMIONETA")</f>
        <v>0</v>
      </c>
      <c r="W1103" s="36">
        <f>COUNTIF(Tabla1[[#This Row],[VEHICULOS_ACCIDENTADOS]:[VEHICULOS_ACCIDENTADOS2]],"MICROBUS")</f>
        <v>0</v>
      </c>
      <c r="X1103" s="36">
        <f>COUNTIF(Tabla1[[#This Row],[VEHICULOS_ACCIDENTADOS]:[VEHICULOS_ACCIDENTADOS2]],"BUS")</f>
        <v>0</v>
      </c>
      <c r="Y1103" s="36">
        <f>COUNTIF(Tabla1[[#This Row],[VEHICULOS_ACCIDENTADOS]:[VEHICULOS_ACCIDENTADOS2]],"BUSETA")</f>
        <v>0</v>
      </c>
      <c r="Z1103" s="36">
        <f>COUNTIF(Tabla1[[#This Row],[VEHICULOS_ACCIDENTADOS]:[VEHICULOS_ACCIDENTADOS2]],"CAMION")</f>
        <v>0</v>
      </c>
      <c r="AA1103" s="36">
        <f>COUNTIF(Tabla1[[#This Row],[VEHICULOS_ACCIDENTADOS]:[VEHICULOS_ACCIDENTADOS2]],"TRACTOCAMION")</f>
        <v>0</v>
      </c>
      <c r="AB1103" s="36">
        <f>COUNTIF(Tabla1[[#This Row],[VEHICULOS_ACCIDENTADOS]:[VEHICULOS_ACCIDENTADOS2]],"VOLQUETA")</f>
        <v>0</v>
      </c>
      <c r="AC1103" s="36">
        <f>COUNTIF(Tabla1[[#This Row],[VEHICULOS_ACCIDENTADOS]:[VEHICULOS_ACCIDENTADOS2]],"BICICLETA")</f>
        <v>0</v>
      </c>
      <c r="AD1103" s="9" t="s">
        <v>471</v>
      </c>
      <c r="AE1103" s="9"/>
      <c r="AF1103" s="9">
        <f>COUNTIF(Tabla1[[#This Row],[GENERO_MASCULINO]:[GENERO_FEMENINO]],"MASCULINO")</f>
        <v>1</v>
      </c>
      <c r="AG1103" s="36">
        <f>COUNTIF(Tabla1[[#This Row],[GENERO_MASCULINO]:[GENERO_FEMENINO]],"FEMENINO")</f>
        <v>0</v>
      </c>
      <c r="AH1103" s="75"/>
      <c r="AI1103" s="75"/>
      <c r="AJ1103" s="91"/>
      <c r="AK1103" s="75"/>
      <c r="AL1103" s="75"/>
      <c r="AM1103" s="9"/>
      <c r="AN1103" s="75">
        <v>1</v>
      </c>
      <c r="AO1103" s="9" t="str">
        <f>IFERROR(((VLOOKUP(Tabla1[[#This Row],[HIPOTESIS_1]],listas!$D$1:$E$105,2,FALSE))),"SIN INFORMACIÓN")</f>
        <v>SIN INFORMACIÓN</v>
      </c>
      <c r="AP1103" s="9"/>
      <c r="AQ1103" s="13" t="str">
        <f>IFERROR(((VLOOKUP(Tabla1[[#This Row],[HIPOTESIS_2]],listas!$D$1:$E$105,2,FALSE))),"")</f>
        <v/>
      </c>
      <c r="AR1103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104" spans="1:44" s="5" customFormat="1" x14ac:dyDescent="0.25">
      <c r="A1104" s="12">
        <v>594</v>
      </c>
      <c r="B1104" s="9">
        <v>0</v>
      </c>
      <c r="C1104" s="9">
        <v>0</v>
      </c>
      <c r="D1104" s="9">
        <v>1</v>
      </c>
      <c r="E1104" s="151" t="str">
        <f t="shared" si="68"/>
        <v>FALLECIDO</v>
      </c>
      <c r="F1104" s="9" t="s">
        <v>187</v>
      </c>
      <c r="G1104" s="160">
        <v>5.2911786000000003</v>
      </c>
      <c r="H1104" s="160">
        <v>-72.456360399999994</v>
      </c>
      <c r="I1104" s="160" t="s">
        <v>662</v>
      </c>
      <c r="J1104" s="9" t="s">
        <v>1</v>
      </c>
      <c r="K1104" s="76" t="str">
        <f t="shared" si="69"/>
        <v>2023</v>
      </c>
      <c r="L1104" s="76" t="str">
        <f t="shared" si="70"/>
        <v>OCTUBRE</v>
      </c>
      <c r="M1104" s="239">
        <v>45227</v>
      </c>
      <c r="N1104" s="76" t="str">
        <f t="shared" si="71"/>
        <v>SÁBADO</v>
      </c>
      <c r="O1104" s="111">
        <v>0.92152777777777772</v>
      </c>
      <c r="P1104" s="35" t="s">
        <v>469</v>
      </c>
      <c r="Q1104" s="35"/>
      <c r="R1104" s="36">
        <f>COUNTIF(Tabla1[[#This Row],[VEHICULOS_ACCIDENTADOS]:[VEHICULOS_ACCIDENTADOS2]],"MOTOCICLETA")</f>
        <v>1</v>
      </c>
      <c r="S1104" s="36">
        <f>COUNTIF(Tabla1[[#This Row],[VEHICULOS_ACCIDENTADOS]:[VEHICULOS_ACCIDENTADOS2]],"MOTOCARRO")</f>
        <v>0</v>
      </c>
      <c r="T1104" s="36">
        <f>COUNTIF(Tabla1[[#This Row],[VEHICULOS_ACCIDENTADOS]:[VEHICULOS_ACCIDENTADOS2]],"AUTOMOVIL")</f>
        <v>0</v>
      </c>
      <c r="U1104" s="36">
        <f>COUNTIF(Tabla1[[#This Row],[VEHICULOS_ACCIDENTADOS]:[VEHICULOS_ACCIDENTADOS2]],"CAMPERO")</f>
        <v>0</v>
      </c>
      <c r="V1104" s="36">
        <f>COUNTIF(Tabla1[[#This Row],[VEHICULOS_ACCIDENTADOS]:[VEHICULOS_ACCIDENTADOS2]],"CAMIONETA")</f>
        <v>0</v>
      </c>
      <c r="W1104" s="36">
        <f>COUNTIF(Tabla1[[#This Row],[VEHICULOS_ACCIDENTADOS]:[VEHICULOS_ACCIDENTADOS2]],"MICROBUS")</f>
        <v>0</v>
      </c>
      <c r="X1104" s="36">
        <f>COUNTIF(Tabla1[[#This Row],[VEHICULOS_ACCIDENTADOS]:[VEHICULOS_ACCIDENTADOS2]],"BUS")</f>
        <v>0</v>
      </c>
      <c r="Y1104" s="36">
        <f>COUNTIF(Tabla1[[#This Row],[VEHICULOS_ACCIDENTADOS]:[VEHICULOS_ACCIDENTADOS2]],"BUSETA")</f>
        <v>0</v>
      </c>
      <c r="Z1104" s="36">
        <f>COUNTIF(Tabla1[[#This Row],[VEHICULOS_ACCIDENTADOS]:[VEHICULOS_ACCIDENTADOS2]],"CAMION")</f>
        <v>0</v>
      </c>
      <c r="AA1104" s="36">
        <f>COUNTIF(Tabla1[[#This Row],[VEHICULOS_ACCIDENTADOS]:[VEHICULOS_ACCIDENTADOS2]],"TRACTOCAMION")</f>
        <v>0</v>
      </c>
      <c r="AB1104" s="36">
        <f>COUNTIF(Tabla1[[#This Row],[VEHICULOS_ACCIDENTADOS]:[VEHICULOS_ACCIDENTADOS2]],"VOLQUETA")</f>
        <v>0</v>
      </c>
      <c r="AC1104" s="36">
        <f>COUNTIF(Tabla1[[#This Row],[VEHICULOS_ACCIDENTADOS]:[VEHICULOS_ACCIDENTADOS2]],"BICICLETA")</f>
        <v>0</v>
      </c>
      <c r="AD1104" s="9"/>
      <c r="AE1104" s="9" t="s">
        <v>472</v>
      </c>
      <c r="AF1104" s="9">
        <f>COUNTIF(Tabla1[[#This Row],[GENERO_MASCULINO]:[GENERO_FEMENINO]],"MASCULINO")</f>
        <v>0</v>
      </c>
      <c r="AG1104" s="36">
        <f>COUNTIF(Tabla1[[#This Row],[GENERO_MASCULINO]:[GENERO_FEMENINO]],"FEMENINO")</f>
        <v>1</v>
      </c>
      <c r="AH1104" s="75"/>
      <c r="AI1104" s="75"/>
      <c r="AJ1104" s="91"/>
      <c r="AK1104" s="75"/>
      <c r="AL1104" s="75"/>
      <c r="AM1104" s="9"/>
      <c r="AN1104" s="75">
        <v>1</v>
      </c>
      <c r="AO1104" s="9" t="str">
        <f>IFERROR(((VLOOKUP(Tabla1[[#This Row],[HIPOTESIS_1]],listas!$D$1:$E$105,2,FALSE))),"SIN INFORMACIÓN")</f>
        <v>SIN INFORMACIÓN</v>
      </c>
      <c r="AP1104" s="9"/>
      <c r="AQ1104" s="13" t="str">
        <f>IFERROR(((VLOOKUP(Tabla1[[#This Row],[HIPOTESIS_2]],listas!$D$1:$E$105,2,FALSE))),"")</f>
        <v/>
      </c>
      <c r="AR1104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105" spans="1:44" s="5" customFormat="1" x14ac:dyDescent="0.25">
      <c r="A1105" s="12">
        <v>591</v>
      </c>
      <c r="B1105" s="9">
        <v>0</v>
      </c>
      <c r="C1105" s="9">
        <v>0</v>
      </c>
      <c r="D1105" s="9">
        <v>1</v>
      </c>
      <c r="E1105" s="151" t="str">
        <f t="shared" si="68"/>
        <v>FALLECIDO</v>
      </c>
      <c r="F1105" s="9" t="s">
        <v>190</v>
      </c>
      <c r="G1105" s="160">
        <v>5.3057287000000004</v>
      </c>
      <c r="H1105" s="160">
        <v>-72.443883999999997</v>
      </c>
      <c r="I1105" s="160" t="s">
        <v>662</v>
      </c>
      <c r="J1105" s="9" t="s">
        <v>1</v>
      </c>
      <c r="K1105" s="76" t="str">
        <f t="shared" si="69"/>
        <v>2023</v>
      </c>
      <c r="L1105" s="76" t="str">
        <f t="shared" si="70"/>
        <v>OCTUBRE</v>
      </c>
      <c r="M1105" s="239">
        <v>45221</v>
      </c>
      <c r="N1105" s="76" t="str">
        <f t="shared" si="71"/>
        <v>DOMINGO</v>
      </c>
      <c r="O1105" s="111">
        <v>0.34236111111111112</v>
      </c>
      <c r="P1105" s="35" t="s">
        <v>469</v>
      </c>
      <c r="Q1105" s="35" t="s">
        <v>469</v>
      </c>
      <c r="R1105" s="36">
        <f>COUNTIF(Tabla1[[#This Row],[VEHICULOS_ACCIDENTADOS]:[VEHICULOS_ACCIDENTADOS2]],"MOTOCICLETA")</f>
        <v>2</v>
      </c>
      <c r="S1105" s="36">
        <f>COUNTIF(Tabla1[[#This Row],[VEHICULOS_ACCIDENTADOS]:[VEHICULOS_ACCIDENTADOS2]],"MOTOCARRO")</f>
        <v>0</v>
      </c>
      <c r="T1105" s="36">
        <f>COUNTIF(Tabla1[[#This Row],[VEHICULOS_ACCIDENTADOS]:[VEHICULOS_ACCIDENTADOS2]],"AUTOMOVIL")</f>
        <v>0</v>
      </c>
      <c r="U1105" s="36">
        <f>COUNTIF(Tabla1[[#This Row],[VEHICULOS_ACCIDENTADOS]:[VEHICULOS_ACCIDENTADOS2]],"CAMPERO")</f>
        <v>0</v>
      </c>
      <c r="V1105" s="36">
        <f>COUNTIF(Tabla1[[#This Row],[VEHICULOS_ACCIDENTADOS]:[VEHICULOS_ACCIDENTADOS2]],"CAMIONETA")</f>
        <v>0</v>
      </c>
      <c r="W1105" s="36">
        <f>COUNTIF(Tabla1[[#This Row],[VEHICULOS_ACCIDENTADOS]:[VEHICULOS_ACCIDENTADOS2]],"MICROBUS")</f>
        <v>0</v>
      </c>
      <c r="X1105" s="36">
        <f>COUNTIF(Tabla1[[#This Row],[VEHICULOS_ACCIDENTADOS]:[VEHICULOS_ACCIDENTADOS2]],"BUS")</f>
        <v>0</v>
      </c>
      <c r="Y1105" s="36">
        <f>COUNTIF(Tabla1[[#This Row],[VEHICULOS_ACCIDENTADOS]:[VEHICULOS_ACCIDENTADOS2]],"BUSETA")</f>
        <v>0</v>
      </c>
      <c r="Z1105" s="36">
        <f>COUNTIF(Tabla1[[#This Row],[VEHICULOS_ACCIDENTADOS]:[VEHICULOS_ACCIDENTADOS2]],"CAMION")</f>
        <v>0</v>
      </c>
      <c r="AA1105" s="36">
        <f>COUNTIF(Tabla1[[#This Row],[VEHICULOS_ACCIDENTADOS]:[VEHICULOS_ACCIDENTADOS2]],"TRACTOCAMION")</f>
        <v>0</v>
      </c>
      <c r="AB1105" s="36">
        <f>COUNTIF(Tabla1[[#This Row],[VEHICULOS_ACCIDENTADOS]:[VEHICULOS_ACCIDENTADOS2]],"VOLQUETA")</f>
        <v>0</v>
      </c>
      <c r="AC1105" s="36">
        <f>COUNTIF(Tabla1[[#This Row],[VEHICULOS_ACCIDENTADOS]:[VEHICULOS_ACCIDENTADOS2]],"BICICLETA")</f>
        <v>0</v>
      </c>
      <c r="AD1105" s="9" t="s">
        <v>471</v>
      </c>
      <c r="AE1105" s="9"/>
      <c r="AF1105" s="9">
        <f>COUNTIF(Tabla1[[#This Row],[GENERO_MASCULINO]:[GENERO_FEMENINO]],"MASCULINO")</f>
        <v>1</v>
      </c>
      <c r="AG1105" s="36">
        <f>COUNTIF(Tabla1[[#This Row],[GENERO_MASCULINO]:[GENERO_FEMENINO]],"FEMENINO")</f>
        <v>0</v>
      </c>
      <c r="AH1105" s="75"/>
      <c r="AI1105" s="75"/>
      <c r="AJ1105" s="91"/>
      <c r="AK1105" s="75"/>
      <c r="AL1105" s="75"/>
      <c r="AM1105" s="9"/>
      <c r="AN1105" s="75">
        <v>1</v>
      </c>
      <c r="AO1105" s="9" t="str">
        <f>IFERROR(((VLOOKUP(Tabla1[[#This Row],[HIPOTESIS_1]],listas!$D$1:$E$105,2,FALSE))),"SIN INFORMACIÓN")</f>
        <v>SIN INFORMACIÓN</v>
      </c>
      <c r="AP1105" s="9"/>
      <c r="AQ1105" s="13" t="str">
        <f>IFERROR(((VLOOKUP(Tabla1[[#This Row],[HIPOTESIS_2]],listas!$D$1:$E$105,2,FALSE))),"")</f>
        <v/>
      </c>
      <c r="AR1105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106" spans="1:44" s="5" customFormat="1" x14ac:dyDescent="0.25">
      <c r="A1106" s="12">
        <v>593</v>
      </c>
      <c r="B1106" s="9">
        <v>0</v>
      </c>
      <c r="C1106" s="9">
        <v>0</v>
      </c>
      <c r="D1106" s="9">
        <v>1</v>
      </c>
      <c r="E1106" s="151" t="str">
        <f t="shared" si="68"/>
        <v>FALLECIDO</v>
      </c>
      <c r="F1106" s="9" t="s">
        <v>188</v>
      </c>
      <c r="G1106" s="160">
        <v>5.3155650000000003</v>
      </c>
      <c r="H1106" s="160">
        <v>-72.423482899999996</v>
      </c>
      <c r="I1106" s="160" t="s">
        <v>662</v>
      </c>
      <c r="J1106" s="9" t="s">
        <v>1</v>
      </c>
      <c r="K1106" s="76" t="str">
        <f t="shared" si="69"/>
        <v>2023</v>
      </c>
      <c r="L1106" s="76" t="str">
        <f t="shared" si="70"/>
        <v>OCTUBRE</v>
      </c>
      <c r="M1106" s="239">
        <v>45226</v>
      </c>
      <c r="N1106" s="76" t="str">
        <f t="shared" si="71"/>
        <v>VIERNES</v>
      </c>
      <c r="O1106" s="111">
        <v>0.59722222222222221</v>
      </c>
      <c r="P1106" s="35" t="s">
        <v>469</v>
      </c>
      <c r="Q1106" s="35"/>
      <c r="R1106" s="36">
        <f>COUNTIF(Tabla1[[#This Row],[VEHICULOS_ACCIDENTADOS]:[VEHICULOS_ACCIDENTADOS2]],"MOTOCICLETA")</f>
        <v>1</v>
      </c>
      <c r="S1106" s="36">
        <f>COUNTIF(Tabla1[[#This Row],[VEHICULOS_ACCIDENTADOS]:[VEHICULOS_ACCIDENTADOS2]],"MOTOCARRO")</f>
        <v>0</v>
      </c>
      <c r="T1106" s="36">
        <f>COUNTIF(Tabla1[[#This Row],[VEHICULOS_ACCIDENTADOS]:[VEHICULOS_ACCIDENTADOS2]],"AUTOMOVIL")</f>
        <v>0</v>
      </c>
      <c r="U1106" s="36">
        <f>COUNTIF(Tabla1[[#This Row],[VEHICULOS_ACCIDENTADOS]:[VEHICULOS_ACCIDENTADOS2]],"CAMPERO")</f>
        <v>0</v>
      </c>
      <c r="V1106" s="36">
        <f>COUNTIF(Tabla1[[#This Row],[VEHICULOS_ACCIDENTADOS]:[VEHICULOS_ACCIDENTADOS2]],"CAMIONETA")</f>
        <v>0</v>
      </c>
      <c r="W1106" s="36">
        <f>COUNTIF(Tabla1[[#This Row],[VEHICULOS_ACCIDENTADOS]:[VEHICULOS_ACCIDENTADOS2]],"MICROBUS")</f>
        <v>0</v>
      </c>
      <c r="X1106" s="36">
        <f>COUNTIF(Tabla1[[#This Row],[VEHICULOS_ACCIDENTADOS]:[VEHICULOS_ACCIDENTADOS2]],"BUS")</f>
        <v>0</v>
      </c>
      <c r="Y1106" s="36">
        <f>COUNTIF(Tabla1[[#This Row],[VEHICULOS_ACCIDENTADOS]:[VEHICULOS_ACCIDENTADOS2]],"BUSETA")</f>
        <v>0</v>
      </c>
      <c r="Z1106" s="36">
        <f>COUNTIF(Tabla1[[#This Row],[VEHICULOS_ACCIDENTADOS]:[VEHICULOS_ACCIDENTADOS2]],"CAMION")</f>
        <v>0</v>
      </c>
      <c r="AA1106" s="36">
        <f>COUNTIF(Tabla1[[#This Row],[VEHICULOS_ACCIDENTADOS]:[VEHICULOS_ACCIDENTADOS2]],"TRACTOCAMION")</f>
        <v>0</v>
      </c>
      <c r="AB1106" s="36">
        <f>COUNTIF(Tabla1[[#This Row],[VEHICULOS_ACCIDENTADOS]:[VEHICULOS_ACCIDENTADOS2]],"VOLQUETA")</f>
        <v>0</v>
      </c>
      <c r="AC1106" s="36">
        <f>COUNTIF(Tabla1[[#This Row],[VEHICULOS_ACCIDENTADOS]:[VEHICULOS_ACCIDENTADOS2]],"BICICLETA")</f>
        <v>0</v>
      </c>
      <c r="AD1106" s="9" t="s">
        <v>471</v>
      </c>
      <c r="AE1106" s="9"/>
      <c r="AF1106" s="9">
        <f>COUNTIF(Tabla1[[#This Row],[GENERO_MASCULINO]:[GENERO_FEMENINO]],"MASCULINO")</f>
        <v>1</v>
      </c>
      <c r="AG1106" s="36">
        <f>COUNTIF(Tabla1[[#This Row],[GENERO_MASCULINO]:[GENERO_FEMENINO]],"FEMENINO")</f>
        <v>0</v>
      </c>
      <c r="AH1106" s="75"/>
      <c r="AI1106" s="75"/>
      <c r="AJ1106" s="91"/>
      <c r="AK1106" s="75"/>
      <c r="AL1106" s="75"/>
      <c r="AM1106" s="9"/>
      <c r="AN1106" s="75">
        <v>1</v>
      </c>
      <c r="AO1106" s="9" t="str">
        <f>IFERROR(((VLOOKUP(Tabla1[[#This Row],[HIPOTESIS_1]],listas!$D$1:$E$105,2,FALSE))),"SIN INFORMACIÓN")</f>
        <v>SIN INFORMACIÓN</v>
      </c>
      <c r="AP1106" s="9"/>
      <c r="AQ1106" s="13" t="str">
        <f>IFERROR(((VLOOKUP(Tabla1[[#This Row],[HIPOTESIS_2]],listas!$D$1:$E$105,2,FALSE))),"")</f>
        <v/>
      </c>
      <c r="AR1106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107" spans="1:44" s="5" customFormat="1" x14ac:dyDescent="0.25">
      <c r="A1107" s="12">
        <v>490</v>
      </c>
      <c r="B1107" s="9">
        <v>0</v>
      </c>
      <c r="C1107" s="9">
        <v>0</v>
      </c>
      <c r="D1107" s="9">
        <v>1</v>
      </c>
      <c r="E1107" s="151" t="str">
        <f t="shared" si="68"/>
        <v>FALLECIDO</v>
      </c>
      <c r="F1107" s="9" t="s">
        <v>238</v>
      </c>
      <c r="G1107" s="160">
        <v>5.4405630555555557</v>
      </c>
      <c r="H1107" s="160">
        <v>-72.449220277777783</v>
      </c>
      <c r="I1107" s="159" t="s">
        <v>697</v>
      </c>
      <c r="J1107" s="9" t="s">
        <v>717</v>
      </c>
      <c r="K1107" s="76" t="str">
        <f t="shared" si="69"/>
        <v>2023</v>
      </c>
      <c r="L1107" s="76" t="str">
        <f t="shared" si="70"/>
        <v>MAYO</v>
      </c>
      <c r="M1107" s="239">
        <v>45076</v>
      </c>
      <c r="N1107" s="76" t="str">
        <f t="shared" si="71"/>
        <v>MARTES</v>
      </c>
      <c r="O1107" s="111">
        <v>5.5555555555555552E-2</v>
      </c>
      <c r="P1107" s="35" t="s">
        <v>441</v>
      </c>
      <c r="Q1107" s="35"/>
      <c r="R1107" s="36">
        <f>COUNTIF(Tabla1[[#This Row],[VEHICULOS_ACCIDENTADOS]:[VEHICULOS_ACCIDENTADOS2]],"MOTOCICLETA")</f>
        <v>0</v>
      </c>
      <c r="S1107" s="36">
        <f>COUNTIF(Tabla1[[#This Row],[VEHICULOS_ACCIDENTADOS]:[VEHICULOS_ACCIDENTADOS2]],"MOTOCARRO")</f>
        <v>0</v>
      </c>
      <c r="T1107" s="36">
        <f>COUNTIF(Tabla1[[#This Row],[VEHICULOS_ACCIDENTADOS]:[VEHICULOS_ACCIDENTADOS2]],"AUTOMOVIL")</f>
        <v>0</v>
      </c>
      <c r="U1107" s="36">
        <f>COUNTIF(Tabla1[[#This Row],[VEHICULOS_ACCIDENTADOS]:[VEHICULOS_ACCIDENTADOS2]],"CAMPERO")</f>
        <v>0</v>
      </c>
      <c r="V1107" s="36">
        <f>COUNTIF(Tabla1[[#This Row],[VEHICULOS_ACCIDENTADOS]:[VEHICULOS_ACCIDENTADOS2]],"CAMIONETA")</f>
        <v>0</v>
      </c>
      <c r="W1107" s="36">
        <f>COUNTIF(Tabla1[[#This Row],[VEHICULOS_ACCIDENTADOS]:[VEHICULOS_ACCIDENTADOS2]],"MICROBUS")</f>
        <v>0</v>
      </c>
      <c r="X1107" s="36">
        <f>COUNTIF(Tabla1[[#This Row],[VEHICULOS_ACCIDENTADOS]:[VEHICULOS_ACCIDENTADOS2]],"BUS")</f>
        <v>0</v>
      </c>
      <c r="Y1107" s="36">
        <f>COUNTIF(Tabla1[[#This Row],[VEHICULOS_ACCIDENTADOS]:[VEHICULOS_ACCIDENTADOS2]],"BUSETA")</f>
        <v>0</v>
      </c>
      <c r="Z1107" s="36">
        <f>COUNTIF(Tabla1[[#This Row],[VEHICULOS_ACCIDENTADOS]:[VEHICULOS_ACCIDENTADOS2]],"CAMION")</f>
        <v>1</v>
      </c>
      <c r="AA1107" s="36">
        <f>COUNTIF(Tabla1[[#This Row],[VEHICULOS_ACCIDENTADOS]:[VEHICULOS_ACCIDENTADOS2]],"TRACTOCAMION")</f>
        <v>0</v>
      </c>
      <c r="AB1107" s="36">
        <f>COUNTIF(Tabla1[[#This Row],[VEHICULOS_ACCIDENTADOS]:[VEHICULOS_ACCIDENTADOS2]],"VOLQUETA")</f>
        <v>0</v>
      </c>
      <c r="AC1107" s="36">
        <f>COUNTIF(Tabla1[[#This Row],[VEHICULOS_ACCIDENTADOS]:[VEHICULOS_ACCIDENTADOS2]],"BICICLETA")</f>
        <v>0</v>
      </c>
      <c r="AD1107" s="9"/>
      <c r="AE1107" s="9" t="s">
        <v>472</v>
      </c>
      <c r="AF1107" s="9">
        <f>COUNTIF(Tabla1[[#This Row],[GENERO_MASCULINO]:[GENERO_FEMENINO]],"MASCULINO")</f>
        <v>0</v>
      </c>
      <c r="AG1107" s="36">
        <f>COUNTIF(Tabla1[[#This Row],[GENERO_MASCULINO]:[GENERO_FEMENINO]],"FEMENINO")</f>
        <v>1</v>
      </c>
      <c r="AH1107" s="75"/>
      <c r="AI1107" s="75"/>
      <c r="AJ1107" s="91"/>
      <c r="AK1107" s="75"/>
      <c r="AL1107" s="75"/>
      <c r="AM1107" s="9">
        <v>24</v>
      </c>
      <c r="AN1107" s="75">
        <v>159</v>
      </c>
      <c r="AO1107" s="9" t="str">
        <f>IFERROR(((VLOOKUP(Tabla1[[#This Row],[HIPOTESIS_1]],listas!$D$1:$E$105,2,FALSE))),"SIN INFORMACIÓN")</f>
        <v>SIN INFORMACIÓN</v>
      </c>
      <c r="AP1107" s="9"/>
      <c r="AQ1107" s="13" t="str">
        <f>IFERROR(((VLOOKUP(Tabla1[[#This Row],[HIPOTESIS_2]],listas!$D$1:$E$105,2,FALSE))),"")</f>
        <v/>
      </c>
      <c r="AR1107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108" spans="1:44" s="5" customFormat="1" x14ac:dyDescent="0.25">
      <c r="A1108" s="12">
        <v>311</v>
      </c>
      <c r="B1108" s="9">
        <v>0</v>
      </c>
      <c r="C1108" s="9">
        <v>1</v>
      </c>
      <c r="D1108" s="9">
        <v>0</v>
      </c>
      <c r="E1108" s="151" t="str">
        <f t="shared" si="68"/>
        <v>LESIONADO</v>
      </c>
      <c r="F1108" s="211" t="s">
        <v>320</v>
      </c>
      <c r="G1108" s="159">
        <v>5.3370691666666668</v>
      </c>
      <c r="H1108" s="159">
        <v>-72.339713611111108</v>
      </c>
      <c r="I1108" s="159" t="s">
        <v>697</v>
      </c>
      <c r="J1108" s="9" t="s">
        <v>1</v>
      </c>
      <c r="K1108" s="76" t="str">
        <f t="shared" si="69"/>
        <v>2022</v>
      </c>
      <c r="L1108" s="76" t="str">
        <f t="shared" si="70"/>
        <v>SEPTIEMBRE</v>
      </c>
      <c r="M1108" s="239">
        <v>44821</v>
      </c>
      <c r="N1108" s="76" t="str">
        <f t="shared" si="71"/>
        <v>SÁBADO</v>
      </c>
      <c r="O1108" s="172">
        <v>0.62847222222222221</v>
      </c>
      <c r="P1108" s="185" t="s">
        <v>469</v>
      </c>
      <c r="Q1108" s="185" t="s">
        <v>445</v>
      </c>
      <c r="R1108" s="36">
        <f>COUNTIF(Tabla1[[#This Row],[VEHICULOS_ACCIDENTADOS]:[VEHICULOS_ACCIDENTADOS2]],"MOTOCICLETA")</f>
        <v>1</v>
      </c>
      <c r="S1108" s="36">
        <f>COUNTIF(Tabla1[[#This Row],[VEHICULOS_ACCIDENTADOS]:[VEHICULOS_ACCIDENTADOS2]],"MOTOCARRO")</f>
        <v>0</v>
      </c>
      <c r="T1108" s="36">
        <f>COUNTIF(Tabla1[[#This Row],[VEHICULOS_ACCIDENTADOS]:[VEHICULOS_ACCIDENTADOS2]],"AUTOMOVIL")</f>
        <v>0</v>
      </c>
      <c r="U1108" s="36">
        <f>COUNTIF(Tabla1[[#This Row],[VEHICULOS_ACCIDENTADOS]:[VEHICULOS_ACCIDENTADOS2]],"CAMPERO")</f>
        <v>0</v>
      </c>
      <c r="V1108" s="36">
        <f>COUNTIF(Tabla1[[#This Row],[VEHICULOS_ACCIDENTADOS]:[VEHICULOS_ACCIDENTADOS2]],"CAMIONETA")</f>
        <v>1</v>
      </c>
      <c r="W1108" s="36">
        <f>COUNTIF(Tabla1[[#This Row],[VEHICULOS_ACCIDENTADOS]:[VEHICULOS_ACCIDENTADOS2]],"MICROBUS")</f>
        <v>0</v>
      </c>
      <c r="X1108" s="36">
        <f>COUNTIF(Tabla1[[#This Row],[VEHICULOS_ACCIDENTADOS]:[VEHICULOS_ACCIDENTADOS2]],"BUS")</f>
        <v>0</v>
      </c>
      <c r="Y1108" s="36">
        <f>COUNTIF(Tabla1[[#This Row],[VEHICULOS_ACCIDENTADOS]:[VEHICULOS_ACCIDENTADOS2]],"BUSETA")</f>
        <v>0</v>
      </c>
      <c r="Z1108" s="36">
        <f>COUNTIF(Tabla1[[#This Row],[VEHICULOS_ACCIDENTADOS]:[VEHICULOS_ACCIDENTADOS2]],"CAMION")</f>
        <v>0</v>
      </c>
      <c r="AA1108" s="36">
        <f>COUNTIF(Tabla1[[#This Row],[VEHICULOS_ACCIDENTADOS]:[VEHICULOS_ACCIDENTADOS2]],"TRACTOCAMION")</f>
        <v>0</v>
      </c>
      <c r="AB1108" s="36">
        <f>COUNTIF(Tabla1[[#This Row],[VEHICULOS_ACCIDENTADOS]:[VEHICULOS_ACCIDENTADOS2]],"VOLQUETA")</f>
        <v>0</v>
      </c>
      <c r="AC1108" s="36">
        <f>COUNTIF(Tabla1[[#This Row],[VEHICULOS_ACCIDENTADOS]:[VEHICULOS_ACCIDENTADOS2]],"BICICLETA")</f>
        <v>0</v>
      </c>
      <c r="AD1108" s="9"/>
      <c r="AE1108" s="9" t="s">
        <v>472</v>
      </c>
      <c r="AF1108" s="9">
        <f>COUNTIF(Tabla1[[#This Row],[GENERO_MASCULINO]:[GENERO_FEMENINO]],"MASCULINO")</f>
        <v>0</v>
      </c>
      <c r="AG1108" s="36">
        <f>COUNTIF(Tabla1[[#This Row],[GENERO_MASCULINO]:[GENERO_FEMENINO]],"FEMENINO")</f>
        <v>1</v>
      </c>
      <c r="AH1108" s="75">
        <v>32</v>
      </c>
      <c r="AI1108" s="75"/>
      <c r="AJ1108" s="91"/>
      <c r="AK1108" s="75"/>
      <c r="AL1108" s="75"/>
      <c r="AM1108" s="9"/>
      <c r="AN1108" s="75">
        <v>122</v>
      </c>
      <c r="AO1108" s="9" t="str">
        <f>IFERROR(((VLOOKUP(Tabla1[[#This Row],[HIPOTESIS_1]],listas!$D$1:$E$105,2,FALSE))),"SIN INFORMACIÓN")</f>
        <v>Girar bruscamente.</v>
      </c>
      <c r="AP1108" s="9"/>
      <c r="AQ1108" s="13" t="str">
        <f>IFERROR(((VLOOKUP(Tabla1[[#This Row],[HIPOTESIS_2]],listas!$D$1:$E$105,2,FALSE))),"")</f>
        <v/>
      </c>
      <c r="AR1108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109" spans="1:44" s="5" customFormat="1" x14ac:dyDescent="0.25">
      <c r="A1109" s="12">
        <v>915</v>
      </c>
      <c r="B1109" s="98">
        <v>0</v>
      </c>
      <c r="C1109" s="9">
        <v>0</v>
      </c>
      <c r="D1109" s="14">
        <v>1</v>
      </c>
      <c r="E1109" s="151" t="str">
        <f t="shared" si="68"/>
        <v>FALLECIDO</v>
      </c>
      <c r="F1109" s="9" t="s">
        <v>708</v>
      </c>
      <c r="G1109" s="99">
        <v>5.3272360000000001</v>
      </c>
      <c r="H1109" s="99">
        <v>-72.291867999999994</v>
      </c>
      <c r="I1109" s="159" t="s">
        <v>697</v>
      </c>
      <c r="J1109" s="99" t="s">
        <v>717</v>
      </c>
      <c r="K1109" s="76" t="str">
        <f t="shared" si="69"/>
        <v>2025</v>
      </c>
      <c r="L1109" s="76" t="str">
        <f t="shared" si="70"/>
        <v>MARZO</v>
      </c>
      <c r="M1109" s="239">
        <v>45743</v>
      </c>
      <c r="N1109" s="76" t="str">
        <f t="shared" si="71"/>
        <v>JUEVES</v>
      </c>
      <c r="O1109" s="111">
        <v>0.24305555555555555</v>
      </c>
      <c r="P1109" s="35" t="s">
        <v>438</v>
      </c>
      <c r="Q1109" s="35" t="s">
        <v>471</v>
      </c>
      <c r="R1109" s="36">
        <f>COUNTIF(Tabla1[[#This Row],[VEHICULOS_ACCIDENTADOS]:[VEHICULOS_ACCIDENTADOS2]],"MOTOCICLETA")</f>
        <v>0</v>
      </c>
      <c r="S1109" s="36">
        <f>COUNTIF(Tabla1[[#This Row],[VEHICULOS_ACCIDENTADOS]:[VEHICULOS_ACCIDENTADOS2]],"MOTOCARRO")</f>
        <v>0</v>
      </c>
      <c r="T1109" s="36">
        <f>COUNTIF(Tabla1[[#This Row],[VEHICULOS_ACCIDENTADOS]:[VEHICULOS_ACCIDENTADOS2]],"AUTOMOVIL")</f>
        <v>0</v>
      </c>
      <c r="U1109" s="36">
        <f>COUNTIF(Tabla1[[#This Row],[VEHICULOS_ACCIDENTADOS]:[VEHICULOS_ACCIDENTADOS2]],"CAMPERO")</f>
        <v>0</v>
      </c>
      <c r="V1109" s="36">
        <f>COUNTIF(Tabla1[[#This Row],[VEHICULOS_ACCIDENTADOS]:[VEHICULOS_ACCIDENTADOS2]],"CAMIONETA")</f>
        <v>0</v>
      </c>
      <c r="W1109" s="36">
        <f>COUNTIF(Tabla1[[#This Row],[VEHICULOS_ACCIDENTADOS]:[VEHICULOS_ACCIDENTADOS2]],"MICROBUS")</f>
        <v>0</v>
      </c>
      <c r="X1109" s="36">
        <f>COUNTIF(Tabla1[[#This Row],[VEHICULOS_ACCIDENTADOS]:[VEHICULOS_ACCIDENTADOS2]],"BUS")</f>
        <v>0</v>
      </c>
      <c r="Y1109" s="36">
        <f>COUNTIF(Tabla1[[#This Row],[VEHICULOS_ACCIDENTADOS]:[VEHICULOS_ACCIDENTADOS2]],"BUSETA")</f>
        <v>0</v>
      </c>
      <c r="Z1109" s="36">
        <f>COUNTIF(Tabla1[[#This Row],[VEHICULOS_ACCIDENTADOS]:[VEHICULOS_ACCIDENTADOS2]],"CAMION")</f>
        <v>0</v>
      </c>
      <c r="AA1109" s="36">
        <f>COUNTIF(Tabla1[[#This Row],[VEHICULOS_ACCIDENTADOS]:[VEHICULOS_ACCIDENTADOS2]],"TRACTOCAMION")</f>
        <v>0</v>
      </c>
      <c r="AB1109" s="36">
        <f>COUNTIF(Tabla1[[#This Row],[VEHICULOS_ACCIDENTADOS]:[VEHICULOS_ACCIDENTADOS2]],"VOLQUETA")</f>
        <v>0</v>
      </c>
      <c r="AC1109" s="36">
        <f>COUNTIF(Tabla1[[#This Row],[VEHICULOS_ACCIDENTADOS]:[VEHICULOS_ACCIDENTADOS2]],"BICICLETA")</f>
        <v>1</v>
      </c>
      <c r="AD1109" s="9" t="s">
        <v>471</v>
      </c>
      <c r="AE1109" s="9"/>
      <c r="AF1109" s="9">
        <f>COUNTIF(Tabla1[[#This Row],[GENERO_MASCULINO]:[GENERO_FEMENINO]],"MASCULINO")</f>
        <v>1</v>
      </c>
      <c r="AG1109" s="36">
        <f>COUNTIF(Tabla1[[#This Row],[GENERO_MASCULINO]:[GENERO_FEMENINO]],"FEMENINO")</f>
        <v>0</v>
      </c>
      <c r="AH1109" s="90">
        <v>68</v>
      </c>
      <c r="AI1109" s="90"/>
      <c r="AJ1109" s="90"/>
      <c r="AK1109" s="75"/>
      <c r="AL1109" s="75"/>
      <c r="AM1109" s="9"/>
      <c r="AN1109" s="75">
        <v>157</v>
      </c>
      <c r="AO1109" s="9" t="str">
        <f>IFERROR(((VLOOKUP(Tabla1[[#This Row],[HIPOTESIS_1]],listas!$D$1:$E$105,2,FALSE))),"SIN INFORMACIÓN")</f>
        <v>Otra</v>
      </c>
      <c r="AP1109" s="9"/>
      <c r="AQ1109" s="13" t="str">
        <f>IFERROR(((VLOOKUP(Tabla1[[#This Row],[HIPOTESIS_2]],listas!$D$1:$E$105,2,FALSE))),"")</f>
        <v/>
      </c>
      <c r="AR1109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110" spans="1:44" s="5" customFormat="1" x14ac:dyDescent="0.25">
      <c r="A1110" s="12">
        <v>1045</v>
      </c>
      <c r="B1110" s="76">
        <v>0</v>
      </c>
      <c r="C1110" s="76">
        <v>0</v>
      </c>
      <c r="D1110" s="76">
        <v>1</v>
      </c>
      <c r="E1110" s="151" t="str">
        <f t="shared" si="68"/>
        <v>FALLECIDO</v>
      </c>
      <c r="F1110" s="76" t="s">
        <v>676</v>
      </c>
      <c r="G1110" s="74">
        <v>5.342549</v>
      </c>
      <c r="H1110" s="74">
        <v>-72.350836000000001</v>
      </c>
      <c r="I1110" s="159" t="s">
        <v>697</v>
      </c>
      <c r="J1110" s="9" t="s">
        <v>1</v>
      </c>
      <c r="K1110" s="76" t="str">
        <f t="shared" si="69"/>
        <v>2025</v>
      </c>
      <c r="L1110" s="76" t="str">
        <f t="shared" si="70"/>
        <v>AGOSTO</v>
      </c>
      <c r="M1110" s="239">
        <v>45887</v>
      </c>
      <c r="N1110" s="76" t="str">
        <f t="shared" si="71"/>
        <v>LUNES</v>
      </c>
      <c r="O1110" s="111">
        <v>0.22569444444444445</v>
      </c>
      <c r="P1110" s="96" t="s">
        <v>469</v>
      </c>
      <c r="Q1110" s="96"/>
      <c r="R1110" s="36">
        <f>COUNTIF(Tabla1[[#This Row],[VEHICULOS_ACCIDENTADOS]:[VEHICULOS_ACCIDENTADOS2]],"MOTOCICLETA")</f>
        <v>1</v>
      </c>
      <c r="S1110" s="36">
        <f>COUNTIF(Tabla1[[#This Row],[VEHICULOS_ACCIDENTADOS]:[VEHICULOS_ACCIDENTADOS2]],"MOTOCARRO")</f>
        <v>0</v>
      </c>
      <c r="T1110" s="36">
        <f>COUNTIF(Tabla1[[#This Row],[VEHICULOS_ACCIDENTADOS]:[VEHICULOS_ACCIDENTADOS2]],"AUTOMOVIL")</f>
        <v>0</v>
      </c>
      <c r="U1110" s="36">
        <f>COUNTIF(Tabla1[[#This Row],[VEHICULOS_ACCIDENTADOS]:[VEHICULOS_ACCIDENTADOS2]],"CAMPERO")</f>
        <v>0</v>
      </c>
      <c r="V1110" s="36">
        <f>COUNTIF(Tabla1[[#This Row],[VEHICULOS_ACCIDENTADOS]:[VEHICULOS_ACCIDENTADOS2]],"CAMIONETA")</f>
        <v>0</v>
      </c>
      <c r="W1110" s="36">
        <f>COUNTIF(Tabla1[[#This Row],[VEHICULOS_ACCIDENTADOS]:[VEHICULOS_ACCIDENTADOS2]],"MICROBUS")</f>
        <v>0</v>
      </c>
      <c r="X1110" s="36">
        <f>COUNTIF(Tabla1[[#This Row],[VEHICULOS_ACCIDENTADOS]:[VEHICULOS_ACCIDENTADOS2]],"BUS")</f>
        <v>0</v>
      </c>
      <c r="Y1110" s="36">
        <f>COUNTIF(Tabla1[[#This Row],[VEHICULOS_ACCIDENTADOS]:[VEHICULOS_ACCIDENTADOS2]],"BUSETA")</f>
        <v>0</v>
      </c>
      <c r="Z1110" s="36">
        <f>COUNTIF(Tabla1[[#This Row],[VEHICULOS_ACCIDENTADOS]:[VEHICULOS_ACCIDENTADOS2]],"CAMION")</f>
        <v>0</v>
      </c>
      <c r="AA1110" s="36">
        <f>COUNTIF(Tabla1[[#This Row],[VEHICULOS_ACCIDENTADOS]:[VEHICULOS_ACCIDENTADOS2]],"TRACTOCAMION")</f>
        <v>0</v>
      </c>
      <c r="AB1110" s="36">
        <f>COUNTIF(Tabla1[[#This Row],[VEHICULOS_ACCIDENTADOS]:[VEHICULOS_ACCIDENTADOS2]],"VOLQUETA")</f>
        <v>0</v>
      </c>
      <c r="AC1110" s="36">
        <f>COUNTIF(Tabla1[[#This Row],[VEHICULOS_ACCIDENTADOS]:[VEHICULOS_ACCIDENTADOS2]],"BICICLETA")</f>
        <v>0</v>
      </c>
      <c r="AD1110" s="75" t="s">
        <v>471</v>
      </c>
      <c r="AE1110" s="75"/>
      <c r="AF1110" s="9">
        <f>COUNTIF(Tabla1[[#This Row],[GENERO_MASCULINO]:[GENERO_FEMENINO]],"MASCULINO")</f>
        <v>1</v>
      </c>
      <c r="AG1110" s="36">
        <f>COUNTIF(Tabla1[[#This Row],[GENERO_MASCULINO]:[GENERO_FEMENINO]],"FEMENINO")</f>
        <v>0</v>
      </c>
      <c r="AH1110" s="90">
        <v>40</v>
      </c>
      <c r="AI1110" s="90"/>
      <c r="AJ1110" s="90"/>
      <c r="AK1110" s="91"/>
      <c r="AL1110" s="91"/>
      <c r="AM1110" s="10"/>
      <c r="AN1110" s="261">
        <v>139</v>
      </c>
      <c r="AO1110" s="10" t="str">
        <f>IFERROR(((VLOOKUP(Tabla1[[#This Row],[HIPOTESIS_1]],listas!$D$1:$E$105,2,FALSE))),"SIN INFORMACIÓN")</f>
        <v>Impericia en el manejo.</v>
      </c>
      <c r="AP1110" s="9"/>
      <c r="AQ1110" s="13" t="str">
        <f>IFERROR(((VLOOKUP(Tabla1[[#This Row],[HIPOTESIS_2]],listas!$D$1:$E$105,2,FALSE))),"")</f>
        <v/>
      </c>
      <c r="AR1110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111" spans="1:44" s="5" customFormat="1" x14ac:dyDescent="0.25">
      <c r="A1111" s="12">
        <v>385</v>
      </c>
      <c r="B1111" s="9">
        <v>0</v>
      </c>
      <c r="C1111" s="9">
        <v>0</v>
      </c>
      <c r="D1111" s="9">
        <v>2</v>
      </c>
      <c r="E1111" s="151" t="str">
        <f t="shared" si="68"/>
        <v>FALLECIDO</v>
      </c>
      <c r="F1111" s="9" t="s">
        <v>292</v>
      </c>
      <c r="G1111" s="160">
        <v>5.4537000000000004</v>
      </c>
      <c r="H1111" s="160">
        <v>-72.255555999999999</v>
      </c>
      <c r="I1111" s="160" t="s">
        <v>662</v>
      </c>
      <c r="J1111" s="9" t="s">
        <v>1</v>
      </c>
      <c r="K1111" s="76" t="str">
        <f t="shared" si="69"/>
        <v>2022</v>
      </c>
      <c r="L1111" s="76" t="str">
        <f t="shared" si="70"/>
        <v>ENERO</v>
      </c>
      <c r="M1111" s="239">
        <v>44566</v>
      </c>
      <c r="N1111" s="76" t="str">
        <f t="shared" si="71"/>
        <v>MIÉRCOLES</v>
      </c>
      <c r="O1111" s="111">
        <v>0.34236111111111112</v>
      </c>
      <c r="P1111" s="35" t="s">
        <v>469</v>
      </c>
      <c r="Q1111" s="35" t="s">
        <v>438</v>
      </c>
      <c r="R1111" s="36">
        <f>COUNTIF(Tabla1[[#This Row],[VEHICULOS_ACCIDENTADOS]:[VEHICULOS_ACCIDENTADOS2]],"MOTOCICLETA")</f>
        <v>1</v>
      </c>
      <c r="S1111" s="36">
        <f>COUNTIF(Tabla1[[#This Row],[VEHICULOS_ACCIDENTADOS]:[VEHICULOS_ACCIDENTADOS2]],"MOTOCARRO")</f>
        <v>0</v>
      </c>
      <c r="T1111" s="36">
        <f>COUNTIF(Tabla1[[#This Row],[VEHICULOS_ACCIDENTADOS]:[VEHICULOS_ACCIDENTADOS2]],"AUTOMOVIL")</f>
        <v>0</v>
      </c>
      <c r="U1111" s="36">
        <f>COUNTIF(Tabla1[[#This Row],[VEHICULOS_ACCIDENTADOS]:[VEHICULOS_ACCIDENTADOS2]],"CAMPERO")</f>
        <v>0</v>
      </c>
      <c r="V1111" s="36">
        <f>COUNTIF(Tabla1[[#This Row],[VEHICULOS_ACCIDENTADOS]:[VEHICULOS_ACCIDENTADOS2]],"CAMIONETA")</f>
        <v>0</v>
      </c>
      <c r="W1111" s="36">
        <f>COUNTIF(Tabla1[[#This Row],[VEHICULOS_ACCIDENTADOS]:[VEHICULOS_ACCIDENTADOS2]],"MICROBUS")</f>
        <v>0</v>
      </c>
      <c r="X1111" s="36">
        <f>COUNTIF(Tabla1[[#This Row],[VEHICULOS_ACCIDENTADOS]:[VEHICULOS_ACCIDENTADOS2]],"BUS")</f>
        <v>0</v>
      </c>
      <c r="Y1111" s="36">
        <f>COUNTIF(Tabla1[[#This Row],[VEHICULOS_ACCIDENTADOS]:[VEHICULOS_ACCIDENTADOS2]],"BUSETA")</f>
        <v>0</v>
      </c>
      <c r="Z1111" s="36">
        <f>COUNTIF(Tabla1[[#This Row],[VEHICULOS_ACCIDENTADOS]:[VEHICULOS_ACCIDENTADOS2]],"CAMION")</f>
        <v>0</v>
      </c>
      <c r="AA1111" s="36">
        <f>COUNTIF(Tabla1[[#This Row],[VEHICULOS_ACCIDENTADOS]:[VEHICULOS_ACCIDENTADOS2]],"TRACTOCAMION")</f>
        <v>0</v>
      </c>
      <c r="AB1111" s="36">
        <f>COUNTIF(Tabla1[[#This Row],[VEHICULOS_ACCIDENTADOS]:[VEHICULOS_ACCIDENTADOS2]],"VOLQUETA")</f>
        <v>0</v>
      </c>
      <c r="AC1111" s="36">
        <f>COUNTIF(Tabla1[[#This Row],[VEHICULOS_ACCIDENTADOS]:[VEHICULOS_ACCIDENTADOS2]],"BICICLETA")</f>
        <v>1</v>
      </c>
      <c r="AD1111" s="9" t="s">
        <v>471</v>
      </c>
      <c r="AE1111" s="9" t="s">
        <v>472</v>
      </c>
      <c r="AF1111" s="9">
        <f>COUNTIF(Tabla1[[#This Row],[GENERO_MASCULINO]:[GENERO_FEMENINO]],"MASCULINO")</f>
        <v>1</v>
      </c>
      <c r="AG1111" s="36">
        <f>COUNTIF(Tabla1[[#This Row],[GENERO_MASCULINO]:[GENERO_FEMENINO]],"FEMENINO")</f>
        <v>1</v>
      </c>
      <c r="AH1111" s="75"/>
      <c r="AI1111" s="75"/>
      <c r="AJ1111" s="75"/>
      <c r="AK1111" s="75"/>
      <c r="AL1111" s="75"/>
      <c r="AM1111" s="9"/>
      <c r="AN1111" s="75">
        <v>1</v>
      </c>
      <c r="AO1111" s="9" t="str">
        <f>IFERROR(((VLOOKUP(Tabla1[[#This Row],[HIPOTESIS_1]],listas!$D$1:$E$105,2,FALSE))),"SIN INFORMACIÓN")</f>
        <v>SIN INFORMACIÓN</v>
      </c>
      <c r="AP1111" s="9"/>
      <c r="AQ1111" s="13" t="str">
        <f>IFERROR(((VLOOKUP(Tabla1[[#This Row],[HIPOTESIS_2]],listas!$D$1:$E$105,2,FALSE))),"")</f>
        <v/>
      </c>
      <c r="AR1111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112" spans="1:44" s="5" customFormat="1" x14ac:dyDescent="0.25">
      <c r="A1112" s="12">
        <v>730</v>
      </c>
      <c r="B1112" s="9">
        <v>0</v>
      </c>
      <c r="C1112" s="9">
        <v>0</v>
      </c>
      <c r="D1112" s="145">
        <v>1</v>
      </c>
      <c r="E1112" s="151" t="str">
        <f t="shared" si="68"/>
        <v>FALLECIDO</v>
      </c>
      <c r="F1112" s="9" t="s">
        <v>784</v>
      </c>
      <c r="G1112" s="160">
        <v>5.2247816666666669</v>
      </c>
      <c r="H1112" s="160">
        <v>-72.101722222222222</v>
      </c>
      <c r="I1112" s="159" t="s">
        <v>697</v>
      </c>
      <c r="J1112" s="14" t="s">
        <v>717</v>
      </c>
      <c r="K1112" s="76" t="str">
        <f t="shared" si="69"/>
        <v>2024</v>
      </c>
      <c r="L1112" s="76" t="str">
        <f t="shared" si="70"/>
        <v>JUNIO</v>
      </c>
      <c r="M1112" s="239">
        <v>45459</v>
      </c>
      <c r="N1112" s="76" t="str">
        <f t="shared" si="71"/>
        <v>DOMINGO</v>
      </c>
      <c r="O1112" s="111">
        <v>0.97222222222222221</v>
      </c>
      <c r="P1112" s="35" t="s">
        <v>469</v>
      </c>
      <c r="Q1112" s="35"/>
      <c r="R1112" s="36">
        <f>COUNTIF(Tabla1[[#This Row],[VEHICULOS_ACCIDENTADOS]:[VEHICULOS_ACCIDENTADOS2]],"MOTOCICLETA")</f>
        <v>1</v>
      </c>
      <c r="S1112" s="36">
        <f>COUNTIF(Tabla1[[#This Row],[VEHICULOS_ACCIDENTADOS]:[VEHICULOS_ACCIDENTADOS2]],"MOTOCARRO")</f>
        <v>0</v>
      </c>
      <c r="T1112" s="36">
        <f>COUNTIF(Tabla1[[#This Row],[VEHICULOS_ACCIDENTADOS]:[VEHICULOS_ACCIDENTADOS2]],"AUTOMOVIL")</f>
        <v>0</v>
      </c>
      <c r="U1112" s="36">
        <f>COUNTIF(Tabla1[[#This Row],[VEHICULOS_ACCIDENTADOS]:[VEHICULOS_ACCIDENTADOS2]],"CAMPERO")</f>
        <v>0</v>
      </c>
      <c r="V1112" s="36">
        <f>COUNTIF(Tabla1[[#This Row],[VEHICULOS_ACCIDENTADOS]:[VEHICULOS_ACCIDENTADOS2]],"CAMIONETA")</f>
        <v>0</v>
      </c>
      <c r="W1112" s="36">
        <f>COUNTIF(Tabla1[[#This Row],[VEHICULOS_ACCIDENTADOS]:[VEHICULOS_ACCIDENTADOS2]],"MICROBUS")</f>
        <v>0</v>
      </c>
      <c r="X1112" s="36">
        <f>COUNTIF(Tabla1[[#This Row],[VEHICULOS_ACCIDENTADOS]:[VEHICULOS_ACCIDENTADOS2]],"BUS")</f>
        <v>0</v>
      </c>
      <c r="Y1112" s="36">
        <f>COUNTIF(Tabla1[[#This Row],[VEHICULOS_ACCIDENTADOS]:[VEHICULOS_ACCIDENTADOS2]],"BUSETA")</f>
        <v>0</v>
      </c>
      <c r="Z1112" s="36">
        <f>COUNTIF(Tabla1[[#This Row],[VEHICULOS_ACCIDENTADOS]:[VEHICULOS_ACCIDENTADOS2]],"CAMION")</f>
        <v>0</v>
      </c>
      <c r="AA1112" s="36">
        <f>COUNTIF(Tabla1[[#This Row],[VEHICULOS_ACCIDENTADOS]:[VEHICULOS_ACCIDENTADOS2]],"TRACTOCAMION")</f>
        <v>0</v>
      </c>
      <c r="AB1112" s="36">
        <f>COUNTIF(Tabla1[[#This Row],[VEHICULOS_ACCIDENTADOS]:[VEHICULOS_ACCIDENTADOS2]],"VOLQUETA")</f>
        <v>0</v>
      </c>
      <c r="AC1112" s="36">
        <f>COUNTIF(Tabla1[[#This Row],[VEHICULOS_ACCIDENTADOS]:[VEHICULOS_ACCIDENTADOS2]],"BICICLETA")</f>
        <v>0</v>
      </c>
      <c r="AD1112" s="9" t="s">
        <v>471</v>
      </c>
      <c r="AE1112" s="9"/>
      <c r="AF1112" s="9">
        <f>COUNTIF(Tabla1[[#This Row],[GENERO_MASCULINO]:[GENERO_FEMENINO]],"MASCULINO")</f>
        <v>1</v>
      </c>
      <c r="AG1112" s="36">
        <f>COUNTIF(Tabla1[[#This Row],[GENERO_MASCULINO]:[GENERO_FEMENINO]],"FEMENINO")</f>
        <v>0</v>
      </c>
      <c r="AH1112" s="75"/>
      <c r="AI1112" s="75"/>
      <c r="AJ1112" s="75"/>
      <c r="AK1112" s="75"/>
      <c r="AL1112" s="75"/>
      <c r="AM1112" s="9">
        <v>50</v>
      </c>
      <c r="AN1112" s="75">
        <v>157</v>
      </c>
      <c r="AO1112" s="9" t="str">
        <f>IFERROR(((VLOOKUP(Tabla1[[#This Row],[HIPOTESIS_1]],listas!$D$1:$E$105,2,FALSE))),"SIN INFORMACIÓN")</f>
        <v>Otra</v>
      </c>
      <c r="AP1112" s="9"/>
      <c r="AQ1112" s="13" t="str">
        <f>IFERROR(((VLOOKUP(Tabla1[[#This Row],[HIPOTESIS_2]],listas!$D$1:$E$105,2,FALSE))),"")</f>
        <v/>
      </c>
      <c r="AR1112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113" spans="1:44" s="5" customFormat="1" ht="13.8" customHeight="1" x14ac:dyDescent="0.25">
      <c r="A1113" s="12">
        <v>880</v>
      </c>
      <c r="B1113" s="242">
        <v>0</v>
      </c>
      <c r="C1113" s="242">
        <v>0</v>
      </c>
      <c r="D1113" s="76">
        <v>1</v>
      </c>
      <c r="E1113" s="76" t="str">
        <f t="shared" si="68"/>
        <v>FALLECIDO</v>
      </c>
      <c r="F1113" s="147" t="s">
        <v>703</v>
      </c>
      <c r="G1113" s="160">
        <v>5.3201159999999996</v>
      </c>
      <c r="H1113" s="160">
        <v>-72.276144000000002</v>
      </c>
      <c r="I1113" s="160" t="s">
        <v>662</v>
      </c>
      <c r="J1113" s="213" t="s">
        <v>1</v>
      </c>
      <c r="K1113" s="76" t="str">
        <f t="shared" si="69"/>
        <v>2025</v>
      </c>
      <c r="L1113" s="76" t="str">
        <f t="shared" si="70"/>
        <v>FEBRERO</v>
      </c>
      <c r="M1113" s="241">
        <v>45709</v>
      </c>
      <c r="N1113" s="76" t="str">
        <f t="shared" si="71"/>
        <v>VIERNES</v>
      </c>
      <c r="O1113" s="173">
        <v>0.38541666666666669</v>
      </c>
      <c r="P1113" s="179" t="s">
        <v>469</v>
      </c>
      <c r="Q1113" s="96"/>
      <c r="R1113" s="36">
        <f>COUNTIF(Tabla1[[#This Row],[VEHICULOS_ACCIDENTADOS]:[VEHICULOS_ACCIDENTADOS2]],"MOTOCICLETA")</f>
        <v>1</v>
      </c>
      <c r="S1113" s="36">
        <f>COUNTIF(Tabla1[[#This Row],[VEHICULOS_ACCIDENTADOS]:[VEHICULOS_ACCIDENTADOS2]],"MOTOCARRO")</f>
        <v>0</v>
      </c>
      <c r="T1113" s="36">
        <f>COUNTIF(Tabla1[[#This Row],[VEHICULOS_ACCIDENTADOS]:[VEHICULOS_ACCIDENTADOS2]],"AUTOMOVIL")</f>
        <v>0</v>
      </c>
      <c r="U1113" s="36">
        <f>COUNTIF(Tabla1[[#This Row],[VEHICULOS_ACCIDENTADOS]:[VEHICULOS_ACCIDENTADOS2]],"CAMPERO")</f>
        <v>0</v>
      </c>
      <c r="V1113" s="36">
        <f>COUNTIF(Tabla1[[#This Row],[VEHICULOS_ACCIDENTADOS]:[VEHICULOS_ACCIDENTADOS2]],"CAMIONETA")</f>
        <v>0</v>
      </c>
      <c r="W1113" s="36">
        <f>COUNTIF(Tabla1[[#This Row],[VEHICULOS_ACCIDENTADOS]:[VEHICULOS_ACCIDENTADOS2]],"MICROBUS")</f>
        <v>0</v>
      </c>
      <c r="X1113" s="36">
        <f>COUNTIF(Tabla1[[#This Row],[VEHICULOS_ACCIDENTADOS]:[VEHICULOS_ACCIDENTADOS2]],"BUS")</f>
        <v>0</v>
      </c>
      <c r="Y1113" s="36">
        <f>COUNTIF(Tabla1[[#This Row],[VEHICULOS_ACCIDENTADOS]:[VEHICULOS_ACCIDENTADOS2]],"BUSETA")</f>
        <v>0</v>
      </c>
      <c r="Z1113" s="36">
        <f>COUNTIF(Tabla1[[#This Row],[VEHICULOS_ACCIDENTADOS]:[VEHICULOS_ACCIDENTADOS2]],"CAMION")</f>
        <v>0</v>
      </c>
      <c r="AA1113" s="36">
        <f>COUNTIF(Tabla1[[#This Row],[VEHICULOS_ACCIDENTADOS]:[VEHICULOS_ACCIDENTADOS2]],"TRACTOCAMION")</f>
        <v>0</v>
      </c>
      <c r="AB1113" s="36">
        <f>COUNTIF(Tabla1[[#This Row],[VEHICULOS_ACCIDENTADOS]:[VEHICULOS_ACCIDENTADOS2]],"VOLQUETA")</f>
        <v>0</v>
      </c>
      <c r="AC1113" s="36">
        <f>COUNTIF(Tabla1[[#This Row],[VEHICULOS_ACCIDENTADOS]:[VEHICULOS_ACCIDENTADOS2]],"BICICLETA")</f>
        <v>0</v>
      </c>
      <c r="AD1113" s="9"/>
      <c r="AE1113" s="9"/>
      <c r="AF1113" s="9">
        <f>COUNTIF(Tabla1[[#This Row],[GENERO_MASCULINO]:[GENERO_FEMENINO]],"MASCULINO")</f>
        <v>0</v>
      </c>
      <c r="AG1113" s="36">
        <f>COUNTIF(Tabla1[[#This Row],[GENERO_MASCULINO]:[GENERO_FEMENINO]],"FEMENINO")</f>
        <v>0</v>
      </c>
      <c r="AH1113" s="90"/>
      <c r="AI1113" s="90"/>
      <c r="AJ1113" s="90"/>
      <c r="AK1113" s="90"/>
      <c r="AL1113" s="90"/>
      <c r="AM1113" s="14"/>
      <c r="AN1113" s="90">
        <v>139</v>
      </c>
      <c r="AO1113" s="9" t="str">
        <f>IFERROR(((VLOOKUP(Tabla1[[#This Row],[HIPOTESIS_1]],listas!$D$1:$E$105,2,FALSE))),"SIN INFORMACIÓN")</f>
        <v>Impericia en el manejo.</v>
      </c>
      <c r="AP1113" s="14"/>
      <c r="AQ1113" s="13" t="str">
        <f>IFERROR(((VLOOKUP(Tabla1[[#This Row],[HIPOTESIS_2]],listas!$D$1:$E$105,2,FALSE))),"")</f>
        <v/>
      </c>
      <c r="AR1113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114" spans="1:44" s="5" customFormat="1" x14ac:dyDescent="0.25">
      <c r="A1114" s="12">
        <v>889</v>
      </c>
      <c r="B1114" s="147">
        <v>0</v>
      </c>
      <c r="C1114" s="209">
        <v>0</v>
      </c>
      <c r="D1114" s="147">
        <v>1</v>
      </c>
      <c r="E1114" s="151" t="str">
        <f t="shared" si="68"/>
        <v>FALLECIDO</v>
      </c>
      <c r="F1114" s="147" t="s">
        <v>65</v>
      </c>
      <c r="G1114" s="213">
        <v>5.3370309999999996</v>
      </c>
      <c r="H1114" s="213">
        <v>-72.347932999999998</v>
      </c>
      <c r="I1114" s="213" t="s">
        <v>662</v>
      </c>
      <c r="J1114" s="213" t="s">
        <v>1</v>
      </c>
      <c r="K1114" s="76" t="str">
        <f t="shared" si="69"/>
        <v>2025</v>
      </c>
      <c r="L1114" s="76" t="str">
        <f t="shared" si="70"/>
        <v>MARZO</v>
      </c>
      <c r="M1114" s="240">
        <v>45717</v>
      </c>
      <c r="N1114" s="76" t="str">
        <f t="shared" si="71"/>
        <v>SÁBADO</v>
      </c>
      <c r="O1114" s="173">
        <v>0.33680555555555558</v>
      </c>
      <c r="P1114" s="96" t="s">
        <v>469</v>
      </c>
      <c r="Q1114" s="96"/>
      <c r="R1114" s="36">
        <f>COUNTIF(Tabla1[[#This Row],[VEHICULOS_ACCIDENTADOS]:[VEHICULOS_ACCIDENTADOS2]],"MOTOCICLETA")</f>
        <v>1</v>
      </c>
      <c r="S1114" s="36">
        <f>COUNTIF(Tabla1[[#This Row],[VEHICULOS_ACCIDENTADOS]:[VEHICULOS_ACCIDENTADOS2]],"MOTOCARRO")</f>
        <v>0</v>
      </c>
      <c r="T1114" s="36">
        <f>COUNTIF(Tabla1[[#This Row],[VEHICULOS_ACCIDENTADOS]:[VEHICULOS_ACCIDENTADOS2]],"AUTOMOVIL")</f>
        <v>0</v>
      </c>
      <c r="U1114" s="36">
        <f>COUNTIF(Tabla1[[#This Row],[VEHICULOS_ACCIDENTADOS]:[VEHICULOS_ACCIDENTADOS2]],"CAMPERO")</f>
        <v>0</v>
      </c>
      <c r="V1114" s="36">
        <f>COUNTIF(Tabla1[[#This Row],[VEHICULOS_ACCIDENTADOS]:[VEHICULOS_ACCIDENTADOS2]],"CAMIONETA")</f>
        <v>0</v>
      </c>
      <c r="W1114" s="36">
        <f>COUNTIF(Tabla1[[#This Row],[VEHICULOS_ACCIDENTADOS]:[VEHICULOS_ACCIDENTADOS2]],"MICROBUS")</f>
        <v>0</v>
      </c>
      <c r="X1114" s="36">
        <f>COUNTIF(Tabla1[[#This Row],[VEHICULOS_ACCIDENTADOS]:[VEHICULOS_ACCIDENTADOS2]],"BUS")</f>
        <v>0</v>
      </c>
      <c r="Y1114" s="36">
        <f>COUNTIF(Tabla1[[#This Row],[VEHICULOS_ACCIDENTADOS]:[VEHICULOS_ACCIDENTADOS2]],"BUSETA")</f>
        <v>0</v>
      </c>
      <c r="Z1114" s="36">
        <f>COUNTIF(Tabla1[[#This Row],[VEHICULOS_ACCIDENTADOS]:[VEHICULOS_ACCIDENTADOS2]],"CAMION")</f>
        <v>0</v>
      </c>
      <c r="AA1114" s="36">
        <f>COUNTIF(Tabla1[[#This Row],[VEHICULOS_ACCIDENTADOS]:[VEHICULOS_ACCIDENTADOS2]],"TRACTOCAMION")</f>
        <v>0</v>
      </c>
      <c r="AB1114" s="36">
        <f>COUNTIF(Tabla1[[#This Row],[VEHICULOS_ACCIDENTADOS]:[VEHICULOS_ACCIDENTADOS2]],"VOLQUETA")</f>
        <v>0</v>
      </c>
      <c r="AC1114" s="36">
        <f>COUNTIF(Tabla1[[#This Row],[VEHICULOS_ACCIDENTADOS]:[VEHICULOS_ACCIDENTADOS2]],"BICICLETA")</f>
        <v>0</v>
      </c>
      <c r="AD1114" s="9"/>
      <c r="AE1114" s="9"/>
      <c r="AF1114" s="9">
        <f>COUNTIF(Tabla1[[#This Row],[GENERO_MASCULINO]:[GENERO_FEMENINO]],"MASCULINO")</f>
        <v>0</v>
      </c>
      <c r="AG1114" s="36">
        <f>COUNTIF(Tabla1[[#This Row],[GENERO_MASCULINO]:[GENERO_FEMENINO]],"FEMENINO")</f>
        <v>0</v>
      </c>
      <c r="AH1114" s="90"/>
      <c r="AI1114" s="90"/>
      <c r="AJ1114" s="90"/>
      <c r="AK1114" s="90"/>
      <c r="AL1114" s="90"/>
      <c r="AM1114" s="14"/>
      <c r="AN1114" s="90">
        <v>139</v>
      </c>
      <c r="AO1114" s="9" t="str">
        <f>IFERROR(((VLOOKUP(Tabla1[[#This Row],[HIPOTESIS_1]],listas!$D$1:$E$105,2,FALSE))),"SIN INFORMACIÓN")</f>
        <v>Impericia en el manejo.</v>
      </c>
      <c r="AP1114" s="14"/>
      <c r="AQ1114" s="13" t="str">
        <f>IFERROR(((VLOOKUP(Tabla1[[#This Row],[HIPOTESIS_2]],listas!$D$1:$E$105,2,FALSE))),"")</f>
        <v/>
      </c>
      <c r="AR1114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115" spans="1:44" s="5" customFormat="1" x14ac:dyDescent="0.25">
      <c r="A1115" s="12">
        <v>888</v>
      </c>
      <c r="B1115" s="147">
        <v>0</v>
      </c>
      <c r="C1115" s="209">
        <v>0</v>
      </c>
      <c r="D1115" s="147">
        <v>1</v>
      </c>
      <c r="E1115" s="151" t="str">
        <f t="shared" si="68"/>
        <v>FALLECIDO</v>
      </c>
      <c r="F1115" s="147" t="s">
        <v>66</v>
      </c>
      <c r="G1115" s="213">
        <v>5.351057</v>
      </c>
      <c r="H1115" s="213">
        <v>-72.375328999999994</v>
      </c>
      <c r="I1115" s="213" t="s">
        <v>662</v>
      </c>
      <c r="J1115" s="213" t="s">
        <v>1</v>
      </c>
      <c r="K1115" s="76" t="str">
        <f t="shared" si="69"/>
        <v>2025</v>
      </c>
      <c r="L1115" s="76" t="str">
        <f t="shared" si="70"/>
        <v>MARZO</v>
      </c>
      <c r="M1115" s="240">
        <v>45717</v>
      </c>
      <c r="N1115" s="76" t="str">
        <f t="shared" si="71"/>
        <v>SÁBADO</v>
      </c>
      <c r="O1115" s="173">
        <v>8.3333333333333329E-2</v>
      </c>
      <c r="P1115" s="96" t="s">
        <v>469</v>
      </c>
      <c r="Q1115" s="96"/>
      <c r="R1115" s="36">
        <f>COUNTIF(Tabla1[[#This Row],[VEHICULOS_ACCIDENTADOS]:[VEHICULOS_ACCIDENTADOS2]],"MOTOCICLETA")</f>
        <v>1</v>
      </c>
      <c r="S1115" s="36">
        <f>COUNTIF(Tabla1[[#This Row],[VEHICULOS_ACCIDENTADOS]:[VEHICULOS_ACCIDENTADOS2]],"MOTOCARRO")</f>
        <v>0</v>
      </c>
      <c r="T1115" s="36">
        <f>COUNTIF(Tabla1[[#This Row],[VEHICULOS_ACCIDENTADOS]:[VEHICULOS_ACCIDENTADOS2]],"AUTOMOVIL")</f>
        <v>0</v>
      </c>
      <c r="U1115" s="36">
        <f>COUNTIF(Tabla1[[#This Row],[VEHICULOS_ACCIDENTADOS]:[VEHICULOS_ACCIDENTADOS2]],"CAMPERO")</f>
        <v>0</v>
      </c>
      <c r="V1115" s="36">
        <f>COUNTIF(Tabla1[[#This Row],[VEHICULOS_ACCIDENTADOS]:[VEHICULOS_ACCIDENTADOS2]],"CAMIONETA")</f>
        <v>0</v>
      </c>
      <c r="W1115" s="36">
        <f>COUNTIF(Tabla1[[#This Row],[VEHICULOS_ACCIDENTADOS]:[VEHICULOS_ACCIDENTADOS2]],"MICROBUS")</f>
        <v>0</v>
      </c>
      <c r="X1115" s="36">
        <f>COUNTIF(Tabla1[[#This Row],[VEHICULOS_ACCIDENTADOS]:[VEHICULOS_ACCIDENTADOS2]],"BUS")</f>
        <v>0</v>
      </c>
      <c r="Y1115" s="36">
        <f>COUNTIF(Tabla1[[#This Row],[VEHICULOS_ACCIDENTADOS]:[VEHICULOS_ACCIDENTADOS2]],"BUSETA")</f>
        <v>0</v>
      </c>
      <c r="Z1115" s="36">
        <f>COUNTIF(Tabla1[[#This Row],[VEHICULOS_ACCIDENTADOS]:[VEHICULOS_ACCIDENTADOS2]],"CAMION")</f>
        <v>0</v>
      </c>
      <c r="AA1115" s="36">
        <f>COUNTIF(Tabla1[[#This Row],[VEHICULOS_ACCIDENTADOS]:[VEHICULOS_ACCIDENTADOS2]],"TRACTOCAMION")</f>
        <v>0</v>
      </c>
      <c r="AB1115" s="36">
        <f>COUNTIF(Tabla1[[#This Row],[VEHICULOS_ACCIDENTADOS]:[VEHICULOS_ACCIDENTADOS2]],"VOLQUETA")</f>
        <v>0</v>
      </c>
      <c r="AC1115" s="36">
        <f>COUNTIF(Tabla1[[#This Row],[VEHICULOS_ACCIDENTADOS]:[VEHICULOS_ACCIDENTADOS2]],"BICICLETA")</f>
        <v>0</v>
      </c>
      <c r="AD1115" s="9"/>
      <c r="AE1115" s="9"/>
      <c r="AF1115" s="9">
        <f>COUNTIF(Tabla1[[#This Row],[GENERO_MASCULINO]:[GENERO_FEMENINO]],"MASCULINO")</f>
        <v>0</v>
      </c>
      <c r="AG1115" s="36">
        <f>COUNTIF(Tabla1[[#This Row],[GENERO_MASCULINO]:[GENERO_FEMENINO]],"FEMENINO")</f>
        <v>0</v>
      </c>
      <c r="AH1115" s="90"/>
      <c r="AI1115" s="90"/>
      <c r="AJ1115" s="90"/>
      <c r="AK1115" s="90"/>
      <c r="AL1115" s="90"/>
      <c r="AM1115" s="14"/>
      <c r="AN1115" s="90">
        <v>139</v>
      </c>
      <c r="AO1115" s="9" t="str">
        <f>IFERROR(((VLOOKUP(Tabla1[[#This Row],[HIPOTESIS_1]],listas!$D$1:$E$105,2,FALSE))),"SIN INFORMACIÓN")</f>
        <v>Impericia en el manejo.</v>
      </c>
      <c r="AP1115" s="14"/>
      <c r="AQ1115" s="13" t="str">
        <f>IFERROR(((VLOOKUP(Tabla1[[#This Row],[HIPOTESIS_2]],listas!$D$1:$E$105,2,FALSE))),"")</f>
        <v/>
      </c>
      <c r="AR1115" s="1" t="str">
        <f>IF(HOUR(Tabla1[[#This Row],[HORA_ACCIDENTE]])&lt;6,"MAÑANA",
 IF(HOUR(Tabla1[[#This Row],[HORA_ACCIDENTE]])&lt;12,"MAÑANA",
 IF(HOUR(Tabla1[[#This Row],[HORA_ACCIDENTE]])&lt;18,"TARDE","NOCHE")))</f>
        <v>MAÑANA</v>
      </c>
    </row>
    <row r="1116" spans="1:44" s="5" customFormat="1" x14ac:dyDescent="0.25">
      <c r="A1116" s="12">
        <v>821</v>
      </c>
      <c r="B1116" s="98">
        <v>0</v>
      </c>
      <c r="C1116" s="14">
        <v>1</v>
      </c>
      <c r="D1116" s="147">
        <v>0</v>
      </c>
      <c r="E1116" s="151" t="str">
        <f t="shared" si="68"/>
        <v>LESIONADO</v>
      </c>
      <c r="F1116" s="14" t="s">
        <v>753</v>
      </c>
      <c r="G1116" s="160">
        <v>5.0693405555555557</v>
      </c>
      <c r="H1116" s="160">
        <v>-72.17373666666667</v>
      </c>
      <c r="I1116" s="159" t="s">
        <v>697</v>
      </c>
      <c r="J1116" s="9" t="s">
        <v>717</v>
      </c>
      <c r="K1116" s="76" t="str">
        <f t="shared" si="69"/>
        <v>2024</v>
      </c>
      <c r="L1116" s="76" t="str">
        <f t="shared" si="70"/>
        <v>NOVIEMBRE</v>
      </c>
      <c r="M1116" s="241">
        <v>45620</v>
      </c>
      <c r="N1116" s="76" t="str">
        <f t="shared" si="71"/>
        <v>DOMINGO</v>
      </c>
      <c r="O1116" s="173">
        <v>0.78125</v>
      </c>
      <c r="P1116" s="179" t="s">
        <v>469</v>
      </c>
      <c r="Q1116" s="179" t="s">
        <v>447</v>
      </c>
      <c r="R1116" s="36">
        <f>COUNTIF(Tabla1[[#This Row],[VEHICULOS_ACCIDENTADOS]:[VEHICULOS_ACCIDENTADOS2]],"MOTOCICLETA")</f>
        <v>1</v>
      </c>
      <c r="S1116" s="36">
        <f>COUNTIF(Tabla1[[#This Row],[VEHICULOS_ACCIDENTADOS]:[VEHICULOS_ACCIDENTADOS2]],"MOTOCARRO")</f>
        <v>0</v>
      </c>
      <c r="T1116" s="36">
        <f>COUNTIF(Tabla1[[#This Row],[VEHICULOS_ACCIDENTADOS]:[VEHICULOS_ACCIDENTADOS2]],"AUTOMOVIL")</f>
        <v>1</v>
      </c>
      <c r="U1116" s="36">
        <f>COUNTIF(Tabla1[[#This Row],[VEHICULOS_ACCIDENTADOS]:[VEHICULOS_ACCIDENTADOS2]],"CAMPERO")</f>
        <v>0</v>
      </c>
      <c r="V1116" s="36">
        <f>COUNTIF(Tabla1[[#This Row],[VEHICULOS_ACCIDENTADOS]:[VEHICULOS_ACCIDENTADOS2]],"CAMIONETA")</f>
        <v>0</v>
      </c>
      <c r="W1116" s="36">
        <f>COUNTIF(Tabla1[[#This Row],[VEHICULOS_ACCIDENTADOS]:[VEHICULOS_ACCIDENTADOS2]],"MICROBUS")</f>
        <v>0</v>
      </c>
      <c r="X1116" s="36">
        <f>COUNTIF(Tabla1[[#This Row],[VEHICULOS_ACCIDENTADOS]:[VEHICULOS_ACCIDENTADOS2]],"BUS")</f>
        <v>0</v>
      </c>
      <c r="Y1116" s="36">
        <f>COUNTIF(Tabla1[[#This Row],[VEHICULOS_ACCIDENTADOS]:[VEHICULOS_ACCIDENTADOS2]],"BUSETA")</f>
        <v>0</v>
      </c>
      <c r="Z1116" s="36">
        <f>COUNTIF(Tabla1[[#This Row],[VEHICULOS_ACCIDENTADOS]:[VEHICULOS_ACCIDENTADOS2]],"CAMION")</f>
        <v>0</v>
      </c>
      <c r="AA1116" s="36">
        <f>COUNTIF(Tabla1[[#This Row],[VEHICULOS_ACCIDENTADOS]:[VEHICULOS_ACCIDENTADOS2]],"TRACTOCAMION")</f>
        <v>0</v>
      </c>
      <c r="AB1116" s="36">
        <f>COUNTIF(Tabla1[[#This Row],[VEHICULOS_ACCIDENTADOS]:[VEHICULOS_ACCIDENTADOS2]],"VOLQUETA")</f>
        <v>0</v>
      </c>
      <c r="AC1116" s="36">
        <f>COUNTIF(Tabla1[[#This Row],[VEHICULOS_ACCIDENTADOS]:[VEHICULOS_ACCIDENTADOS2]],"BICICLETA")</f>
        <v>0</v>
      </c>
      <c r="AD1116" s="14" t="s">
        <v>471</v>
      </c>
      <c r="AE1116" s="14" t="s">
        <v>472</v>
      </c>
      <c r="AF1116" s="14">
        <f>COUNTIF(Tabla1[[#This Row],[GENERO_MASCULINO]:[GENERO_FEMENINO]],"MASCULINO")</f>
        <v>1</v>
      </c>
      <c r="AG1116" s="36">
        <f>COUNTIF(Tabla1[[#This Row],[GENERO_MASCULINO]:[GENERO_FEMENINO]],"FEMENINO")</f>
        <v>1</v>
      </c>
      <c r="AH1116" s="90">
        <v>49</v>
      </c>
      <c r="AI1116" s="90"/>
      <c r="AJ1116" s="90"/>
      <c r="AK1116" s="90"/>
      <c r="AL1116" s="90"/>
      <c r="AM1116" s="14"/>
      <c r="AN1116" s="90">
        <v>114</v>
      </c>
      <c r="AO1116" s="9" t="str">
        <f>IFERROR(((VLOOKUP(Tabla1[[#This Row],[HIPOTESIS_1]],listas!$D$1:$E$105,2,FALSE))),"SIN INFORMACIÓN")</f>
        <v>Embriaguez aparente.</v>
      </c>
      <c r="AP1116" s="14"/>
      <c r="AQ1116" s="13" t="str">
        <f>IFERROR(((VLOOKUP(Tabla1[[#This Row],[HIPOTESIS_2]],listas!$D$1:$E$105,2,FALSE))),"")</f>
        <v/>
      </c>
      <c r="AR1116" s="1" t="str">
        <f>IF(HOUR(Tabla1[[#This Row],[HORA_ACCIDENTE]])&lt;6,"MAÑANA",
 IF(HOUR(Tabla1[[#This Row],[HORA_ACCIDENTE]])&lt;12,"MAÑANA",
 IF(HOUR(Tabla1[[#This Row],[HORA_ACCIDENTE]])&lt;18,"TARDE","NOCHE")))</f>
        <v>NOCHE</v>
      </c>
    </row>
    <row r="1117" spans="1:44" s="5" customFormat="1" x14ac:dyDescent="0.25">
      <c r="A1117" s="12">
        <v>333</v>
      </c>
      <c r="B1117" s="9">
        <v>0</v>
      </c>
      <c r="C1117" s="9">
        <v>2</v>
      </c>
      <c r="D1117" s="9">
        <v>0</v>
      </c>
      <c r="E1117" s="151" t="str">
        <f t="shared" si="68"/>
        <v>LESIONADO</v>
      </c>
      <c r="F1117" s="211" t="s">
        <v>309</v>
      </c>
      <c r="G1117" s="159">
        <v>5.3143008333333333</v>
      </c>
      <c r="H1117" s="159">
        <v>-72.426673333333341</v>
      </c>
      <c r="I1117" s="159" t="s">
        <v>697</v>
      </c>
      <c r="J1117" s="9" t="s">
        <v>1</v>
      </c>
      <c r="K1117" s="76" t="str">
        <f t="shared" si="69"/>
        <v>2022</v>
      </c>
      <c r="L1117" s="76" t="str">
        <f t="shared" si="70"/>
        <v>OCTUBRE</v>
      </c>
      <c r="M1117" s="239">
        <v>44848</v>
      </c>
      <c r="N1117" s="76" t="str">
        <f t="shared" si="71"/>
        <v>VIERNES</v>
      </c>
      <c r="O1117" s="172">
        <v>0.52083333333333304</v>
      </c>
      <c r="P1117" s="185" t="s">
        <v>469</v>
      </c>
      <c r="Q1117" s="185" t="s">
        <v>469</v>
      </c>
      <c r="R1117" s="36">
        <f>COUNTIF(Tabla1[[#This Row],[VEHICULOS_ACCIDENTADOS]:[VEHICULOS_ACCIDENTADOS2]],"MOTOCICLETA")</f>
        <v>2</v>
      </c>
      <c r="S1117" s="36">
        <f>COUNTIF(Tabla1[[#This Row],[VEHICULOS_ACCIDENTADOS]:[VEHICULOS_ACCIDENTADOS2]],"MOTOCARRO")</f>
        <v>0</v>
      </c>
      <c r="T1117" s="36">
        <f>COUNTIF(Tabla1[[#This Row],[VEHICULOS_ACCIDENTADOS]:[VEHICULOS_ACCIDENTADOS2]],"AUTOMOVIL")</f>
        <v>0</v>
      </c>
      <c r="U1117" s="36">
        <f>COUNTIF(Tabla1[[#This Row],[VEHICULOS_ACCIDENTADOS]:[VEHICULOS_ACCIDENTADOS2]],"CAMPERO")</f>
        <v>0</v>
      </c>
      <c r="V1117" s="36">
        <f>COUNTIF(Tabla1[[#This Row],[VEHICULOS_ACCIDENTADOS]:[VEHICULOS_ACCIDENTADOS2]],"CAMIONETA")</f>
        <v>0</v>
      </c>
      <c r="W1117" s="36">
        <f>COUNTIF(Tabla1[[#This Row],[VEHICULOS_ACCIDENTADOS]:[VEHICULOS_ACCIDENTADOS2]],"MICROBUS")</f>
        <v>0</v>
      </c>
      <c r="X1117" s="36">
        <f>COUNTIF(Tabla1[[#This Row],[VEHICULOS_ACCIDENTADOS]:[VEHICULOS_ACCIDENTADOS2]],"BUS")</f>
        <v>0</v>
      </c>
      <c r="Y1117" s="36">
        <f>COUNTIF(Tabla1[[#This Row],[VEHICULOS_ACCIDENTADOS]:[VEHICULOS_ACCIDENTADOS2]],"BUSETA")</f>
        <v>0</v>
      </c>
      <c r="Z1117" s="36">
        <f>COUNTIF(Tabla1[[#This Row],[VEHICULOS_ACCIDENTADOS]:[VEHICULOS_ACCIDENTADOS2]],"CAMION")</f>
        <v>0</v>
      </c>
      <c r="AA1117" s="36">
        <f>COUNTIF(Tabla1[[#This Row],[VEHICULOS_ACCIDENTADOS]:[VEHICULOS_ACCIDENTADOS2]],"TRACTOCAMION")</f>
        <v>0</v>
      </c>
      <c r="AB1117" s="36">
        <f>COUNTIF(Tabla1[[#This Row],[VEHICULOS_ACCIDENTADOS]:[VEHICULOS_ACCIDENTADOS2]],"VOLQUETA")</f>
        <v>0</v>
      </c>
      <c r="AC1117" s="36">
        <f>COUNTIF(Tabla1[[#This Row],[VEHICULOS_ACCIDENTADOS]:[VEHICULOS_ACCIDENTADOS2]],"BICICLETA")</f>
        <v>0</v>
      </c>
      <c r="AD1117" s="9" t="s">
        <v>471</v>
      </c>
      <c r="AE1117" s="9"/>
      <c r="AF1117" s="9">
        <f>COUNTIF(Tabla1[[#This Row],[GENERO_MASCULINO]:[GENERO_FEMENINO]],"MASCULINO")</f>
        <v>1</v>
      </c>
      <c r="AG1117" s="36">
        <f>COUNTIF(Tabla1[[#This Row],[GENERO_MASCULINO]:[GENERO_FEMENINO]],"FEMENINO")</f>
        <v>0</v>
      </c>
      <c r="AH1117" s="75">
        <v>35</v>
      </c>
      <c r="AI1117" s="75">
        <v>54</v>
      </c>
      <c r="AJ1117" s="75"/>
      <c r="AK1117" s="75"/>
      <c r="AL1117" s="75"/>
      <c r="AM1117" s="9"/>
      <c r="AN1117" s="75">
        <v>112</v>
      </c>
      <c r="AO1117" s="9" t="str">
        <f>IFERROR(((VLOOKUP(Tabla1[[#This Row],[HIPOTESIS_1]],listas!$D$1:$E$105,2,FALSE))),"SIN INFORMACIÓN")</f>
        <v>Desobedecer señales o normas de tránsito.</v>
      </c>
      <c r="AP1117" s="9"/>
      <c r="AQ1117" s="13" t="str">
        <f>IFERROR(((VLOOKUP(Tabla1[[#This Row],[HIPOTESIS_2]],listas!$D$1:$E$105,2,FALSE))),"")</f>
        <v/>
      </c>
      <c r="AR1117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118" spans="1:44" s="5" customFormat="1" x14ac:dyDescent="0.25">
      <c r="A1118" s="12">
        <v>845</v>
      </c>
      <c r="B1118" s="14">
        <v>0</v>
      </c>
      <c r="C1118" s="14">
        <v>0</v>
      </c>
      <c r="D1118" s="147">
        <v>1</v>
      </c>
      <c r="E1118" s="151" t="str">
        <f t="shared" si="68"/>
        <v>FALLECIDO</v>
      </c>
      <c r="F1118" s="14" t="s">
        <v>89</v>
      </c>
      <c r="G1118" s="160">
        <v>5.3669530555555554</v>
      </c>
      <c r="H1118" s="160">
        <v>-72.411557222222228</v>
      </c>
      <c r="I1118" s="160" t="s">
        <v>662</v>
      </c>
      <c r="J1118" s="9" t="s">
        <v>1</v>
      </c>
      <c r="K1118" s="76" t="str">
        <f t="shared" si="69"/>
        <v>2024</v>
      </c>
      <c r="L1118" s="76" t="str">
        <f t="shared" si="70"/>
        <v>DICIEMBRE</v>
      </c>
      <c r="M1118" s="241">
        <v>45651</v>
      </c>
      <c r="N1118" s="76" t="str">
        <f t="shared" si="71"/>
        <v>MIÉRCOLES</v>
      </c>
      <c r="O1118" s="173">
        <v>0.70208333333333328</v>
      </c>
      <c r="P1118" s="179" t="s">
        <v>469</v>
      </c>
      <c r="Q1118" s="179" t="s">
        <v>469</v>
      </c>
      <c r="R1118" s="36">
        <f>COUNTIF(Tabla1[[#This Row],[VEHICULOS_ACCIDENTADOS]:[VEHICULOS_ACCIDENTADOS2]],"MOTOCICLETA")</f>
        <v>2</v>
      </c>
      <c r="S1118" s="36">
        <f>COUNTIF(Tabla1[[#This Row],[VEHICULOS_ACCIDENTADOS]:[VEHICULOS_ACCIDENTADOS2]],"MOTOCARRO")</f>
        <v>0</v>
      </c>
      <c r="T1118" s="36">
        <f>COUNTIF(Tabla1[[#This Row],[VEHICULOS_ACCIDENTADOS]:[VEHICULOS_ACCIDENTADOS2]],"AUTOMOVIL")</f>
        <v>0</v>
      </c>
      <c r="U1118" s="36">
        <f>COUNTIF(Tabla1[[#This Row],[VEHICULOS_ACCIDENTADOS]:[VEHICULOS_ACCIDENTADOS2]],"CAMPERO")</f>
        <v>0</v>
      </c>
      <c r="V1118" s="36">
        <f>COUNTIF(Tabla1[[#This Row],[VEHICULOS_ACCIDENTADOS]:[VEHICULOS_ACCIDENTADOS2]],"CAMIONETA")</f>
        <v>0</v>
      </c>
      <c r="W1118" s="36">
        <f>COUNTIF(Tabla1[[#This Row],[VEHICULOS_ACCIDENTADOS]:[VEHICULOS_ACCIDENTADOS2]],"MICROBUS")</f>
        <v>0</v>
      </c>
      <c r="X1118" s="36">
        <f>COUNTIF(Tabla1[[#This Row],[VEHICULOS_ACCIDENTADOS]:[VEHICULOS_ACCIDENTADOS2]],"BUS")</f>
        <v>0</v>
      </c>
      <c r="Y1118" s="36">
        <f>COUNTIF(Tabla1[[#This Row],[VEHICULOS_ACCIDENTADOS]:[VEHICULOS_ACCIDENTADOS2]],"BUSETA")</f>
        <v>0</v>
      </c>
      <c r="Z1118" s="36">
        <f>COUNTIF(Tabla1[[#This Row],[VEHICULOS_ACCIDENTADOS]:[VEHICULOS_ACCIDENTADOS2]],"CAMION")</f>
        <v>0</v>
      </c>
      <c r="AA1118" s="36">
        <f>COUNTIF(Tabla1[[#This Row],[VEHICULOS_ACCIDENTADOS]:[VEHICULOS_ACCIDENTADOS2]],"TRACTOCAMION")</f>
        <v>0</v>
      </c>
      <c r="AB1118" s="36">
        <f>COUNTIF(Tabla1[[#This Row],[VEHICULOS_ACCIDENTADOS]:[VEHICULOS_ACCIDENTADOS2]],"VOLQUETA")</f>
        <v>0</v>
      </c>
      <c r="AC1118" s="36">
        <f>COUNTIF(Tabla1[[#This Row],[VEHICULOS_ACCIDENTADOS]:[VEHICULOS_ACCIDENTADOS2]],"BICICLETA")</f>
        <v>0</v>
      </c>
      <c r="AD1118" s="14" t="s">
        <v>471</v>
      </c>
      <c r="AE1118" s="14"/>
      <c r="AF1118" s="14">
        <f>COUNTIF(Tabla1[[#This Row],[GENERO_MASCULINO]:[GENERO_FEMENINO]],"MASCULINO")</f>
        <v>1</v>
      </c>
      <c r="AG1118" s="36">
        <f>COUNTIF(Tabla1[[#This Row],[GENERO_MASCULINO]:[GENERO_FEMENINO]],"FEMENINO")</f>
        <v>0</v>
      </c>
      <c r="AH1118" s="90"/>
      <c r="AI1118" s="90"/>
      <c r="AJ1118" s="90"/>
      <c r="AK1118" s="90"/>
      <c r="AL1118" s="90"/>
      <c r="AM1118" s="14"/>
      <c r="AN1118" s="90">
        <v>1</v>
      </c>
      <c r="AO1118" s="9" t="str">
        <f>IFERROR(((VLOOKUP(Tabla1[[#This Row],[HIPOTESIS_1]],listas!$D$1:$E$105,2,FALSE))),"SIN INFORMACIÓN")</f>
        <v>SIN INFORMACIÓN</v>
      </c>
      <c r="AP1118" s="14"/>
      <c r="AQ1118" s="13" t="str">
        <f>IFERROR(((VLOOKUP(Tabla1[[#This Row],[HIPOTESIS_2]],listas!$D$1:$E$105,2,FALSE))),"")</f>
        <v/>
      </c>
      <c r="AR1118" s="1" t="str">
        <f>IF(HOUR(Tabla1[[#This Row],[HORA_ACCIDENTE]])&lt;6,"MAÑANA",
 IF(HOUR(Tabla1[[#This Row],[HORA_ACCIDENTE]])&lt;12,"MAÑANA",
 IF(HOUR(Tabla1[[#This Row],[HORA_ACCIDENTE]])&lt;18,"TARDE","NOCHE")))</f>
        <v>TARDE</v>
      </c>
    </row>
    <row r="1119" spans="1:44" s="5" customFormat="1" x14ac:dyDescent="0.25">
      <c r="B1119" s="2"/>
      <c r="C1119" s="2"/>
      <c r="D1119" s="100"/>
      <c r="F1119" s="2"/>
      <c r="G1119" s="2"/>
      <c r="H1119" s="2"/>
      <c r="I1119" s="2"/>
      <c r="J1119" s="2"/>
      <c r="K1119" s="2"/>
      <c r="L1119" s="2"/>
      <c r="M1119" s="238"/>
      <c r="N1119" s="1"/>
      <c r="O1119" s="112"/>
      <c r="P1119" s="3"/>
      <c r="Q1119" s="3"/>
      <c r="R1119" s="3"/>
      <c r="S1119" s="4"/>
      <c r="T1119" s="3"/>
      <c r="U1119" s="3"/>
      <c r="V1119" s="3"/>
      <c r="W1119" s="3"/>
      <c r="X1119" s="4"/>
      <c r="Y1119" s="4"/>
      <c r="Z1119" s="4"/>
      <c r="AA1119" s="4"/>
      <c r="AB1119" s="4"/>
      <c r="AC1119" s="3"/>
      <c r="AD1119" s="3"/>
      <c r="AE1119" s="3"/>
      <c r="AF1119" s="3"/>
      <c r="AG1119" s="2"/>
      <c r="AH1119" s="92"/>
      <c r="AI1119" s="92"/>
      <c r="AJ1119" s="92"/>
      <c r="AK1119" s="82"/>
      <c r="AL1119" s="82"/>
      <c r="AM1119" s="1"/>
      <c r="AN1119" s="83"/>
      <c r="AO1119" s="1"/>
      <c r="AP1119" s="2"/>
      <c r="AQ1119" s="1"/>
    </row>
    <row r="1120" spans="1:44" s="5" customFormat="1" x14ac:dyDescent="0.25">
      <c r="B1120" s="2"/>
      <c r="C1120" s="2"/>
      <c r="D1120" s="100"/>
      <c r="F1120" s="2"/>
      <c r="G1120" s="2"/>
      <c r="H1120" s="2"/>
      <c r="I1120" s="2"/>
      <c r="J1120" s="2"/>
      <c r="K1120" s="2"/>
      <c r="L1120" s="2"/>
      <c r="M1120" s="238"/>
      <c r="N1120" s="1"/>
      <c r="O1120" s="112"/>
      <c r="P1120" s="3"/>
      <c r="Q1120" s="3"/>
      <c r="R1120" s="3"/>
      <c r="S1120" s="4"/>
      <c r="T1120" s="3"/>
      <c r="U1120" s="3"/>
      <c r="V1120" s="3"/>
      <c r="W1120" s="3"/>
      <c r="X1120" s="4"/>
      <c r="Y1120" s="4"/>
      <c r="Z1120" s="4"/>
      <c r="AA1120" s="4"/>
      <c r="AB1120" s="4"/>
      <c r="AC1120" s="3"/>
      <c r="AD1120" s="3"/>
      <c r="AE1120" s="3"/>
      <c r="AF1120" s="3"/>
      <c r="AG1120" s="2"/>
      <c r="AH1120" s="92"/>
      <c r="AI1120" s="92"/>
      <c r="AJ1120" s="92"/>
      <c r="AK1120" s="82"/>
      <c r="AL1120" s="82"/>
      <c r="AM1120" s="1"/>
      <c r="AN1120" s="83"/>
      <c r="AO1120" s="1"/>
      <c r="AP1120" s="2"/>
      <c r="AQ1120" s="1"/>
    </row>
    <row r="1121" spans="2:43" s="5" customFormat="1" x14ac:dyDescent="0.25">
      <c r="B1121" s="2"/>
      <c r="C1121" s="2"/>
      <c r="D1121" s="100"/>
      <c r="F1121" s="2"/>
      <c r="G1121" s="2"/>
      <c r="H1121" s="2"/>
      <c r="I1121" s="2"/>
      <c r="J1121" s="2"/>
      <c r="K1121" s="2"/>
      <c r="L1121" s="2"/>
      <c r="M1121" s="238"/>
      <c r="N1121" s="1"/>
      <c r="O1121" s="112"/>
      <c r="P1121" s="3"/>
      <c r="Q1121" s="3"/>
      <c r="R1121" s="3"/>
      <c r="S1121" s="4"/>
      <c r="T1121" s="3"/>
      <c r="U1121" s="3"/>
      <c r="V1121" s="3"/>
      <c r="W1121" s="3"/>
      <c r="X1121" s="4"/>
      <c r="Y1121" s="4"/>
      <c r="Z1121" s="4"/>
      <c r="AA1121" s="4"/>
      <c r="AB1121" s="4"/>
      <c r="AC1121" s="3"/>
      <c r="AD1121" s="3"/>
      <c r="AE1121" s="3"/>
      <c r="AF1121" s="3"/>
      <c r="AG1121" s="2"/>
      <c r="AH1121" s="92"/>
      <c r="AI1121" s="92"/>
      <c r="AJ1121" s="92"/>
      <c r="AK1121" s="82"/>
      <c r="AL1121" s="82"/>
      <c r="AM1121" s="1"/>
      <c r="AN1121" s="83"/>
      <c r="AO1121" s="1"/>
      <c r="AP1121" s="2"/>
      <c r="AQ1121" s="1"/>
    </row>
    <row r="1122" spans="2:43" s="5" customFormat="1" x14ac:dyDescent="0.25">
      <c r="B1122" s="2"/>
      <c r="C1122" s="2"/>
      <c r="D1122" s="100"/>
      <c r="F1122" s="2"/>
      <c r="G1122" s="2"/>
      <c r="H1122" s="2"/>
      <c r="I1122" s="2"/>
      <c r="J1122" s="2"/>
      <c r="K1122" s="2"/>
      <c r="L1122" s="2"/>
      <c r="M1122" s="238"/>
      <c r="N1122" s="1"/>
      <c r="O1122" s="112"/>
      <c r="P1122" s="3"/>
      <c r="Q1122" s="3"/>
      <c r="R1122" s="3"/>
      <c r="S1122" s="4"/>
      <c r="T1122" s="3"/>
      <c r="U1122" s="3"/>
      <c r="V1122" s="3"/>
      <c r="W1122" s="3"/>
      <c r="X1122" s="4"/>
      <c r="Y1122" s="4"/>
      <c r="Z1122" s="4"/>
      <c r="AA1122" s="4"/>
      <c r="AB1122" s="4"/>
      <c r="AC1122" s="3"/>
      <c r="AD1122" s="3"/>
      <c r="AE1122" s="3"/>
      <c r="AF1122" s="3"/>
      <c r="AG1122" s="2"/>
      <c r="AH1122" s="92"/>
      <c r="AI1122" s="92"/>
      <c r="AJ1122" s="92"/>
      <c r="AK1122" s="82"/>
      <c r="AL1122" s="82"/>
      <c r="AM1122" s="1"/>
      <c r="AN1122" s="83"/>
      <c r="AO1122" s="1"/>
      <c r="AP1122" s="2"/>
      <c r="AQ1122" s="1"/>
    </row>
    <row r="1123" spans="2:43" s="5" customFormat="1" x14ac:dyDescent="0.25">
      <c r="B1123" s="2"/>
      <c r="C1123" s="2"/>
      <c r="D1123" s="100"/>
      <c r="F1123" s="2"/>
      <c r="G1123" s="2"/>
      <c r="H1123" s="2"/>
      <c r="I1123" s="2"/>
      <c r="J1123" s="2"/>
      <c r="K1123" s="2"/>
      <c r="L1123" s="2"/>
      <c r="M1123" s="238"/>
      <c r="N1123" s="1"/>
      <c r="O1123" s="112"/>
      <c r="P1123" s="3"/>
      <c r="Q1123" s="3"/>
      <c r="R1123" s="3"/>
      <c r="S1123" s="4"/>
      <c r="T1123" s="3"/>
      <c r="U1123" s="3"/>
      <c r="V1123" s="3"/>
      <c r="W1123" s="3"/>
      <c r="X1123" s="4"/>
      <c r="Y1123" s="4"/>
      <c r="Z1123" s="4"/>
      <c r="AA1123" s="4"/>
      <c r="AB1123" s="4"/>
      <c r="AC1123" s="3"/>
      <c r="AD1123" s="3"/>
      <c r="AE1123" s="3"/>
      <c r="AF1123" s="3"/>
      <c r="AG1123" s="2"/>
      <c r="AH1123" s="92"/>
      <c r="AI1123" s="92"/>
      <c r="AJ1123" s="92"/>
      <c r="AK1123" s="82"/>
      <c r="AL1123" s="82"/>
      <c r="AM1123" s="1"/>
      <c r="AN1123" s="83"/>
      <c r="AO1123" s="1"/>
      <c r="AP1123" s="2"/>
      <c r="AQ1123" s="1"/>
    </row>
    <row r="1124" spans="2:43" s="5" customFormat="1" x14ac:dyDescent="0.25">
      <c r="B1124" s="2"/>
      <c r="C1124" s="2"/>
      <c r="D1124" s="100"/>
      <c r="F1124" s="2"/>
      <c r="G1124" s="2"/>
      <c r="H1124" s="2"/>
      <c r="I1124" s="2"/>
      <c r="J1124" s="2"/>
      <c r="K1124" s="2"/>
      <c r="L1124" s="2"/>
      <c r="M1124" s="238"/>
      <c r="N1124" s="1"/>
      <c r="O1124" s="112"/>
      <c r="P1124" s="3"/>
      <c r="Q1124" s="3"/>
      <c r="R1124" s="3"/>
      <c r="S1124" s="4"/>
      <c r="T1124" s="3"/>
      <c r="U1124" s="3"/>
      <c r="V1124" s="3"/>
      <c r="W1124" s="3"/>
      <c r="X1124" s="4"/>
      <c r="Y1124" s="4"/>
      <c r="Z1124" s="4"/>
      <c r="AA1124" s="4"/>
      <c r="AB1124" s="4"/>
      <c r="AC1124" s="3"/>
      <c r="AD1124" s="3"/>
      <c r="AE1124" s="3"/>
      <c r="AF1124" s="3"/>
      <c r="AG1124" s="2"/>
      <c r="AH1124" s="92"/>
      <c r="AI1124" s="92"/>
      <c r="AJ1124" s="92"/>
      <c r="AK1124" s="82"/>
      <c r="AL1124" s="82"/>
      <c r="AM1124" s="1"/>
      <c r="AN1124" s="83"/>
      <c r="AO1124" s="1"/>
      <c r="AP1124" s="2"/>
      <c r="AQ1124" s="1"/>
    </row>
    <row r="1125" spans="2:43" s="5" customFormat="1" x14ac:dyDescent="0.25">
      <c r="B1125" s="2"/>
      <c r="C1125" s="2"/>
      <c r="D1125" s="100"/>
      <c r="F1125" s="2"/>
      <c r="G1125" s="2"/>
      <c r="H1125" s="2"/>
      <c r="I1125" s="2"/>
      <c r="J1125" s="2"/>
      <c r="K1125" s="2"/>
      <c r="L1125" s="2"/>
      <c r="M1125" s="238"/>
      <c r="N1125" s="1"/>
      <c r="O1125" s="112"/>
      <c r="P1125" s="3"/>
      <c r="Q1125" s="3"/>
      <c r="R1125" s="3"/>
      <c r="S1125" s="4"/>
      <c r="T1125" s="3"/>
      <c r="U1125" s="3"/>
      <c r="V1125" s="3"/>
      <c r="W1125" s="3"/>
      <c r="X1125" s="4"/>
      <c r="Y1125" s="4"/>
      <c r="Z1125" s="4"/>
      <c r="AA1125" s="4"/>
      <c r="AB1125" s="4"/>
      <c r="AC1125" s="3"/>
      <c r="AD1125" s="3"/>
      <c r="AE1125" s="3"/>
      <c r="AF1125" s="3"/>
      <c r="AG1125" s="2"/>
      <c r="AH1125" s="92"/>
      <c r="AI1125" s="92"/>
      <c r="AJ1125" s="92"/>
      <c r="AK1125" s="82"/>
      <c r="AL1125" s="82"/>
      <c r="AM1125" s="1"/>
      <c r="AN1125" s="83"/>
      <c r="AO1125" s="1"/>
      <c r="AP1125" s="2"/>
      <c r="AQ1125" s="1"/>
    </row>
  </sheetData>
  <phoneticPr fontId="10" type="noConversion"/>
  <conditionalFormatting sqref="F2:F1118">
    <cfRule type="duplicateValues" dxfId="0" priority="1"/>
  </conditionalFormatting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107E0-8C4C-46CD-82C4-BCE8EF14682E}">
  <dimension ref="A1:E126"/>
  <sheetViews>
    <sheetView topLeftCell="A9" workbookViewId="0">
      <selection activeCell="E20" sqref="E20"/>
    </sheetView>
  </sheetViews>
  <sheetFormatPr baseColWidth="10" defaultRowHeight="14.4" x14ac:dyDescent="0.3"/>
  <cols>
    <col min="1" max="1" width="29.109375" bestFit="1" customWidth="1"/>
    <col min="5" max="5" width="50.6640625" bestFit="1" customWidth="1"/>
  </cols>
  <sheetData>
    <row r="1" spans="1:5" x14ac:dyDescent="0.3">
      <c r="A1" t="s">
        <v>473</v>
      </c>
      <c r="D1" s="71" t="s">
        <v>474</v>
      </c>
      <c r="E1" t="s">
        <v>475</v>
      </c>
    </row>
    <row r="2" spans="1:5" x14ac:dyDescent="0.3">
      <c r="A2" s="71" t="s">
        <v>476</v>
      </c>
      <c r="D2" s="71">
        <v>90</v>
      </c>
      <c r="E2" s="72" t="s">
        <v>477</v>
      </c>
    </row>
    <row r="3" spans="1:5" x14ac:dyDescent="0.3">
      <c r="A3" s="71" t="s">
        <v>478</v>
      </c>
      <c r="D3" s="71">
        <v>91</v>
      </c>
      <c r="E3" s="72" t="s">
        <v>479</v>
      </c>
    </row>
    <row r="4" spans="1:5" x14ac:dyDescent="0.3">
      <c r="A4" s="71" t="s">
        <v>458</v>
      </c>
      <c r="D4" s="71">
        <v>92</v>
      </c>
      <c r="E4" s="72" t="s">
        <v>480</v>
      </c>
    </row>
    <row r="5" spans="1:5" x14ac:dyDescent="0.3">
      <c r="D5" s="71">
        <v>93</v>
      </c>
      <c r="E5" s="72" t="s">
        <v>481</v>
      </c>
    </row>
    <row r="6" spans="1:5" x14ac:dyDescent="0.3">
      <c r="A6" t="s">
        <v>482</v>
      </c>
      <c r="D6" s="71">
        <v>94</v>
      </c>
      <c r="E6" s="72" t="s">
        <v>483</v>
      </c>
    </row>
    <row r="7" spans="1:5" x14ac:dyDescent="0.3">
      <c r="A7" s="71" t="s">
        <v>484</v>
      </c>
      <c r="D7" s="71">
        <v>95</v>
      </c>
      <c r="E7" s="72" t="s">
        <v>485</v>
      </c>
    </row>
    <row r="8" spans="1:5" x14ac:dyDescent="0.3">
      <c r="A8" s="71" t="s">
        <v>486</v>
      </c>
      <c r="D8" s="71">
        <v>96</v>
      </c>
      <c r="E8" s="72" t="s">
        <v>487</v>
      </c>
    </row>
    <row r="9" spans="1:5" x14ac:dyDescent="0.3">
      <c r="A9" s="71" t="s">
        <v>488</v>
      </c>
      <c r="D9" s="71">
        <v>97</v>
      </c>
      <c r="E9" s="72" t="s">
        <v>489</v>
      </c>
    </row>
    <row r="10" spans="1:5" x14ac:dyDescent="0.3">
      <c r="A10" s="71" t="s">
        <v>490</v>
      </c>
      <c r="D10" s="71">
        <v>98</v>
      </c>
      <c r="E10" s="72" t="s">
        <v>491</v>
      </c>
    </row>
    <row r="11" spans="1:5" x14ac:dyDescent="0.3">
      <c r="A11" s="71" t="s">
        <v>492</v>
      </c>
      <c r="D11" s="71">
        <v>99</v>
      </c>
      <c r="E11" s="72" t="s">
        <v>493</v>
      </c>
    </row>
    <row r="12" spans="1:5" x14ac:dyDescent="0.3">
      <c r="A12" s="71" t="s">
        <v>494</v>
      </c>
      <c r="D12" s="71">
        <v>100</v>
      </c>
      <c r="E12" s="72" t="s">
        <v>681</v>
      </c>
    </row>
    <row r="13" spans="1:5" x14ac:dyDescent="0.3">
      <c r="A13" s="71" t="s">
        <v>496</v>
      </c>
      <c r="D13" s="71">
        <v>101</v>
      </c>
      <c r="E13" s="72" t="s">
        <v>495</v>
      </c>
    </row>
    <row r="14" spans="1:5" x14ac:dyDescent="0.3">
      <c r="A14" s="71" t="s">
        <v>498</v>
      </c>
      <c r="D14" s="71">
        <v>102</v>
      </c>
      <c r="E14" s="72" t="s">
        <v>497</v>
      </c>
    </row>
    <row r="15" spans="1:5" x14ac:dyDescent="0.3">
      <c r="A15" s="71" t="s">
        <v>500</v>
      </c>
      <c r="D15" s="71">
        <v>103</v>
      </c>
      <c r="E15" s="72" t="s">
        <v>499</v>
      </c>
    </row>
    <row r="16" spans="1:5" x14ac:dyDescent="0.3">
      <c r="A16" s="71" t="s">
        <v>501</v>
      </c>
      <c r="D16" s="71">
        <v>104</v>
      </c>
      <c r="E16" s="72" t="s">
        <v>460</v>
      </c>
    </row>
    <row r="17" spans="1:5" x14ac:dyDescent="0.3">
      <c r="D17" s="71">
        <v>105</v>
      </c>
      <c r="E17" s="72" t="s">
        <v>502</v>
      </c>
    </row>
    <row r="18" spans="1:5" x14ac:dyDescent="0.3">
      <c r="A18" t="s">
        <v>503</v>
      </c>
      <c r="D18" s="71">
        <v>106</v>
      </c>
      <c r="E18" s="72" t="s">
        <v>682</v>
      </c>
    </row>
    <row r="19" spans="1:5" x14ac:dyDescent="0.3">
      <c r="A19" s="71" t="s">
        <v>505</v>
      </c>
      <c r="D19" s="71">
        <v>107</v>
      </c>
      <c r="E19" s="72" t="s">
        <v>504</v>
      </c>
    </row>
    <row r="20" spans="1:5" x14ac:dyDescent="0.3">
      <c r="A20" s="71" t="s">
        <v>506</v>
      </c>
      <c r="D20" s="71">
        <v>108</v>
      </c>
      <c r="E20" s="72" t="s">
        <v>683</v>
      </c>
    </row>
    <row r="21" spans="1:5" x14ac:dyDescent="0.3">
      <c r="A21" s="71" t="s">
        <v>508</v>
      </c>
      <c r="D21" s="71">
        <v>109</v>
      </c>
      <c r="E21" s="72" t="s">
        <v>507</v>
      </c>
    </row>
    <row r="22" spans="1:5" x14ac:dyDescent="0.3">
      <c r="A22" s="71" t="s">
        <v>510</v>
      </c>
      <c r="D22" s="71">
        <v>110</v>
      </c>
      <c r="E22" s="72" t="s">
        <v>509</v>
      </c>
    </row>
    <row r="23" spans="1:5" x14ac:dyDescent="0.3">
      <c r="D23" s="71">
        <v>111</v>
      </c>
      <c r="E23" s="72" t="s">
        <v>511</v>
      </c>
    </row>
    <row r="24" spans="1:5" x14ac:dyDescent="0.3">
      <c r="A24" t="s">
        <v>513</v>
      </c>
      <c r="D24" s="71">
        <v>112</v>
      </c>
      <c r="E24" s="72" t="s">
        <v>512</v>
      </c>
    </row>
    <row r="25" spans="1:5" x14ac:dyDescent="0.3">
      <c r="A25" s="71" t="s">
        <v>515</v>
      </c>
      <c r="D25" s="71">
        <v>113</v>
      </c>
      <c r="E25" s="72" t="s">
        <v>514</v>
      </c>
    </row>
    <row r="26" spans="1:5" x14ac:dyDescent="0.3">
      <c r="A26" s="71" t="s">
        <v>517</v>
      </c>
      <c r="D26" s="71">
        <v>114</v>
      </c>
      <c r="E26" s="72" t="s">
        <v>516</v>
      </c>
    </row>
    <row r="27" spans="1:5" x14ac:dyDescent="0.3">
      <c r="A27" s="71" t="s">
        <v>518</v>
      </c>
      <c r="D27" s="71">
        <v>115</v>
      </c>
      <c r="E27" s="72" t="s">
        <v>684</v>
      </c>
    </row>
    <row r="28" spans="1:5" x14ac:dyDescent="0.3">
      <c r="A28" s="71" t="s">
        <v>520</v>
      </c>
      <c r="D28" s="71">
        <v>116</v>
      </c>
      <c r="E28" s="72" t="s">
        <v>685</v>
      </c>
    </row>
    <row r="29" spans="1:5" x14ac:dyDescent="0.3">
      <c r="A29" s="71" t="s">
        <v>522</v>
      </c>
      <c r="D29" s="71">
        <v>117</v>
      </c>
      <c r="E29" s="72" t="s">
        <v>519</v>
      </c>
    </row>
    <row r="30" spans="1:5" x14ac:dyDescent="0.3">
      <c r="A30" s="71" t="s">
        <v>524</v>
      </c>
      <c r="D30" s="71">
        <v>118</v>
      </c>
      <c r="E30" s="72" t="s">
        <v>521</v>
      </c>
    </row>
    <row r="31" spans="1:5" x14ac:dyDescent="0.3">
      <c r="A31" s="71" t="s">
        <v>526</v>
      </c>
      <c r="D31" s="71">
        <v>119</v>
      </c>
      <c r="E31" s="72" t="s">
        <v>523</v>
      </c>
    </row>
    <row r="32" spans="1:5" x14ac:dyDescent="0.3">
      <c r="A32" s="71" t="s">
        <v>528</v>
      </c>
      <c r="D32" s="71">
        <v>120</v>
      </c>
      <c r="E32" s="72" t="s">
        <v>525</v>
      </c>
    </row>
    <row r="33" spans="1:5" x14ac:dyDescent="0.3">
      <c r="A33" s="71" t="s">
        <v>530</v>
      </c>
      <c r="D33" s="71">
        <v>121</v>
      </c>
      <c r="E33" s="72" t="s">
        <v>527</v>
      </c>
    </row>
    <row r="34" spans="1:5" x14ac:dyDescent="0.3">
      <c r="A34" s="71" t="s">
        <v>532</v>
      </c>
      <c r="D34" s="71">
        <v>122</v>
      </c>
      <c r="E34" s="72" t="s">
        <v>529</v>
      </c>
    </row>
    <row r="35" spans="1:5" x14ac:dyDescent="0.3">
      <c r="A35" s="71" t="s">
        <v>534</v>
      </c>
      <c r="D35" s="71">
        <v>123</v>
      </c>
      <c r="E35" s="72" t="s">
        <v>531</v>
      </c>
    </row>
    <row r="36" spans="1:5" x14ac:dyDescent="0.3">
      <c r="D36" s="71">
        <v>124</v>
      </c>
      <c r="E36" s="72" t="s">
        <v>533</v>
      </c>
    </row>
    <row r="37" spans="1:5" x14ac:dyDescent="0.3">
      <c r="A37" t="s">
        <v>536</v>
      </c>
      <c r="D37" s="71">
        <v>125</v>
      </c>
      <c r="E37" s="72" t="s">
        <v>535</v>
      </c>
    </row>
    <row r="38" spans="1:5" x14ac:dyDescent="0.3">
      <c r="A38" t="s">
        <v>538</v>
      </c>
      <c r="D38" s="71">
        <v>126</v>
      </c>
      <c r="E38" s="72" t="s">
        <v>686</v>
      </c>
    </row>
    <row r="39" spans="1:5" x14ac:dyDescent="0.3">
      <c r="A39" t="s">
        <v>540</v>
      </c>
      <c r="D39" s="71">
        <v>127</v>
      </c>
      <c r="E39" s="72" t="s">
        <v>537</v>
      </c>
    </row>
    <row r="40" spans="1:5" x14ac:dyDescent="0.3">
      <c r="D40" s="71">
        <v>128</v>
      </c>
      <c r="E40" s="72" t="s">
        <v>539</v>
      </c>
    </row>
    <row r="41" spans="1:5" x14ac:dyDescent="0.3">
      <c r="A41" t="s">
        <v>543</v>
      </c>
      <c r="D41" s="71">
        <v>129</v>
      </c>
      <c r="E41" s="72" t="s">
        <v>541</v>
      </c>
    </row>
    <row r="42" spans="1:5" x14ac:dyDescent="0.3">
      <c r="A42" s="71" t="s">
        <v>97</v>
      </c>
      <c r="D42" s="71">
        <v>130</v>
      </c>
      <c r="E42" s="72" t="s">
        <v>542</v>
      </c>
    </row>
    <row r="43" spans="1:5" x14ac:dyDescent="0.3">
      <c r="A43" s="71" t="s">
        <v>546</v>
      </c>
      <c r="D43" s="71">
        <v>131</v>
      </c>
      <c r="E43" s="72" t="s">
        <v>544</v>
      </c>
    </row>
    <row r="44" spans="1:5" x14ac:dyDescent="0.3">
      <c r="A44" s="71" t="s">
        <v>548</v>
      </c>
      <c r="D44" s="71">
        <v>132</v>
      </c>
      <c r="E44" s="72" t="s">
        <v>545</v>
      </c>
    </row>
    <row r="45" spans="1:5" x14ac:dyDescent="0.3">
      <c r="A45" s="71" t="s">
        <v>550</v>
      </c>
      <c r="D45" s="71">
        <v>133</v>
      </c>
      <c r="E45" s="72" t="s">
        <v>547</v>
      </c>
    </row>
    <row r="46" spans="1:5" x14ac:dyDescent="0.3">
      <c r="A46" s="71" t="s">
        <v>552</v>
      </c>
      <c r="D46" s="71">
        <v>134</v>
      </c>
      <c r="E46" s="72" t="s">
        <v>549</v>
      </c>
    </row>
    <row r="47" spans="1:5" x14ac:dyDescent="0.3">
      <c r="A47" s="71" t="s">
        <v>553</v>
      </c>
      <c r="D47" s="71">
        <v>135</v>
      </c>
      <c r="E47" s="72" t="s">
        <v>551</v>
      </c>
    </row>
    <row r="48" spans="1:5" x14ac:dyDescent="0.3">
      <c r="A48" s="71" t="s">
        <v>554</v>
      </c>
      <c r="D48" s="71">
        <v>136</v>
      </c>
      <c r="E48" s="72" t="s">
        <v>687</v>
      </c>
    </row>
    <row r="49" spans="1:5" x14ac:dyDescent="0.3">
      <c r="A49" s="71" t="s">
        <v>556</v>
      </c>
      <c r="D49" s="71">
        <v>137</v>
      </c>
      <c r="E49" s="72" t="s">
        <v>688</v>
      </c>
    </row>
    <row r="50" spans="1:5" x14ac:dyDescent="0.3">
      <c r="A50" s="71" t="s">
        <v>558</v>
      </c>
      <c r="D50" s="71">
        <v>138</v>
      </c>
      <c r="E50" s="72" t="s">
        <v>555</v>
      </c>
    </row>
    <row r="51" spans="1:5" x14ac:dyDescent="0.3">
      <c r="A51" s="71" t="s">
        <v>559</v>
      </c>
      <c r="D51" s="71">
        <v>139</v>
      </c>
      <c r="E51" s="72" t="s">
        <v>557</v>
      </c>
    </row>
    <row r="52" spans="1:5" x14ac:dyDescent="0.3">
      <c r="D52" s="71">
        <v>140</v>
      </c>
      <c r="E52" s="72" t="s">
        <v>689</v>
      </c>
    </row>
    <row r="53" spans="1:5" x14ac:dyDescent="0.3">
      <c r="A53" s="71" t="s">
        <v>562</v>
      </c>
      <c r="D53" s="71">
        <v>141</v>
      </c>
      <c r="E53" s="72" t="s">
        <v>560</v>
      </c>
    </row>
    <row r="54" spans="1:5" x14ac:dyDescent="0.3">
      <c r="A54" s="71" t="s">
        <v>564</v>
      </c>
      <c r="D54" s="71">
        <v>142</v>
      </c>
      <c r="E54" s="72" t="s">
        <v>561</v>
      </c>
    </row>
    <row r="55" spans="1:5" x14ac:dyDescent="0.3">
      <c r="A55" s="71" t="s">
        <v>566</v>
      </c>
      <c r="D55" s="71">
        <v>143</v>
      </c>
      <c r="E55" s="72" t="s">
        <v>563</v>
      </c>
    </row>
    <row r="56" spans="1:5" x14ac:dyDescent="0.3">
      <c r="A56" s="71" t="s">
        <v>568</v>
      </c>
      <c r="D56" s="71">
        <v>144</v>
      </c>
      <c r="E56" s="72" t="s">
        <v>565</v>
      </c>
    </row>
    <row r="57" spans="1:5" x14ac:dyDescent="0.3">
      <c r="D57" s="71">
        <v>145</v>
      </c>
      <c r="E57" s="72" t="s">
        <v>567</v>
      </c>
    </row>
    <row r="58" spans="1:5" x14ac:dyDescent="0.3">
      <c r="A58" t="s">
        <v>571</v>
      </c>
      <c r="D58" s="71">
        <v>146</v>
      </c>
      <c r="E58" s="72" t="s">
        <v>569</v>
      </c>
    </row>
    <row r="59" spans="1:5" x14ac:dyDescent="0.3">
      <c r="A59" s="71" t="s">
        <v>573</v>
      </c>
      <c r="D59" s="71">
        <v>147</v>
      </c>
      <c r="E59" s="72" t="s">
        <v>570</v>
      </c>
    </row>
    <row r="60" spans="1:5" x14ac:dyDescent="0.3">
      <c r="A60" s="71" t="s">
        <v>575</v>
      </c>
      <c r="D60" s="71">
        <v>148</v>
      </c>
      <c r="E60" s="72" t="s">
        <v>572</v>
      </c>
    </row>
    <row r="61" spans="1:5" x14ac:dyDescent="0.3">
      <c r="A61" s="71" t="s">
        <v>576</v>
      </c>
      <c r="D61" s="71">
        <v>149</v>
      </c>
      <c r="E61" s="72" t="s">
        <v>574</v>
      </c>
    </row>
    <row r="62" spans="1:5" x14ac:dyDescent="0.3">
      <c r="A62" s="71" t="s">
        <v>578</v>
      </c>
      <c r="D62" s="71">
        <v>150</v>
      </c>
      <c r="E62" s="72" t="s">
        <v>690</v>
      </c>
    </row>
    <row r="63" spans="1:5" x14ac:dyDescent="0.3">
      <c r="A63" s="71" t="s">
        <v>579</v>
      </c>
      <c r="D63" s="71">
        <v>151</v>
      </c>
      <c r="E63" s="72" t="s">
        <v>577</v>
      </c>
    </row>
    <row r="64" spans="1:5" x14ac:dyDescent="0.3">
      <c r="A64" s="71" t="s">
        <v>581</v>
      </c>
      <c r="D64" s="71">
        <v>152</v>
      </c>
      <c r="E64" s="72" t="s">
        <v>691</v>
      </c>
    </row>
    <row r="65" spans="1:5" x14ac:dyDescent="0.3">
      <c r="A65" s="71" t="s">
        <v>583</v>
      </c>
      <c r="D65" s="71">
        <v>153</v>
      </c>
      <c r="E65" s="72" t="s">
        <v>580</v>
      </c>
    </row>
    <row r="66" spans="1:5" x14ac:dyDescent="0.3">
      <c r="A66" s="71" t="s">
        <v>584</v>
      </c>
      <c r="D66" s="71">
        <v>154</v>
      </c>
      <c r="E66" s="72" t="s">
        <v>582</v>
      </c>
    </row>
    <row r="67" spans="1:5" x14ac:dyDescent="0.3">
      <c r="A67" s="71" t="s">
        <v>585</v>
      </c>
      <c r="D67" s="71">
        <v>155</v>
      </c>
      <c r="E67" s="72" t="s">
        <v>692</v>
      </c>
    </row>
    <row r="68" spans="1:5" x14ac:dyDescent="0.3">
      <c r="A68" s="71" t="s">
        <v>587</v>
      </c>
      <c r="D68" s="71">
        <v>156</v>
      </c>
      <c r="E68" s="72" t="s">
        <v>693</v>
      </c>
    </row>
    <row r="69" spans="1:5" x14ac:dyDescent="0.3">
      <c r="A69" s="71" t="s">
        <v>589</v>
      </c>
      <c r="D69" s="71">
        <v>157</v>
      </c>
      <c r="E69" s="72" t="s">
        <v>681</v>
      </c>
    </row>
    <row r="70" spans="1:5" x14ac:dyDescent="0.3">
      <c r="A70" s="71" t="s">
        <v>501</v>
      </c>
      <c r="D70" s="71">
        <v>201</v>
      </c>
      <c r="E70" s="72" t="s">
        <v>586</v>
      </c>
    </row>
    <row r="71" spans="1:5" x14ac:dyDescent="0.3">
      <c r="D71" s="71">
        <v>202</v>
      </c>
      <c r="E71" s="72" t="s">
        <v>588</v>
      </c>
    </row>
    <row r="72" spans="1:5" x14ac:dyDescent="0.3">
      <c r="A72" t="s">
        <v>593</v>
      </c>
      <c r="D72" s="71">
        <v>203</v>
      </c>
      <c r="E72" s="72" t="s">
        <v>590</v>
      </c>
    </row>
    <row r="73" spans="1:5" x14ac:dyDescent="0.3">
      <c r="A73" s="71" t="s">
        <v>595</v>
      </c>
      <c r="D73" s="71">
        <v>204</v>
      </c>
      <c r="E73" s="72" t="s">
        <v>591</v>
      </c>
    </row>
    <row r="74" spans="1:5" x14ac:dyDescent="0.3">
      <c r="A74" s="71" t="s">
        <v>597</v>
      </c>
      <c r="D74" s="71">
        <v>205</v>
      </c>
      <c r="E74" s="72" t="s">
        <v>592</v>
      </c>
    </row>
    <row r="75" spans="1:5" x14ac:dyDescent="0.3">
      <c r="A75" s="71" t="s">
        <v>599</v>
      </c>
      <c r="D75" s="71">
        <v>206</v>
      </c>
      <c r="E75" s="72" t="s">
        <v>594</v>
      </c>
    </row>
    <row r="76" spans="1:5" x14ac:dyDescent="0.3">
      <c r="A76" s="71" t="s">
        <v>601</v>
      </c>
      <c r="D76" s="71">
        <v>207</v>
      </c>
      <c r="E76" s="72" t="s">
        <v>596</v>
      </c>
    </row>
    <row r="77" spans="1:5" x14ac:dyDescent="0.3">
      <c r="A77" s="71" t="s">
        <v>603</v>
      </c>
      <c r="D77" s="71">
        <v>208</v>
      </c>
      <c r="E77" s="72" t="s">
        <v>598</v>
      </c>
    </row>
    <row r="78" spans="1:5" x14ac:dyDescent="0.3">
      <c r="A78" s="71" t="s">
        <v>605</v>
      </c>
      <c r="D78" s="71">
        <v>209</v>
      </c>
      <c r="E78" s="72" t="s">
        <v>600</v>
      </c>
    </row>
    <row r="79" spans="1:5" x14ac:dyDescent="0.3">
      <c r="A79" s="71" t="s">
        <v>607</v>
      </c>
      <c r="D79" s="71">
        <v>210</v>
      </c>
      <c r="E79" s="72" t="s">
        <v>602</v>
      </c>
    </row>
    <row r="80" spans="1:5" x14ac:dyDescent="0.3">
      <c r="A80" s="71" t="s">
        <v>609</v>
      </c>
      <c r="D80" s="71">
        <v>211</v>
      </c>
      <c r="E80" s="72" t="s">
        <v>604</v>
      </c>
    </row>
    <row r="81" spans="1:5" x14ac:dyDescent="0.3">
      <c r="A81" s="71" t="s">
        <v>611</v>
      </c>
      <c r="D81" s="71">
        <v>212</v>
      </c>
      <c r="E81" s="72" t="s">
        <v>606</v>
      </c>
    </row>
    <row r="82" spans="1:5" x14ac:dyDescent="0.3">
      <c r="A82" s="71" t="s">
        <v>613</v>
      </c>
      <c r="D82" s="71">
        <v>213</v>
      </c>
      <c r="E82" s="72" t="s">
        <v>608</v>
      </c>
    </row>
    <row r="83" spans="1:5" x14ac:dyDescent="0.3">
      <c r="A83" s="71" t="s">
        <v>615</v>
      </c>
      <c r="D83" s="71">
        <v>214</v>
      </c>
      <c r="E83" s="72" t="s">
        <v>610</v>
      </c>
    </row>
    <row r="84" spans="1:5" x14ac:dyDescent="0.3">
      <c r="A84" s="71" t="s">
        <v>617</v>
      </c>
      <c r="D84" s="71">
        <v>215</v>
      </c>
      <c r="E84" s="72" t="s">
        <v>612</v>
      </c>
    </row>
    <row r="85" spans="1:5" x14ac:dyDescent="0.3">
      <c r="A85" s="71" t="s">
        <v>619</v>
      </c>
      <c r="D85" s="71">
        <v>216</v>
      </c>
      <c r="E85" s="72" t="s">
        <v>614</v>
      </c>
    </row>
    <row r="86" spans="1:5" x14ac:dyDescent="0.3">
      <c r="A86" s="71" t="s">
        <v>621</v>
      </c>
      <c r="D86" s="71">
        <v>217</v>
      </c>
      <c r="E86" s="72" t="s">
        <v>681</v>
      </c>
    </row>
    <row r="87" spans="1:5" x14ac:dyDescent="0.3">
      <c r="A87" s="71" t="s">
        <v>623</v>
      </c>
      <c r="D87" s="71">
        <v>301</v>
      </c>
      <c r="E87" s="72" t="s">
        <v>616</v>
      </c>
    </row>
    <row r="88" spans="1:5" x14ac:dyDescent="0.3">
      <c r="A88" s="71" t="s">
        <v>625</v>
      </c>
      <c r="D88" s="71">
        <v>302</v>
      </c>
      <c r="E88" s="72" t="s">
        <v>618</v>
      </c>
    </row>
    <row r="89" spans="1:5" x14ac:dyDescent="0.3">
      <c r="A89" s="71" t="s">
        <v>627</v>
      </c>
      <c r="D89" s="71">
        <v>303</v>
      </c>
      <c r="E89" s="72" t="s">
        <v>620</v>
      </c>
    </row>
    <row r="90" spans="1:5" x14ac:dyDescent="0.3">
      <c r="A90" s="71" t="s">
        <v>629</v>
      </c>
      <c r="D90" s="71">
        <v>304</v>
      </c>
      <c r="E90" s="72" t="s">
        <v>622</v>
      </c>
    </row>
    <row r="91" spans="1:5" x14ac:dyDescent="0.3">
      <c r="A91" s="71" t="s">
        <v>573</v>
      </c>
      <c r="D91" s="71">
        <v>305</v>
      </c>
      <c r="E91" s="72" t="s">
        <v>624</v>
      </c>
    </row>
    <row r="92" spans="1:5" x14ac:dyDescent="0.3">
      <c r="D92" s="71">
        <v>306</v>
      </c>
      <c r="E92" s="72" t="s">
        <v>626</v>
      </c>
    </row>
    <row r="93" spans="1:5" x14ac:dyDescent="0.3">
      <c r="A93" t="s">
        <v>633</v>
      </c>
      <c r="D93" s="71">
        <v>307</v>
      </c>
      <c r="E93" s="72" t="s">
        <v>628</v>
      </c>
    </row>
    <row r="94" spans="1:5" x14ac:dyDescent="0.3">
      <c r="A94" s="71" t="s">
        <v>447</v>
      </c>
      <c r="D94" s="71">
        <v>308</v>
      </c>
      <c r="E94" s="72" t="s">
        <v>681</v>
      </c>
    </row>
    <row r="95" spans="1:5" x14ac:dyDescent="0.3">
      <c r="A95" s="71" t="s">
        <v>443</v>
      </c>
      <c r="D95" s="71">
        <v>401</v>
      </c>
      <c r="E95" s="72" t="s">
        <v>630</v>
      </c>
    </row>
    <row r="96" spans="1:5" x14ac:dyDescent="0.3">
      <c r="A96" s="71" t="s">
        <v>442</v>
      </c>
      <c r="D96" s="71">
        <v>402</v>
      </c>
      <c r="E96" s="72" t="s">
        <v>631</v>
      </c>
    </row>
    <row r="97" spans="1:5" x14ac:dyDescent="0.3">
      <c r="A97" s="71" t="s">
        <v>638</v>
      </c>
      <c r="D97" s="71">
        <v>403</v>
      </c>
      <c r="E97" s="72" t="s">
        <v>632</v>
      </c>
    </row>
    <row r="98" spans="1:5" x14ac:dyDescent="0.3">
      <c r="A98" s="71" t="s">
        <v>640</v>
      </c>
      <c r="D98" s="71">
        <v>404</v>
      </c>
      <c r="E98" s="72" t="s">
        <v>634</v>
      </c>
    </row>
    <row r="99" spans="1:5" x14ac:dyDescent="0.3">
      <c r="A99" s="71" t="s">
        <v>446</v>
      </c>
      <c r="D99" s="71">
        <v>405</v>
      </c>
      <c r="E99" s="72" t="s">
        <v>635</v>
      </c>
    </row>
    <row r="100" spans="1:5" x14ac:dyDescent="0.3">
      <c r="A100" s="71" t="s">
        <v>444</v>
      </c>
      <c r="D100" s="71">
        <v>406</v>
      </c>
      <c r="E100" s="72" t="s">
        <v>636</v>
      </c>
    </row>
    <row r="101" spans="1:5" x14ac:dyDescent="0.3">
      <c r="A101" s="71" t="s">
        <v>644</v>
      </c>
      <c r="D101" s="71">
        <v>407</v>
      </c>
      <c r="E101" s="72" t="s">
        <v>637</v>
      </c>
    </row>
    <row r="102" spans="1:5" x14ac:dyDescent="0.3">
      <c r="A102" s="71" t="s">
        <v>439</v>
      </c>
      <c r="D102" s="71">
        <v>408</v>
      </c>
      <c r="E102" s="72" t="s">
        <v>639</v>
      </c>
    </row>
    <row r="103" spans="1:5" x14ac:dyDescent="0.3">
      <c r="A103" s="71" t="s">
        <v>469</v>
      </c>
      <c r="D103" s="71">
        <v>409</v>
      </c>
      <c r="E103" s="72" t="s">
        <v>641</v>
      </c>
    </row>
    <row r="104" spans="1:5" x14ac:dyDescent="0.3">
      <c r="A104" s="71" t="s">
        <v>648</v>
      </c>
      <c r="D104" s="71">
        <v>410</v>
      </c>
      <c r="E104" s="72" t="s">
        <v>642</v>
      </c>
    </row>
    <row r="105" spans="1:5" x14ac:dyDescent="0.3">
      <c r="A105" s="71" t="s">
        <v>650</v>
      </c>
      <c r="D105" s="71">
        <v>411</v>
      </c>
      <c r="E105" s="72" t="s">
        <v>681</v>
      </c>
    </row>
    <row r="106" spans="1:5" x14ac:dyDescent="0.3">
      <c r="A106" s="71" t="s">
        <v>438</v>
      </c>
      <c r="D106">
        <v>501</v>
      </c>
      <c r="E106" t="s">
        <v>643</v>
      </c>
    </row>
    <row r="107" spans="1:5" x14ac:dyDescent="0.3">
      <c r="A107" s="71" t="s">
        <v>468</v>
      </c>
      <c r="D107">
        <v>502</v>
      </c>
      <c r="E107" t="s">
        <v>645</v>
      </c>
    </row>
    <row r="108" spans="1:5" x14ac:dyDescent="0.3">
      <c r="A108" s="71" t="s">
        <v>651</v>
      </c>
      <c r="D108">
        <v>503</v>
      </c>
      <c r="E108" t="s">
        <v>646</v>
      </c>
    </row>
    <row r="109" spans="1:5" x14ac:dyDescent="0.3">
      <c r="A109" s="71" t="s">
        <v>534</v>
      </c>
      <c r="D109">
        <v>504</v>
      </c>
      <c r="E109" t="s">
        <v>647</v>
      </c>
    </row>
    <row r="110" spans="1:5" x14ac:dyDescent="0.3">
      <c r="A110" s="71" t="s">
        <v>652</v>
      </c>
      <c r="D110">
        <v>505</v>
      </c>
      <c r="E110" t="s">
        <v>649</v>
      </c>
    </row>
    <row r="111" spans="1:5" x14ac:dyDescent="0.3">
      <c r="A111" s="71" t="s">
        <v>653</v>
      </c>
      <c r="D111">
        <v>506</v>
      </c>
      <c r="E111" t="s">
        <v>681</v>
      </c>
    </row>
    <row r="113" spans="1:1" x14ac:dyDescent="0.3">
      <c r="A113" t="s">
        <v>654</v>
      </c>
    </row>
    <row r="114" spans="1:1" x14ac:dyDescent="0.3">
      <c r="A114" s="71" t="s">
        <v>655</v>
      </c>
    </row>
    <row r="115" spans="1:1" x14ac:dyDescent="0.3">
      <c r="A115" s="71" t="s">
        <v>656</v>
      </c>
    </row>
    <row r="116" spans="1:1" x14ac:dyDescent="0.3">
      <c r="A116" s="71" t="s">
        <v>657</v>
      </c>
    </row>
    <row r="117" spans="1:1" x14ac:dyDescent="0.3">
      <c r="A117" s="71" t="s">
        <v>658</v>
      </c>
    </row>
    <row r="118" spans="1:1" x14ac:dyDescent="0.3">
      <c r="A118" s="71" t="s">
        <v>659</v>
      </c>
    </row>
    <row r="120" spans="1:1" x14ac:dyDescent="0.3">
      <c r="A120" t="s">
        <v>660</v>
      </c>
    </row>
    <row r="121" spans="1:1" x14ac:dyDescent="0.3">
      <c r="A121" t="s">
        <v>661</v>
      </c>
    </row>
    <row r="122" spans="1:1" x14ac:dyDescent="0.3">
      <c r="A122" t="s">
        <v>662</v>
      </c>
    </row>
    <row r="124" spans="1:1" x14ac:dyDescent="0.3">
      <c r="A124" t="s">
        <v>663</v>
      </c>
    </row>
    <row r="125" spans="1:1" x14ac:dyDescent="0.3">
      <c r="A125" t="s">
        <v>664</v>
      </c>
    </row>
    <row r="126" spans="1:1" x14ac:dyDescent="0.3">
      <c r="A126" t="s">
        <v>127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75EB5-D8DE-49E2-BA6B-E27F19CC1FEE}">
  <dimension ref="A2:E7"/>
  <sheetViews>
    <sheetView workbookViewId="0">
      <selection activeCell="D26" sqref="D26"/>
    </sheetView>
  </sheetViews>
  <sheetFormatPr baseColWidth="10" defaultRowHeight="14.4" x14ac:dyDescent="0.3"/>
  <cols>
    <col min="1" max="1" width="11.88671875" bestFit="1" customWidth="1"/>
    <col min="2" max="2" width="19.5546875" bestFit="1" customWidth="1"/>
    <col min="3" max="3" width="17.5546875" bestFit="1" customWidth="1"/>
    <col min="4" max="4" width="19.44140625" bestFit="1" customWidth="1"/>
    <col min="5" max="8" width="14.21875" bestFit="1" customWidth="1"/>
  </cols>
  <sheetData>
    <row r="2" spans="1:5" x14ac:dyDescent="0.3">
      <c r="A2" s="115" t="s">
        <v>451</v>
      </c>
      <c r="B2" t="s">
        <v>735</v>
      </c>
      <c r="C2" t="s">
        <v>736</v>
      </c>
      <c r="D2" t="s">
        <v>737</v>
      </c>
      <c r="E2" t="s">
        <v>733</v>
      </c>
    </row>
    <row r="3" spans="1:5" x14ac:dyDescent="0.3">
      <c r="A3" t="s">
        <v>721</v>
      </c>
      <c r="B3">
        <v>170</v>
      </c>
      <c r="C3">
        <v>13</v>
      </c>
      <c r="D3">
        <v>74</v>
      </c>
      <c r="E3">
        <v>353</v>
      </c>
    </row>
    <row r="4" spans="1:5" x14ac:dyDescent="0.3">
      <c r="A4" t="s">
        <v>722</v>
      </c>
      <c r="B4">
        <v>92</v>
      </c>
      <c r="C4">
        <v>9</v>
      </c>
      <c r="D4">
        <v>36</v>
      </c>
      <c r="E4">
        <v>277</v>
      </c>
    </row>
    <row r="5" spans="1:5" x14ac:dyDescent="0.3">
      <c r="A5" t="s">
        <v>723</v>
      </c>
      <c r="B5">
        <v>66</v>
      </c>
      <c r="C5">
        <v>7</v>
      </c>
      <c r="D5">
        <v>25</v>
      </c>
      <c r="E5">
        <v>226</v>
      </c>
    </row>
    <row r="6" spans="1:5" x14ac:dyDescent="0.3">
      <c r="A6" t="s">
        <v>724</v>
      </c>
      <c r="B6">
        <v>62</v>
      </c>
      <c r="C6">
        <v>15</v>
      </c>
      <c r="D6">
        <v>50</v>
      </c>
      <c r="E6">
        <v>289</v>
      </c>
    </row>
    <row r="7" spans="1:5" x14ac:dyDescent="0.3">
      <c r="A7" t="s">
        <v>725</v>
      </c>
      <c r="B7">
        <v>390</v>
      </c>
      <c r="C7">
        <v>44</v>
      </c>
      <c r="D7">
        <v>185</v>
      </c>
      <c r="E7">
        <v>1145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980AD-0A09-4033-BA64-5157AD3620FE}">
  <dimension ref="A2:C31"/>
  <sheetViews>
    <sheetView workbookViewId="0"/>
  </sheetViews>
  <sheetFormatPr baseColWidth="10" defaultRowHeight="14.4" x14ac:dyDescent="0.3"/>
  <cols>
    <col min="1" max="1" width="42.6640625" bestFit="1" customWidth="1"/>
    <col min="2" max="2" width="18.77734375" bestFit="1" customWidth="1"/>
    <col min="3" max="3" width="18" bestFit="1" customWidth="1"/>
  </cols>
  <sheetData>
    <row r="2" spans="1:3" x14ac:dyDescent="0.3">
      <c r="A2" s="115" t="s">
        <v>669</v>
      </c>
      <c r="B2" t="s">
        <v>793</v>
      </c>
      <c r="C2" t="s">
        <v>1170</v>
      </c>
    </row>
    <row r="3" spans="1:3" x14ac:dyDescent="0.3">
      <c r="A3" t="s">
        <v>557</v>
      </c>
      <c r="B3">
        <v>45</v>
      </c>
      <c r="C3">
        <v>22</v>
      </c>
    </row>
    <row r="4" spans="1:3" x14ac:dyDescent="0.3">
      <c r="A4" t="s">
        <v>681</v>
      </c>
      <c r="B4">
        <v>29</v>
      </c>
      <c r="C4">
        <v>6</v>
      </c>
    </row>
    <row r="5" spans="1:3" x14ac:dyDescent="0.3">
      <c r="A5" t="s">
        <v>512</v>
      </c>
      <c r="B5">
        <v>23</v>
      </c>
      <c r="C5">
        <v>2</v>
      </c>
    </row>
    <row r="6" spans="1:3" x14ac:dyDescent="0.3">
      <c r="A6" t="s">
        <v>545</v>
      </c>
      <c r="B6">
        <v>10</v>
      </c>
      <c r="C6">
        <v>1</v>
      </c>
    </row>
    <row r="7" spans="1:3" x14ac:dyDescent="0.3">
      <c r="A7" t="s">
        <v>516</v>
      </c>
      <c r="B7">
        <v>10</v>
      </c>
      <c r="C7">
        <v>9</v>
      </c>
    </row>
    <row r="8" spans="1:3" x14ac:dyDescent="0.3">
      <c r="A8" t="s">
        <v>527</v>
      </c>
      <c r="B8">
        <v>7</v>
      </c>
    </row>
    <row r="9" spans="1:3" x14ac:dyDescent="0.3">
      <c r="A9" t="s">
        <v>684</v>
      </c>
      <c r="B9">
        <v>7</v>
      </c>
      <c r="C9">
        <v>1</v>
      </c>
    </row>
    <row r="10" spans="1:3" x14ac:dyDescent="0.3">
      <c r="A10" t="s">
        <v>529</v>
      </c>
      <c r="B10">
        <v>6</v>
      </c>
      <c r="C10">
        <v>2</v>
      </c>
    </row>
    <row r="11" spans="1:3" x14ac:dyDescent="0.3">
      <c r="A11" t="s">
        <v>537</v>
      </c>
      <c r="B11">
        <v>5</v>
      </c>
    </row>
    <row r="12" spans="1:3" x14ac:dyDescent="0.3">
      <c r="A12" t="s">
        <v>561</v>
      </c>
      <c r="B12">
        <v>4</v>
      </c>
    </row>
    <row r="13" spans="1:3" x14ac:dyDescent="0.3">
      <c r="A13" t="s">
        <v>531</v>
      </c>
      <c r="B13">
        <v>3</v>
      </c>
    </row>
    <row r="14" spans="1:3" x14ac:dyDescent="0.3">
      <c r="A14" t="s">
        <v>502</v>
      </c>
      <c r="B14">
        <v>2</v>
      </c>
    </row>
    <row r="15" spans="1:3" x14ac:dyDescent="0.3">
      <c r="A15" t="s">
        <v>685</v>
      </c>
      <c r="B15">
        <v>2</v>
      </c>
      <c r="C15">
        <v>2</v>
      </c>
    </row>
    <row r="16" spans="1:3" x14ac:dyDescent="0.3">
      <c r="A16" t="s">
        <v>567</v>
      </c>
      <c r="B16">
        <v>1</v>
      </c>
    </row>
    <row r="17" spans="1:3" x14ac:dyDescent="0.3">
      <c r="A17" t="s">
        <v>539</v>
      </c>
      <c r="B17">
        <v>1</v>
      </c>
    </row>
    <row r="18" spans="1:3" x14ac:dyDescent="0.3">
      <c r="A18" t="s">
        <v>569</v>
      </c>
      <c r="B18">
        <v>1</v>
      </c>
    </row>
    <row r="19" spans="1:3" x14ac:dyDescent="0.3">
      <c r="A19" t="s">
        <v>481</v>
      </c>
      <c r="B19">
        <v>1</v>
      </c>
    </row>
    <row r="20" spans="1:3" x14ac:dyDescent="0.3">
      <c r="A20" t="s">
        <v>497</v>
      </c>
      <c r="B20">
        <v>1</v>
      </c>
    </row>
    <row r="21" spans="1:3" x14ac:dyDescent="0.3">
      <c r="A21" t="s">
        <v>570</v>
      </c>
      <c r="B21">
        <v>1</v>
      </c>
    </row>
    <row r="22" spans="1:3" x14ac:dyDescent="0.3">
      <c r="A22" t="s">
        <v>460</v>
      </c>
      <c r="B22">
        <v>1</v>
      </c>
      <c r="C22">
        <v>1</v>
      </c>
    </row>
    <row r="23" spans="1:3" x14ac:dyDescent="0.3">
      <c r="A23" t="s">
        <v>499</v>
      </c>
      <c r="B23">
        <v>1</v>
      </c>
    </row>
    <row r="24" spans="1:3" x14ac:dyDescent="0.3">
      <c r="A24" t="s">
        <v>586</v>
      </c>
    </row>
    <row r="25" spans="1:3" x14ac:dyDescent="0.3">
      <c r="A25" t="s">
        <v>641</v>
      </c>
    </row>
    <row r="26" spans="1:3" x14ac:dyDescent="0.3">
      <c r="A26" t="s">
        <v>734</v>
      </c>
    </row>
    <row r="27" spans="1:3" x14ac:dyDescent="0.3">
      <c r="A27" t="s">
        <v>493</v>
      </c>
    </row>
    <row r="28" spans="1:3" x14ac:dyDescent="0.3">
      <c r="A28" t="s">
        <v>507</v>
      </c>
      <c r="C28">
        <v>1</v>
      </c>
    </row>
    <row r="29" spans="1:3" x14ac:dyDescent="0.3">
      <c r="A29" t="s">
        <v>514</v>
      </c>
      <c r="C29">
        <v>1</v>
      </c>
    </row>
    <row r="30" spans="1:3" x14ac:dyDescent="0.3">
      <c r="A30" t="s">
        <v>509</v>
      </c>
    </row>
    <row r="31" spans="1:3" x14ac:dyDescent="0.3">
      <c r="A31" t="s">
        <v>725</v>
      </c>
      <c r="B31">
        <v>161</v>
      </c>
      <c r="C31">
        <v>48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C315B-1149-425A-8019-39C606FE72B6}">
  <dimension ref="A2:B50"/>
  <sheetViews>
    <sheetView workbookViewId="0">
      <selection activeCell="C26" sqref="C26"/>
    </sheetView>
  </sheetViews>
  <sheetFormatPr baseColWidth="10" defaultRowHeight="14.4" x14ac:dyDescent="0.3"/>
  <cols>
    <col min="1" max="1" width="46.5546875" bestFit="1" customWidth="1"/>
    <col min="2" max="2" width="20.88671875" bestFit="1" customWidth="1"/>
  </cols>
  <sheetData>
    <row r="2" spans="1:2" x14ac:dyDescent="0.3">
      <c r="A2" s="115" t="s">
        <v>810</v>
      </c>
      <c r="B2" t="s">
        <v>1168</v>
      </c>
    </row>
    <row r="3" spans="1:2" x14ac:dyDescent="0.3">
      <c r="A3" t="s">
        <v>557</v>
      </c>
      <c r="B3">
        <v>139</v>
      </c>
    </row>
    <row r="4" spans="1:2" x14ac:dyDescent="0.3">
      <c r="A4" t="s">
        <v>512</v>
      </c>
      <c r="B4">
        <v>76</v>
      </c>
    </row>
    <row r="5" spans="1:2" x14ac:dyDescent="0.3">
      <c r="A5" t="s">
        <v>516</v>
      </c>
      <c r="B5">
        <v>51</v>
      </c>
    </row>
    <row r="6" spans="1:2" x14ac:dyDescent="0.3">
      <c r="A6" t="s">
        <v>684</v>
      </c>
      <c r="B6">
        <v>47</v>
      </c>
    </row>
    <row r="7" spans="1:2" x14ac:dyDescent="0.3">
      <c r="A7" t="s">
        <v>681</v>
      </c>
      <c r="B7">
        <v>41</v>
      </c>
    </row>
    <row r="8" spans="1:2" x14ac:dyDescent="0.3">
      <c r="A8" t="s">
        <v>685</v>
      </c>
      <c r="B8">
        <v>21</v>
      </c>
    </row>
    <row r="9" spans="1:2" x14ac:dyDescent="0.3">
      <c r="A9" t="s">
        <v>531</v>
      </c>
      <c r="B9">
        <v>20</v>
      </c>
    </row>
    <row r="10" spans="1:2" x14ac:dyDescent="0.3">
      <c r="A10" t="s">
        <v>527</v>
      </c>
      <c r="B10">
        <v>18</v>
      </c>
    </row>
    <row r="11" spans="1:2" x14ac:dyDescent="0.3">
      <c r="A11" t="s">
        <v>529</v>
      </c>
      <c r="B11">
        <v>18</v>
      </c>
    </row>
    <row r="12" spans="1:2" x14ac:dyDescent="0.3">
      <c r="A12" t="s">
        <v>545</v>
      </c>
      <c r="B12">
        <v>12</v>
      </c>
    </row>
    <row r="13" spans="1:2" x14ac:dyDescent="0.3">
      <c r="A13" t="s">
        <v>561</v>
      </c>
      <c r="B13">
        <v>5</v>
      </c>
    </row>
    <row r="14" spans="1:2" x14ac:dyDescent="0.3">
      <c r="A14" t="s">
        <v>734</v>
      </c>
      <c r="B14">
        <v>5</v>
      </c>
    </row>
    <row r="15" spans="1:2" x14ac:dyDescent="0.3">
      <c r="A15" t="s">
        <v>560</v>
      </c>
      <c r="B15">
        <v>5</v>
      </c>
    </row>
    <row r="16" spans="1:2" x14ac:dyDescent="0.3">
      <c r="A16" t="s">
        <v>497</v>
      </c>
      <c r="B16">
        <v>4</v>
      </c>
    </row>
    <row r="17" spans="1:2" x14ac:dyDescent="0.3">
      <c r="A17" t="s">
        <v>537</v>
      </c>
      <c r="B17">
        <v>4</v>
      </c>
    </row>
    <row r="18" spans="1:2" x14ac:dyDescent="0.3">
      <c r="A18" t="s">
        <v>460</v>
      </c>
      <c r="B18">
        <v>4</v>
      </c>
    </row>
    <row r="19" spans="1:2" x14ac:dyDescent="0.3">
      <c r="A19" t="s">
        <v>481</v>
      </c>
      <c r="B19">
        <v>2</v>
      </c>
    </row>
    <row r="20" spans="1:2" x14ac:dyDescent="0.3">
      <c r="A20" t="s">
        <v>634</v>
      </c>
      <c r="B20">
        <v>2</v>
      </c>
    </row>
    <row r="21" spans="1:2" x14ac:dyDescent="0.3">
      <c r="A21" t="s">
        <v>499</v>
      </c>
      <c r="B21">
        <v>2</v>
      </c>
    </row>
    <row r="22" spans="1:2" x14ac:dyDescent="0.3">
      <c r="A22" t="s">
        <v>641</v>
      </c>
      <c r="B22">
        <v>2</v>
      </c>
    </row>
    <row r="23" spans="1:2" x14ac:dyDescent="0.3">
      <c r="A23" t="s">
        <v>688</v>
      </c>
      <c r="B23">
        <v>2</v>
      </c>
    </row>
    <row r="24" spans="1:2" x14ac:dyDescent="0.3">
      <c r="A24" t="s">
        <v>539</v>
      </c>
      <c r="B24">
        <v>2</v>
      </c>
    </row>
    <row r="25" spans="1:2" x14ac:dyDescent="0.3">
      <c r="A25" t="s">
        <v>541</v>
      </c>
      <c r="B25">
        <v>1</v>
      </c>
    </row>
    <row r="26" spans="1:2" x14ac:dyDescent="0.3">
      <c r="A26" t="s">
        <v>521</v>
      </c>
      <c r="B26">
        <v>1</v>
      </c>
    </row>
    <row r="27" spans="1:2" x14ac:dyDescent="0.3">
      <c r="A27" t="s">
        <v>493</v>
      </c>
      <c r="B27">
        <v>1</v>
      </c>
    </row>
    <row r="28" spans="1:2" x14ac:dyDescent="0.3">
      <c r="A28" t="s">
        <v>535</v>
      </c>
      <c r="B28">
        <v>1</v>
      </c>
    </row>
    <row r="29" spans="1:2" x14ac:dyDescent="0.3">
      <c r="A29" t="s">
        <v>477</v>
      </c>
      <c r="B29">
        <v>1</v>
      </c>
    </row>
    <row r="30" spans="1:2" x14ac:dyDescent="0.3">
      <c r="A30" t="s">
        <v>511</v>
      </c>
      <c r="B30">
        <v>1</v>
      </c>
    </row>
    <row r="31" spans="1:2" x14ac:dyDescent="0.3">
      <c r="A31" t="s">
        <v>549</v>
      </c>
      <c r="B31">
        <v>1</v>
      </c>
    </row>
    <row r="32" spans="1:2" x14ac:dyDescent="0.3">
      <c r="A32" t="s">
        <v>567</v>
      </c>
      <c r="B32">
        <v>1</v>
      </c>
    </row>
    <row r="33" spans="1:2" x14ac:dyDescent="0.3">
      <c r="A33" t="s">
        <v>570</v>
      </c>
      <c r="B33">
        <v>1</v>
      </c>
    </row>
    <row r="34" spans="1:2" x14ac:dyDescent="0.3">
      <c r="A34" t="s">
        <v>588</v>
      </c>
    </row>
    <row r="35" spans="1:2" x14ac:dyDescent="0.3">
      <c r="A35" t="s">
        <v>509</v>
      </c>
    </row>
    <row r="36" spans="1:2" x14ac:dyDescent="0.3">
      <c r="A36" t="s">
        <v>582</v>
      </c>
    </row>
    <row r="37" spans="1:2" x14ac:dyDescent="0.3">
      <c r="A37" t="s">
        <v>525</v>
      </c>
    </row>
    <row r="38" spans="1:2" x14ac:dyDescent="0.3">
      <c r="A38" t="s">
        <v>642</v>
      </c>
    </row>
    <row r="39" spans="1:2" x14ac:dyDescent="0.3">
      <c r="A39" t="s">
        <v>563</v>
      </c>
    </row>
    <row r="40" spans="1:2" x14ac:dyDescent="0.3">
      <c r="A40" t="s">
        <v>622</v>
      </c>
    </row>
    <row r="41" spans="1:2" x14ac:dyDescent="0.3">
      <c r="A41" t="s">
        <v>569</v>
      </c>
    </row>
    <row r="42" spans="1:2" x14ac:dyDescent="0.3">
      <c r="A42" t="s">
        <v>507</v>
      </c>
    </row>
    <row r="43" spans="1:2" x14ac:dyDescent="0.3">
      <c r="A43" t="s">
        <v>514</v>
      </c>
    </row>
    <row r="44" spans="1:2" x14ac:dyDescent="0.3">
      <c r="A44" t="s">
        <v>604</v>
      </c>
    </row>
    <row r="45" spans="1:2" x14ac:dyDescent="0.3">
      <c r="A45" t="s">
        <v>682</v>
      </c>
    </row>
    <row r="46" spans="1:2" x14ac:dyDescent="0.3">
      <c r="A46" t="s">
        <v>586</v>
      </c>
    </row>
    <row r="47" spans="1:2" x14ac:dyDescent="0.3">
      <c r="A47" t="s">
        <v>502</v>
      </c>
    </row>
    <row r="48" spans="1:2" x14ac:dyDescent="0.3">
      <c r="A48" t="s">
        <v>637</v>
      </c>
    </row>
    <row r="49" spans="1:2" x14ac:dyDescent="0.3">
      <c r="A49" t="s">
        <v>626</v>
      </c>
    </row>
    <row r="50" spans="1:2" x14ac:dyDescent="0.3">
      <c r="A50" t="s">
        <v>725</v>
      </c>
      <c r="B50">
        <v>491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AF9AC-FAD6-40CC-8FC1-F48EF3CF86EC}">
  <dimension ref="A1:C11"/>
  <sheetViews>
    <sheetView workbookViewId="0">
      <selection activeCell="B7" sqref="B7"/>
    </sheetView>
  </sheetViews>
  <sheetFormatPr baseColWidth="10" defaultRowHeight="14.4" x14ac:dyDescent="0.3"/>
  <cols>
    <col min="1" max="1" width="22.21875" bestFit="1" customWidth="1"/>
    <col min="2" max="2" width="17.44140625" bestFit="1" customWidth="1"/>
    <col min="3" max="3" width="19.77734375" bestFit="1" customWidth="1"/>
  </cols>
  <sheetData>
    <row r="1" spans="1:3" x14ac:dyDescent="0.3">
      <c r="A1" s="115" t="s">
        <v>451</v>
      </c>
      <c r="B1" t="s">
        <v>724</v>
      </c>
    </row>
    <row r="3" spans="1:3" x14ac:dyDescent="0.3">
      <c r="A3" s="115" t="s">
        <v>796</v>
      </c>
      <c r="B3" t="s">
        <v>1169</v>
      </c>
      <c r="C3" t="s">
        <v>1171</v>
      </c>
    </row>
    <row r="4" spans="1:3" x14ac:dyDescent="0.3">
      <c r="A4" t="s">
        <v>726</v>
      </c>
      <c r="B4">
        <v>16</v>
      </c>
      <c r="C4">
        <v>52</v>
      </c>
    </row>
    <row r="5" spans="1:3" x14ac:dyDescent="0.3">
      <c r="A5" t="s">
        <v>727</v>
      </c>
      <c r="B5">
        <v>3</v>
      </c>
      <c r="C5">
        <v>24</v>
      </c>
    </row>
    <row r="6" spans="1:3" x14ac:dyDescent="0.3">
      <c r="A6" t="s">
        <v>728</v>
      </c>
      <c r="B6">
        <v>5</v>
      </c>
      <c r="C6">
        <v>32</v>
      </c>
    </row>
    <row r="7" spans="1:3" x14ac:dyDescent="0.3">
      <c r="A7" t="s">
        <v>729</v>
      </c>
      <c r="B7">
        <v>2</v>
      </c>
      <c r="C7">
        <v>25</v>
      </c>
    </row>
    <row r="8" spans="1:3" x14ac:dyDescent="0.3">
      <c r="A8" t="s">
        <v>730</v>
      </c>
      <c r="B8">
        <v>7</v>
      </c>
      <c r="C8">
        <v>42</v>
      </c>
    </row>
    <row r="9" spans="1:3" x14ac:dyDescent="0.3">
      <c r="A9" t="s">
        <v>731</v>
      </c>
      <c r="B9">
        <v>6</v>
      </c>
      <c r="C9">
        <v>55</v>
      </c>
    </row>
    <row r="10" spans="1:3" x14ac:dyDescent="0.3">
      <c r="A10" t="s">
        <v>732</v>
      </c>
      <c r="B10">
        <v>14</v>
      </c>
      <c r="C10">
        <v>38</v>
      </c>
    </row>
    <row r="11" spans="1:3" x14ac:dyDescent="0.3">
      <c r="A11" t="s">
        <v>725</v>
      </c>
      <c r="B11">
        <v>53</v>
      </c>
      <c r="C11">
        <v>268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97FB6-BB6E-4D75-B8C6-084E40054F32}">
  <dimension ref="A1:B32"/>
  <sheetViews>
    <sheetView workbookViewId="0">
      <selection activeCell="K21" sqref="K21"/>
    </sheetView>
  </sheetViews>
  <sheetFormatPr baseColWidth="10" defaultRowHeight="14.4" x14ac:dyDescent="0.3"/>
  <cols>
    <col min="1" max="1" width="42.6640625" bestFit="1" customWidth="1"/>
    <col min="2" max="2" width="14.21875" bestFit="1" customWidth="1"/>
  </cols>
  <sheetData>
    <row r="1" spans="1:2" x14ac:dyDescent="0.3">
      <c r="A1" s="115" t="s">
        <v>451</v>
      </c>
      <c r="B1" t="s">
        <v>724</v>
      </c>
    </row>
    <row r="3" spans="1:2" x14ac:dyDescent="0.3">
      <c r="A3" s="115" t="s">
        <v>810</v>
      </c>
      <c r="B3" t="s">
        <v>733</v>
      </c>
    </row>
    <row r="4" spans="1:2" x14ac:dyDescent="0.3">
      <c r="A4" t="s">
        <v>557</v>
      </c>
      <c r="B4">
        <v>90</v>
      </c>
    </row>
    <row r="5" spans="1:2" x14ac:dyDescent="0.3">
      <c r="A5" t="s">
        <v>681</v>
      </c>
      <c r="B5">
        <v>45</v>
      </c>
    </row>
    <row r="6" spans="1:2" x14ac:dyDescent="0.3">
      <c r="A6" t="s">
        <v>512</v>
      </c>
      <c r="B6">
        <v>32</v>
      </c>
    </row>
    <row r="7" spans="1:2" x14ac:dyDescent="0.3">
      <c r="A7" t="s">
        <v>516</v>
      </c>
      <c r="B7">
        <v>23</v>
      </c>
    </row>
    <row r="8" spans="1:2" x14ac:dyDescent="0.3">
      <c r="A8" t="s">
        <v>684</v>
      </c>
      <c r="B8">
        <v>19</v>
      </c>
    </row>
    <row r="9" spans="1:2" x14ac:dyDescent="0.3">
      <c r="A9" t="s">
        <v>545</v>
      </c>
      <c r="B9">
        <v>13</v>
      </c>
    </row>
    <row r="10" spans="1:2" x14ac:dyDescent="0.3">
      <c r="A10" t="s">
        <v>527</v>
      </c>
      <c r="B10">
        <v>11</v>
      </c>
    </row>
    <row r="11" spans="1:2" x14ac:dyDescent="0.3">
      <c r="A11" t="s">
        <v>529</v>
      </c>
      <c r="B11">
        <v>9</v>
      </c>
    </row>
    <row r="12" spans="1:2" x14ac:dyDescent="0.3">
      <c r="A12" t="s">
        <v>537</v>
      </c>
      <c r="B12">
        <v>9</v>
      </c>
    </row>
    <row r="13" spans="1:2" x14ac:dyDescent="0.3">
      <c r="A13" t="s">
        <v>561</v>
      </c>
      <c r="B13">
        <v>7</v>
      </c>
    </row>
    <row r="14" spans="1:2" x14ac:dyDescent="0.3">
      <c r="A14" t="s">
        <v>685</v>
      </c>
      <c r="B14">
        <v>6</v>
      </c>
    </row>
    <row r="15" spans="1:2" x14ac:dyDescent="0.3">
      <c r="A15" t="s">
        <v>460</v>
      </c>
      <c r="B15">
        <v>5</v>
      </c>
    </row>
    <row r="16" spans="1:2" x14ac:dyDescent="0.3">
      <c r="A16" t="s">
        <v>502</v>
      </c>
      <c r="B16">
        <v>3</v>
      </c>
    </row>
    <row r="17" spans="1:2" x14ac:dyDescent="0.3">
      <c r="A17" t="s">
        <v>481</v>
      </c>
      <c r="B17">
        <v>3</v>
      </c>
    </row>
    <row r="18" spans="1:2" x14ac:dyDescent="0.3">
      <c r="A18" t="s">
        <v>539</v>
      </c>
      <c r="B18">
        <v>2</v>
      </c>
    </row>
    <row r="19" spans="1:2" x14ac:dyDescent="0.3">
      <c r="A19" t="s">
        <v>531</v>
      </c>
      <c r="B19">
        <v>2</v>
      </c>
    </row>
    <row r="20" spans="1:2" x14ac:dyDescent="0.3">
      <c r="A20" t="s">
        <v>734</v>
      </c>
      <c r="B20">
        <v>1</v>
      </c>
    </row>
    <row r="21" spans="1:2" x14ac:dyDescent="0.3">
      <c r="A21" t="s">
        <v>569</v>
      </c>
      <c r="B21">
        <v>1</v>
      </c>
    </row>
    <row r="22" spans="1:2" x14ac:dyDescent="0.3">
      <c r="A22" t="s">
        <v>586</v>
      </c>
      <c r="B22">
        <v>1</v>
      </c>
    </row>
    <row r="23" spans="1:2" x14ac:dyDescent="0.3">
      <c r="A23" t="s">
        <v>497</v>
      </c>
      <c r="B23">
        <v>1</v>
      </c>
    </row>
    <row r="24" spans="1:2" x14ac:dyDescent="0.3">
      <c r="A24" t="s">
        <v>570</v>
      </c>
      <c r="B24">
        <v>1</v>
      </c>
    </row>
    <row r="25" spans="1:2" x14ac:dyDescent="0.3">
      <c r="A25" t="s">
        <v>567</v>
      </c>
      <c r="B25">
        <v>1</v>
      </c>
    </row>
    <row r="26" spans="1:2" x14ac:dyDescent="0.3">
      <c r="A26" t="s">
        <v>514</v>
      </c>
      <c r="B26">
        <v>1</v>
      </c>
    </row>
    <row r="27" spans="1:2" x14ac:dyDescent="0.3">
      <c r="A27" t="s">
        <v>641</v>
      </c>
      <c r="B27">
        <v>1</v>
      </c>
    </row>
    <row r="28" spans="1:2" x14ac:dyDescent="0.3">
      <c r="A28" t="s">
        <v>493</v>
      </c>
      <c r="B28">
        <v>1</v>
      </c>
    </row>
    <row r="29" spans="1:2" x14ac:dyDescent="0.3">
      <c r="A29" t="s">
        <v>499</v>
      </c>
      <c r="B29">
        <v>1</v>
      </c>
    </row>
    <row r="30" spans="1:2" x14ac:dyDescent="0.3">
      <c r="A30" t="s">
        <v>507</v>
      </c>
      <c r="B30">
        <v>0</v>
      </c>
    </row>
    <row r="31" spans="1:2" x14ac:dyDescent="0.3">
      <c r="A31" t="s">
        <v>509</v>
      </c>
      <c r="B31">
        <v>0</v>
      </c>
    </row>
    <row r="32" spans="1:2" x14ac:dyDescent="0.3">
      <c r="A32" t="s">
        <v>725</v>
      </c>
      <c r="B32">
        <v>289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0C6AC-735E-47B4-A5D2-E19BBD382800}">
  <dimension ref="A1:C8"/>
  <sheetViews>
    <sheetView workbookViewId="0">
      <selection activeCell="G21" sqref="G21"/>
    </sheetView>
  </sheetViews>
  <sheetFormatPr baseColWidth="10" defaultRowHeight="14.4" x14ac:dyDescent="0.3"/>
  <cols>
    <col min="1" max="1" width="13.109375" bestFit="1" customWidth="1"/>
    <col min="2" max="2" width="28.88671875" bestFit="1" customWidth="1"/>
    <col min="3" max="3" width="27.5546875" bestFit="1" customWidth="1"/>
    <col min="4" max="7" width="28.88671875" bestFit="1" customWidth="1"/>
    <col min="8" max="8" width="33.6640625" bestFit="1" customWidth="1"/>
    <col min="9" max="10" width="32.33203125" bestFit="1" customWidth="1"/>
    <col min="11" max="11" width="48.109375" bestFit="1" customWidth="1"/>
    <col min="12" max="12" width="33.6640625" bestFit="1" customWidth="1"/>
    <col min="13" max="13" width="32.33203125" bestFit="1" customWidth="1"/>
  </cols>
  <sheetData>
    <row r="1" spans="1:3" x14ac:dyDescent="0.3">
      <c r="A1" s="115" t="s">
        <v>451</v>
      </c>
      <c r="B1" t="s">
        <v>724</v>
      </c>
    </row>
    <row r="2" spans="1:3" x14ac:dyDescent="0.3">
      <c r="A2" s="115" t="s">
        <v>813</v>
      </c>
      <c r="B2" t="s">
        <v>738</v>
      </c>
    </row>
    <row r="4" spans="1:3" x14ac:dyDescent="0.3">
      <c r="A4" s="115" t="s">
        <v>455</v>
      </c>
      <c r="B4" t="s">
        <v>1172</v>
      </c>
      <c r="C4" t="s">
        <v>1173</v>
      </c>
    </row>
    <row r="5" spans="1:3" x14ac:dyDescent="0.3">
      <c r="A5" t="s">
        <v>739</v>
      </c>
      <c r="B5" s="266">
        <v>43</v>
      </c>
      <c r="C5" s="266">
        <v>28</v>
      </c>
    </row>
    <row r="6" spans="1:3" x14ac:dyDescent="0.3">
      <c r="A6" t="s">
        <v>740</v>
      </c>
      <c r="B6" s="266">
        <v>161</v>
      </c>
      <c r="C6" s="266">
        <v>144</v>
      </c>
    </row>
    <row r="7" spans="1:3" x14ac:dyDescent="0.3">
      <c r="A7" t="s">
        <v>741</v>
      </c>
      <c r="B7" s="266">
        <v>54</v>
      </c>
      <c r="C7" s="266">
        <v>43</v>
      </c>
    </row>
    <row r="8" spans="1:3" x14ac:dyDescent="0.3">
      <c r="A8" t="s">
        <v>725</v>
      </c>
      <c r="B8" s="266">
        <v>258</v>
      </c>
      <c r="C8" s="266">
        <v>215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6EFA7-C3AC-416F-9766-E59EB3D7BBD2}">
  <dimension ref="A1:E30"/>
  <sheetViews>
    <sheetView workbookViewId="0">
      <selection activeCell="L26" sqref="L26"/>
    </sheetView>
  </sheetViews>
  <sheetFormatPr baseColWidth="10" defaultRowHeight="14.4" x14ac:dyDescent="0.3"/>
  <sheetData>
    <row r="1" spans="1:5" x14ac:dyDescent="0.3">
      <c r="A1" s="205" t="s">
        <v>669</v>
      </c>
      <c r="B1" s="205" t="s">
        <v>739</v>
      </c>
      <c r="C1" s="205" t="s">
        <v>740</v>
      </c>
      <c r="D1" s="205" t="s">
        <v>741</v>
      </c>
      <c r="E1" s="205" t="s">
        <v>725</v>
      </c>
    </row>
    <row r="2" spans="1:5" x14ac:dyDescent="0.3">
      <c r="A2" t="s">
        <v>499</v>
      </c>
      <c r="C2">
        <v>1</v>
      </c>
      <c r="E2">
        <v>1</v>
      </c>
    </row>
    <row r="3" spans="1:5" x14ac:dyDescent="0.3">
      <c r="A3" t="s">
        <v>502</v>
      </c>
      <c r="C3">
        <v>2</v>
      </c>
      <c r="E3">
        <v>2</v>
      </c>
    </row>
    <row r="4" spans="1:5" x14ac:dyDescent="0.3">
      <c r="A4" t="s">
        <v>460</v>
      </c>
      <c r="B4">
        <v>1</v>
      </c>
      <c r="C4">
        <v>1</v>
      </c>
      <c r="D4">
        <v>1</v>
      </c>
      <c r="E4">
        <v>3</v>
      </c>
    </row>
    <row r="5" spans="1:5" x14ac:dyDescent="0.3">
      <c r="A5" t="s">
        <v>497</v>
      </c>
      <c r="C5">
        <v>1</v>
      </c>
      <c r="E5">
        <v>1</v>
      </c>
    </row>
    <row r="6" spans="1:5" x14ac:dyDescent="0.3">
      <c r="A6" t="s">
        <v>567</v>
      </c>
      <c r="C6">
        <v>1</v>
      </c>
      <c r="E6">
        <v>1</v>
      </c>
    </row>
    <row r="7" spans="1:5" x14ac:dyDescent="0.3">
      <c r="A7" t="s">
        <v>570</v>
      </c>
      <c r="C7">
        <v>1</v>
      </c>
      <c r="E7">
        <v>1</v>
      </c>
    </row>
    <row r="8" spans="1:5" x14ac:dyDescent="0.3">
      <c r="A8" t="s">
        <v>641</v>
      </c>
      <c r="D8">
        <v>1</v>
      </c>
      <c r="E8">
        <v>1</v>
      </c>
    </row>
    <row r="9" spans="1:5" x14ac:dyDescent="0.3">
      <c r="A9" t="s">
        <v>514</v>
      </c>
      <c r="B9">
        <v>1</v>
      </c>
      <c r="E9">
        <v>1</v>
      </c>
    </row>
    <row r="10" spans="1:5" x14ac:dyDescent="0.3">
      <c r="A10" t="s">
        <v>512</v>
      </c>
      <c r="B10">
        <v>2</v>
      </c>
      <c r="C10">
        <v>23</v>
      </c>
      <c r="D10">
        <v>5</v>
      </c>
      <c r="E10">
        <v>30</v>
      </c>
    </row>
    <row r="11" spans="1:5" x14ac:dyDescent="0.3">
      <c r="A11" t="s">
        <v>507</v>
      </c>
      <c r="B11">
        <v>1</v>
      </c>
      <c r="E11">
        <v>1</v>
      </c>
    </row>
    <row r="12" spans="1:5" x14ac:dyDescent="0.3">
      <c r="A12" t="s">
        <v>516</v>
      </c>
      <c r="B12">
        <v>9</v>
      </c>
      <c r="C12">
        <v>10</v>
      </c>
      <c r="D12">
        <v>5</v>
      </c>
      <c r="E12">
        <v>24</v>
      </c>
    </row>
    <row r="13" spans="1:5" x14ac:dyDescent="0.3">
      <c r="A13" t="s">
        <v>684</v>
      </c>
      <c r="B13">
        <v>1</v>
      </c>
      <c r="C13">
        <v>7</v>
      </c>
      <c r="D13">
        <v>10</v>
      </c>
      <c r="E13">
        <v>18</v>
      </c>
    </row>
    <row r="14" spans="1:5" x14ac:dyDescent="0.3">
      <c r="A14" t="s">
        <v>685</v>
      </c>
      <c r="B14">
        <v>2</v>
      </c>
      <c r="C14">
        <v>2</v>
      </c>
      <c r="D14">
        <v>2</v>
      </c>
      <c r="E14">
        <v>6</v>
      </c>
    </row>
    <row r="15" spans="1:5" x14ac:dyDescent="0.3">
      <c r="A15" t="s">
        <v>509</v>
      </c>
      <c r="D15">
        <v>1</v>
      </c>
      <c r="E15">
        <v>1</v>
      </c>
    </row>
    <row r="16" spans="1:5" x14ac:dyDescent="0.3">
      <c r="A16" t="s">
        <v>586</v>
      </c>
      <c r="D16">
        <v>1</v>
      </c>
      <c r="E16">
        <v>1</v>
      </c>
    </row>
    <row r="17" spans="1:5" x14ac:dyDescent="0.3">
      <c r="A17" t="s">
        <v>529</v>
      </c>
      <c r="B17">
        <v>2</v>
      </c>
      <c r="C17">
        <v>6</v>
      </c>
      <c r="D17">
        <v>2</v>
      </c>
      <c r="E17">
        <v>10</v>
      </c>
    </row>
    <row r="18" spans="1:5" x14ac:dyDescent="0.3">
      <c r="A18" t="s">
        <v>557</v>
      </c>
      <c r="B18">
        <v>22</v>
      </c>
      <c r="C18">
        <v>45</v>
      </c>
      <c r="D18">
        <v>7</v>
      </c>
      <c r="E18">
        <v>74</v>
      </c>
    </row>
    <row r="19" spans="1:5" x14ac:dyDescent="0.3">
      <c r="A19" t="s">
        <v>493</v>
      </c>
      <c r="D19">
        <v>1</v>
      </c>
      <c r="E19">
        <v>1</v>
      </c>
    </row>
    <row r="20" spans="1:5" x14ac:dyDescent="0.3">
      <c r="A20" t="s">
        <v>527</v>
      </c>
      <c r="C20">
        <v>7</v>
      </c>
      <c r="D20">
        <v>3</v>
      </c>
      <c r="E20">
        <v>10</v>
      </c>
    </row>
    <row r="21" spans="1:5" x14ac:dyDescent="0.3">
      <c r="A21" t="s">
        <v>531</v>
      </c>
      <c r="C21">
        <v>3</v>
      </c>
      <c r="E21">
        <v>3</v>
      </c>
    </row>
    <row r="22" spans="1:5" x14ac:dyDescent="0.3">
      <c r="A22" t="s">
        <v>545</v>
      </c>
      <c r="B22">
        <v>1</v>
      </c>
      <c r="C22">
        <v>10</v>
      </c>
      <c r="D22">
        <v>1</v>
      </c>
      <c r="E22">
        <v>12</v>
      </c>
    </row>
    <row r="23" spans="1:5" x14ac:dyDescent="0.3">
      <c r="A23" t="s">
        <v>681</v>
      </c>
      <c r="B23">
        <v>6</v>
      </c>
      <c r="C23">
        <v>29</v>
      </c>
      <c r="D23">
        <v>11</v>
      </c>
      <c r="E23">
        <v>46</v>
      </c>
    </row>
    <row r="24" spans="1:5" x14ac:dyDescent="0.3">
      <c r="A24" t="s">
        <v>569</v>
      </c>
      <c r="C24">
        <v>1</v>
      </c>
      <c r="E24">
        <v>1</v>
      </c>
    </row>
    <row r="25" spans="1:5" x14ac:dyDescent="0.3">
      <c r="A25" t="s">
        <v>539</v>
      </c>
      <c r="C25">
        <v>1</v>
      </c>
      <c r="D25">
        <v>1</v>
      </c>
      <c r="E25">
        <v>2</v>
      </c>
    </row>
    <row r="26" spans="1:5" x14ac:dyDescent="0.3">
      <c r="A26" t="s">
        <v>561</v>
      </c>
      <c r="C26">
        <v>4</v>
      </c>
      <c r="D26">
        <v>1</v>
      </c>
      <c r="E26">
        <v>5</v>
      </c>
    </row>
    <row r="27" spans="1:5" x14ac:dyDescent="0.3">
      <c r="A27" t="s">
        <v>734</v>
      </c>
    </row>
    <row r="28" spans="1:5" x14ac:dyDescent="0.3">
      <c r="A28" t="s">
        <v>481</v>
      </c>
      <c r="C28">
        <v>1</v>
      </c>
      <c r="D28">
        <v>2</v>
      </c>
      <c r="E28">
        <v>3</v>
      </c>
    </row>
    <row r="29" spans="1:5" x14ac:dyDescent="0.3">
      <c r="A29" t="s">
        <v>537</v>
      </c>
      <c r="C29">
        <v>5</v>
      </c>
      <c r="E29">
        <v>5</v>
      </c>
    </row>
    <row r="30" spans="1:5" x14ac:dyDescent="0.3">
      <c r="A30" s="206"/>
      <c r="B30" s="206"/>
      <c r="C30" s="206"/>
      <c r="D30" s="206"/>
      <c r="E30" s="206"/>
    </row>
  </sheetData>
  <autoFilter ref="A1:E30" xr:uid="{ABE6EFA7-C3AC-416F-9766-E59EB3D7BBD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Siniestralidad Yopal  (2)</vt:lpstr>
      <vt:lpstr>listas</vt:lpstr>
      <vt:lpstr>TIPO_VEHIC_ACC</vt:lpstr>
      <vt:lpstr>MANEJO IMPRUDENTE</vt:lpstr>
      <vt:lpstr>MANEJO_IMPRUDENTE</vt:lpstr>
      <vt:lpstr>DIAS_MAS_ACCIDENTES</vt:lpstr>
      <vt:lpstr>CAUSAS</vt:lpstr>
      <vt:lpstr>GENERO</vt:lpstr>
      <vt:lpstr>Hoja11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Harrison Castañeda</dc:creator>
  <cp:lastModifiedBy>luis eduardo hoyos cantor</cp:lastModifiedBy>
  <dcterms:created xsi:type="dcterms:W3CDTF">2025-07-16T19:55:07Z</dcterms:created>
  <dcterms:modified xsi:type="dcterms:W3CDTF">2025-11-28T00:07:27Z</dcterms:modified>
</cp:coreProperties>
</file>